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tey\madihaa-hrm\past_leaves\july\"/>
    </mc:Choice>
  </mc:AlternateContent>
  <xr:revisionPtr revIDLastSave="0" documentId="13_ncr:1_{EBD9152B-4159-40B5-9F7E-7EF42DA1662A}" xr6:coauthVersionLast="47" xr6:coauthVersionMax="47" xr10:uidLastSave="{00000000-0000-0000-0000-000000000000}"/>
  <bookViews>
    <workbookView xWindow="-120" yWindow="-120" windowWidth="29040" windowHeight="15840" tabRatio="630" activeTab="1" xr2:uid="{7B5E2D85-C188-4C2A-B943-BB771193A8A7}"/>
  </bookViews>
  <sheets>
    <sheet name="MASTER" sheetId="1" r:id="rId1"/>
    <sheet name="Muneeswari" sheetId="1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Q59" i="1" l="1"/>
  <c r="BQ24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BS92" i="1"/>
  <c r="BT92" i="1"/>
  <c r="BU92" i="1"/>
  <c r="BV92" i="1"/>
  <c r="BW92" i="1"/>
  <c r="BX92" i="1"/>
  <c r="BY92" i="1"/>
  <c r="BZ92" i="1"/>
  <c r="CA92" i="1"/>
  <c r="CB92" i="1"/>
  <c r="CC92" i="1"/>
  <c r="CD92" i="1"/>
  <c r="BS93" i="1"/>
  <c r="BT93" i="1"/>
  <c r="BU93" i="1"/>
  <c r="BV93" i="1"/>
  <c r="BW93" i="1"/>
  <c r="BX93" i="1"/>
  <c r="BY93" i="1"/>
  <c r="BZ93" i="1"/>
  <c r="CA93" i="1"/>
  <c r="CB93" i="1"/>
  <c r="CC93" i="1"/>
  <c r="CD93" i="1"/>
  <c r="BS94" i="1"/>
  <c r="BT94" i="1"/>
  <c r="BU94" i="1"/>
  <c r="BV94" i="1"/>
  <c r="BW94" i="1"/>
  <c r="BX94" i="1"/>
  <c r="BY94" i="1"/>
  <c r="BZ94" i="1"/>
  <c r="CA94" i="1"/>
  <c r="CB94" i="1"/>
  <c r="CC94" i="1"/>
  <c r="CD94" i="1"/>
  <c r="BS95" i="1"/>
  <c r="BT95" i="1"/>
  <c r="BU95" i="1"/>
  <c r="BV95" i="1"/>
  <c r="BW95" i="1"/>
  <c r="BX95" i="1"/>
  <c r="BY95" i="1"/>
  <c r="BZ95" i="1"/>
  <c r="CA95" i="1"/>
  <c r="CB95" i="1"/>
  <c r="CC95" i="1"/>
  <c r="CD95" i="1"/>
  <c r="BS96" i="1"/>
  <c r="BT96" i="1"/>
  <c r="BU96" i="1"/>
  <c r="BV96" i="1"/>
  <c r="BW96" i="1"/>
  <c r="BX96" i="1"/>
  <c r="BY96" i="1"/>
  <c r="BZ96" i="1"/>
  <c r="CA96" i="1"/>
  <c r="CB96" i="1"/>
  <c r="CC96" i="1"/>
  <c r="CD96" i="1"/>
  <c r="BS97" i="1"/>
  <c r="BT97" i="1"/>
  <c r="BU97" i="1"/>
  <c r="BV97" i="1"/>
  <c r="BW97" i="1"/>
  <c r="BX97" i="1"/>
  <c r="BY97" i="1"/>
  <c r="BZ97" i="1"/>
  <c r="CA97" i="1"/>
  <c r="CB97" i="1"/>
  <c r="CC97" i="1"/>
  <c r="CD97" i="1"/>
  <c r="BS98" i="1"/>
  <c r="BT98" i="1"/>
  <c r="BU98" i="1"/>
  <c r="BV98" i="1"/>
  <c r="BW98" i="1"/>
  <c r="BX98" i="1"/>
  <c r="BY98" i="1"/>
  <c r="BZ98" i="1"/>
  <c r="CA98" i="1"/>
  <c r="CB98" i="1"/>
  <c r="CC98" i="1"/>
  <c r="CD98" i="1"/>
  <c r="BS99" i="1"/>
  <c r="BT99" i="1"/>
  <c r="BU99" i="1"/>
  <c r="BV99" i="1"/>
  <c r="BW99" i="1"/>
  <c r="BX99" i="1"/>
  <c r="BY99" i="1"/>
  <c r="BZ99" i="1"/>
  <c r="CA99" i="1"/>
  <c r="CB99" i="1"/>
  <c r="CC99" i="1"/>
  <c r="CD99" i="1"/>
  <c r="BS100" i="1"/>
  <c r="BT100" i="1"/>
  <c r="BU100" i="1"/>
  <c r="BV100" i="1"/>
  <c r="BW100" i="1"/>
  <c r="BX100" i="1"/>
  <c r="BY100" i="1"/>
  <c r="BZ100" i="1"/>
  <c r="CA100" i="1"/>
  <c r="CB100" i="1"/>
  <c r="CC100" i="1"/>
  <c r="CD100" i="1"/>
  <c r="BS101" i="1"/>
  <c r="BT101" i="1"/>
  <c r="BU101" i="1"/>
  <c r="BV101" i="1"/>
  <c r="BW101" i="1"/>
  <c r="BX101" i="1"/>
  <c r="BY101" i="1"/>
  <c r="BZ101" i="1"/>
  <c r="CA101" i="1"/>
  <c r="CB101" i="1"/>
  <c r="CC101" i="1"/>
  <c r="CD101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BS103" i="1"/>
  <c r="BT103" i="1"/>
  <c r="BU103" i="1"/>
  <c r="BV103" i="1"/>
  <c r="BW103" i="1"/>
  <c r="BX103" i="1"/>
  <c r="BY103" i="1"/>
  <c r="BZ103" i="1"/>
  <c r="CA103" i="1"/>
  <c r="CB103" i="1"/>
  <c r="CC103" i="1"/>
  <c r="CD103" i="1"/>
  <c r="BS104" i="1"/>
  <c r="BT104" i="1"/>
  <c r="BU104" i="1"/>
  <c r="BV104" i="1"/>
  <c r="BW104" i="1"/>
  <c r="BX104" i="1"/>
  <c r="BY104" i="1"/>
  <c r="BZ104" i="1"/>
  <c r="CA104" i="1"/>
  <c r="CB104" i="1"/>
  <c r="CC104" i="1"/>
  <c r="CD104" i="1"/>
  <c r="BS105" i="1"/>
  <c r="BT105" i="1"/>
  <c r="BU105" i="1"/>
  <c r="BV105" i="1"/>
  <c r="BW105" i="1"/>
  <c r="BX105" i="1"/>
  <c r="BY105" i="1"/>
  <c r="BZ105" i="1"/>
  <c r="CA105" i="1"/>
  <c r="CB105" i="1"/>
  <c r="CC105" i="1"/>
  <c r="CD105" i="1"/>
  <c r="BS106" i="1"/>
  <c r="BT106" i="1"/>
  <c r="BU106" i="1"/>
  <c r="BV106" i="1"/>
  <c r="BW106" i="1"/>
  <c r="BX106" i="1"/>
  <c r="BY106" i="1"/>
  <c r="BZ106" i="1"/>
  <c r="CA106" i="1"/>
  <c r="CB106" i="1"/>
  <c r="CC106" i="1"/>
  <c r="CD106" i="1"/>
  <c r="BS107" i="1"/>
  <c r="BT107" i="1"/>
  <c r="BU107" i="1"/>
  <c r="BV107" i="1"/>
  <c r="BW107" i="1"/>
  <c r="BX107" i="1"/>
  <c r="BY107" i="1"/>
  <c r="BZ107" i="1"/>
  <c r="CA107" i="1"/>
  <c r="CB107" i="1"/>
  <c r="CC107" i="1"/>
  <c r="CD107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BS109" i="1"/>
  <c r="BT109" i="1"/>
  <c r="BU109" i="1"/>
  <c r="BV109" i="1"/>
  <c r="BW109" i="1"/>
  <c r="BX109" i="1"/>
  <c r="BY109" i="1"/>
  <c r="BZ109" i="1"/>
  <c r="CA109" i="1"/>
  <c r="CB109" i="1"/>
  <c r="CC109" i="1"/>
  <c r="CD109" i="1"/>
  <c r="BS110" i="1"/>
  <c r="BT110" i="1"/>
  <c r="BU110" i="1"/>
  <c r="BV110" i="1"/>
  <c r="BW110" i="1"/>
  <c r="BX110" i="1"/>
  <c r="BY110" i="1"/>
  <c r="BZ110" i="1"/>
  <c r="CA110" i="1"/>
  <c r="CB110" i="1"/>
  <c r="CC110" i="1"/>
  <c r="CD110" i="1"/>
  <c r="BS111" i="1"/>
  <c r="BT111" i="1"/>
  <c r="BU111" i="1"/>
  <c r="BV111" i="1"/>
  <c r="BW111" i="1"/>
  <c r="BX111" i="1"/>
  <c r="BY111" i="1"/>
  <c r="BZ111" i="1"/>
  <c r="CA111" i="1"/>
  <c r="CB111" i="1"/>
  <c r="CC111" i="1"/>
  <c r="CD111" i="1"/>
  <c r="BS112" i="1"/>
  <c r="BT112" i="1"/>
  <c r="BU112" i="1"/>
  <c r="BV112" i="1"/>
  <c r="BW112" i="1"/>
  <c r="BX112" i="1"/>
  <c r="BY112" i="1"/>
  <c r="BZ112" i="1"/>
  <c r="CA112" i="1"/>
  <c r="CB112" i="1"/>
  <c r="CC112" i="1"/>
  <c r="CD112" i="1"/>
  <c r="BS113" i="1"/>
  <c r="BT113" i="1"/>
  <c r="BU113" i="1"/>
  <c r="BV113" i="1"/>
  <c r="BW113" i="1"/>
  <c r="BX113" i="1"/>
  <c r="BY113" i="1"/>
  <c r="BZ113" i="1"/>
  <c r="CA113" i="1"/>
  <c r="CB113" i="1"/>
  <c r="CC113" i="1"/>
  <c r="CD113" i="1"/>
  <c r="BS44" i="1"/>
  <c r="BS6" i="1"/>
  <c r="BT6" i="1"/>
  <c r="BU6" i="1"/>
  <c r="BV6" i="1"/>
  <c r="BW6" i="1"/>
  <c r="BX6" i="1"/>
  <c r="BY6" i="1"/>
  <c r="BZ6" i="1"/>
  <c r="CA6" i="1"/>
  <c r="CB6" i="1"/>
  <c r="CC6" i="1"/>
  <c r="CD6" i="1"/>
  <c r="BS7" i="1"/>
  <c r="BT7" i="1"/>
  <c r="BU7" i="1"/>
  <c r="BV7" i="1"/>
  <c r="BW7" i="1"/>
  <c r="BX7" i="1"/>
  <c r="BY7" i="1"/>
  <c r="BZ7" i="1"/>
  <c r="CA7" i="1"/>
  <c r="CB7" i="1"/>
  <c r="CC7" i="1"/>
  <c r="CD7" i="1"/>
  <c r="BS8" i="1"/>
  <c r="BT8" i="1"/>
  <c r="BU8" i="1"/>
  <c r="BV8" i="1"/>
  <c r="BW8" i="1"/>
  <c r="BX8" i="1"/>
  <c r="BY8" i="1"/>
  <c r="BZ8" i="1"/>
  <c r="CA8" i="1"/>
  <c r="CB8" i="1"/>
  <c r="CC8" i="1"/>
  <c r="CD8" i="1"/>
  <c r="BS9" i="1"/>
  <c r="BT9" i="1"/>
  <c r="BU9" i="1"/>
  <c r="BV9" i="1"/>
  <c r="BW9" i="1"/>
  <c r="BX9" i="1"/>
  <c r="BY9" i="1"/>
  <c r="BZ9" i="1"/>
  <c r="CA9" i="1"/>
  <c r="CB9" i="1"/>
  <c r="CC9" i="1"/>
  <c r="CD9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BS16" i="1"/>
  <c r="BT16" i="1"/>
  <c r="BU16" i="1"/>
  <c r="BV16" i="1"/>
  <c r="BW16" i="1"/>
  <c r="BX16" i="1"/>
  <c r="BY16" i="1"/>
  <c r="BZ16" i="1"/>
  <c r="CA16" i="1"/>
  <c r="BQ16" i="1" s="1"/>
  <c r="CB16" i="1"/>
  <c r="CC16" i="1"/>
  <c r="CD16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BS5" i="1"/>
  <c r="BT5" i="1"/>
  <c r="BV5" i="1"/>
  <c r="CQ59" i="1"/>
  <c r="CQ111" i="1"/>
  <c r="CD44" i="1"/>
  <c r="CC44" i="1"/>
  <c r="CB44" i="1"/>
  <c r="CA44" i="1"/>
  <c r="BZ44" i="1"/>
  <c r="BY44" i="1"/>
  <c r="BX44" i="1"/>
  <c r="BW44" i="1"/>
  <c r="BV44" i="1"/>
  <c r="BU44" i="1"/>
  <c r="BT44" i="1"/>
  <c r="CQ110" i="1"/>
  <c r="CQ109" i="1"/>
  <c r="BQ72" i="1" l="1"/>
  <c r="BQ113" i="1"/>
  <c r="BQ112" i="1"/>
  <c r="BQ111" i="1"/>
  <c r="BQ110" i="1"/>
  <c r="BQ109" i="1"/>
  <c r="BS138" i="1" l="1"/>
  <c r="BT138" i="1"/>
  <c r="BU138" i="1"/>
  <c r="BV138" i="1"/>
  <c r="BW138" i="1"/>
  <c r="BX138" i="1"/>
  <c r="BY138" i="1"/>
  <c r="BZ138" i="1"/>
  <c r="CA138" i="1"/>
  <c r="CB138" i="1"/>
  <c r="CC138" i="1"/>
  <c r="CD138" i="1"/>
  <c r="CQ138" i="1"/>
  <c r="BQ138" i="1" l="1"/>
  <c r="BU5" i="1"/>
  <c r="BW5" i="1"/>
  <c r="BX5" i="1"/>
  <c r="BY5" i="1"/>
  <c r="BZ5" i="1"/>
  <c r="CA5" i="1"/>
  <c r="CB5" i="1"/>
  <c r="CC5" i="1"/>
  <c r="CD5" i="1"/>
  <c r="AC12" i="15"/>
  <c r="AB12" i="15"/>
  <c r="AA12" i="15"/>
  <c r="Z12" i="15"/>
  <c r="Y12" i="15"/>
  <c r="X12" i="15"/>
  <c r="W12" i="15"/>
  <c r="V12" i="15"/>
  <c r="U12" i="15"/>
  <c r="T12" i="15"/>
  <c r="S12" i="15"/>
  <c r="R12" i="15"/>
  <c r="BH133" i="15"/>
  <c r="BG133" i="15"/>
  <c r="BF133" i="15"/>
  <c r="BE133" i="15"/>
  <c r="BD133" i="15"/>
  <c r="BC133" i="15"/>
  <c r="BB133" i="15"/>
  <c r="BA133" i="15"/>
  <c r="AZ133" i="15"/>
  <c r="AY133" i="15"/>
  <c r="AX133" i="15"/>
  <c r="AW133" i="15"/>
  <c r="BH132" i="15"/>
  <c r="BG132" i="15"/>
  <c r="BF132" i="15"/>
  <c r="BE132" i="15"/>
  <c r="BD132" i="15"/>
  <c r="BC132" i="15"/>
  <c r="BB132" i="15"/>
  <c r="BA132" i="15"/>
  <c r="AZ132" i="15"/>
  <c r="AY132" i="15"/>
  <c r="AX132" i="15"/>
  <c r="AW132" i="15"/>
  <c r="BU131" i="15"/>
  <c r="BH131" i="15"/>
  <c r="BG131" i="15"/>
  <c r="BF131" i="15"/>
  <c r="BE131" i="15"/>
  <c r="BD131" i="15"/>
  <c r="BC131" i="15"/>
  <c r="BB131" i="15"/>
  <c r="BA131" i="15"/>
  <c r="AZ131" i="15"/>
  <c r="AY131" i="15"/>
  <c r="AX131" i="15"/>
  <c r="AW131" i="15"/>
  <c r="BH130" i="15"/>
  <c r="BG130" i="15"/>
  <c r="BF130" i="15"/>
  <c r="BE130" i="15"/>
  <c r="BD130" i="15"/>
  <c r="BC130" i="15"/>
  <c r="BB130" i="15"/>
  <c r="BA130" i="15"/>
  <c r="AZ130" i="15"/>
  <c r="AY130" i="15"/>
  <c r="AX130" i="15"/>
  <c r="AW130" i="15"/>
  <c r="BU129" i="15"/>
  <c r="BH129" i="15"/>
  <c r="BG129" i="15"/>
  <c r="BF129" i="15"/>
  <c r="BE129" i="15"/>
  <c r="BD129" i="15"/>
  <c r="BC129" i="15"/>
  <c r="BB129" i="15"/>
  <c r="BA129" i="15"/>
  <c r="AZ129" i="15"/>
  <c r="AY129" i="15"/>
  <c r="AX129" i="15"/>
  <c r="AW129" i="15"/>
  <c r="BU128" i="15"/>
  <c r="BH128" i="15"/>
  <c r="BG128" i="15"/>
  <c r="BF128" i="15"/>
  <c r="BE128" i="15"/>
  <c r="BD128" i="15"/>
  <c r="BC128" i="15"/>
  <c r="BB128" i="15"/>
  <c r="BA128" i="15"/>
  <c r="AZ128" i="15"/>
  <c r="AY128" i="15"/>
  <c r="AX128" i="15"/>
  <c r="AW128" i="15"/>
  <c r="BU127" i="15"/>
  <c r="BH127" i="15"/>
  <c r="BG127" i="15"/>
  <c r="BF127" i="15"/>
  <c r="BE127" i="15"/>
  <c r="BD127" i="15"/>
  <c r="BC127" i="15"/>
  <c r="BB127" i="15"/>
  <c r="BA127" i="15"/>
  <c r="AZ127" i="15"/>
  <c r="AY127" i="15"/>
  <c r="AX127" i="15"/>
  <c r="AW127" i="15"/>
  <c r="BH126" i="15"/>
  <c r="BG126" i="15"/>
  <c r="BF126" i="15"/>
  <c r="BE126" i="15"/>
  <c r="BD126" i="15"/>
  <c r="BC126" i="15"/>
  <c r="BB126" i="15"/>
  <c r="BA126" i="15"/>
  <c r="AZ126" i="15"/>
  <c r="AY126" i="15"/>
  <c r="AX126" i="15"/>
  <c r="AW126" i="15"/>
  <c r="BU122" i="15"/>
  <c r="BU120" i="15"/>
  <c r="BU119" i="15"/>
  <c r="BU118" i="15"/>
  <c r="BU117" i="15"/>
  <c r="BU114" i="15"/>
  <c r="BU113" i="15"/>
  <c r="BU112" i="15"/>
  <c r="BU96" i="15"/>
  <c r="BH96" i="15"/>
  <c r="BG96" i="15"/>
  <c r="BF96" i="15"/>
  <c r="BE96" i="15"/>
  <c r="BD96" i="15"/>
  <c r="BC96" i="15"/>
  <c r="BB96" i="15"/>
  <c r="BA96" i="15"/>
  <c r="AZ96" i="15"/>
  <c r="AY96" i="15"/>
  <c r="AX96" i="15"/>
  <c r="AW96" i="15"/>
  <c r="BU95" i="15"/>
  <c r="BH95" i="15"/>
  <c r="BG95" i="15"/>
  <c r="BF95" i="15"/>
  <c r="BE95" i="15"/>
  <c r="BD95" i="15"/>
  <c r="BC95" i="15"/>
  <c r="BB95" i="15"/>
  <c r="BA95" i="15"/>
  <c r="AZ95" i="15"/>
  <c r="AY95" i="15"/>
  <c r="AX95" i="15"/>
  <c r="AW95" i="15"/>
  <c r="BU94" i="15"/>
  <c r="BH94" i="15"/>
  <c r="BG94" i="15"/>
  <c r="BF94" i="15"/>
  <c r="BE94" i="15"/>
  <c r="BD94" i="15"/>
  <c r="BC94" i="15"/>
  <c r="BB94" i="15"/>
  <c r="BA94" i="15"/>
  <c r="AZ94" i="15"/>
  <c r="AY94" i="15"/>
  <c r="AX94" i="15"/>
  <c r="AW94" i="15"/>
  <c r="BU93" i="15"/>
  <c r="BH93" i="15"/>
  <c r="BG93" i="15"/>
  <c r="BF93" i="15"/>
  <c r="BE93" i="15"/>
  <c r="BD93" i="15"/>
  <c r="BC93" i="15"/>
  <c r="BB93" i="15"/>
  <c r="BA93" i="15"/>
  <c r="AZ93" i="15"/>
  <c r="AY93" i="15"/>
  <c r="AX93" i="15"/>
  <c r="AW93" i="15"/>
  <c r="BU92" i="15"/>
  <c r="BH92" i="15"/>
  <c r="BG92" i="15"/>
  <c r="BF92" i="15"/>
  <c r="BE92" i="15"/>
  <c r="BD92" i="15"/>
  <c r="BC92" i="15"/>
  <c r="BB92" i="15"/>
  <c r="BA92" i="15"/>
  <c r="AZ92" i="15"/>
  <c r="AY92" i="15"/>
  <c r="AX92" i="15"/>
  <c r="AW92" i="15"/>
  <c r="BU91" i="15"/>
  <c r="BH91" i="15"/>
  <c r="BG91" i="15"/>
  <c r="BF91" i="15"/>
  <c r="BE91" i="15"/>
  <c r="BD91" i="15"/>
  <c r="BC91" i="15"/>
  <c r="BB91" i="15"/>
  <c r="BA91" i="15"/>
  <c r="AZ91" i="15"/>
  <c r="AY91" i="15"/>
  <c r="AX91" i="15"/>
  <c r="AW91" i="15"/>
  <c r="BU90" i="15"/>
  <c r="BH90" i="15"/>
  <c r="BG90" i="15"/>
  <c r="BF90" i="15"/>
  <c r="BE90" i="15"/>
  <c r="BD90" i="15"/>
  <c r="BC90" i="15"/>
  <c r="BB90" i="15"/>
  <c r="BA90" i="15"/>
  <c r="AZ90" i="15"/>
  <c r="AY90" i="15"/>
  <c r="AX90" i="15"/>
  <c r="AW90" i="15"/>
  <c r="BU89" i="15"/>
  <c r="BH89" i="15"/>
  <c r="BG89" i="15"/>
  <c r="BF89" i="15"/>
  <c r="BE89" i="15"/>
  <c r="BD89" i="15"/>
  <c r="BC89" i="15"/>
  <c r="BB89" i="15"/>
  <c r="BA89" i="15"/>
  <c r="AZ89" i="15"/>
  <c r="AY89" i="15"/>
  <c r="AX89" i="15"/>
  <c r="AW89" i="15"/>
  <c r="BU88" i="15"/>
  <c r="BH88" i="15"/>
  <c r="BG88" i="15"/>
  <c r="BF88" i="15"/>
  <c r="BE88" i="15"/>
  <c r="BD88" i="15"/>
  <c r="BC88" i="15"/>
  <c r="BB88" i="15"/>
  <c r="BA88" i="15"/>
  <c r="AZ88" i="15"/>
  <c r="AY88" i="15"/>
  <c r="AX88" i="15"/>
  <c r="AW88" i="15"/>
  <c r="BU87" i="15"/>
  <c r="BH87" i="15"/>
  <c r="BG87" i="15"/>
  <c r="BF87" i="15"/>
  <c r="BE87" i="15"/>
  <c r="BD87" i="15"/>
  <c r="BC87" i="15"/>
  <c r="BB87" i="15"/>
  <c r="BA87" i="15"/>
  <c r="AZ87" i="15"/>
  <c r="AY87" i="15"/>
  <c r="AX87" i="15"/>
  <c r="AW87" i="15"/>
  <c r="BU86" i="15"/>
  <c r="BH86" i="15"/>
  <c r="BG86" i="15"/>
  <c r="BF86" i="15"/>
  <c r="BE86" i="15"/>
  <c r="BD86" i="15"/>
  <c r="BC86" i="15"/>
  <c r="BB86" i="15"/>
  <c r="BA86" i="15"/>
  <c r="AZ86" i="15"/>
  <c r="AY86" i="15"/>
  <c r="AX86" i="15"/>
  <c r="AW86" i="15"/>
  <c r="BU85" i="15"/>
  <c r="BH85" i="15"/>
  <c r="BG85" i="15"/>
  <c r="BF85" i="15"/>
  <c r="BE85" i="15"/>
  <c r="BD85" i="15"/>
  <c r="BC85" i="15"/>
  <c r="BB85" i="15"/>
  <c r="BA85" i="15"/>
  <c r="AZ85" i="15"/>
  <c r="AY85" i="15"/>
  <c r="AX85" i="15"/>
  <c r="AW85" i="15"/>
  <c r="BU84" i="15"/>
  <c r="BH84" i="15"/>
  <c r="BG84" i="15"/>
  <c r="BF84" i="15"/>
  <c r="BE84" i="15"/>
  <c r="BD84" i="15"/>
  <c r="BC84" i="15"/>
  <c r="BB84" i="15"/>
  <c r="BA84" i="15"/>
  <c r="AZ84" i="15"/>
  <c r="AY84" i="15"/>
  <c r="AX84" i="15"/>
  <c r="AW84" i="15"/>
  <c r="BU83" i="15"/>
  <c r="BH83" i="15"/>
  <c r="BG83" i="15"/>
  <c r="BF83" i="15"/>
  <c r="BE83" i="15"/>
  <c r="BD83" i="15"/>
  <c r="BC83" i="15"/>
  <c r="BB83" i="15"/>
  <c r="BA83" i="15"/>
  <c r="AZ83" i="15"/>
  <c r="AY83" i="15"/>
  <c r="AX83" i="15"/>
  <c r="AW83" i="15"/>
  <c r="BU82" i="15"/>
  <c r="BH82" i="15"/>
  <c r="BG82" i="15"/>
  <c r="BF82" i="15"/>
  <c r="BE82" i="15"/>
  <c r="BD82" i="15"/>
  <c r="BC82" i="15"/>
  <c r="BB82" i="15"/>
  <c r="BA82" i="15"/>
  <c r="AZ82" i="15"/>
  <c r="AY82" i="15"/>
  <c r="AX82" i="15"/>
  <c r="AW82" i="15"/>
  <c r="BU81" i="15"/>
  <c r="BH81" i="15"/>
  <c r="BG81" i="15"/>
  <c r="BF81" i="15"/>
  <c r="BE81" i="15"/>
  <c r="BD81" i="15"/>
  <c r="BC81" i="15"/>
  <c r="BB81" i="15"/>
  <c r="BA81" i="15"/>
  <c r="AZ81" i="15"/>
  <c r="AY81" i="15"/>
  <c r="AX81" i="15"/>
  <c r="AW81" i="15"/>
  <c r="BU80" i="15"/>
  <c r="BH80" i="15"/>
  <c r="BG80" i="15"/>
  <c r="BF80" i="15"/>
  <c r="BE80" i="15"/>
  <c r="BD80" i="15"/>
  <c r="BC80" i="15"/>
  <c r="BB80" i="15"/>
  <c r="BA80" i="15"/>
  <c r="AZ80" i="15"/>
  <c r="AY80" i="15"/>
  <c r="AX80" i="15"/>
  <c r="AW80" i="15"/>
  <c r="BU79" i="15"/>
  <c r="BH79" i="15"/>
  <c r="BG79" i="15"/>
  <c r="BF79" i="15"/>
  <c r="BE79" i="15"/>
  <c r="BD79" i="15"/>
  <c r="BC79" i="15"/>
  <c r="BB79" i="15"/>
  <c r="BA79" i="15"/>
  <c r="AZ79" i="15"/>
  <c r="AY79" i="15"/>
  <c r="AX79" i="15"/>
  <c r="AW79" i="15"/>
  <c r="BU78" i="15"/>
  <c r="BH78" i="15"/>
  <c r="BG78" i="15"/>
  <c r="BF78" i="15"/>
  <c r="BE78" i="15"/>
  <c r="BD78" i="15"/>
  <c r="BC78" i="15"/>
  <c r="BB78" i="15"/>
  <c r="BA78" i="15"/>
  <c r="AZ78" i="15"/>
  <c r="AY78" i="15"/>
  <c r="AX78" i="15"/>
  <c r="AW78" i="15"/>
  <c r="BU77" i="15"/>
  <c r="BH77" i="15"/>
  <c r="BG77" i="15"/>
  <c r="BF77" i="15"/>
  <c r="BE77" i="15"/>
  <c r="BD77" i="15"/>
  <c r="BC77" i="15"/>
  <c r="BB77" i="15"/>
  <c r="BA77" i="15"/>
  <c r="AZ77" i="15"/>
  <c r="AY77" i="15"/>
  <c r="AX77" i="15"/>
  <c r="AW77" i="15"/>
  <c r="BU76" i="15"/>
  <c r="BH76" i="15"/>
  <c r="BG76" i="15"/>
  <c r="BF76" i="15"/>
  <c r="BE76" i="15"/>
  <c r="BD76" i="15"/>
  <c r="BC76" i="15"/>
  <c r="BB76" i="15"/>
  <c r="BA76" i="15"/>
  <c r="AZ76" i="15"/>
  <c r="AY76" i="15"/>
  <c r="AX76" i="15"/>
  <c r="AW76" i="15"/>
  <c r="BU75" i="15"/>
  <c r="BH75" i="15"/>
  <c r="BG75" i="15"/>
  <c r="BF75" i="15"/>
  <c r="BE75" i="15"/>
  <c r="BD75" i="15"/>
  <c r="BC75" i="15"/>
  <c r="BB75" i="15"/>
  <c r="BA75" i="15"/>
  <c r="AZ75" i="15"/>
  <c r="AY75" i="15"/>
  <c r="AX75" i="15"/>
  <c r="AW75" i="15"/>
  <c r="BU74" i="15"/>
  <c r="BH74" i="15"/>
  <c r="BG74" i="15"/>
  <c r="BF74" i="15"/>
  <c r="BE74" i="15"/>
  <c r="BD74" i="15"/>
  <c r="BC74" i="15"/>
  <c r="BB74" i="15"/>
  <c r="BA74" i="15"/>
  <c r="AZ74" i="15"/>
  <c r="AY74" i="15"/>
  <c r="AX74" i="15"/>
  <c r="AW74" i="15"/>
  <c r="BU73" i="15"/>
  <c r="BH73" i="15"/>
  <c r="BG73" i="15"/>
  <c r="BF73" i="15"/>
  <c r="BE73" i="15"/>
  <c r="BD73" i="15"/>
  <c r="BC73" i="15"/>
  <c r="BB73" i="15"/>
  <c r="BA73" i="15"/>
  <c r="AZ73" i="15"/>
  <c r="AY73" i="15"/>
  <c r="AX73" i="15"/>
  <c r="AW73" i="15"/>
  <c r="BU72" i="15"/>
  <c r="BH72" i="15"/>
  <c r="BG72" i="15"/>
  <c r="BF72" i="15"/>
  <c r="BE72" i="15"/>
  <c r="BD72" i="15"/>
  <c r="BC72" i="15"/>
  <c r="BB72" i="15"/>
  <c r="BA72" i="15"/>
  <c r="AZ72" i="15"/>
  <c r="AY72" i="15"/>
  <c r="AX72" i="15"/>
  <c r="AW72" i="15"/>
  <c r="BU71" i="15"/>
  <c r="BH71" i="15"/>
  <c r="BG71" i="15"/>
  <c r="BF71" i="15"/>
  <c r="BE71" i="15"/>
  <c r="BD71" i="15"/>
  <c r="BC71" i="15"/>
  <c r="BB71" i="15"/>
  <c r="BA71" i="15"/>
  <c r="AZ71" i="15"/>
  <c r="AY71" i="15"/>
  <c r="AX71" i="15"/>
  <c r="AW71" i="15"/>
  <c r="BU70" i="15"/>
  <c r="BH70" i="15"/>
  <c r="BG70" i="15"/>
  <c r="BF70" i="15"/>
  <c r="BE70" i="15"/>
  <c r="BD70" i="15"/>
  <c r="BC70" i="15"/>
  <c r="BB70" i="15"/>
  <c r="BA70" i="15"/>
  <c r="AZ70" i="15"/>
  <c r="AY70" i="15"/>
  <c r="AX70" i="15"/>
  <c r="AW70" i="15"/>
  <c r="BU69" i="15"/>
  <c r="BH69" i="15"/>
  <c r="BG69" i="15"/>
  <c r="BF69" i="15"/>
  <c r="BE69" i="15"/>
  <c r="BD69" i="15"/>
  <c r="BC69" i="15"/>
  <c r="BB69" i="15"/>
  <c r="BA69" i="15"/>
  <c r="AZ69" i="15"/>
  <c r="AY69" i="15"/>
  <c r="AX69" i="15"/>
  <c r="AW69" i="15"/>
  <c r="AU69" i="15" s="1"/>
  <c r="BU68" i="15"/>
  <c r="BH68" i="15"/>
  <c r="BG68" i="15"/>
  <c r="BF68" i="15"/>
  <c r="BE68" i="15"/>
  <c r="BD68" i="15"/>
  <c r="BC68" i="15"/>
  <c r="BB68" i="15"/>
  <c r="BA68" i="15"/>
  <c r="AZ68" i="15"/>
  <c r="AY68" i="15"/>
  <c r="AX68" i="15"/>
  <c r="AW68" i="15"/>
  <c r="BU67" i="15"/>
  <c r="BH67" i="15"/>
  <c r="BG67" i="15"/>
  <c r="BF67" i="15"/>
  <c r="BE67" i="15"/>
  <c r="BD67" i="15"/>
  <c r="BC67" i="15"/>
  <c r="BB67" i="15"/>
  <c r="BA67" i="15"/>
  <c r="AZ67" i="15"/>
  <c r="AY67" i="15"/>
  <c r="AX67" i="15"/>
  <c r="AW67" i="15"/>
  <c r="BU66" i="15"/>
  <c r="BH66" i="15"/>
  <c r="BG66" i="15"/>
  <c r="BF66" i="15"/>
  <c r="BE66" i="15"/>
  <c r="BD66" i="15"/>
  <c r="BC66" i="15"/>
  <c r="BB66" i="15"/>
  <c r="BA66" i="15"/>
  <c r="AZ66" i="15"/>
  <c r="AY66" i="15"/>
  <c r="AX66" i="15"/>
  <c r="AW66" i="15"/>
  <c r="BU65" i="15"/>
  <c r="BH65" i="15"/>
  <c r="BG65" i="15"/>
  <c r="BF65" i="15"/>
  <c r="BE65" i="15"/>
  <c r="BD65" i="15"/>
  <c r="BC65" i="15"/>
  <c r="BB65" i="15"/>
  <c r="BA65" i="15"/>
  <c r="AZ65" i="15"/>
  <c r="AY65" i="15"/>
  <c r="AX65" i="15"/>
  <c r="AW65" i="15"/>
  <c r="BU64" i="15"/>
  <c r="BH64" i="15"/>
  <c r="BG64" i="15"/>
  <c r="BF64" i="15"/>
  <c r="BE64" i="15"/>
  <c r="BD64" i="15"/>
  <c r="BC64" i="15"/>
  <c r="BB64" i="15"/>
  <c r="BA64" i="15"/>
  <c r="AZ64" i="15"/>
  <c r="AY64" i="15"/>
  <c r="AX64" i="15"/>
  <c r="AW64" i="15"/>
  <c r="BU63" i="15"/>
  <c r="BH63" i="15"/>
  <c r="BG63" i="15"/>
  <c r="BF63" i="15"/>
  <c r="BE63" i="15"/>
  <c r="BD63" i="15"/>
  <c r="BC63" i="15"/>
  <c r="BB63" i="15"/>
  <c r="BA63" i="15"/>
  <c r="AZ63" i="15"/>
  <c r="AY63" i="15"/>
  <c r="AX63" i="15"/>
  <c r="AW63" i="15"/>
  <c r="BU62" i="15"/>
  <c r="BH62" i="15"/>
  <c r="BG62" i="15"/>
  <c r="BF62" i="15"/>
  <c r="BE62" i="15"/>
  <c r="BD62" i="15"/>
  <c r="BC62" i="15"/>
  <c r="BB62" i="15"/>
  <c r="BA62" i="15"/>
  <c r="AZ62" i="15"/>
  <c r="AY62" i="15"/>
  <c r="AX62" i="15"/>
  <c r="AW62" i="15"/>
  <c r="BU61" i="15"/>
  <c r="BH61" i="15"/>
  <c r="BG61" i="15"/>
  <c r="BF61" i="15"/>
  <c r="BE61" i="15"/>
  <c r="BD61" i="15"/>
  <c r="BC61" i="15"/>
  <c r="BB61" i="15"/>
  <c r="BA61" i="15"/>
  <c r="AZ61" i="15"/>
  <c r="AY61" i="15"/>
  <c r="AX61" i="15"/>
  <c r="AW61" i="15"/>
  <c r="BU60" i="15"/>
  <c r="BH60" i="15"/>
  <c r="BG60" i="15"/>
  <c r="BF60" i="15"/>
  <c r="BE60" i="15"/>
  <c r="BD60" i="15"/>
  <c r="BC60" i="15"/>
  <c r="BB60" i="15"/>
  <c r="BA60" i="15"/>
  <c r="AZ60" i="15"/>
  <c r="AY60" i="15"/>
  <c r="AX60" i="15"/>
  <c r="AW60" i="15"/>
  <c r="BU59" i="15"/>
  <c r="BH59" i="15"/>
  <c r="BG59" i="15"/>
  <c r="BF59" i="15"/>
  <c r="BE59" i="15"/>
  <c r="BD59" i="15"/>
  <c r="BC59" i="15"/>
  <c r="BB59" i="15"/>
  <c r="BA59" i="15"/>
  <c r="AZ59" i="15"/>
  <c r="AY59" i="15"/>
  <c r="AX59" i="15"/>
  <c r="AW59" i="15"/>
  <c r="BU58" i="15"/>
  <c r="BH58" i="15"/>
  <c r="BG58" i="15"/>
  <c r="BF58" i="15"/>
  <c r="BE58" i="15"/>
  <c r="BD58" i="15"/>
  <c r="BC58" i="15"/>
  <c r="BB58" i="15"/>
  <c r="BA58" i="15"/>
  <c r="AZ58" i="15"/>
  <c r="AY58" i="15"/>
  <c r="AX58" i="15"/>
  <c r="AW58" i="15"/>
  <c r="BU57" i="15"/>
  <c r="BH57" i="15"/>
  <c r="BG57" i="15"/>
  <c r="BF57" i="15"/>
  <c r="BE57" i="15"/>
  <c r="BD57" i="15"/>
  <c r="BC57" i="15"/>
  <c r="BB57" i="15"/>
  <c r="BA57" i="15"/>
  <c r="AZ57" i="15"/>
  <c r="AY57" i="15"/>
  <c r="AX57" i="15"/>
  <c r="AW57" i="15"/>
  <c r="BU56" i="15"/>
  <c r="BH56" i="15"/>
  <c r="BG56" i="15"/>
  <c r="BF56" i="15"/>
  <c r="BE56" i="15"/>
  <c r="BD56" i="15"/>
  <c r="BC56" i="15"/>
  <c r="BB56" i="15"/>
  <c r="BA56" i="15"/>
  <c r="AZ56" i="15"/>
  <c r="AY56" i="15"/>
  <c r="AX56" i="15"/>
  <c r="AW56" i="15"/>
  <c r="BU55" i="15"/>
  <c r="BH55" i="15"/>
  <c r="BG55" i="15"/>
  <c r="BF55" i="15"/>
  <c r="BE55" i="15"/>
  <c r="BD55" i="15"/>
  <c r="BC55" i="15"/>
  <c r="BB55" i="15"/>
  <c r="BA55" i="15"/>
  <c r="AZ55" i="15"/>
  <c r="AY55" i="15"/>
  <c r="AX55" i="15"/>
  <c r="AW55" i="15"/>
  <c r="BU54" i="15"/>
  <c r="BH54" i="15"/>
  <c r="BG54" i="15"/>
  <c r="BF54" i="15"/>
  <c r="BE54" i="15"/>
  <c r="BD54" i="15"/>
  <c r="BC54" i="15"/>
  <c r="BB54" i="15"/>
  <c r="BA54" i="15"/>
  <c r="AZ54" i="15"/>
  <c r="AY54" i="15"/>
  <c r="AX54" i="15"/>
  <c r="AW54" i="15"/>
  <c r="BU53" i="15"/>
  <c r="BH53" i="15"/>
  <c r="BG53" i="15"/>
  <c r="BF53" i="15"/>
  <c r="BE53" i="15"/>
  <c r="BD53" i="15"/>
  <c r="BC53" i="15"/>
  <c r="BB53" i="15"/>
  <c r="BA53" i="15"/>
  <c r="AZ53" i="15"/>
  <c r="AY53" i="15"/>
  <c r="AX53" i="15"/>
  <c r="AW53" i="15"/>
  <c r="BU52" i="15"/>
  <c r="BH52" i="15"/>
  <c r="BG52" i="15"/>
  <c r="BF52" i="15"/>
  <c r="BE52" i="15"/>
  <c r="BD52" i="15"/>
  <c r="BC52" i="15"/>
  <c r="BB52" i="15"/>
  <c r="BA52" i="15"/>
  <c r="AZ52" i="15"/>
  <c r="AY52" i="15"/>
  <c r="AX52" i="15"/>
  <c r="AW52" i="15"/>
  <c r="BU51" i="15"/>
  <c r="BH51" i="15"/>
  <c r="BG51" i="15"/>
  <c r="BF51" i="15"/>
  <c r="BE51" i="15"/>
  <c r="BD51" i="15"/>
  <c r="BC51" i="15"/>
  <c r="BB51" i="15"/>
  <c r="BA51" i="15"/>
  <c r="AZ51" i="15"/>
  <c r="AY51" i="15"/>
  <c r="AX51" i="15"/>
  <c r="AW51" i="15"/>
  <c r="BU50" i="15"/>
  <c r="BH50" i="15"/>
  <c r="BG50" i="15"/>
  <c r="BF50" i="15"/>
  <c r="BE50" i="15"/>
  <c r="BD50" i="15"/>
  <c r="BC50" i="15"/>
  <c r="BB50" i="15"/>
  <c r="BA50" i="15"/>
  <c r="AZ50" i="15"/>
  <c r="AY50" i="15"/>
  <c r="AX50" i="15"/>
  <c r="AW50" i="15"/>
  <c r="BU49" i="15"/>
  <c r="BH49" i="15"/>
  <c r="BG49" i="15"/>
  <c r="BF49" i="15"/>
  <c r="BE49" i="15"/>
  <c r="BD49" i="15"/>
  <c r="BC49" i="15"/>
  <c r="BB49" i="15"/>
  <c r="BA49" i="15"/>
  <c r="AZ49" i="15"/>
  <c r="AY49" i="15"/>
  <c r="AX49" i="15"/>
  <c r="AW49" i="15"/>
  <c r="BU48" i="15"/>
  <c r="BH48" i="15"/>
  <c r="BG48" i="15"/>
  <c r="BF48" i="15"/>
  <c r="BE48" i="15"/>
  <c r="BD48" i="15"/>
  <c r="BC48" i="15"/>
  <c r="BB48" i="15"/>
  <c r="BA48" i="15"/>
  <c r="AZ48" i="15"/>
  <c r="AY48" i="15"/>
  <c r="AX48" i="15"/>
  <c r="AW48" i="15"/>
  <c r="BU47" i="15"/>
  <c r="BH47" i="15"/>
  <c r="BG47" i="15"/>
  <c r="BF47" i="15"/>
  <c r="BE47" i="15"/>
  <c r="BD47" i="15"/>
  <c r="BC47" i="15"/>
  <c r="BB47" i="15"/>
  <c r="BA47" i="15"/>
  <c r="AZ47" i="15"/>
  <c r="AY47" i="15"/>
  <c r="AX47" i="15"/>
  <c r="AW47" i="15"/>
  <c r="BU46" i="15"/>
  <c r="BH46" i="15"/>
  <c r="BG46" i="15"/>
  <c r="BF46" i="15"/>
  <c r="BE46" i="15"/>
  <c r="BD46" i="15"/>
  <c r="BC46" i="15"/>
  <c r="BB46" i="15"/>
  <c r="BA46" i="15"/>
  <c r="AZ46" i="15"/>
  <c r="AY46" i="15"/>
  <c r="AX46" i="15"/>
  <c r="AW46" i="15"/>
  <c r="BU45" i="15"/>
  <c r="BH45" i="15"/>
  <c r="BG45" i="15"/>
  <c r="BF45" i="15"/>
  <c r="BE45" i="15"/>
  <c r="BD45" i="15"/>
  <c r="BC45" i="15"/>
  <c r="BB45" i="15"/>
  <c r="BA45" i="15"/>
  <c r="AZ45" i="15"/>
  <c r="AY45" i="15"/>
  <c r="AX45" i="15"/>
  <c r="AW45" i="15"/>
  <c r="BU44" i="15"/>
  <c r="BH44" i="15"/>
  <c r="BG44" i="15"/>
  <c r="BF44" i="15"/>
  <c r="BE44" i="15"/>
  <c r="BD44" i="15"/>
  <c r="BC44" i="15"/>
  <c r="BB44" i="15"/>
  <c r="BA44" i="15"/>
  <c r="AZ44" i="15"/>
  <c r="AY44" i="15"/>
  <c r="AX44" i="15"/>
  <c r="AW44" i="15"/>
  <c r="BU43" i="15"/>
  <c r="BH43" i="15"/>
  <c r="BG43" i="15"/>
  <c r="BF43" i="15"/>
  <c r="BE43" i="15"/>
  <c r="BD43" i="15"/>
  <c r="BC43" i="15"/>
  <c r="BB43" i="15"/>
  <c r="BA43" i="15"/>
  <c r="AZ43" i="15"/>
  <c r="AY43" i="15"/>
  <c r="AX43" i="15"/>
  <c r="AW43" i="15"/>
  <c r="BU42" i="15"/>
  <c r="BH42" i="15"/>
  <c r="BG42" i="15"/>
  <c r="BF42" i="15"/>
  <c r="BE42" i="15"/>
  <c r="BD42" i="15"/>
  <c r="BC42" i="15"/>
  <c r="BB42" i="15"/>
  <c r="BA42" i="15"/>
  <c r="AZ42" i="15"/>
  <c r="AY42" i="15"/>
  <c r="AX42" i="15"/>
  <c r="AW42" i="15"/>
  <c r="BU41" i="15"/>
  <c r="BH41" i="15"/>
  <c r="BG41" i="15"/>
  <c r="BF41" i="15"/>
  <c r="BE41" i="15"/>
  <c r="BD41" i="15"/>
  <c r="BC41" i="15"/>
  <c r="BB41" i="15"/>
  <c r="BA41" i="15"/>
  <c r="AZ41" i="15"/>
  <c r="AY41" i="15"/>
  <c r="AX41" i="15"/>
  <c r="AW41" i="15"/>
  <c r="BH40" i="15"/>
  <c r="BG40" i="15"/>
  <c r="BF40" i="15"/>
  <c r="BE40" i="15"/>
  <c r="BD40" i="15"/>
  <c r="BC40" i="15"/>
  <c r="BB40" i="15"/>
  <c r="BA40" i="15"/>
  <c r="AZ40" i="15"/>
  <c r="AY40" i="15"/>
  <c r="AX40" i="15"/>
  <c r="AW40" i="15"/>
  <c r="BU39" i="15"/>
  <c r="BH39" i="15"/>
  <c r="BG39" i="15"/>
  <c r="BF39" i="15"/>
  <c r="BE39" i="15"/>
  <c r="BD39" i="15"/>
  <c r="BC39" i="15"/>
  <c r="BB39" i="15"/>
  <c r="BA39" i="15"/>
  <c r="AZ39" i="15"/>
  <c r="AY39" i="15"/>
  <c r="AX39" i="15"/>
  <c r="AW39" i="15"/>
  <c r="BU38" i="15"/>
  <c r="BH38" i="15"/>
  <c r="BG38" i="15"/>
  <c r="BF38" i="15"/>
  <c r="BE38" i="15"/>
  <c r="BD38" i="15"/>
  <c r="BC38" i="15"/>
  <c r="BB38" i="15"/>
  <c r="BA38" i="15"/>
  <c r="AZ38" i="15"/>
  <c r="AY38" i="15"/>
  <c r="AX38" i="15"/>
  <c r="AW38" i="15"/>
  <c r="BU37" i="15"/>
  <c r="BH37" i="15"/>
  <c r="BG37" i="15"/>
  <c r="BF37" i="15"/>
  <c r="BE37" i="15"/>
  <c r="BD37" i="15"/>
  <c r="BC37" i="15"/>
  <c r="BB37" i="15"/>
  <c r="BA37" i="15"/>
  <c r="AZ37" i="15"/>
  <c r="AY37" i="15"/>
  <c r="AX37" i="15"/>
  <c r="AW37" i="15"/>
  <c r="BU36" i="15"/>
  <c r="BH36" i="15"/>
  <c r="BG36" i="15"/>
  <c r="BF36" i="15"/>
  <c r="BE36" i="15"/>
  <c r="BD36" i="15"/>
  <c r="BC36" i="15"/>
  <c r="BB36" i="15"/>
  <c r="BA36" i="15"/>
  <c r="AZ36" i="15"/>
  <c r="AY36" i="15"/>
  <c r="AX36" i="15"/>
  <c r="AW36" i="15"/>
  <c r="BU35" i="15"/>
  <c r="BH35" i="15"/>
  <c r="BG35" i="15"/>
  <c r="BF35" i="15"/>
  <c r="BE35" i="15"/>
  <c r="BD35" i="15"/>
  <c r="BC35" i="15"/>
  <c r="BB35" i="15"/>
  <c r="BA35" i="15"/>
  <c r="AZ35" i="15"/>
  <c r="AY35" i="15"/>
  <c r="AX35" i="15"/>
  <c r="AW35" i="15"/>
  <c r="BU34" i="15"/>
  <c r="BH34" i="15"/>
  <c r="BG34" i="15"/>
  <c r="BF34" i="15"/>
  <c r="BE34" i="15"/>
  <c r="BD34" i="15"/>
  <c r="BC34" i="15"/>
  <c r="BB34" i="15"/>
  <c r="BA34" i="15"/>
  <c r="AZ34" i="15"/>
  <c r="AY34" i="15"/>
  <c r="AX34" i="15"/>
  <c r="AW34" i="15"/>
  <c r="BU33" i="15"/>
  <c r="BH33" i="15"/>
  <c r="BG33" i="15"/>
  <c r="BF33" i="15"/>
  <c r="BE33" i="15"/>
  <c r="BD33" i="15"/>
  <c r="BC33" i="15"/>
  <c r="BB33" i="15"/>
  <c r="BA33" i="15"/>
  <c r="AZ33" i="15"/>
  <c r="AY33" i="15"/>
  <c r="AX33" i="15"/>
  <c r="AW33" i="15"/>
  <c r="BU32" i="15"/>
  <c r="BH32" i="15"/>
  <c r="BG32" i="15"/>
  <c r="BF32" i="15"/>
  <c r="BE32" i="15"/>
  <c r="BD32" i="15"/>
  <c r="BC32" i="15"/>
  <c r="BB32" i="15"/>
  <c r="BA32" i="15"/>
  <c r="AZ32" i="15"/>
  <c r="AY32" i="15"/>
  <c r="AX32" i="15"/>
  <c r="AW32" i="15"/>
  <c r="BU31" i="15"/>
  <c r="BH31" i="15"/>
  <c r="BG31" i="15"/>
  <c r="BF31" i="15"/>
  <c r="BE31" i="15"/>
  <c r="BD31" i="15"/>
  <c r="BC31" i="15"/>
  <c r="BB31" i="15"/>
  <c r="BA31" i="15"/>
  <c r="AZ31" i="15"/>
  <c r="AY31" i="15"/>
  <c r="AX31" i="15"/>
  <c r="AW31" i="15"/>
  <c r="BU5" i="15"/>
  <c r="BH5" i="15"/>
  <c r="BG5" i="15"/>
  <c r="BF5" i="15"/>
  <c r="BE5" i="15"/>
  <c r="BD5" i="15"/>
  <c r="BC5" i="15"/>
  <c r="BB5" i="15"/>
  <c r="BA5" i="15"/>
  <c r="AZ5" i="15"/>
  <c r="AY5" i="15"/>
  <c r="AX5" i="15"/>
  <c r="AW5" i="15"/>
  <c r="BT140" i="1"/>
  <c r="BU140" i="1"/>
  <c r="BV140" i="1"/>
  <c r="BW140" i="1"/>
  <c r="BX140" i="1"/>
  <c r="BY140" i="1"/>
  <c r="BZ140" i="1"/>
  <c r="CA140" i="1"/>
  <c r="CB140" i="1"/>
  <c r="CC140" i="1"/>
  <c r="CD140" i="1"/>
  <c r="BS140" i="1"/>
  <c r="CQ25" i="1"/>
  <c r="CQ113" i="1"/>
  <c r="CQ112" i="1"/>
  <c r="CQ108" i="1"/>
  <c r="CQ107" i="1"/>
  <c r="CQ106" i="1"/>
  <c r="CQ105" i="1"/>
  <c r="CQ104" i="1"/>
  <c r="CQ103" i="1"/>
  <c r="CQ102" i="1"/>
  <c r="CQ101" i="1"/>
  <c r="CQ100" i="1"/>
  <c r="CQ99" i="1"/>
  <c r="CQ98" i="1"/>
  <c r="CQ97" i="1"/>
  <c r="CQ96" i="1"/>
  <c r="CQ95" i="1"/>
  <c r="CQ94" i="1"/>
  <c r="CQ93" i="1"/>
  <c r="CQ92" i="1"/>
  <c r="CQ91" i="1"/>
  <c r="CQ90" i="1"/>
  <c r="CQ89" i="1"/>
  <c r="CQ88" i="1"/>
  <c r="CQ87" i="1"/>
  <c r="CQ86" i="1"/>
  <c r="CQ85" i="1"/>
  <c r="CQ84" i="1"/>
  <c r="CQ83" i="1"/>
  <c r="CQ82" i="1"/>
  <c r="CQ81" i="1"/>
  <c r="CQ80" i="1"/>
  <c r="CQ79" i="1"/>
  <c r="CQ78" i="1"/>
  <c r="CQ77" i="1"/>
  <c r="CQ76" i="1"/>
  <c r="CQ75" i="1"/>
  <c r="CQ74" i="1"/>
  <c r="CQ73" i="1"/>
  <c r="CQ71" i="1"/>
  <c r="CQ70" i="1"/>
  <c r="CQ69" i="1"/>
  <c r="CQ68" i="1"/>
  <c r="CQ67" i="1"/>
  <c r="CQ66" i="1"/>
  <c r="CQ65" i="1"/>
  <c r="CQ64" i="1"/>
  <c r="CQ140" i="1"/>
  <c r="CQ63" i="1"/>
  <c r="CQ62" i="1"/>
  <c r="CQ61" i="1"/>
  <c r="CQ60" i="1"/>
  <c r="CQ58" i="1"/>
  <c r="CQ57" i="1"/>
  <c r="CQ56" i="1"/>
  <c r="CQ55" i="1"/>
  <c r="CQ54" i="1"/>
  <c r="CQ52" i="1"/>
  <c r="CQ51" i="1"/>
  <c r="CQ50" i="1"/>
  <c r="CQ49" i="1"/>
  <c r="CQ48" i="1"/>
  <c r="CQ47" i="1"/>
  <c r="CQ46" i="1"/>
  <c r="CQ45" i="1"/>
  <c r="CQ44" i="1"/>
  <c r="CQ21" i="1"/>
  <c r="CQ14" i="1"/>
  <c r="CQ29" i="1"/>
  <c r="CQ20" i="1"/>
  <c r="CQ19" i="1"/>
  <c r="CQ18" i="1"/>
  <c r="CQ17" i="1"/>
  <c r="CQ28" i="1"/>
  <c r="CQ26" i="1"/>
  <c r="CQ10" i="1"/>
  <c r="CQ23" i="1"/>
  <c r="CQ22" i="1"/>
  <c r="CQ15" i="1"/>
  <c r="CQ13" i="1"/>
  <c r="CQ12" i="1"/>
  <c r="CQ11" i="1"/>
  <c r="CQ9" i="1"/>
  <c r="CQ8" i="1"/>
  <c r="CQ7" i="1"/>
  <c r="CQ6" i="1"/>
  <c r="CQ5" i="1"/>
  <c r="BQ5" i="1" l="1"/>
  <c r="BQ25" i="1"/>
  <c r="BQ10" i="1"/>
  <c r="BQ29" i="1"/>
  <c r="BQ20" i="1"/>
  <c r="BQ53" i="1"/>
  <c r="BQ21" i="1"/>
  <c r="BQ19" i="1"/>
  <c r="BQ14" i="1"/>
  <c r="BQ18" i="1"/>
  <c r="BQ17" i="1"/>
  <c r="BQ28" i="1"/>
  <c r="BQ27" i="1"/>
  <c r="BQ26" i="1"/>
  <c r="BQ23" i="1"/>
  <c r="BQ22" i="1"/>
  <c r="BQ15" i="1"/>
  <c r="BQ13" i="1"/>
  <c r="BQ12" i="1"/>
  <c r="BQ11" i="1"/>
  <c r="BQ9" i="1"/>
  <c r="BQ8" i="1"/>
  <c r="BQ7" i="1"/>
  <c r="BQ6" i="1"/>
  <c r="AU53" i="15"/>
  <c r="AU41" i="15"/>
  <c r="AU49" i="15"/>
  <c r="AU61" i="15"/>
  <c r="AU77" i="15"/>
  <c r="AU43" i="15"/>
  <c r="AU51" i="15"/>
  <c r="AU57" i="15"/>
  <c r="AU59" i="15"/>
  <c r="AU65" i="15"/>
  <c r="AU67" i="15"/>
  <c r="AU73" i="15"/>
  <c r="AU75" i="15"/>
  <c r="AU81" i="15"/>
  <c r="AU128" i="15"/>
  <c r="AU45" i="15"/>
  <c r="AU42" i="15"/>
  <c r="AU47" i="15"/>
  <c r="AU50" i="15"/>
  <c r="AU55" i="15"/>
  <c r="AU58" i="15"/>
  <c r="AU63" i="15"/>
  <c r="AU66" i="15"/>
  <c r="AU71" i="15"/>
  <c r="AU79" i="15"/>
  <c r="AU95" i="15"/>
  <c r="AU132" i="15"/>
  <c r="AU35" i="15"/>
  <c r="AU39" i="15"/>
  <c r="AU80" i="15"/>
  <c r="AU130" i="15"/>
  <c r="AU133" i="15"/>
  <c r="AU5" i="15"/>
  <c r="AU72" i="15"/>
  <c r="AU89" i="15"/>
  <c r="AU32" i="15"/>
  <c r="AU36" i="15"/>
  <c r="AU40" i="15"/>
  <c r="AU48" i="15"/>
  <c r="AU56" i="15"/>
  <c r="AU64" i="15"/>
  <c r="AU70" i="15"/>
  <c r="AU78" i="15"/>
  <c r="AU84" i="15"/>
  <c r="AU88" i="15"/>
  <c r="AU92" i="15"/>
  <c r="AU96" i="15"/>
  <c r="AU131" i="15"/>
  <c r="AU85" i="15"/>
  <c r="AU33" i="15"/>
  <c r="AU37" i="15"/>
  <c r="AU46" i="15"/>
  <c r="AU54" i="15"/>
  <c r="AU62" i="15"/>
  <c r="AU76" i="15"/>
  <c r="AU83" i="15"/>
  <c r="AU87" i="15"/>
  <c r="AU91" i="15"/>
  <c r="AU93" i="15"/>
  <c r="AU126" i="15"/>
  <c r="AU129" i="15"/>
  <c r="AU31" i="15"/>
  <c r="AU34" i="15"/>
  <c r="AU38" i="15"/>
  <c r="AU44" i="15"/>
  <c r="AU52" i="15"/>
  <c r="AU60" i="15"/>
  <c r="AU68" i="15"/>
  <c r="AU74" i="15"/>
  <c r="AU82" i="15"/>
  <c r="AU86" i="15"/>
  <c r="AU90" i="15"/>
  <c r="AU94" i="15"/>
  <c r="AU127" i="15"/>
  <c r="BQ60" i="1"/>
  <c r="BQ108" i="1"/>
  <c r="BQ107" i="1"/>
  <c r="BQ106" i="1"/>
  <c r="BQ105" i="1"/>
  <c r="BQ104" i="1"/>
  <c r="BQ103" i="1"/>
  <c r="BQ102" i="1"/>
  <c r="BQ101" i="1"/>
  <c r="BQ100" i="1"/>
  <c r="BQ99" i="1"/>
  <c r="BQ98" i="1"/>
  <c r="BQ97" i="1"/>
  <c r="BQ96" i="1"/>
  <c r="BQ95" i="1"/>
  <c r="BQ94" i="1"/>
  <c r="BQ93" i="1"/>
  <c r="BQ92" i="1"/>
  <c r="BQ91" i="1"/>
  <c r="BQ90" i="1"/>
  <c r="BQ89" i="1"/>
  <c r="BQ88" i="1"/>
  <c r="BQ87" i="1"/>
  <c r="BQ86" i="1"/>
  <c r="BQ85" i="1"/>
  <c r="BQ84" i="1"/>
  <c r="BQ83" i="1"/>
  <c r="BQ82" i="1"/>
  <c r="BQ81" i="1"/>
  <c r="BQ80" i="1"/>
  <c r="BQ79" i="1"/>
  <c r="BQ78" i="1"/>
  <c r="BQ77" i="1"/>
  <c r="BQ76" i="1"/>
  <c r="BQ75" i="1"/>
  <c r="BQ74" i="1"/>
  <c r="BQ73" i="1"/>
  <c r="BQ71" i="1"/>
  <c r="BQ70" i="1"/>
  <c r="BQ69" i="1"/>
  <c r="BQ68" i="1"/>
  <c r="BQ67" i="1"/>
  <c r="BQ66" i="1"/>
  <c r="BQ65" i="1"/>
  <c r="BQ64" i="1"/>
  <c r="BQ140" i="1"/>
  <c r="BQ63" i="1"/>
  <c r="BQ62" i="1"/>
  <c r="BQ61" i="1"/>
  <c r="BQ58" i="1"/>
  <c r="BQ57" i="1"/>
  <c r="BQ56" i="1"/>
  <c r="BQ55" i="1"/>
  <c r="BQ54" i="1"/>
  <c r="BQ52" i="1"/>
  <c r="BQ51" i="1"/>
  <c r="BQ50" i="1"/>
  <c r="BQ49" i="1"/>
  <c r="BQ48" i="1"/>
  <c r="BQ47" i="1"/>
  <c r="BQ46" i="1"/>
  <c r="BQ45" i="1"/>
  <c r="CQ27" i="1"/>
  <c r="BS146" i="1" l="1"/>
  <c r="CA146" i="1"/>
  <c r="CB146" i="1"/>
  <c r="CC146" i="1"/>
  <c r="CD146" i="1"/>
  <c r="BT146" i="1"/>
  <c r="BU146" i="1"/>
  <c r="BV146" i="1"/>
  <c r="BW146" i="1"/>
  <c r="BX146" i="1"/>
  <c r="BY146" i="1"/>
  <c r="BZ146" i="1"/>
  <c r="BT142" i="1" l="1"/>
  <c r="BS143" i="1"/>
  <c r="BS144" i="1"/>
  <c r="BS142" i="1"/>
  <c r="BS145" i="1"/>
  <c r="BT143" i="1" l="1"/>
  <c r="BU143" i="1"/>
  <c r="BV143" i="1"/>
  <c r="BW143" i="1"/>
  <c r="BX143" i="1"/>
  <c r="BY143" i="1"/>
  <c r="BZ143" i="1"/>
  <c r="CA143" i="1"/>
  <c r="CB143" i="1"/>
  <c r="CC143" i="1"/>
  <c r="CD143" i="1"/>
  <c r="BT144" i="1"/>
  <c r="BU144" i="1"/>
  <c r="BV144" i="1"/>
  <c r="BW144" i="1"/>
  <c r="BX144" i="1"/>
  <c r="BY144" i="1"/>
  <c r="BZ144" i="1"/>
  <c r="CA144" i="1"/>
  <c r="CB144" i="1"/>
  <c r="CC144" i="1"/>
  <c r="CD144" i="1"/>
  <c r="BU142" i="1"/>
  <c r="BV142" i="1"/>
  <c r="BW142" i="1"/>
  <c r="BX142" i="1"/>
  <c r="BY142" i="1"/>
  <c r="BZ142" i="1"/>
  <c r="CA142" i="1"/>
  <c r="CB142" i="1"/>
  <c r="CC142" i="1"/>
  <c r="CD142" i="1"/>
  <c r="BT145" i="1"/>
  <c r="BU145" i="1"/>
  <c r="BV145" i="1"/>
  <c r="BW145" i="1"/>
  <c r="BX145" i="1"/>
  <c r="BY145" i="1"/>
  <c r="BZ145" i="1"/>
  <c r="CA145" i="1"/>
  <c r="CB145" i="1"/>
  <c r="CC145" i="1"/>
  <c r="CD145" i="1"/>
  <c r="BQ143" i="1" l="1"/>
  <c r="BQ142" i="1"/>
  <c r="BQ144" i="1"/>
  <c r="BQ145" i="1"/>
  <c r="BQ146" i="1"/>
  <c r="CQ137" i="1" l="1"/>
  <c r="CQ144" i="1"/>
  <c r="CQ132" i="1"/>
  <c r="CQ143" i="1"/>
  <c r="CQ142" i="1"/>
  <c r="CQ72" i="1"/>
  <c r="CQ129" i="1"/>
  <c r="CQ128" i="1"/>
  <c r="CQ134" i="1"/>
  <c r="CQ133" i="1"/>
  <c r="CQ135" i="1"/>
  <c r="BQ44" i="1" l="1"/>
  <c r="CQ127" i="1" l="1"/>
</calcChain>
</file>

<file path=xl/sharedStrings.xml><?xml version="1.0" encoding="utf-8"?>
<sst xmlns="http://schemas.openxmlformats.org/spreadsheetml/2006/main" count="1791" uniqueCount="267">
  <si>
    <t>FOREIGN SENIOR STAFFS</t>
  </si>
  <si>
    <t>Wed</t>
  </si>
  <si>
    <t>Thu</t>
  </si>
  <si>
    <t>Fri</t>
  </si>
  <si>
    <t>Sat</t>
  </si>
  <si>
    <t>Sun</t>
  </si>
  <si>
    <t>Mon</t>
  </si>
  <si>
    <t>Tue</t>
  </si>
  <si>
    <t>Present Days</t>
  </si>
  <si>
    <t>Fridays</t>
  </si>
  <si>
    <t>S NO</t>
  </si>
  <si>
    <t>User ID</t>
  </si>
  <si>
    <t>Name</t>
  </si>
  <si>
    <t>IN</t>
  </si>
  <si>
    <t>OUT</t>
  </si>
  <si>
    <t>OFF</t>
  </si>
  <si>
    <t>MC</t>
  </si>
  <si>
    <t>EL</t>
  </si>
  <si>
    <t>AL</t>
  </si>
  <si>
    <t>SUS</t>
  </si>
  <si>
    <t>FL</t>
  </si>
  <si>
    <t>S</t>
  </si>
  <si>
    <t>HD</t>
  </si>
  <si>
    <t>AB</t>
  </si>
  <si>
    <t>NL</t>
  </si>
  <si>
    <t>SP</t>
  </si>
  <si>
    <t>Remarks</t>
  </si>
  <si>
    <t>MAD0238</t>
  </si>
  <si>
    <t>Mohammed Fais Hamsa Lebbe</t>
  </si>
  <si>
    <t>MAD0083</t>
  </si>
  <si>
    <t>Rajasekaran Selvaraj</t>
  </si>
  <si>
    <t>MAD0427</t>
  </si>
  <si>
    <t>Janakiraman Sankaralingam</t>
  </si>
  <si>
    <t>MAD0040</t>
  </si>
  <si>
    <t>Younus Miah</t>
  </si>
  <si>
    <t>MAD0029</t>
  </si>
  <si>
    <t>Nazu Ahmed</t>
  </si>
  <si>
    <t>MAD0391</t>
  </si>
  <si>
    <t>Abdul Ameen</t>
  </si>
  <si>
    <t>MAD0541</t>
  </si>
  <si>
    <t>Malini Bal</t>
  </si>
  <si>
    <t>MAD0652</t>
  </si>
  <si>
    <t>MAD0599</t>
  </si>
  <si>
    <t>Suriya krishnan</t>
  </si>
  <si>
    <t>MAD0606</t>
  </si>
  <si>
    <t>MAD0670</t>
  </si>
  <si>
    <t xml:space="preserve">Mohideen Abdul Rahuman </t>
  </si>
  <si>
    <t>MAD0700</t>
  </si>
  <si>
    <t>Subail Ahmed</t>
  </si>
  <si>
    <t>MAD0016</t>
  </si>
  <si>
    <t>Abdur Rashid</t>
  </si>
  <si>
    <t>MAD0021</t>
  </si>
  <si>
    <t>Karim</t>
  </si>
  <si>
    <t>MAD0024</t>
  </si>
  <si>
    <t>Abul Hossain</t>
  </si>
  <si>
    <t>MAD0133</t>
  </si>
  <si>
    <t>Mir Hossain</t>
  </si>
  <si>
    <t>MAD0268</t>
  </si>
  <si>
    <t>Abdul Karim</t>
  </si>
  <si>
    <t>MAD0711</t>
  </si>
  <si>
    <t>Vijayakumar Kaliaraj</t>
  </si>
  <si>
    <t>MAD0717</t>
  </si>
  <si>
    <t>Prepared By:</t>
  </si>
  <si>
    <t>Checked By:</t>
  </si>
  <si>
    <t xml:space="preserve"> </t>
  </si>
  <si>
    <t>Approved By</t>
  </si>
  <si>
    <t>MUNESWARI SANDRAPALLI</t>
  </si>
  <si>
    <t>Hussain Mahir</t>
  </si>
  <si>
    <t>Moosa Ahmed</t>
  </si>
  <si>
    <t>HR Executive</t>
  </si>
  <si>
    <t>Office Manager</t>
  </si>
  <si>
    <t>Chairman</t>
  </si>
  <si>
    <t>Medical Certificate</t>
  </si>
  <si>
    <t>Half-Day</t>
  </si>
  <si>
    <t>Emergency Leave</t>
  </si>
  <si>
    <t>Absent</t>
  </si>
  <si>
    <t xml:space="preserve">Annual Leave                     </t>
  </si>
  <si>
    <t xml:space="preserve">No Pay Leave        </t>
  </si>
  <si>
    <t>Suspended</t>
  </si>
  <si>
    <t>Special Leave</t>
  </si>
  <si>
    <t>Family Leave</t>
  </si>
  <si>
    <t>MAD0027</t>
  </si>
  <si>
    <t>Masom</t>
  </si>
  <si>
    <t>MAD0026</t>
  </si>
  <si>
    <t>Ruhul Amin</t>
  </si>
  <si>
    <t>MAD0232</t>
  </si>
  <si>
    <t>Lokman Hossain</t>
  </si>
  <si>
    <t>MAD0098</t>
  </si>
  <si>
    <t>Dukhu Miah</t>
  </si>
  <si>
    <t>MAD0156</t>
  </si>
  <si>
    <t>Mohammad Rubel Hossain</t>
  </si>
  <si>
    <t>MAD0132</t>
  </si>
  <si>
    <t>Anwar</t>
  </si>
  <si>
    <t>MAD0251</t>
  </si>
  <si>
    <t>Mohammad Akkas Miah</t>
  </si>
  <si>
    <t>MDA0241</t>
  </si>
  <si>
    <t>MD Hafizur Rahman</t>
  </si>
  <si>
    <t>MAD0104</t>
  </si>
  <si>
    <t>Mohammad Selim Raza</t>
  </si>
  <si>
    <t>MDA0418</t>
  </si>
  <si>
    <t>Sumon</t>
  </si>
  <si>
    <t>Deepak Yadav</t>
  </si>
  <si>
    <t>MAD0507</t>
  </si>
  <si>
    <t>Nazir Hussain</t>
  </si>
  <si>
    <t>MAD0426</t>
  </si>
  <si>
    <t>Ful Sah</t>
  </si>
  <si>
    <t>MAD0445</t>
  </si>
  <si>
    <t>Mir Rajib</t>
  </si>
  <si>
    <t>MAD0515</t>
  </si>
  <si>
    <t>MAD0517</t>
  </si>
  <si>
    <t>Pradip Kumar</t>
  </si>
  <si>
    <t>MAD0535</t>
  </si>
  <si>
    <t>MAD0559</t>
  </si>
  <si>
    <t>MAD0580</t>
  </si>
  <si>
    <t>MAD0585</t>
  </si>
  <si>
    <t>Rumi Miah</t>
  </si>
  <si>
    <t>MAD0587</t>
  </si>
  <si>
    <t>MAD0586</t>
  </si>
  <si>
    <t>MAD0594</t>
  </si>
  <si>
    <t>Bimol Rajbongshe</t>
  </si>
  <si>
    <t>MAD0601</t>
  </si>
  <si>
    <t>MD Mithu Hossain</t>
  </si>
  <si>
    <t>MAD0602</t>
  </si>
  <si>
    <t>MD Rokon Uddin</t>
  </si>
  <si>
    <t>MAD0603</t>
  </si>
  <si>
    <t>MD Al Amin</t>
  </si>
  <si>
    <t>MAD0612</t>
  </si>
  <si>
    <t>MAD0613</t>
  </si>
  <si>
    <t>MAD0618</t>
  </si>
  <si>
    <t>MAD0623</t>
  </si>
  <si>
    <t>Yabuddin</t>
  </si>
  <si>
    <t>MAD0632</t>
  </si>
  <si>
    <t>Nabina Thapa</t>
  </si>
  <si>
    <t>MAD0636</t>
  </si>
  <si>
    <t>MAD0643</t>
  </si>
  <si>
    <t>NAJIR SHEKH</t>
  </si>
  <si>
    <t>MAD0668</t>
  </si>
  <si>
    <t>Arun Kumar Vettikattil</t>
  </si>
  <si>
    <t>MAD0669</t>
  </si>
  <si>
    <t>Shekh Kalamudin</t>
  </si>
  <si>
    <t>MAD0675</t>
  </si>
  <si>
    <t>Salam Shaikh</t>
  </si>
  <si>
    <t>MAD0676</t>
  </si>
  <si>
    <t>Atikur Shaikh</t>
  </si>
  <si>
    <t>MAD0677</t>
  </si>
  <si>
    <t>Abdul Odud Shaikh</t>
  </si>
  <si>
    <t>MAD0678</t>
  </si>
  <si>
    <t>Martha Ranapaheli</t>
  </si>
  <si>
    <t>MAD0680</t>
  </si>
  <si>
    <t>MD Farhad Hossain</t>
  </si>
  <si>
    <t>MAD0681</t>
  </si>
  <si>
    <t>MD Humayun Kobir</t>
  </si>
  <si>
    <t>MAD0682</t>
  </si>
  <si>
    <t>MAD0694</t>
  </si>
  <si>
    <t>Kazam Uddin</t>
  </si>
  <si>
    <t>MAD0696</t>
  </si>
  <si>
    <t>MD Milon Hossain</t>
  </si>
  <si>
    <t>MAD0701</t>
  </si>
  <si>
    <t>MAD0706</t>
  </si>
  <si>
    <t>MD Tufajjl Hosen</t>
  </si>
  <si>
    <t>MAD0713</t>
  </si>
  <si>
    <t>MD Suhel Mia</t>
  </si>
  <si>
    <t>MAD0714</t>
  </si>
  <si>
    <t>Ali Hossain</t>
  </si>
  <si>
    <t>MAD0716</t>
  </si>
  <si>
    <t>MAD0715</t>
  </si>
  <si>
    <t>Manikandan Selvaraj</t>
  </si>
  <si>
    <t>MAD0718</t>
  </si>
  <si>
    <t>Laikuzzaman Leon</t>
  </si>
  <si>
    <t>MAD0719</t>
  </si>
  <si>
    <t>Vigneshwaran kanagaraj</t>
  </si>
  <si>
    <t>MAD0723</t>
  </si>
  <si>
    <t>MD Sobuj Rana</t>
  </si>
  <si>
    <t>FOREIGN JUNIOR STAFFS</t>
  </si>
  <si>
    <t>SICK</t>
  </si>
  <si>
    <t>Biswajit Prasad Sah</t>
  </si>
  <si>
    <t>MAD0644</t>
  </si>
  <si>
    <t>Saswati Kundu Debnath</t>
  </si>
  <si>
    <t>Rinosan Muhamd</t>
  </si>
  <si>
    <t>MD Sahmad</t>
  </si>
  <si>
    <t>Anuj Mishra</t>
  </si>
  <si>
    <t>MD Ahad Gazi</t>
  </si>
  <si>
    <t>Puja Rai</t>
  </si>
  <si>
    <t>Nasir Ali</t>
  </si>
  <si>
    <t>MAD0726</t>
  </si>
  <si>
    <t>MD Tanvir Miah</t>
  </si>
  <si>
    <t>MAD0727</t>
  </si>
  <si>
    <t>MD Imran</t>
  </si>
  <si>
    <t>MAD0728</t>
  </si>
  <si>
    <t>Mushahid Mia</t>
  </si>
  <si>
    <t>MAD0731</t>
  </si>
  <si>
    <t>Nazmul Chowdhury</t>
  </si>
  <si>
    <t>Hasan Miah</t>
  </si>
  <si>
    <t>MAD0596</t>
  </si>
  <si>
    <t>Pls don’t Remove below data</t>
  </si>
  <si>
    <t>Total</t>
  </si>
  <si>
    <t>MAD0407</t>
  </si>
  <si>
    <t>Pratheesh Prasad</t>
  </si>
  <si>
    <t>MAD0733</t>
  </si>
  <si>
    <t>Sabbir Hossain</t>
  </si>
  <si>
    <t>MAD0233</t>
  </si>
  <si>
    <t>MAD0736</t>
  </si>
  <si>
    <t>MAD0737</t>
  </si>
  <si>
    <t>MD Shak Sabik</t>
  </si>
  <si>
    <t>Golam Sarowar Rubel</t>
  </si>
  <si>
    <t>MAD0739</t>
  </si>
  <si>
    <t>MD Sujon</t>
  </si>
  <si>
    <t>MAD0740</t>
  </si>
  <si>
    <t>MD Rayhan Bhuiya</t>
  </si>
  <si>
    <t>MAD0741</t>
  </si>
  <si>
    <t>MAD0742</t>
  </si>
  <si>
    <t>MD Hasana Ali</t>
  </si>
  <si>
    <t>MD Shamim Hoshen</t>
  </si>
  <si>
    <t>MAD0746</t>
  </si>
  <si>
    <t>Phoo Wai Myint</t>
  </si>
  <si>
    <t>MAD0672</t>
  </si>
  <si>
    <t>MAD0748</t>
  </si>
  <si>
    <t>MAD0749</t>
  </si>
  <si>
    <t>Pranav Muraleedharannair</t>
  </si>
  <si>
    <t>RamPrasath Ravipugal</t>
  </si>
  <si>
    <t>MAD0755</t>
  </si>
  <si>
    <t>Imran Hossian</t>
  </si>
  <si>
    <t>MAD0757</t>
  </si>
  <si>
    <t>MAD0758</t>
  </si>
  <si>
    <t>MAD0756</t>
  </si>
  <si>
    <t>MAD0759</t>
  </si>
  <si>
    <t>Shihub Mahmud</t>
  </si>
  <si>
    <t>MD Hasan Al Mamun</t>
  </si>
  <si>
    <t>MD Muktar Ali</t>
  </si>
  <si>
    <t>Vishnulal Jayalal</t>
  </si>
  <si>
    <t>Enamul Hoque</t>
  </si>
  <si>
    <t>MD Manik Hossain</t>
  </si>
  <si>
    <t>Adnan Abdul Majeed</t>
  </si>
  <si>
    <t>Thirugnanam Maruthai</t>
  </si>
  <si>
    <t>Mohammad Ajmal</t>
  </si>
  <si>
    <t>Raju Ahmed</t>
  </si>
  <si>
    <t>MD Naim Sarder</t>
  </si>
  <si>
    <t>MD Nahim Gazi</t>
  </si>
  <si>
    <t>MAD0762</t>
  </si>
  <si>
    <t>Tribhuwan Bhandari</t>
  </si>
  <si>
    <t>MAD0763</t>
  </si>
  <si>
    <t>Muneswari Sandrapalli</t>
  </si>
  <si>
    <t xml:space="preserve">Mohamed Aiyash Mohamed </t>
  </si>
  <si>
    <t>MAD0767</t>
  </si>
  <si>
    <t>Solaiappan Gurusamy</t>
  </si>
  <si>
    <t xml:space="preserve">Shahinur Alam </t>
  </si>
  <si>
    <t>MAD0769</t>
  </si>
  <si>
    <t>Prashanth Babu</t>
  </si>
  <si>
    <t>Mohammed Kalifa</t>
  </si>
  <si>
    <t xml:space="preserve">Used Leave Totals (Running Year, up to end of this month - June 2026) </t>
  </si>
  <si>
    <t>Attendance for JULY 2026  - MALE SENIOR FOREIGN STAFFS</t>
  </si>
  <si>
    <t>Attendance for JULY 2026   - MALE JUNIOR FOREIGN STAFFS</t>
  </si>
  <si>
    <t>MAD0396</t>
  </si>
  <si>
    <t xml:space="preserve"> ATTENDANCE FOR SALARY AND OTHER ALLOWANCE SETTLEMENT-JULY 2026-MALE SENIOR FOREIGN STAFF</t>
  </si>
  <si>
    <t>FOOD ALLOWANCE</t>
  </si>
  <si>
    <t>5DAYS</t>
  </si>
  <si>
    <t>(16-20'JULY)</t>
  </si>
  <si>
    <t xml:space="preserve"> 8:26</t>
  </si>
  <si>
    <t>Masjid</t>
  </si>
  <si>
    <t>MAD0773</t>
  </si>
  <si>
    <t>MAD0774</t>
  </si>
  <si>
    <t>MD Rakib Mia</t>
  </si>
  <si>
    <t>Abu Sufian Rakib</t>
  </si>
  <si>
    <t>Nabina Sarki</t>
  </si>
  <si>
    <t>D.O.J - 20-07-2026</t>
  </si>
  <si>
    <t>D.O.J - 25-07-2026</t>
  </si>
  <si>
    <t>D.O.J - 30-07-2026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</si>
</sst>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&quot;$&quot;#,##0.00"/>
  </numFmts>
  <fonts count="3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0"/>
      <color theme="1"/>
      <name val="Arial Black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Segoe UI"/>
      <family val="2"/>
    </font>
    <font>
      <b/>
      <sz val="12"/>
      <color theme="1"/>
      <name val="Segoe UI"/>
      <family val="2"/>
    </font>
    <font>
      <sz val="8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Segoe UI"/>
      <family val="2"/>
    </font>
    <font>
      <b/>
      <sz val="9"/>
      <color theme="1"/>
      <name val="Calibri"/>
      <family val="2"/>
      <scheme val="minor"/>
    </font>
    <font>
      <sz val="10"/>
      <name val="Segoe UI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u/>
      <sz val="14"/>
      <color rgb="FFFF0000"/>
      <name val="Calibri"/>
      <family val="2"/>
      <scheme val="minor"/>
    </font>
    <font>
      <sz val="9.9"/>
      <color theme="1"/>
      <name val="Arial"/>
      <family val="2"/>
    </font>
    <font>
      <b/>
      <sz val="9.9"/>
      <color theme="1"/>
      <name val="Arial"/>
      <family val="2"/>
    </font>
    <font>
      <sz val="8"/>
      <color theme="1"/>
      <name val="Segoe UI"/>
      <family val="2"/>
    </font>
    <font>
      <sz val="9.9"/>
      <name val="Arial"/>
      <family val="2"/>
    </font>
    <font>
      <b/>
      <sz val="9.9"/>
      <name val="Arial"/>
      <family val="2"/>
    </font>
    <font>
      <sz val="9"/>
      <name val="Segoe UI"/>
      <family val="2"/>
    </font>
    <font>
      <sz val="9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9"/>
      <color theme="1"/>
      <name val="Calibri Light"/>
      <family val="2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5" fillId="0" borderId="0"/>
  </cellStyleXfs>
  <cellXfs count="222">
    <xf numFmtId="0" fontId="0" fillId="0" borderId="0" xfId="0"/>
    <xf numFmtId="1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1" fontId="7" fillId="3" borderId="3" xfId="0" applyNumberFormat="1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1" fontId="7" fillId="5" borderId="5" xfId="0" applyNumberFormat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/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5" fillId="0" borderId="0" xfId="0" applyFont="1"/>
    <xf numFmtId="164" fontId="16" fillId="0" borderId="0" xfId="0" applyNumberFormat="1" applyFont="1" applyAlignment="1">
      <alignment horizontal="center" vertical="center"/>
    </xf>
    <xf numFmtId="164" fontId="15" fillId="0" borderId="0" xfId="0" applyNumberFormat="1" applyFont="1" applyAlignment="1">
      <alignment horizontal="center" vertical="center" wrapText="1"/>
    </xf>
    <xf numFmtId="164" fontId="17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6" fillId="0" borderId="0" xfId="0" applyFont="1"/>
    <xf numFmtId="0" fontId="15" fillId="0" borderId="0" xfId="0" applyFont="1" applyAlignment="1">
      <alignment vertical="center"/>
    </xf>
    <xf numFmtId="0" fontId="19" fillId="0" borderId="0" xfId="0" applyFont="1"/>
    <xf numFmtId="164" fontId="15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 wrapText="1"/>
    </xf>
    <xf numFmtId="0" fontId="21" fillId="6" borderId="0" xfId="0" applyFont="1" applyFill="1" applyAlignment="1">
      <alignment vertical="center"/>
    </xf>
    <xf numFmtId="0" fontId="21" fillId="6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1" fillId="7" borderId="0" xfId="0" applyFont="1" applyFill="1" applyAlignment="1">
      <alignment vertical="center"/>
    </xf>
    <xf numFmtId="0" fontId="21" fillId="7" borderId="0" xfId="0" applyFont="1" applyFill="1" applyAlignment="1">
      <alignment horizontal="left" vertical="center"/>
    </xf>
    <xf numFmtId="0" fontId="13" fillId="7" borderId="0" xfId="0" applyFont="1" applyFill="1"/>
    <xf numFmtId="0" fontId="22" fillId="0" borderId="0" xfId="0" applyFont="1" applyAlignment="1">
      <alignment vertical="center"/>
    </xf>
    <xf numFmtId="49" fontId="21" fillId="7" borderId="0" xfId="0" applyNumberFormat="1" applyFont="1" applyFill="1" applyAlignment="1">
      <alignment vertical="center"/>
    </xf>
    <xf numFmtId="49" fontId="21" fillId="7" borderId="0" xfId="0" applyNumberFormat="1" applyFont="1" applyFill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9" borderId="12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0" fillId="4" borderId="0" xfId="0" applyFill="1" applyAlignment="1">
      <alignment vertical="center"/>
    </xf>
    <xf numFmtId="1" fontId="7" fillId="3" borderId="7" xfId="0" applyNumberFormat="1" applyFont="1" applyFill="1" applyBorder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20" fontId="27" fillId="4" borderId="3" xfId="0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left" vertical="center" wrapText="1"/>
    </xf>
    <xf numFmtId="0" fontId="0" fillId="4" borderId="0" xfId="0" applyFill="1"/>
    <xf numFmtId="20" fontId="30" fillId="4" borderId="3" xfId="0" applyNumberFormat="1" applyFont="1" applyFill="1" applyBorder="1" applyAlignment="1">
      <alignment horizontal="center" vertical="center" wrapText="1"/>
    </xf>
    <xf numFmtId="20" fontId="27" fillId="4" borderId="1" xfId="0" applyNumberFormat="1" applyFont="1" applyFill="1" applyBorder="1" applyAlignment="1">
      <alignment horizontal="center" vertical="center" wrapText="1"/>
    </xf>
    <xf numFmtId="0" fontId="30" fillId="4" borderId="3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1" fontId="9" fillId="4" borderId="1" xfId="0" applyNumberFormat="1" applyFont="1" applyFill="1" applyBorder="1" applyAlignment="1">
      <alignment horizontal="left" vertical="center"/>
    </xf>
    <xf numFmtId="0" fontId="23" fillId="4" borderId="1" xfId="1" applyFont="1" applyFill="1" applyBorder="1" applyAlignment="1">
      <alignment horizontal="left" vertical="center" wrapText="1"/>
    </xf>
    <xf numFmtId="0" fontId="23" fillId="4" borderId="1" xfId="0" applyFont="1" applyFill="1" applyBorder="1" applyAlignment="1">
      <alignment horizontal="left" vertical="center" wrapText="1"/>
    </xf>
    <xf numFmtId="0" fontId="0" fillId="4" borderId="9" xfId="0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5" fontId="0" fillId="0" borderId="8" xfId="0" applyNumberFormat="1" applyBorder="1" applyAlignment="1">
      <alignment horizontal="center" vertical="center"/>
    </xf>
    <xf numFmtId="20" fontId="27" fillId="0" borderId="3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20" fontId="30" fillId="0" borderId="3" xfId="0" applyNumberFormat="1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 wrapText="1"/>
    </xf>
    <xf numFmtId="20" fontId="31" fillId="0" borderId="3" xfId="0" applyNumberFormat="1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20" fontId="31" fillId="4" borderId="3" xfId="0" applyNumberFormat="1" applyFont="1" applyFill="1" applyBorder="1" applyAlignment="1">
      <alignment horizontal="center" vertical="center" wrapText="1"/>
    </xf>
    <xf numFmtId="0" fontId="31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1" fontId="9" fillId="4" borderId="3" xfId="0" applyNumberFormat="1" applyFont="1" applyFill="1" applyBorder="1" applyAlignment="1">
      <alignment horizontal="center" vertical="center"/>
    </xf>
    <xf numFmtId="15" fontId="0" fillId="4" borderId="8" xfId="0" applyNumberFormat="1" applyFill="1" applyBorder="1" applyAlignment="1">
      <alignment horizontal="center" vertical="center"/>
    </xf>
    <xf numFmtId="1" fontId="7" fillId="5" borderId="3" xfId="0" applyNumberFormat="1" applyFont="1" applyFill="1" applyBorder="1" applyAlignment="1">
      <alignment horizontal="center" vertical="center"/>
    </xf>
    <xf numFmtId="20" fontId="28" fillId="4" borderId="3" xfId="0" applyNumberFormat="1" applyFont="1" applyFill="1" applyBorder="1" applyAlignment="1">
      <alignment horizontal="center" vertical="center" wrapText="1"/>
    </xf>
    <xf numFmtId="0" fontId="28" fillId="4" borderId="3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20" fontId="28" fillId="4" borderId="1" xfId="0" applyNumberFormat="1" applyFont="1" applyFill="1" applyBorder="1" applyAlignment="1">
      <alignment horizontal="center" vertical="center" wrapText="1"/>
    </xf>
    <xf numFmtId="15" fontId="8" fillId="2" borderId="3" xfId="0" applyNumberFormat="1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0" fillId="4" borderId="0" xfId="0" applyNumberFormat="1" applyFont="1" applyFill="1" applyAlignment="1">
      <alignment horizontal="center" vertical="center" wrapText="1"/>
    </xf>
    <xf numFmtId="0" fontId="27" fillId="4" borderId="0" xfId="0" applyFont="1" applyFill="1" applyAlignment="1">
      <alignment horizontal="center" vertical="center" wrapText="1"/>
    </xf>
    <xf numFmtId="20" fontId="10" fillId="4" borderId="0" xfId="0" applyNumberFormat="1" applyFont="1" applyFill="1" applyAlignment="1">
      <alignment horizontal="center" vertical="center" wrapText="1"/>
    </xf>
    <xf numFmtId="0" fontId="30" fillId="4" borderId="1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5" fontId="8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20" fontId="27" fillId="4" borderId="0" xfId="0" applyNumberFormat="1" applyFont="1" applyFill="1" applyAlignment="1">
      <alignment horizontal="center" vertical="center" wrapText="1"/>
    </xf>
    <xf numFmtId="0" fontId="30" fillId="4" borderId="0" xfId="0" applyFont="1" applyFill="1" applyAlignment="1">
      <alignment horizontal="center" vertical="center" wrapText="1"/>
    </xf>
    <xf numFmtId="20" fontId="30" fillId="4" borderId="1" xfId="0" applyNumberFormat="1" applyFont="1" applyFill="1" applyBorder="1" applyAlignment="1">
      <alignment horizontal="center" vertical="center" wrapText="1"/>
    </xf>
    <xf numFmtId="20" fontId="10" fillId="4" borderId="1" xfId="0" applyNumberFormat="1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31" fillId="4" borderId="0" xfId="0" applyFont="1" applyFill="1" applyAlignment="1">
      <alignment horizontal="center" vertical="center" wrapText="1"/>
    </xf>
    <xf numFmtId="0" fontId="24" fillId="10" borderId="3" xfId="0" applyFont="1" applyFill="1" applyBorder="1" applyAlignment="1">
      <alignment horizontal="center" vertical="center"/>
    </xf>
    <xf numFmtId="0" fontId="24" fillId="10" borderId="5" xfId="0" applyFont="1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4" fillId="10" borderId="4" xfId="0" applyFont="1" applyFill="1" applyBorder="1" applyAlignment="1">
      <alignment horizontal="center" vertical="center"/>
    </xf>
    <xf numFmtId="0" fontId="24" fillId="10" borderId="10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1" fillId="0" borderId="3" xfId="0" applyFont="1" applyBorder="1" applyAlignment="1">
      <alignment horizontal="center" vertical="center" wrapText="1"/>
    </xf>
    <xf numFmtId="20" fontId="30" fillId="4" borderId="5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33" fillId="0" borderId="3" xfId="0" applyNumberFormat="1" applyFon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164" fontId="32" fillId="0" borderId="3" xfId="0" applyNumberFormat="1" applyFont="1" applyBorder="1" applyAlignment="1">
      <alignment horizontal="center" vertical="center" wrapText="1"/>
    </xf>
    <xf numFmtId="164" fontId="0" fillId="4" borderId="3" xfId="0" applyNumberFormat="1" applyFill="1" applyBorder="1" applyAlignment="1">
      <alignment horizontal="center" vertical="center"/>
    </xf>
    <xf numFmtId="164" fontId="32" fillId="0" borderId="3" xfId="0" applyNumberFormat="1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 wrapText="1"/>
    </xf>
    <xf numFmtId="15" fontId="0" fillId="0" borderId="15" xfId="0" applyNumberFormat="1" applyBorder="1" applyAlignment="1">
      <alignment horizontal="center" vertical="center"/>
    </xf>
    <xf numFmtId="20" fontId="34" fillId="4" borderId="3" xfId="0" applyNumberFormat="1" applyFont="1" applyFill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20" fontId="34" fillId="4" borderId="1" xfId="0" applyNumberFormat="1" applyFont="1" applyFill="1" applyBorder="1" applyAlignment="1">
      <alignment horizontal="center" vertical="center" wrapText="1"/>
    </xf>
    <xf numFmtId="20" fontId="36" fillId="4" borderId="3" xfId="0" applyNumberFormat="1" applyFont="1" applyFill="1" applyBorder="1" applyAlignment="1">
      <alignment horizontal="center" vertical="center" wrapText="1"/>
    </xf>
    <xf numFmtId="0" fontId="34" fillId="4" borderId="3" xfId="0" applyFont="1" applyFill="1" applyBorder="1" applyAlignment="1">
      <alignment horizontal="center" vertical="center" wrapText="1"/>
    </xf>
    <xf numFmtId="20" fontId="37" fillId="4" borderId="3" xfId="0" applyNumberFormat="1" applyFont="1" applyFill="1" applyBorder="1" applyAlignment="1">
      <alignment horizontal="center" vertical="center" wrapText="1"/>
    </xf>
    <xf numFmtId="0" fontId="37" fillId="4" borderId="3" xfId="0" applyFont="1" applyFill="1" applyBorder="1" applyAlignment="1">
      <alignment horizontal="center" vertical="center" wrapText="1"/>
    </xf>
    <xf numFmtId="0" fontId="34" fillId="4" borderId="1" xfId="0" applyFont="1" applyFill="1" applyBorder="1" applyAlignment="1">
      <alignment horizontal="center" vertical="center" wrapText="1"/>
    </xf>
    <xf numFmtId="20" fontId="35" fillId="4" borderId="3" xfId="0" applyNumberFormat="1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 wrapText="1"/>
    </xf>
    <xf numFmtId="0" fontId="36" fillId="0" borderId="3" xfId="0" applyFont="1" applyBorder="1" applyAlignment="1">
      <alignment horizontal="center" vertical="center" wrapText="1"/>
    </xf>
    <xf numFmtId="0" fontId="36" fillId="4" borderId="3" xfId="0" applyFont="1" applyFill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/>
    </xf>
    <xf numFmtId="20" fontId="34" fillId="0" borderId="3" xfId="0" applyNumberFormat="1" applyFont="1" applyBorder="1" applyAlignment="1">
      <alignment horizontal="center" vertical="center" wrapText="1"/>
    </xf>
    <xf numFmtId="0" fontId="35" fillId="4" borderId="3" xfId="0" applyFont="1" applyFill="1" applyBorder="1" applyAlignment="1">
      <alignment horizontal="center" vertical="center" wrapText="1"/>
    </xf>
    <xf numFmtId="15" fontId="0" fillId="0" borderId="0" xfId="0" applyNumberFormat="1" applyAlignment="1">
      <alignment horizontal="center" vertical="center"/>
    </xf>
    <xf numFmtId="164" fontId="0" fillId="8" borderId="3" xfId="0" applyNumberFormat="1" applyFill="1" applyBorder="1" applyAlignment="1">
      <alignment horizontal="center" vertical="center"/>
    </xf>
    <xf numFmtId="3" fontId="32" fillId="0" borderId="3" xfId="0" applyNumberFormat="1" applyFont="1" applyBorder="1" applyAlignment="1">
      <alignment horizontal="center" vertical="center" wrapText="1"/>
    </xf>
    <xf numFmtId="165" fontId="0" fillId="12" borderId="3" xfId="0" applyNumberFormat="1" applyFill="1" applyBorder="1" applyAlignment="1">
      <alignment horizontal="center" vertical="center"/>
    </xf>
    <xf numFmtId="165" fontId="0" fillId="11" borderId="3" xfId="0" applyNumberForma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 wrapText="1"/>
    </xf>
    <xf numFmtId="0" fontId="38" fillId="0" borderId="3" xfId="0" applyFont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165" fontId="0" fillId="0" borderId="3" xfId="0" applyNumberFormat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1" fontId="9" fillId="0" borderId="1" xfId="0" applyNumberFormat="1" applyFont="1" applyBorder="1" applyAlignment="1">
      <alignment horizontal="left" vertical="center"/>
    </xf>
    <xf numFmtId="0" fontId="23" fillId="0" borderId="1" xfId="1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20" fontId="27" fillId="4" borderId="1" xfId="0" applyNumberFormat="1" applyFont="1" applyFill="1" applyBorder="1" applyAlignment="1">
      <alignment horizontal="center" vertical="center" wrapText="1"/>
    </xf>
    <xf numFmtId="20" fontId="27" fillId="4" borderId="2" xfId="0" applyNumberFormat="1" applyFont="1" applyFill="1" applyBorder="1" applyAlignment="1">
      <alignment horizontal="center" vertical="center" wrapText="1"/>
    </xf>
    <xf numFmtId="20" fontId="27" fillId="4" borderId="5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5" fontId="8" fillId="2" borderId="3" xfId="0" applyNumberFormat="1" applyFont="1" applyFill="1" applyBorder="1" applyAlignment="1">
      <alignment horizontal="center" vertical="center"/>
    </xf>
    <xf numFmtId="15" fontId="8" fillId="2" borderId="1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textRotation="90" wrapText="1"/>
    </xf>
    <xf numFmtId="0" fontId="5" fillId="0" borderId="3" xfId="0" applyFont="1" applyBorder="1" applyAlignment="1">
      <alignment horizontal="center" vertical="center" textRotation="90" wrapText="1"/>
    </xf>
    <xf numFmtId="0" fontId="6" fillId="3" borderId="4" xfId="0" applyFont="1" applyFill="1" applyBorder="1" applyAlignment="1">
      <alignment horizontal="center" vertical="center" textRotation="90" wrapText="1"/>
    </xf>
    <xf numFmtId="0" fontId="6" fillId="3" borderId="6" xfId="0" applyFont="1" applyFill="1" applyBorder="1" applyAlignment="1">
      <alignment horizontal="center" vertical="center" textRotation="90" wrapText="1"/>
    </xf>
    <xf numFmtId="0" fontId="6" fillId="3" borderId="7" xfId="0" applyFont="1" applyFill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6" fillId="8" borderId="0" xfId="0" applyFont="1" applyFill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textRotation="90" wrapText="1"/>
    </xf>
    <xf numFmtId="0" fontId="5" fillId="0" borderId="4" xfId="0" applyFont="1" applyBorder="1" applyAlignment="1">
      <alignment horizontal="center" vertical="center" textRotation="90" wrapText="1"/>
    </xf>
    <xf numFmtId="0" fontId="5" fillId="0" borderId="6" xfId="0" applyFont="1" applyBorder="1" applyAlignment="1">
      <alignment horizontal="center" vertical="center" textRotation="90" wrapText="1"/>
    </xf>
    <xf numFmtId="0" fontId="5" fillId="0" borderId="7" xfId="0" applyFont="1" applyBorder="1" applyAlignment="1">
      <alignment horizontal="center" vertical="center" textRotation="90" wrapText="1"/>
    </xf>
    <xf numFmtId="0" fontId="4" fillId="2" borderId="9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</cellXfs>
  <cellStyles count="2">
    <cellStyle name="Normal" xfId="0" builtinId="0"/>
    <cellStyle name="Normal 2" xfId="1" xr:uid="{A4EC3061-B914-4480-9893-F99140BDDDFD}"/>
  </cellStyles>
  <dxfs count="2195"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309D74-53D8-451C-BBF6-C79A1162CA3E}" name="Table1" displayName="Table1" ref="CG4:CQ29" totalsRowShown="0" headerRowDxfId="2194" dataDxfId="2192" headerRowBorderDxfId="2193" tableBorderDxfId="2191" totalsRowBorderDxfId="2190">
  <autoFilter ref="CG4:CQ29" xr:uid="{C5309D74-53D8-451C-BBF6-C79A1162CA3E}"/>
  <tableColumns count="11">
    <tableColumn id="1" xr3:uid="{77A0E13E-5799-4C51-9B9D-764F7EC3B2A2}" name="MC" dataDxfId="2189"/>
    <tableColumn id="2" xr3:uid="{EB5D1FE6-2099-48DC-843A-922345D1799C}" name="EL" dataDxfId="2188"/>
    <tableColumn id="3" xr3:uid="{273122D7-D3D7-4F6A-9E6D-E93DF2DF0B27}" name="AL" dataDxfId="2187"/>
    <tableColumn id="4" xr3:uid="{B7AA7E3F-797D-4E59-ABF4-A10DED797705}" name="SUS" dataDxfId="2186"/>
    <tableColumn id="5" xr3:uid="{FF39316F-7211-4A90-81FC-66B156DA3370}" name="FL" dataDxfId="2185"/>
    <tableColumn id="6" xr3:uid="{C1AC8A82-6AED-43E8-BC9E-B08DBA59F3CB}" name="S" dataDxfId="2184"/>
    <tableColumn id="7" xr3:uid="{9F1B4AC5-FE14-4372-9A6B-3C39BF751A75}" name="HD" dataDxfId="2183"/>
    <tableColumn id="8" xr3:uid="{C1782C61-8577-4048-80AA-855C84FC8A55}" name="AB" dataDxfId="2182"/>
    <tableColumn id="9" xr3:uid="{06E98CE2-1D98-4581-9F55-176721D2D094}" name="NL" dataDxfId="2181"/>
    <tableColumn id="10" xr3:uid="{AD8D1379-4ABC-49D0-8269-2F105F33CF9F}" name="SP" dataDxfId="2180"/>
    <tableColumn id="11" xr3:uid="{578C8149-ECDB-4F46-B84E-C814E33BCF50}" name="Total" dataDxfId="217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14E799-2C4B-427D-8099-2D700D8524DB}" name="Table13" displayName="Table13" ref="BK4:BU5" totalsRowShown="0" headerRowDxfId="2178" dataDxfId="2176" headerRowBorderDxfId="2177" tableBorderDxfId="2175" totalsRowBorderDxfId="2174">
  <autoFilter ref="BK4:BU5" xr:uid="{C5309D74-53D8-451C-BBF6-C79A1162CA3E}"/>
  <tableColumns count="11">
    <tableColumn id="1" xr3:uid="{573CCF43-82DF-470D-BF19-4207A7A44B45}" name="MC" dataDxfId="2173"/>
    <tableColumn id="2" xr3:uid="{9685CA67-4B52-41C2-9AFA-87203493122B}" name="EL" dataDxfId="2172"/>
    <tableColumn id="3" xr3:uid="{3FCF6B3D-0E58-4665-BE5A-3DC9BCCC8B54}" name="AL" dataDxfId="2171"/>
    <tableColumn id="4" xr3:uid="{878D4560-C515-4D8D-AF86-BA2BDEC4B27D}" name="SUS" dataDxfId="2170"/>
    <tableColumn id="5" xr3:uid="{076B7FEF-6E4F-42E3-83CD-64AE3D01B4DC}" name="FL" dataDxfId="2169"/>
    <tableColumn id="6" xr3:uid="{E004751A-AF00-47E7-A444-B82755F2EAA1}" name="S" dataDxfId="2168"/>
    <tableColumn id="7" xr3:uid="{094955D3-FAB0-4EE9-8670-92692FC7B79B}" name="HD" dataDxfId="2167"/>
    <tableColumn id="8" xr3:uid="{F1276892-EAD7-4FF7-96C2-382821E86507}" name="AB" dataDxfId="2166"/>
    <tableColumn id="9" xr3:uid="{98887C77-A759-410D-849D-5EB548CF1E52}" name="NL" dataDxfId="2165"/>
    <tableColumn id="10" xr3:uid="{8EEC063F-14E0-4845-970E-AF67F88DBD1C}" name="SP" dataDxfId="2164"/>
    <tableColumn id="11" xr3:uid="{DB20B5F7-3891-4624-AD14-DC0C5D9DED7D}" name="Total" dataDxfId="216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8E39F-17DB-4701-914B-A818E8D02BA0}">
  <sheetPr>
    <pageSetUpPr fitToPage="1"/>
  </sheetPr>
  <dimension ref="A1:CQ155"/>
  <sheetViews>
    <sheetView zoomScale="85" zoomScaleNormal="85" workbookViewId="0">
      <pane xSplit="4" ySplit="4" topLeftCell="BJ102" activePane="bottomRight" state="frozen"/>
      <selection pane="topRight" activeCell="E1" sqref="E1"/>
      <selection pane="bottomLeft" activeCell="A5" sqref="A5"/>
      <selection pane="bottomRight" activeCell="C136" sqref="C136"/>
    </sheetView>
  </sheetViews>
  <sheetFormatPr defaultRowHeight="15" x14ac:dyDescent="0.25"/>
  <cols>
    <col min="1" max="1" width="5.140625" style="46" customWidth="1"/>
    <col min="2" max="2" width="12" style="15" customWidth="1"/>
    <col min="3" max="3" width="30.28515625" style="177" bestFit="1" customWidth="1"/>
    <col min="4" max="4" width="0.85546875" hidden="1" customWidth="1"/>
    <col min="5" max="34" width="6.5703125" customWidth="1"/>
    <col min="35" max="35" width="5" style="73" customWidth="1"/>
    <col min="36" max="36" width="5.140625" style="58" customWidth="1"/>
    <col min="37" max="68" width="6.5703125" customWidth="1"/>
    <col min="69" max="69" width="5.85546875" style="15" customWidth="1"/>
    <col min="70" max="70" width="5" customWidth="1"/>
    <col min="71" max="82" width="6" customWidth="1"/>
    <col min="83" max="83" width="17.85546875" style="16" customWidth="1"/>
    <col min="85" max="95" width="6" customWidth="1"/>
  </cols>
  <sheetData>
    <row r="1" spans="1:95" ht="25.5" customHeight="1" x14ac:dyDescent="0.25">
      <c r="A1" s="198" t="s">
        <v>250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200"/>
      <c r="AI1" s="110"/>
      <c r="AJ1" s="216" t="s">
        <v>250</v>
      </c>
      <c r="AK1" s="216"/>
      <c r="AL1" s="216"/>
      <c r="AM1" s="216"/>
      <c r="AN1" s="216"/>
      <c r="AO1" s="216"/>
      <c r="AP1" s="216"/>
      <c r="AQ1" s="216"/>
      <c r="AR1" s="216"/>
      <c r="AS1" s="216"/>
      <c r="AT1" s="216"/>
      <c r="AU1" s="216"/>
      <c r="AV1" s="216"/>
      <c r="AW1" s="216"/>
      <c r="AX1" s="216"/>
      <c r="AY1" s="216"/>
      <c r="AZ1" s="216"/>
      <c r="BA1" s="216"/>
      <c r="BB1" s="216"/>
      <c r="BC1" s="216"/>
      <c r="BD1" s="216"/>
      <c r="BE1" s="216"/>
      <c r="BF1" s="216"/>
      <c r="BG1" s="216"/>
      <c r="BH1" s="216"/>
      <c r="BI1" s="216"/>
      <c r="BJ1" s="216"/>
      <c r="BK1" s="216"/>
      <c r="BL1" s="216"/>
      <c r="BM1" s="216"/>
      <c r="BN1" s="216"/>
      <c r="BO1" s="216"/>
      <c r="BP1" s="216"/>
      <c r="BQ1" s="216"/>
      <c r="BR1" s="216"/>
      <c r="BS1" s="216"/>
      <c r="BT1" s="216"/>
      <c r="BU1" s="216"/>
      <c r="BV1" s="216"/>
      <c r="BW1" s="216"/>
      <c r="BX1" s="216"/>
      <c r="BY1" s="216"/>
      <c r="BZ1" s="216"/>
      <c r="CA1" s="216"/>
      <c r="CB1" s="216"/>
      <c r="CC1" s="216"/>
      <c r="CD1" s="216"/>
      <c r="CE1" s="216"/>
    </row>
    <row r="2" spans="1:95" ht="22.5" customHeight="1" x14ac:dyDescent="0.25">
      <c r="A2" s="201" t="s">
        <v>0</v>
      </c>
      <c r="B2" s="201"/>
      <c r="C2" s="201"/>
      <c r="D2" s="84"/>
      <c r="E2" s="190" t="s">
        <v>1</v>
      </c>
      <c r="F2" s="190"/>
      <c r="G2" s="190" t="s">
        <v>2</v>
      </c>
      <c r="H2" s="190"/>
      <c r="I2" s="190" t="s">
        <v>3</v>
      </c>
      <c r="J2" s="190"/>
      <c r="K2" s="190" t="s">
        <v>4</v>
      </c>
      <c r="L2" s="190"/>
      <c r="M2" s="190" t="s">
        <v>5</v>
      </c>
      <c r="N2" s="190"/>
      <c r="O2" s="190" t="s">
        <v>6</v>
      </c>
      <c r="P2" s="190"/>
      <c r="Q2" s="190" t="s">
        <v>7</v>
      </c>
      <c r="R2" s="190"/>
      <c r="S2" s="190" t="s">
        <v>1</v>
      </c>
      <c r="T2" s="190"/>
      <c r="U2" s="190" t="s">
        <v>2</v>
      </c>
      <c r="V2" s="190"/>
      <c r="W2" s="190" t="s">
        <v>3</v>
      </c>
      <c r="X2" s="190"/>
      <c r="Y2" s="190" t="s">
        <v>4</v>
      </c>
      <c r="Z2" s="190"/>
      <c r="AA2" s="190" t="s">
        <v>5</v>
      </c>
      <c r="AB2" s="190"/>
      <c r="AC2" s="190" t="s">
        <v>6</v>
      </c>
      <c r="AD2" s="190"/>
      <c r="AE2" s="190" t="s">
        <v>7</v>
      </c>
      <c r="AF2" s="190"/>
      <c r="AG2" s="190" t="s">
        <v>1</v>
      </c>
      <c r="AH2" s="190"/>
      <c r="AI2" s="111"/>
      <c r="AJ2" s="217"/>
      <c r="AK2" s="190" t="s">
        <v>2</v>
      </c>
      <c r="AL2" s="191"/>
      <c r="AM2" s="190" t="s">
        <v>3</v>
      </c>
      <c r="AN2" s="191"/>
      <c r="AO2" s="190" t="s">
        <v>4</v>
      </c>
      <c r="AP2" s="191"/>
      <c r="AQ2" s="190" t="s">
        <v>5</v>
      </c>
      <c r="AR2" s="191"/>
      <c r="AS2" s="190" t="s">
        <v>6</v>
      </c>
      <c r="AT2" s="191"/>
      <c r="AU2" s="190" t="s">
        <v>7</v>
      </c>
      <c r="AV2" s="191"/>
      <c r="AW2" s="190" t="s">
        <v>1</v>
      </c>
      <c r="AX2" s="191"/>
      <c r="AY2" s="190" t="s">
        <v>2</v>
      </c>
      <c r="AZ2" s="191"/>
      <c r="BA2" s="190" t="s">
        <v>3</v>
      </c>
      <c r="BB2" s="191"/>
      <c r="BC2" s="190" t="s">
        <v>4</v>
      </c>
      <c r="BD2" s="191"/>
      <c r="BE2" s="190" t="s">
        <v>5</v>
      </c>
      <c r="BF2" s="191"/>
      <c r="BG2" s="190" t="s">
        <v>6</v>
      </c>
      <c r="BH2" s="191"/>
      <c r="BI2" s="190" t="s">
        <v>7</v>
      </c>
      <c r="BJ2" s="191"/>
      <c r="BK2" s="190" t="s">
        <v>1</v>
      </c>
      <c r="BL2" s="191"/>
      <c r="BM2" s="190" t="s">
        <v>2</v>
      </c>
      <c r="BN2" s="191"/>
      <c r="BO2" s="190" t="s">
        <v>3</v>
      </c>
      <c r="BP2" s="191"/>
      <c r="BQ2" s="195" t="s">
        <v>8</v>
      </c>
      <c r="BR2" s="207" t="s">
        <v>9</v>
      </c>
      <c r="BS2" s="219"/>
      <c r="BT2" s="220"/>
      <c r="BU2" s="220"/>
      <c r="BV2" s="220"/>
      <c r="BW2" s="220"/>
      <c r="BX2" s="220"/>
      <c r="BY2" s="220"/>
      <c r="BZ2" s="220"/>
      <c r="CA2" s="220"/>
      <c r="CB2" s="220"/>
      <c r="CC2" s="220"/>
      <c r="CD2" s="220"/>
      <c r="CE2" s="221"/>
      <c r="CG2" s="202" t="s">
        <v>194</v>
      </c>
      <c r="CH2" s="202"/>
      <c r="CI2" s="202"/>
      <c r="CJ2" s="202"/>
      <c r="CK2" s="202"/>
      <c r="CL2" s="202"/>
      <c r="CM2" s="202"/>
      <c r="CN2" s="202"/>
      <c r="CO2" s="202"/>
      <c r="CP2" s="202"/>
      <c r="CQ2" s="47"/>
    </row>
    <row r="3" spans="1:95" ht="22.5" customHeight="1" x14ac:dyDescent="0.25">
      <c r="A3" s="201"/>
      <c r="B3" s="201"/>
      <c r="C3" s="201"/>
      <c r="D3" s="84"/>
      <c r="E3" s="188">
        <v>46204</v>
      </c>
      <c r="F3" s="188"/>
      <c r="G3" s="188">
        <v>46205</v>
      </c>
      <c r="H3" s="188"/>
      <c r="I3" s="188">
        <v>46206</v>
      </c>
      <c r="J3" s="188"/>
      <c r="K3" s="188">
        <v>46207</v>
      </c>
      <c r="L3" s="188"/>
      <c r="M3" s="188">
        <v>46208</v>
      </c>
      <c r="N3" s="188"/>
      <c r="O3" s="188">
        <v>46209</v>
      </c>
      <c r="P3" s="188"/>
      <c r="Q3" s="188">
        <v>46210</v>
      </c>
      <c r="R3" s="188"/>
      <c r="S3" s="188">
        <v>46211</v>
      </c>
      <c r="T3" s="188"/>
      <c r="U3" s="188">
        <v>46212</v>
      </c>
      <c r="V3" s="188"/>
      <c r="W3" s="188">
        <v>46213</v>
      </c>
      <c r="X3" s="188"/>
      <c r="Y3" s="188">
        <v>46214</v>
      </c>
      <c r="Z3" s="188"/>
      <c r="AA3" s="188">
        <v>46215</v>
      </c>
      <c r="AB3" s="188"/>
      <c r="AC3" s="188">
        <v>46216</v>
      </c>
      <c r="AD3" s="188"/>
      <c r="AE3" s="188">
        <v>46217</v>
      </c>
      <c r="AF3" s="188"/>
      <c r="AG3" s="188">
        <v>46218</v>
      </c>
      <c r="AH3" s="188"/>
      <c r="AI3" s="112"/>
      <c r="AJ3" s="217"/>
      <c r="AK3" s="188">
        <v>46219</v>
      </c>
      <c r="AL3" s="189"/>
      <c r="AM3" s="188">
        <v>46220</v>
      </c>
      <c r="AN3" s="189"/>
      <c r="AO3" s="188">
        <v>46221</v>
      </c>
      <c r="AP3" s="189"/>
      <c r="AQ3" s="188">
        <v>46222</v>
      </c>
      <c r="AR3" s="189"/>
      <c r="AS3" s="188">
        <v>46223</v>
      </c>
      <c r="AT3" s="189"/>
      <c r="AU3" s="188">
        <v>46224</v>
      </c>
      <c r="AV3" s="189"/>
      <c r="AW3" s="188">
        <v>46225</v>
      </c>
      <c r="AX3" s="189"/>
      <c r="AY3" s="188">
        <v>46226</v>
      </c>
      <c r="AZ3" s="189"/>
      <c r="BA3" s="188">
        <v>46227</v>
      </c>
      <c r="BB3" s="189"/>
      <c r="BC3" s="188">
        <v>46228</v>
      </c>
      <c r="BD3" s="189"/>
      <c r="BE3" s="188">
        <v>46229</v>
      </c>
      <c r="BF3" s="189"/>
      <c r="BG3" s="188">
        <v>46230</v>
      </c>
      <c r="BH3" s="189"/>
      <c r="BI3" s="188">
        <v>46231</v>
      </c>
      <c r="BJ3" s="189"/>
      <c r="BK3" s="188">
        <v>46232</v>
      </c>
      <c r="BL3" s="189"/>
      <c r="BM3" s="188">
        <v>46233</v>
      </c>
      <c r="BN3" s="189"/>
      <c r="BO3" s="188">
        <v>46234</v>
      </c>
      <c r="BP3" s="189"/>
      <c r="BQ3" s="196"/>
      <c r="BR3" s="208"/>
      <c r="BS3" s="1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131"/>
      <c r="CG3" s="57" t="s">
        <v>249</v>
      </c>
      <c r="CH3" s="57"/>
      <c r="CI3" s="57"/>
      <c r="CJ3" s="57"/>
      <c r="CK3" s="57"/>
      <c r="CL3" s="57"/>
      <c r="CM3" s="57"/>
      <c r="CN3" s="57"/>
      <c r="CO3" s="57"/>
      <c r="CP3" s="57"/>
      <c r="CQ3" s="47"/>
    </row>
    <row r="4" spans="1:95" ht="20.25" customHeight="1" x14ac:dyDescent="0.25">
      <c r="A4" s="4" t="s">
        <v>10</v>
      </c>
      <c r="B4" s="4" t="s">
        <v>11</v>
      </c>
      <c r="C4" s="175" t="s">
        <v>12</v>
      </c>
      <c r="D4" s="13"/>
      <c r="E4" s="13" t="s">
        <v>13</v>
      </c>
      <c r="F4" s="13" t="s">
        <v>14</v>
      </c>
      <c r="G4" s="13" t="s">
        <v>13</v>
      </c>
      <c r="H4" s="13" t="s">
        <v>14</v>
      </c>
      <c r="I4" s="13" t="s">
        <v>13</v>
      </c>
      <c r="J4" s="13" t="s">
        <v>14</v>
      </c>
      <c r="K4" s="13" t="s">
        <v>13</v>
      </c>
      <c r="L4" s="13" t="s">
        <v>14</v>
      </c>
      <c r="M4" s="13" t="s">
        <v>13</v>
      </c>
      <c r="N4" s="13" t="s">
        <v>14</v>
      </c>
      <c r="O4" s="13" t="s">
        <v>13</v>
      </c>
      <c r="P4" s="13" t="s">
        <v>14</v>
      </c>
      <c r="Q4" s="13" t="s">
        <v>13</v>
      </c>
      <c r="R4" s="13" t="s">
        <v>14</v>
      </c>
      <c r="S4" s="13" t="s">
        <v>13</v>
      </c>
      <c r="T4" s="13" t="s">
        <v>14</v>
      </c>
      <c r="U4" s="13" t="s">
        <v>13</v>
      </c>
      <c r="V4" s="13" t="s">
        <v>14</v>
      </c>
      <c r="W4" s="13" t="s">
        <v>13</v>
      </c>
      <c r="X4" s="13" t="s">
        <v>14</v>
      </c>
      <c r="Y4" s="13" t="s">
        <v>13</v>
      </c>
      <c r="Z4" s="13" t="s">
        <v>14</v>
      </c>
      <c r="AA4" s="13" t="s">
        <v>13</v>
      </c>
      <c r="AB4" s="13" t="s">
        <v>14</v>
      </c>
      <c r="AC4" s="13" t="s">
        <v>13</v>
      </c>
      <c r="AD4" s="13" t="s">
        <v>14</v>
      </c>
      <c r="AE4" s="13" t="s">
        <v>13</v>
      </c>
      <c r="AF4" s="13" t="s">
        <v>14</v>
      </c>
      <c r="AG4" s="13" t="s">
        <v>13</v>
      </c>
      <c r="AH4" s="13" t="s">
        <v>14</v>
      </c>
      <c r="AI4" s="113"/>
      <c r="AJ4" s="218"/>
      <c r="AK4" s="13" t="s">
        <v>13</v>
      </c>
      <c r="AL4" s="14" t="s">
        <v>14</v>
      </c>
      <c r="AM4" s="13" t="s">
        <v>13</v>
      </c>
      <c r="AN4" s="14" t="s">
        <v>14</v>
      </c>
      <c r="AO4" s="13" t="s">
        <v>13</v>
      </c>
      <c r="AP4" s="14" t="s">
        <v>14</v>
      </c>
      <c r="AQ4" s="13" t="s">
        <v>13</v>
      </c>
      <c r="AR4" s="14" t="s">
        <v>14</v>
      </c>
      <c r="AS4" s="13" t="s">
        <v>13</v>
      </c>
      <c r="AT4" s="14" t="s">
        <v>14</v>
      </c>
      <c r="AU4" s="13" t="s">
        <v>13</v>
      </c>
      <c r="AV4" s="14" t="s">
        <v>14</v>
      </c>
      <c r="AW4" s="13" t="s">
        <v>13</v>
      </c>
      <c r="AX4" s="14" t="s">
        <v>14</v>
      </c>
      <c r="AY4" s="13" t="s">
        <v>13</v>
      </c>
      <c r="AZ4" s="14" t="s">
        <v>14</v>
      </c>
      <c r="BA4" s="13" t="s">
        <v>13</v>
      </c>
      <c r="BB4" s="14" t="s">
        <v>14</v>
      </c>
      <c r="BC4" s="13" t="s">
        <v>13</v>
      </c>
      <c r="BD4" s="14" t="s">
        <v>14</v>
      </c>
      <c r="BE4" s="13" t="s">
        <v>13</v>
      </c>
      <c r="BF4" s="14" t="s">
        <v>14</v>
      </c>
      <c r="BG4" s="13" t="s">
        <v>13</v>
      </c>
      <c r="BH4" s="14" t="s">
        <v>14</v>
      </c>
      <c r="BI4" s="13" t="s">
        <v>13</v>
      </c>
      <c r="BJ4" s="14" t="s">
        <v>14</v>
      </c>
      <c r="BK4" s="13" t="s">
        <v>13</v>
      </c>
      <c r="BL4" s="14" t="s">
        <v>14</v>
      </c>
      <c r="BM4" s="13" t="s">
        <v>13</v>
      </c>
      <c r="BN4" s="14" t="s">
        <v>14</v>
      </c>
      <c r="BO4" s="13" t="s">
        <v>13</v>
      </c>
      <c r="BP4" s="14" t="s">
        <v>14</v>
      </c>
      <c r="BQ4" s="197"/>
      <c r="BR4" s="209"/>
      <c r="BS4" s="5"/>
      <c r="BT4" s="91" t="s">
        <v>15</v>
      </c>
      <c r="BU4" s="89" t="s">
        <v>16</v>
      </c>
      <c r="BV4" s="89" t="s">
        <v>17</v>
      </c>
      <c r="BW4" s="86" t="s">
        <v>18</v>
      </c>
      <c r="BX4" s="89" t="s">
        <v>19</v>
      </c>
      <c r="BY4" s="89" t="s">
        <v>20</v>
      </c>
      <c r="BZ4" s="74" t="s">
        <v>174</v>
      </c>
      <c r="CA4" s="6" t="s">
        <v>22</v>
      </c>
      <c r="CB4" s="76" t="s">
        <v>23</v>
      </c>
      <c r="CC4" s="76" t="s">
        <v>24</v>
      </c>
      <c r="CD4" s="76" t="s">
        <v>25</v>
      </c>
      <c r="CE4" s="163" t="s">
        <v>26</v>
      </c>
      <c r="CG4" s="51" t="s">
        <v>16</v>
      </c>
      <c r="CH4" s="52" t="s">
        <v>17</v>
      </c>
      <c r="CI4" s="52" t="s">
        <v>18</v>
      </c>
      <c r="CJ4" s="52" t="s">
        <v>19</v>
      </c>
      <c r="CK4" s="52" t="s">
        <v>20</v>
      </c>
      <c r="CL4" s="52" t="s">
        <v>21</v>
      </c>
      <c r="CM4" s="52" t="s">
        <v>22</v>
      </c>
      <c r="CN4" s="52" t="s">
        <v>23</v>
      </c>
      <c r="CO4" s="52" t="s">
        <v>24</v>
      </c>
      <c r="CP4" s="52" t="s">
        <v>25</v>
      </c>
      <c r="CQ4" s="53" t="s">
        <v>195</v>
      </c>
    </row>
    <row r="5" spans="1:95" s="47" customFormat="1" ht="22.5" customHeight="1" x14ac:dyDescent="0.25">
      <c r="A5" s="10">
        <v>1</v>
      </c>
      <c r="B5" s="11" t="s">
        <v>27</v>
      </c>
      <c r="C5" s="8" t="s">
        <v>28</v>
      </c>
      <c r="D5" s="141">
        <v>44045</v>
      </c>
      <c r="E5" s="142">
        <v>0.42499999999999999</v>
      </c>
      <c r="F5" s="142">
        <v>0.69374999999999998</v>
      </c>
      <c r="G5" s="142">
        <v>0.39305555555555555</v>
      </c>
      <c r="H5" s="142">
        <v>0.71111111111111114</v>
      </c>
      <c r="I5" s="143" t="s">
        <v>15</v>
      </c>
      <c r="J5" s="143" t="s">
        <v>15</v>
      </c>
      <c r="K5" s="142">
        <v>0.43958333333333338</v>
      </c>
      <c r="L5" s="142">
        <v>0.79236111111111107</v>
      </c>
      <c r="M5" s="142">
        <v>0.38958333333333334</v>
      </c>
      <c r="N5" s="144">
        <v>0.73402777777777783</v>
      </c>
      <c r="O5" s="145">
        <v>0.37916666666666665</v>
      </c>
      <c r="P5" s="145">
        <v>0.73611111111111116</v>
      </c>
      <c r="Q5" s="145">
        <v>0.39097222222222222</v>
      </c>
      <c r="R5" s="145">
        <v>0.73402777777777783</v>
      </c>
      <c r="S5" s="145">
        <v>0.39166666666666666</v>
      </c>
      <c r="T5" s="145">
        <v>0.73819444444444438</v>
      </c>
      <c r="U5" s="145">
        <v>0.3923611111111111</v>
      </c>
      <c r="V5" s="145">
        <v>0.73611111111111116</v>
      </c>
      <c r="W5" s="143" t="s">
        <v>15</v>
      </c>
      <c r="X5" s="143" t="s">
        <v>15</v>
      </c>
      <c r="Y5" s="145">
        <v>0.4465277777777778</v>
      </c>
      <c r="Z5" s="145">
        <v>0.76597222222222217</v>
      </c>
      <c r="AA5" s="145">
        <v>0.39097222222222222</v>
      </c>
      <c r="AB5" s="145">
        <v>0.75277777777777777</v>
      </c>
      <c r="AC5" s="145">
        <v>0.39097222222222222</v>
      </c>
      <c r="AD5" s="145">
        <v>0.72916666666666663</v>
      </c>
      <c r="AE5" s="145">
        <v>0.38263888888888892</v>
      </c>
      <c r="AF5" s="145">
        <v>0.73611111111111116</v>
      </c>
      <c r="AG5" s="145">
        <v>0.39374999999999999</v>
      </c>
      <c r="AH5" s="145">
        <v>0.72777777777777775</v>
      </c>
      <c r="AI5" s="114"/>
      <c r="AJ5" s="87">
        <v>1</v>
      </c>
      <c r="AK5" s="134">
        <v>46219.387349537035</v>
      </c>
      <c r="AL5" s="134">
        <v>46219.7815162037</v>
      </c>
      <c r="AM5" s="158" t="s">
        <v>15</v>
      </c>
      <c r="AN5" s="158" t="s">
        <v>15</v>
      </c>
      <c r="AO5" s="134">
        <v>46221.431087962963</v>
      </c>
      <c r="AP5" s="134">
        <v>46221.73982638889</v>
      </c>
      <c r="AQ5" s="134">
        <v>46222.389687499999</v>
      </c>
      <c r="AR5" s="134">
        <v>46222.729988425926</v>
      </c>
      <c r="AS5" s="134">
        <v>46223.393368055556</v>
      </c>
      <c r="AT5" s="134">
        <v>46223.726168981484</v>
      </c>
      <c r="AU5" s="134">
        <v>46224.398333333331</v>
      </c>
      <c r="AV5" s="134">
        <v>46224.732430555552</v>
      </c>
      <c r="AW5" s="134">
        <v>46225.396747685183</v>
      </c>
      <c r="AX5" s="134">
        <v>46225.736192129632</v>
      </c>
      <c r="AY5" s="134">
        <v>46226.335775462961</v>
      </c>
      <c r="AZ5" s="134">
        <v>46226.725671296299</v>
      </c>
      <c r="BA5" s="158" t="s">
        <v>15</v>
      </c>
      <c r="BB5" s="158" t="s">
        <v>15</v>
      </c>
      <c r="BC5" s="134">
        <v>46225.396747685183</v>
      </c>
      <c r="BD5" s="134">
        <v>46228.736319444448</v>
      </c>
      <c r="BE5" s="134">
        <v>1</v>
      </c>
      <c r="BF5" s="134">
        <v>1</v>
      </c>
      <c r="BG5" s="134">
        <v>46225.396747685183</v>
      </c>
      <c r="BH5" s="134">
        <v>46230.729328703703</v>
      </c>
      <c r="BI5" s="134">
        <v>46231.389803240738</v>
      </c>
      <c r="BJ5" s="134">
        <v>1</v>
      </c>
      <c r="BK5" s="134">
        <v>46232.393958333334</v>
      </c>
      <c r="BL5" s="137">
        <v>46232.729502314818</v>
      </c>
      <c r="BM5" s="135">
        <v>46233.389490740738</v>
      </c>
      <c r="BN5" s="134">
        <v>46233.725555555553</v>
      </c>
      <c r="BO5" s="158" t="s">
        <v>15</v>
      </c>
      <c r="BP5" s="158" t="s">
        <v>15</v>
      </c>
      <c r="BQ5" s="9">
        <f>BS5+BT5+BV5+CA5+BY5+BZ5+CD5+BU5</f>
        <v>31</v>
      </c>
      <c r="BR5" s="68">
        <v>0</v>
      </c>
      <c r="BS5" s="1">
        <f>COUNT(E5:AH5)/2+COUNT(AK5:BP5)/2</f>
        <v>26</v>
      </c>
      <c r="BT5" s="2">
        <f t="shared" ref="BT5" si="0">COUNTIF(E5:BP5,"OFF")/2</f>
        <v>5</v>
      </c>
      <c r="BU5" s="2">
        <f t="shared" ref="BU5" si="1">COUNTIF(E5:BP5,"MC")/2</f>
        <v>0</v>
      </c>
      <c r="BV5" s="2">
        <f t="shared" ref="BV5" si="2">COUNTIF(E5:BP5,"EL")/2</f>
        <v>0</v>
      </c>
      <c r="BW5" s="2">
        <f t="shared" ref="BW5" si="3">COUNTIF(E5:BP5,"AL")/2</f>
        <v>0</v>
      </c>
      <c r="BX5" s="2">
        <f t="shared" ref="BX5" si="4">COUNTIF(E5:BP5,"SUS")/2</f>
        <v>0</v>
      </c>
      <c r="BY5" s="2">
        <f t="shared" ref="BY5" si="5">COUNTIF(E5:BP5,"FL")/2</f>
        <v>0</v>
      </c>
      <c r="BZ5" s="2">
        <f t="shared" ref="BZ5" si="6">COUNTIF(E5:BP5,"SICK")/2</f>
        <v>0</v>
      </c>
      <c r="CA5" s="2">
        <f t="shared" ref="CA5" si="7">COUNTIF(E5:BP5,"HD")/2</f>
        <v>0</v>
      </c>
      <c r="CB5" s="2">
        <f t="shared" ref="CB5" si="8">COUNTIF(E5:BP5,"AB")/2</f>
        <v>0</v>
      </c>
      <c r="CC5" s="2">
        <f t="shared" ref="CC5" si="9">COUNTIF(E5:BP5,"NL")/2</f>
        <v>0</v>
      </c>
      <c r="CD5" s="2">
        <f t="shared" ref="CD5" si="10">COUNTIF(E5:BP5,"SP")/2</f>
        <v>0</v>
      </c>
      <c r="CE5" s="131"/>
      <c r="CG5" s="54">
        <v>0</v>
      </c>
      <c r="CH5" s="54">
        <v>0</v>
      </c>
      <c r="CI5" s="55">
        <v>77</v>
      </c>
      <c r="CJ5" s="54">
        <v>0</v>
      </c>
      <c r="CK5" s="55">
        <v>1</v>
      </c>
      <c r="CL5" s="55">
        <v>5</v>
      </c>
      <c r="CM5" s="54">
        <v>0</v>
      </c>
      <c r="CN5" s="54">
        <v>0</v>
      </c>
      <c r="CO5" s="54">
        <v>0</v>
      </c>
      <c r="CP5" s="54">
        <v>0</v>
      </c>
      <c r="CQ5" s="50">
        <f t="shared" ref="CQ5:CQ29" si="11">SUM(CG5:CP5)</f>
        <v>83</v>
      </c>
    </row>
    <row r="6" spans="1:95" s="47" customFormat="1" ht="21" customHeight="1" x14ac:dyDescent="0.25">
      <c r="A6" s="10">
        <v>2</v>
      </c>
      <c r="B6" s="11" t="s">
        <v>29</v>
      </c>
      <c r="C6" s="8" t="s">
        <v>30</v>
      </c>
      <c r="D6" s="141">
        <v>41972</v>
      </c>
      <c r="E6" s="142">
        <v>0.4236111111111111</v>
      </c>
      <c r="F6" s="146">
        <v>1</v>
      </c>
      <c r="G6" s="142">
        <v>0.42152777777777778</v>
      </c>
      <c r="H6" s="146">
        <v>1</v>
      </c>
      <c r="I6" s="147">
        <v>0.65555555555555556</v>
      </c>
      <c r="J6" s="148">
        <v>1</v>
      </c>
      <c r="K6" s="142">
        <v>0.43194444444444446</v>
      </c>
      <c r="L6" s="146">
        <v>1</v>
      </c>
      <c r="M6" s="142">
        <v>0.40486111111111112</v>
      </c>
      <c r="N6" s="149">
        <v>1</v>
      </c>
      <c r="O6" s="145">
        <v>0.4055555555555555</v>
      </c>
      <c r="P6" s="149">
        <v>1</v>
      </c>
      <c r="Q6" s="145">
        <v>0.40277777777777773</v>
      </c>
      <c r="R6" s="149">
        <v>1</v>
      </c>
      <c r="S6" s="145">
        <v>0.42152777777777778</v>
      </c>
      <c r="T6" s="149">
        <v>1</v>
      </c>
      <c r="U6" s="145">
        <v>0.41944444444444445</v>
      </c>
      <c r="V6" s="149">
        <v>1</v>
      </c>
      <c r="W6" s="150">
        <v>0.64236111111111105</v>
      </c>
      <c r="X6" s="151">
        <v>1</v>
      </c>
      <c r="Y6" s="145">
        <v>0.44166666666666665</v>
      </c>
      <c r="Z6" s="146">
        <v>1</v>
      </c>
      <c r="AA6" s="145">
        <v>0.4152777777777778</v>
      </c>
      <c r="AB6" s="146">
        <v>1</v>
      </c>
      <c r="AC6" s="152" t="s">
        <v>16</v>
      </c>
      <c r="AD6" s="152" t="s">
        <v>16</v>
      </c>
      <c r="AE6" s="152" t="s">
        <v>16</v>
      </c>
      <c r="AF6" s="152" t="s">
        <v>16</v>
      </c>
      <c r="AG6" s="152" t="s">
        <v>16</v>
      </c>
      <c r="AH6" s="152" t="s">
        <v>16</v>
      </c>
      <c r="AI6" s="106"/>
      <c r="AJ6" s="87">
        <v>2</v>
      </c>
      <c r="AK6" s="160" t="s">
        <v>16</v>
      </c>
      <c r="AL6" s="160" t="s">
        <v>16</v>
      </c>
      <c r="AM6" s="160" t="s">
        <v>16</v>
      </c>
      <c r="AN6" s="160" t="s">
        <v>16</v>
      </c>
      <c r="AO6" s="160" t="s">
        <v>16</v>
      </c>
      <c r="AP6" s="160" t="s">
        <v>16</v>
      </c>
      <c r="AQ6" s="160" t="s">
        <v>16</v>
      </c>
      <c r="AR6" s="160" t="s">
        <v>16</v>
      </c>
      <c r="AS6" s="160" t="s">
        <v>16</v>
      </c>
      <c r="AT6" s="160" t="s">
        <v>16</v>
      </c>
      <c r="AU6" s="160" t="s">
        <v>16</v>
      </c>
      <c r="AV6" s="160" t="s">
        <v>16</v>
      </c>
      <c r="AW6" s="160" t="s">
        <v>16</v>
      </c>
      <c r="AX6" s="160" t="s">
        <v>16</v>
      </c>
      <c r="AY6" s="160" t="s">
        <v>16</v>
      </c>
      <c r="AZ6" s="160" t="s">
        <v>16</v>
      </c>
      <c r="BA6" s="160" t="s">
        <v>16</v>
      </c>
      <c r="BB6" s="160" t="s">
        <v>16</v>
      </c>
      <c r="BC6" s="160" t="s">
        <v>16</v>
      </c>
      <c r="BD6" s="160" t="s">
        <v>16</v>
      </c>
      <c r="BE6" s="160" t="s">
        <v>16</v>
      </c>
      <c r="BF6" s="160" t="s">
        <v>16</v>
      </c>
      <c r="BG6" s="160" t="s">
        <v>16</v>
      </c>
      <c r="BH6" s="160" t="s">
        <v>16</v>
      </c>
      <c r="BI6" s="160" t="s">
        <v>16</v>
      </c>
      <c r="BJ6" s="160" t="s">
        <v>16</v>
      </c>
      <c r="BK6" s="134">
        <v>46232.423831018517</v>
      </c>
      <c r="BL6" s="159">
        <v>1</v>
      </c>
      <c r="BM6" s="135">
        <v>46233.360023148147</v>
      </c>
      <c r="BN6" s="136">
        <v>1</v>
      </c>
      <c r="BO6" s="134">
        <v>46234.577615740738</v>
      </c>
      <c r="BP6" s="137">
        <v>1</v>
      </c>
      <c r="BQ6" s="9">
        <f t="shared" ref="BQ6:BQ29" si="12">BS6+BT6+BV6+CA6+BY6+BZ6+CD6+BU6</f>
        <v>31</v>
      </c>
      <c r="BR6" s="68">
        <v>3</v>
      </c>
      <c r="BS6" s="1">
        <f t="shared" ref="BS6:BS29" si="13">COUNT(E6:AH6)/2+COUNT(AK6:BP6)/2</f>
        <v>15</v>
      </c>
      <c r="BT6" s="2">
        <f t="shared" ref="BT6:BT29" si="14">COUNTIF(E6:BP6,"OFF")/2</f>
        <v>0</v>
      </c>
      <c r="BU6" s="2">
        <f t="shared" ref="BU6:BU29" si="15">COUNTIF(E6:BP6,"MC")/2</f>
        <v>16</v>
      </c>
      <c r="BV6" s="2">
        <f t="shared" ref="BV6:BV29" si="16">COUNTIF(E6:BP6,"EL")/2</f>
        <v>0</v>
      </c>
      <c r="BW6" s="2">
        <f t="shared" ref="BW6:BW29" si="17">COUNTIF(E6:BP6,"AL")/2</f>
        <v>0</v>
      </c>
      <c r="BX6" s="2">
        <f t="shared" ref="BX6:BX29" si="18">COUNTIF(E6:BP6,"SUS")/2</f>
        <v>0</v>
      </c>
      <c r="BY6" s="2">
        <f t="shared" ref="BY6:BY29" si="19">COUNTIF(E6:BP6,"FL")/2</f>
        <v>0</v>
      </c>
      <c r="BZ6" s="2">
        <f t="shared" ref="BZ6:BZ29" si="20">COUNTIF(E6:BP6,"SICK")/2</f>
        <v>0</v>
      </c>
      <c r="CA6" s="2">
        <f t="shared" ref="CA6:CA29" si="21">COUNTIF(E6:BP6,"HD")/2</f>
        <v>0</v>
      </c>
      <c r="CB6" s="2">
        <f t="shared" ref="CB6:CB29" si="22">COUNTIF(E6:BP6,"AB")/2</f>
        <v>0</v>
      </c>
      <c r="CC6" s="2">
        <f t="shared" ref="CC6:CC29" si="23">COUNTIF(E6:BP6,"NL")/2</f>
        <v>0</v>
      </c>
      <c r="CD6" s="2">
        <f t="shared" ref="CD6:CD29" si="24">COUNTIF(E6:BP6,"SP")/2</f>
        <v>0</v>
      </c>
      <c r="CE6" s="164"/>
      <c r="CG6" s="54">
        <v>0</v>
      </c>
      <c r="CH6" s="54">
        <v>39</v>
      </c>
      <c r="CI6" s="55">
        <v>0</v>
      </c>
      <c r="CJ6" s="54">
        <v>0</v>
      </c>
      <c r="CK6" s="54">
        <v>0</v>
      </c>
      <c r="CL6" s="54">
        <v>1</v>
      </c>
      <c r="CM6" s="54">
        <v>0</v>
      </c>
      <c r="CN6" s="54">
        <v>0</v>
      </c>
      <c r="CO6" s="54">
        <v>0</v>
      </c>
      <c r="CP6" s="54">
        <v>0</v>
      </c>
      <c r="CQ6" s="50">
        <f t="shared" si="11"/>
        <v>40</v>
      </c>
    </row>
    <row r="7" spans="1:95" s="47" customFormat="1" ht="21" customHeight="1" x14ac:dyDescent="0.25">
      <c r="A7" s="10">
        <v>3</v>
      </c>
      <c r="B7" s="11" t="s">
        <v>31</v>
      </c>
      <c r="C7" s="8" t="s">
        <v>32</v>
      </c>
      <c r="D7" s="141">
        <v>44650</v>
      </c>
      <c r="E7" s="142">
        <v>0.37361111111111112</v>
      </c>
      <c r="F7" s="142">
        <v>0.98402777777777783</v>
      </c>
      <c r="G7" s="142">
        <v>0.3756944444444445</v>
      </c>
      <c r="H7" s="142">
        <v>1.3888888888888888E-2</v>
      </c>
      <c r="I7" s="147">
        <v>0.59097222222222223</v>
      </c>
      <c r="J7" s="147">
        <v>0.7631944444444444</v>
      </c>
      <c r="K7" s="142">
        <v>0.42152777777777778</v>
      </c>
      <c r="L7" s="142">
        <v>1.3888888888888889E-3</v>
      </c>
      <c r="M7" s="142">
        <v>0.37638888888888888</v>
      </c>
      <c r="N7" s="144">
        <v>0.9868055555555556</v>
      </c>
      <c r="O7" s="145">
        <v>0.37986111111111115</v>
      </c>
      <c r="P7" s="145">
        <v>0.75624999999999998</v>
      </c>
      <c r="Q7" s="145">
        <v>0.37361111111111112</v>
      </c>
      <c r="R7" s="145">
        <v>0.9916666666666667</v>
      </c>
      <c r="S7" s="145">
        <v>0.3743055555555555</v>
      </c>
      <c r="T7" s="145">
        <v>0.99583333333333324</v>
      </c>
      <c r="U7" s="145">
        <v>0.3756944444444445</v>
      </c>
      <c r="V7" s="145">
        <v>1.1805555555555555E-2</v>
      </c>
      <c r="W7" s="150">
        <v>0.59861111111111109</v>
      </c>
      <c r="X7" s="150">
        <v>0.7631944444444444</v>
      </c>
      <c r="Y7" s="145">
        <v>0.42430555555555555</v>
      </c>
      <c r="Z7" s="145">
        <v>0.99861111111111101</v>
      </c>
      <c r="AA7" s="145">
        <v>0.3743055555555555</v>
      </c>
      <c r="AB7" s="146">
        <v>1</v>
      </c>
      <c r="AC7" s="145">
        <v>0.3743055555555555</v>
      </c>
      <c r="AD7" s="145">
        <v>0</v>
      </c>
      <c r="AE7" s="145">
        <v>0.37361111111111112</v>
      </c>
      <c r="AF7" s="145">
        <v>0.9819444444444444</v>
      </c>
      <c r="AG7" s="145">
        <v>0.375</v>
      </c>
      <c r="AH7" s="145">
        <v>0.99513888888888891</v>
      </c>
      <c r="AI7" s="106"/>
      <c r="AJ7" s="87">
        <v>3</v>
      </c>
      <c r="AK7" s="134">
        <v>46219.376747685186</v>
      </c>
      <c r="AL7" s="134">
        <v>46219.769432870373</v>
      </c>
      <c r="AM7" s="134">
        <v>46220.611504629633</v>
      </c>
      <c r="AN7" s="134">
        <v>46220.018333333333</v>
      </c>
      <c r="AO7" s="134">
        <v>46221.416319444441</v>
      </c>
      <c r="AP7" s="134">
        <v>46221.765127314815</v>
      </c>
      <c r="AQ7" s="134">
        <v>46223.416759259257</v>
      </c>
      <c r="AR7" s="134">
        <v>46222.012048611112</v>
      </c>
      <c r="AS7" s="134">
        <v>46223.373425925929</v>
      </c>
      <c r="AT7" s="134">
        <v>46223.744664351849</v>
      </c>
      <c r="AU7" s="134">
        <v>46224.014490740738</v>
      </c>
      <c r="AV7" s="134">
        <v>46224.014490740738</v>
      </c>
      <c r="AW7" s="134">
        <v>46225.373703703706</v>
      </c>
      <c r="AX7" s="134">
        <v>46225.994837962964</v>
      </c>
      <c r="AY7" s="134">
        <v>46226.35596064815</v>
      </c>
      <c r="AZ7" s="134">
        <v>46226.743611111109</v>
      </c>
      <c r="BA7" s="134">
        <v>46227.016504629632</v>
      </c>
      <c r="BB7" s="134">
        <v>46227.016504629632</v>
      </c>
      <c r="BC7" s="134">
        <v>46228.419861111113</v>
      </c>
      <c r="BD7" s="134">
        <v>46228.769803240742</v>
      </c>
      <c r="BE7" s="134">
        <v>46229.379305555558</v>
      </c>
      <c r="BF7" s="134">
        <v>46229.015347222223</v>
      </c>
      <c r="BG7" s="134">
        <v>46230.377800925926</v>
      </c>
      <c r="BH7" s="134">
        <v>46230.75271990741</v>
      </c>
      <c r="BI7" s="134">
        <v>46231.374965277777</v>
      </c>
      <c r="BJ7" s="134">
        <v>46231.793182870373</v>
      </c>
      <c r="BK7" s="134">
        <v>46232.373530092591</v>
      </c>
      <c r="BL7" s="137">
        <v>46232.760937500003</v>
      </c>
      <c r="BM7" s="135">
        <v>46233.372997685183</v>
      </c>
      <c r="BN7" s="136">
        <v>1</v>
      </c>
      <c r="BO7" s="158" t="s">
        <v>15</v>
      </c>
      <c r="BP7" s="158" t="s">
        <v>15</v>
      </c>
      <c r="BQ7" s="9">
        <f t="shared" si="12"/>
        <v>31</v>
      </c>
      <c r="BR7" s="68">
        <v>4</v>
      </c>
      <c r="BS7" s="1">
        <f t="shared" si="13"/>
        <v>30</v>
      </c>
      <c r="BT7" s="2">
        <f t="shared" si="14"/>
        <v>1</v>
      </c>
      <c r="BU7" s="2">
        <f t="shared" si="15"/>
        <v>0</v>
      </c>
      <c r="BV7" s="2">
        <f t="shared" si="16"/>
        <v>0</v>
      </c>
      <c r="BW7" s="2">
        <f t="shared" si="17"/>
        <v>0</v>
      </c>
      <c r="BX7" s="2">
        <f t="shared" si="18"/>
        <v>0</v>
      </c>
      <c r="BY7" s="2">
        <f t="shared" si="19"/>
        <v>0</v>
      </c>
      <c r="BZ7" s="2">
        <f t="shared" si="20"/>
        <v>0</v>
      </c>
      <c r="CA7" s="2">
        <f t="shared" si="21"/>
        <v>0</v>
      </c>
      <c r="CB7" s="2">
        <f t="shared" si="22"/>
        <v>0</v>
      </c>
      <c r="CC7" s="2">
        <f t="shared" si="23"/>
        <v>0</v>
      </c>
      <c r="CD7" s="2">
        <f t="shared" si="24"/>
        <v>0</v>
      </c>
      <c r="CE7" s="164"/>
      <c r="CG7" s="54">
        <v>0</v>
      </c>
      <c r="CH7" s="54">
        <v>5</v>
      </c>
      <c r="CI7" s="55">
        <v>65</v>
      </c>
      <c r="CJ7" s="54">
        <v>0</v>
      </c>
      <c r="CK7" s="54">
        <v>1</v>
      </c>
      <c r="CL7" s="54">
        <v>2</v>
      </c>
      <c r="CM7" s="54">
        <v>0</v>
      </c>
      <c r="CN7" s="54">
        <v>0</v>
      </c>
      <c r="CO7" s="54">
        <v>0</v>
      </c>
      <c r="CP7" s="54">
        <v>0</v>
      </c>
      <c r="CQ7" s="56">
        <f t="shared" si="11"/>
        <v>73</v>
      </c>
    </row>
    <row r="8" spans="1:95" s="47" customFormat="1" ht="21" customHeight="1" x14ac:dyDescent="0.25">
      <c r="A8" s="10">
        <v>4</v>
      </c>
      <c r="B8" s="11" t="s">
        <v>33</v>
      </c>
      <c r="C8" s="8" t="s">
        <v>34</v>
      </c>
      <c r="D8" s="141">
        <v>37431</v>
      </c>
      <c r="E8" s="142">
        <v>0.3972222222222222</v>
      </c>
      <c r="F8" s="142">
        <v>2.0833333333333332E-2</v>
      </c>
      <c r="G8" s="142">
        <v>0.38541666666666669</v>
      </c>
      <c r="H8" s="142">
        <v>3.8194444444444441E-2</v>
      </c>
      <c r="I8" s="143" t="s">
        <v>15</v>
      </c>
      <c r="J8" s="143" t="s">
        <v>15</v>
      </c>
      <c r="K8" s="142">
        <v>0.3527777777777778</v>
      </c>
      <c r="L8" s="142">
        <v>3.0555555555555555E-2</v>
      </c>
      <c r="M8" s="142">
        <v>0.41597222222222219</v>
      </c>
      <c r="N8" s="144">
        <v>0.99097222222222225</v>
      </c>
      <c r="O8" s="145">
        <v>0.36874999999999997</v>
      </c>
      <c r="P8" s="145">
        <v>0.99861111111111101</v>
      </c>
      <c r="Q8" s="145">
        <v>0.40972222222222227</v>
      </c>
      <c r="R8" s="145">
        <v>0.99236111111111114</v>
      </c>
      <c r="S8" s="145">
        <v>0.40347222222222223</v>
      </c>
      <c r="T8" s="145">
        <v>1.1111111111111112E-2</v>
      </c>
      <c r="U8" s="145">
        <v>0.37361111111111112</v>
      </c>
      <c r="V8" s="145">
        <v>1.3194444444444444E-2</v>
      </c>
      <c r="W8" s="150">
        <v>0.57222222222222219</v>
      </c>
      <c r="X8" s="150">
        <v>0.99444444444444446</v>
      </c>
      <c r="Y8" s="145">
        <v>0.35555555555555557</v>
      </c>
      <c r="Z8" s="146">
        <v>1</v>
      </c>
      <c r="AA8" s="145">
        <v>0.3833333333333333</v>
      </c>
      <c r="AB8" s="145">
        <v>0.99930555555555556</v>
      </c>
      <c r="AC8" s="145">
        <v>0.35972222222222222</v>
      </c>
      <c r="AD8" s="145">
        <v>2.0833333333333332E-2</v>
      </c>
      <c r="AE8" s="145">
        <v>0.50486111111111109</v>
      </c>
      <c r="AF8" s="145">
        <v>2.4305555555555556E-2</v>
      </c>
      <c r="AG8" s="145">
        <v>0.39930555555555558</v>
      </c>
      <c r="AH8" s="145">
        <v>0.99791666666666667</v>
      </c>
      <c r="AI8" s="114"/>
      <c r="AJ8" s="87">
        <v>4</v>
      </c>
      <c r="AK8" s="134">
        <v>46220.413402777776</v>
      </c>
      <c r="AL8" s="134">
        <v>1.7361111111111112E-2</v>
      </c>
      <c r="AM8" s="134">
        <v>46220.73847222222</v>
      </c>
      <c r="AN8" s="134">
        <v>46220.017824074072</v>
      </c>
      <c r="AO8" s="134">
        <v>46221.351157407407</v>
      </c>
      <c r="AP8" s="134">
        <v>1</v>
      </c>
      <c r="AQ8" s="134">
        <v>46222.355671296296</v>
      </c>
      <c r="AR8" s="134">
        <v>46222.010775462964</v>
      </c>
      <c r="AS8" s="134">
        <v>46223.351342592592</v>
      </c>
      <c r="AT8" s="134">
        <v>1</v>
      </c>
      <c r="AU8" s="134">
        <v>0.40138888888888885</v>
      </c>
      <c r="AV8" s="134">
        <v>46224.014918981484</v>
      </c>
      <c r="AW8" s="134">
        <v>46225.392013888886</v>
      </c>
      <c r="AX8" s="134">
        <v>1</v>
      </c>
      <c r="AY8" s="134">
        <v>46226.346631944441</v>
      </c>
      <c r="AZ8" s="134">
        <v>1</v>
      </c>
      <c r="BA8" s="134">
        <v>0.57638888888888895</v>
      </c>
      <c r="BB8" s="134">
        <v>46227.016550925924</v>
      </c>
      <c r="BC8" s="134">
        <v>46228.35460648148</v>
      </c>
      <c r="BD8" s="134">
        <v>1</v>
      </c>
      <c r="BE8" s="134">
        <v>46229.377245370371</v>
      </c>
      <c r="BF8" s="134">
        <v>46229.015277777777</v>
      </c>
      <c r="BG8" s="134">
        <v>46230.352094907408</v>
      </c>
      <c r="BH8" s="134">
        <v>46230.993738425925</v>
      </c>
      <c r="BI8" s="134">
        <v>46231.379641203705</v>
      </c>
      <c r="BJ8" s="134">
        <v>46231.982581018521</v>
      </c>
      <c r="BK8" s="134">
        <v>46232.384571759256</v>
      </c>
      <c r="BL8" s="137">
        <v>46232.992534722223</v>
      </c>
      <c r="BM8" s="137">
        <v>46233.360023148147</v>
      </c>
      <c r="BN8" s="134">
        <v>46234.016423611109</v>
      </c>
      <c r="BO8" s="158" t="s">
        <v>15</v>
      </c>
      <c r="BP8" s="158" t="s">
        <v>15</v>
      </c>
      <c r="BQ8" s="9">
        <f t="shared" si="12"/>
        <v>31</v>
      </c>
      <c r="BR8" s="68">
        <v>3</v>
      </c>
      <c r="BS8" s="1">
        <f t="shared" si="13"/>
        <v>29</v>
      </c>
      <c r="BT8" s="2">
        <f t="shared" si="14"/>
        <v>2</v>
      </c>
      <c r="BU8" s="2">
        <f t="shared" si="15"/>
        <v>0</v>
      </c>
      <c r="BV8" s="2">
        <f t="shared" si="16"/>
        <v>0</v>
      </c>
      <c r="BW8" s="2">
        <f t="shared" si="17"/>
        <v>0</v>
      </c>
      <c r="BX8" s="2">
        <f t="shared" si="18"/>
        <v>0</v>
      </c>
      <c r="BY8" s="2">
        <f t="shared" si="19"/>
        <v>0</v>
      </c>
      <c r="BZ8" s="2">
        <f t="shared" si="20"/>
        <v>0</v>
      </c>
      <c r="CA8" s="2">
        <f t="shared" si="21"/>
        <v>0</v>
      </c>
      <c r="CB8" s="2">
        <f t="shared" si="22"/>
        <v>0</v>
      </c>
      <c r="CC8" s="2">
        <f t="shared" si="23"/>
        <v>0</v>
      </c>
      <c r="CD8" s="2">
        <f t="shared" si="24"/>
        <v>0</v>
      </c>
      <c r="CE8" s="164"/>
      <c r="CG8" s="54">
        <v>0</v>
      </c>
      <c r="CH8" s="54">
        <v>0</v>
      </c>
      <c r="CI8" s="55">
        <v>23</v>
      </c>
      <c r="CJ8" s="54">
        <v>0</v>
      </c>
      <c r="CK8" s="54">
        <v>0</v>
      </c>
      <c r="CL8" s="54">
        <v>0</v>
      </c>
      <c r="CM8" s="54">
        <v>0</v>
      </c>
      <c r="CN8" s="54">
        <v>0</v>
      </c>
      <c r="CO8" s="54">
        <v>0</v>
      </c>
      <c r="CP8" s="54">
        <v>0</v>
      </c>
      <c r="CQ8" s="56">
        <f t="shared" si="11"/>
        <v>23</v>
      </c>
    </row>
    <row r="9" spans="1:95" s="47" customFormat="1" ht="21" customHeight="1" x14ac:dyDescent="0.25">
      <c r="A9" s="10">
        <v>5</v>
      </c>
      <c r="B9" s="11" t="s">
        <v>35</v>
      </c>
      <c r="C9" s="8" t="s">
        <v>36</v>
      </c>
      <c r="D9" s="141">
        <v>38630</v>
      </c>
      <c r="E9" s="142">
        <v>0.37083333333333335</v>
      </c>
      <c r="F9" s="142">
        <v>0.95694444444444438</v>
      </c>
      <c r="G9" s="142">
        <v>0.34652777777777777</v>
      </c>
      <c r="H9" s="142">
        <v>0.93472222222222223</v>
      </c>
      <c r="I9" s="147">
        <v>0.56180555555555556</v>
      </c>
      <c r="J9" s="147">
        <v>0.92361111111111116</v>
      </c>
      <c r="K9" s="142">
        <v>0.3444444444444445</v>
      </c>
      <c r="L9" s="142">
        <v>0.92708333333333337</v>
      </c>
      <c r="M9" s="142">
        <v>0.41111111111111115</v>
      </c>
      <c r="N9" s="144">
        <v>0.96250000000000002</v>
      </c>
      <c r="O9" s="145">
        <v>0.37291666666666662</v>
      </c>
      <c r="P9" s="145">
        <v>0.92083333333333339</v>
      </c>
      <c r="Q9" s="145">
        <v>0.38125000000000003</v>
      </c>
      <c r="R9" s="145">
        <v>0.9243055555555556</v>
      </c>
      <c r="S9" s="145">
        <v>0.38125000000000003</v>
      </c>
      <c r="T9" s="145">
        <v>0.98055555555555562</v>
      </c>
      <c r="U9" s="145">
        <v>0.37361111111111112</v>
      </c>
      <c r="V9" s="145">
        <v>0.98472222222222217</v>
      </c>
      <c r="W9" s="143" t="s">
        <v>15</v>
      </c>
      <c r="X9" s="143" t="s">
        <v>15</v>
      </c>
      <c r="Y9" s="145">
        <v>0.35138888888888892</v>
      </c>
      <c r="Z9" s="145">
        <v>0.95347222222222217</v>
      </c>
      <c r="AA9" s="145">
        <v>0.35555555555555557</v>
      </c>
      <c r="AB9" s="145">
        <v>0.92986111111111114</v>
      </c>
      <c r="AC9" s="145">
        <v>0.38680555555555557</v>
      </c>
      <c r="AD9" s="145">
        <v>0.93402777777777779</v>
      </c>
      <c r="AE9" s="145">
        <v>0.34861111111111115</v>
      </c>
      <c r="AF9" s="145">
        <v>0.92708333333333337</v>
      </c>
      <c r="AG9" s="145">
        <v>0.37847222222222227</v>
      </c>
      <c r="AH9" s="145">
        <v>0.9375</v>
      </c>
      <c r="AI9" s="114"/>
      <c r="AJ9" s="87">
        <v>5</v>
      </c>
      <c r="AK9" s="134">
        <v>46219.404374999998</v>
      </c>
      <c r="AL9" s="134">
        <v>46219.940752314818</v>
      </c>
      <c r="AM9" s="134">
        <v>46220.564201388886</v>
      </c>
      <c r="AN9" s="134">
        <v>46220.92869212963</v>
      </c>
      <c r="AO9" s="134">
        <v>46221.355763888889</v>
      </c>
      <c r="AP9" s="134">
        <v>1</v>
      </c>
      <c r="AQ9" s="134">
        <v>46222.367314814815</v>
      </c>
      <c r="AR9" s="134">
        <v>46222.953842592593</v>
      </c>
      <c r="AS9" s="134">
        <v>46223.355185185188</v>
      </c>
      <c r="AT9" s="134">
        <v>46223.95894675926</v>
      </c>
      <c r="AU9" s="134">
        <v>46224.38521990741</v>
      </c>
      <c r="AV9" s="134">
        <v>1</v>
      </c>
      <c r="AW9" s="134">
        <v>46225.360729166663</v>
      </c>
      <c r="AX9" s="134">
        <v>46225.964247685188</v>
      </c>
      <c r="AY9" s="134">
        <v>46226.382847222223</v>
      </c>
      <c r="AZ9" s="134">
        <v>1</v>
      </c>
      <c r="BA9" s="158" t="s">
        <v>15</v>
      </c>
      <c r="BB9" s="158" t="s">
        <v>15</v>
      </c>
      <c r="BC9" s="134">
        <v>46228.356874999998</v>
      </c>
      <c r="BD9" s="134">
        <v>46228.999699074076</v>
      </c>
      <c r="BE9" s="134">
        <v>46229.354421296295</v>
      </c>
      <c r="BF9" s="134">
        <v>46229.948796296296</v>
      </c>
      <c r="BG9" s="134">
        <v>46230.345451388886</v>
      </c>
      <c r="BH9" s="134">
        <v>46230.956157407411</v>
      </c>
      <c r="BI9" s="134">
        <v>46229.354421296295</v>
      </c>
      <c r="BJ9" s="134">
        <v>46231.929756944446</v>
      </c>
      <c r="BK9" s="134">
        <v>46232.378888888888</v>
      </c>
      <c r="BL9" s="137">
        <v>46232.944594907407</v>
      </c>
      <c r="BM9" s="135">
        <v>46233.364618055559</v>
      </c>
      <c r="BN9" s="134">
        <v>46233.987824074073</v>
      </c>
      <c r="BO9" s="134">
        <v>46234.575648148151</v>
      </c>
      <c r="BP9" s="137">
        <v>46234.901643518519</v>
      </c>
      <c r="BQ9" s="9">
        <f t="shared" si="12"/>
        <v>31</v>
      </c>
      <c r="BR9" s="68">
        <v>3</v>
      </c>
      <c r="BS9" s="1">
        <f t="shared" si="13"/>
        <v>29</v>
      </c>
      <c r="BT9" s="2">
        <f t="shared" si="14"/>
        <v>2</v>
      </c>
      <c r="BU9" s="2">
        <f t="shared" si="15"/>
        <v>0</v>
      </c>
      <c r="BV9" s="2">
        <f t="shared" si="16"/>
        <v>0</v>
      </c>
      <c r="BW9" s="2">
        <f t="shared" si="17"/>
        <v>0</v>
      </c>
      <c r="BX9" s="2">
        <f t="shared" si="18"/>
        <v>0</v>
      </c>
      <c r="BY9" s="2">
        <f t="shared" si="19"/>
        <v>0</v>
      </c>
      <c r="BZ9" s="2">
        <f t="shared" si="20"/>
        <v>0</v>
      </c>
      <c r="CA9" s="2">
        <f t="shared" si="21"/>
        <v>0</v>
      </c>
      <c r="CB9" s="2">
        <f t="shared" si="22"/>
        <v>0</v>
      </c>
      <c r="CC9" s="2">
        <f t="shared" si="23"/>
        <v>0</v>
      </c>
      <c r="CD9" s="2">
        <f t="shared" si="24"/>
        <v>0</v>
      </c>
      <c r="CE9" s="164"/>
      <c r="CG9" s="54">
        <v>0</v>
      </c>
      <c r="CH9" s="54">
        <v>0</v>
      </c>
      <c r="CI9" s="55">
        <v>30</v>
      </c>
      <c r="CJ9" s="54">
        <v>0</v>
      </c>
      <c r="CK9" s="54">
        <v>0</v>
      </c>
      <c r="CL9" s="54">
        <v>4</v>
      </c>
      <c r="CM9" s="54">
        <v>0</v>
      </c>
      <c r="CN9" s="54">
        <v>0</v>
      </c>
      <c r="CO9" s="54">
        <v>0</v>
      </c>
      <c r="CP9" s="54">
        <v>0</v>
      </c>
      <c r="CQ9" s="56">
        <f t="shared" si="11"/>
        <v>34</v>
      </c>
    </row>
    <row r="10" spans="1:95" s="47" customFormat="1" ht="21" customHeight="1" x14ac:dyDescent="0.25">
      <c r="A10" s="10">
        <v>6</v>
      </c>
      <c r="B10" s="11" t="s">
        <v>49</v>
      </c>
      <c r="C10" s="8" t="s">
        <v>50</v>
      </c>
      <c r="D10" s="141">
        <v>38713</v>
      </c>
      <c r="E10" s="142">
        <v>0.37916666666666665</v>
      </c>
      <c r="F10" s="142">
        <v>0.9819444444444444</v>
      </c>
      <c r="G10" s="142">
        <v>0.3666666666666667</v>
      </c>
      <c r="H10" s="142">
        <v>6.9444444444444447E-4</v>
      </c>
      <c r="I10" s="147">
        <v>0.56527777777777777</v>
      </c>
      <c r="J10" s="147">
        <v>0.97499999999999998</v>
      </c>
      <c r="K10" s="142">
        <v>0.36736111111111108</v>
      </c>
      <c r="L10" s="142">
        <v>0.98611111111111116</v>
      </c>
      <c r="M10" s="142">
        <v>0.39097222222222222</v>
      </c>
      <c r="N10" s="144">
        <v>0.97638888888888886</v>
      </c>
      <c r="O10" s="145">
        <v>0.37291666666666662</v>
      </c>
      <c r="P10" s="145">
        <v>0.97361111111111109</v>
      </c>
      <c r="Q10" s="145">
        <v>0.34930555555555554</v>
      </c>
      <c r="R10" s="153">
        <v>1</v>
      </c>
      <c r="S10" s="145">
        <v>0.3430555555555555</v>
      </c>
      <c r="T10" s="145">
        <v>1.3194444444444444E-2</v>
      </c>
      <c r="U10" s="145">
        <v>0.3576388888888889</v>
      </c>
      <c r="V10" s="145">
        <v>0.99791666666666667</v>
      </c>
      <c r="W10" s="150">
        <v>0.79305555555555562</v>
      </c>
      <c r="X10" s="150">
        <v>0.97222222222222221</v>
      </c>
      <c r="Y10" s="145">
        <v>0.34652777777777777</v>
      </c>
      <c r="Z10" s="145">
        <v>0.98402777777777783</v>
      </c>
      <c r="AA10" s="145">
        <v>0.34097222222222223</v>
      </c>
      <c r="AB10" s="145">
        <v>0.9784722222222223</v>
      </c>
      <c r="AC10" s="145">
        <v>0.3527777777777778</v>
      </c>
      <c r="AD10" s="146">
        <v>1</v>
      </c>
      <c r="AE10" s="145">
        <v>0.34583333333333338</v>
      </c>
      <c r="AF10" s="145">
        <v>0.34652777777777777</v>
      </c>
      <c r="AG10" s="145">
        <v>0.35416666666666669</v>
      </c>
      <c r="AH10" s="145">
        <v>0.98125000000000007</v>
      </c>
      <c r="AI10" s="106"/>
      <c r="AJ10" s="87">
        <v>6</v>
      </c>
      <c r="AK10" s="134">
        <v>46219.350474537037</v>
      </c>
      <c r="AL10" s="134">
        <v>46219.994166666664</v>
      </c>
      <c r="AM10" s="134">
        <v>46220.573622685188</v>
      </c>
      <c r="AN10" s="134">
        <v>46220.008414351854</v>
      </c>
      <c r="AO10" s="134">
        <v>46221.362881944442</v>
      </c>
      <c r="AP10" s="134">
        <v>46221.994293981479</v>
      </c>
      <c r="AQ10" s="134">
        <v>46222.347349537034</v>
      </c>
      <c r="AR10" s="134">
        <v>1</v>
      </c>
      <c r="AS10" s="134">
        <v>46223.359305555554</v>
      </c>
      <c r="AT10" s="134">
        <v>46223.972777777781</v>
      </c>
      <c r="AU10" s="134">
        <v>46224.344965277778</v>
      </c>
      <c r="AV10" s="134">
        <v>46224.970289351855</v>
      </c>
      <c r="AW10" s="134">
        <v>46225.35119212963</v>
      </c>
      <c r="AX10" s="134">
        <v>1</v>
      </c>
      <c r="AY10" s="134">
        <v>46226.348310185182</v>
      </c>
      <c r="AZ10" s="134">
        <v>46226.004293981481</v>
      </c>
      <c r="BA10" s="158" t="s">
        <v>15</v>
      </c>
      <c r="BB10" s="158" t="s">
        <v>15</v>
      </c>
      <c r="BC10" s="134">
        <v>46228.345937500002</v>
      </c>
      <c r="BD10" s="134">
        <v>46228.984861111108</v>
      </c>
      <c r="BE10" s="134">
        <v>46229.348634259259</v>
      </c>
      <c r="BF10" s="134">
        <v>46229.966909722221</v>
      </c>
      <c r="BG10" s="134">
        <v>46230.355115740742</v>
      </c>
      <c r="BH10" s="134">
        <v>46230.993773148148</v>
      </c>
      <c r="BI10" s="134">
        <v>46231.344710648147</v>
      </c>
      <c r="BJ10" s="134">
        <v>46231.965833333335</v>
      </c>
      <c r="BK10" s="134">
        <v>46232.344502314816</v>
      </c>
      <c r="BL10" s="137">
        <v>46232.983217592591</v>
      </c>
      <c r="BM10" s="135">
        <v>46233.346006944441</v>
      </c>
      <c r="BN10" s="134">
        <v>46233.990428240744</v>
      </c>
      <c r="BO10" s="134">
        <v>46234.573437500003</v>
      </c>
      <c r="BP10" s="137">
        <v>46234.971296296295</v>
      </c>
      <c r="BQ10" s="9">
        <f>BS10+BT10+BV10+CA10+BY10+BZ10+CD10+BU10</f>
        <v>31</v>
      </c>
      <c r="BR10" s="68">
        <v>4</v>
      </c>
      <c r="BS10" s="1">
        <f t="shared" si="13"/>
        <v>30</v>
      </c>
      <c r="BT10" s="2">
        <f t="shared" si="14"/>
        <v>1</v>
      </c>
      <c r="BU10" s="2">
        <f t="shared" si="15"/>
        <v>0</v>
      </c>
      <c r="BV10" s="2">
        <f t="shared" si="16"/>
        <v>0</v>
      </c>
      <c r="BW10" s="2">
        <f t="shared" si="17"/>
        <v>0</v>
      </c>
      <c r="BX10" s="2">
        <f t="shared" si="18"/>
        <v>0</v>
      </c>
      <c r="BY10" s="2">
        <f t="shared" si="19"/>
        <v>0</v>
      </c>
      <c r="BZ10" s="2">
        <f t="shared" si="20"/>
        <v>0</v>
      </c>
      <c r="CA10" s="2">
        <f t="shared" si="21"/>
        <v>0</v>
      </c>
      <c r="CB10" s="2">
        <f t="shared" si="22"/>
        <v>0</v>
      </c>
      <c r="CC10" s="2">
        <f t="shared" si="23"/>
        <v>0</v>
      </c>
      <c r="CD10" s="2">
        <f t="shared" si="24"/>
        <v>0</v>
      </c>
      <c r="CE10" s="164"/>
      <c r="CG10" s="54">
        <v>0</v>
      </c>
      <c r="CH10" s="55">
        <v>5</v>
      </c>
      <c r="CI10" s="54">
        <v>0</v>
      </c>
      <c r="CJ10" s="54">
        <v>0</v>
      </c>
      <c r="CK10" s="54">
        <v>0</v>
      </c>
      <c r="CL10" s="54">
        <v>0</v>
      </c>
      <c r="CM10" s="54">
        <v>0</v>
      </c>
      <c r="CN10" s="54">
        <v>0</v>
      </c>
      <c r="CO10" s="54">
        <v>0</v>
      </c>
      <c r="CP10" s="54">
        <v>0</v>
      </c>
      <c r="CQ10" s="56">
        <f>SUM(CG10:CP10)</f>
        <v>5</v>
      </c>
    </row>
    <row r="11" spans="1:95" s="47" customFormat="1" ht="21" customHeight="1" x14ac:dyDescent="0.25">
      <c r="A11" s="10">
        <v>7</v>
      </c>
      <c r="B11" s="11" t="s">
        <v>37</v>
      </c>
      <c r="C11" s="8" t="s">
        <v>38</v>
      </c>
      <c r="D11" s="141">
        <v>44509</v>
      </c>
      <c r="E11" s="142">
        <v>0.37152777777777773</v>
      </c>
      <c r="F11" s="142">
        <v>0.71458333333333324</v>
      </c>
      <c r="G11" s="142">
        <v>0.37083333333333335</v>
      </c>
      <c r="H11" s="146">
        <v>1</v>
      </c>
      <c r="I11" s="147">
        <v>0.64722222222222225</v>
      </c>
      <c r="J11" s="148">
        <v>1</v>
      </c>
      <c r="K11" s="142">
        <v>0.39999999999999997</v>
      </c>
      <c r="L11" s="142">
        <v>0.79236111111111107</v>
      </c>
      <c r="M11" s="142">
        <v>0.37083333333333335</v>
      </c>
      <c r="N11" s="144">
        <v>0.72777777777777775</v>
      </c>
      <c r="O11" s="145">
        <v>0.37777777777777777</v>
      </c>
      <c r="P11" s="145">
        <v>0.7416666666666667</v>
      </c>
      <c r="Q11" s="145">
        <v>0.36874999999999997</v>
      </c>
      <c r="R11" s="145">
        <v>0.73402777777777783</v>
      </c>
      <c r="S11" s="145">
        <v>0.37291666666666662</v>
      </c>
      <c r="T11" s="145">
        <v>0.74097222222222225</v>
      </c>
      <c r="U11" s="145">
        <v>0.36805555555555558</v>
      </c>
      <c r="V11" s="145">
        <v>0.71666666666666667</v>
      </c>
      <c r="W11" s="143" t="s">
        <v>15</v>
      </c>
      <c r="X11" s="143" t="s">
        <v>15</v>
      </c>
      <c r="Y11" s="145">
        <v>0.37152777777777773</v>
      </c>
      <c r="Z11" s="145">
        <v>0.72222222222222221</v>
      </c>
      <c r="AA11" s="145">
        <v>0.36319444444444443</v>
      </c>
      <c r="AB11" s="145">
        <v>0.73541666666666661</v>
      </c>
      <c r="AC11" s="145">
        <v>0.37361111111111112</v>
      </c>
      <c r="AD11" s="145">
        <v>0.6972222222222223</v>
      </c>
      <c r="AE11" s="145">
        <v>0.37013888888888885</v>
      </c>
      <c r="AF11" s="145">
        <v>0.74097222222222225</v>
      </c>
      <c r="AG11" s="145">
        <v>0.3659722222222222</v>
      </c>
      <c r="AH11" s="145">
        <v>0.7319444444444444</v>
      </c>
      <c r="AI11" s="114"/>
      <c r="AJ11" s="87">
        <v>7</v>
      </c>
      <c r="AK11" s="134">
        <v>46219.367696759262</v>
      </c>
      <c r="AL11" s="134">
        <v>46219.719606481478</v>
      </c>
      <c r="AM11" s="158" t="s">
        <v>15</v>
      </c>
      <c r="AN11" s="158" t="s">
        <v>15</v>
      </c>
      <c r="AO11" s="134">
        <v>46221.411226851851</v>
      </c>
      <c r="AP11" s="134">
        <v>46221.714571759258</v>
      </c>
      <c r="AQ11" s="134">
        <v>46222.364537037036</v>
      </c>
      <c r="AR11" s="134">
        <v>46222.716527777775</v>
      </c>
      <c r="AS11" s="134">
        <v>46223.371874999997</v>
      </c>
      <c r="AT11" s="134">
        <v>46223.708402777775</v>
      </c>
      <c r="AU11" s="134">
        <v>46224.371550925927</v>
      </c>
      <c r="AV11" s="134">
        <v>46224.735081018516</v>
      </c>
      <c r="AW11" s="134">
        <v>46225.371041666665</v>
      </c>
      <c r="AX11" s="134">
        <v>46225.733865740738</v>
      </c>
      <c r="AY11" s="134">
        <v>46226.351273148146</v>
      </c>
      <c r="AZ11" s="134">
        <v>46226.738854166666</v>
      </c>
      <c r="BA11" s="158" t="s">
        <v>15</v>
      </c>
      <c r="BB11" s="158" t="s">
        <v>15</v>
      </c>
      <c r="BC11" s="134">
        <v>46228.41128472222</v>
      </c>
      <c r="BD11" s="134">
        <v>46228.725972222222</v>
      </c>
      <c r="BE11" s="134">
        <v>46229.398738425924</v>
      </c>
      <c r="BF11" s="134">
        <v>46229.727083333331</v>
      </c>
      <c r="BG11" s="134">
        <v>46230.409953703704</v>
      </c>
      <c r="BH11" s="134">
        <v>46230.719594907408</v>
      </c>
      <c r="BI11" s="134">
        <v>46231.370358796295</v>
      </c>
      <c r="BJ11" s="134">
        <v>46231.732349537036</v>
      </c>
      <c r="BK11" s="134">
        <v>46232.37358796296</v>
      </c>
      <c r="BL11" s="137">
        <v>46232.727025462962</v>
      </c>
      <c r="BM11" s="135">
        <v>1</v>
      </c>
      <c r="BN11" s="134">
        <v>46233.734525462962</v>
      </c>
      <c r="BO11" s="158" t="s">
        <v>15</v>
      </c>
      <c r="BP11" s="158" t="s">
        <v>15</v>
      </c>
      <c r="BQ11" s="9">
        <f t="shared" si="12"/>
        <v>31</v>
      </c>
      <c r="BR11" s="68">
        <v>1</v>
      </c>
      <c r="BS11" s="1">
        <f t="shared" si="13"/>
        <v>27</v>
      </c>
      <c r="BT11" s="2">
        <f t="shared" si="14"/>
        <v>4</v>
      </c>
      <c r="BU11" s="2">
        <f t="shared" si="15"/>
        <v>0</v>
      </c>
      <c r="BV11" s="2">
        <f t="shared" si="16"/>
        <v>0</v>
      </c>
      <c r="BW11" s="2">
        <f t="shared" si="17"/>
        <v>0</v>
      </c>
      <c r="BX11" s="2">
        <f t="shared" si="18"/>
        <v>0</v>
      </c>
      <c r="BY11" s="2">
        <f t="shared" si="19"/>
        <v>0</v>
      </c>
      <c r="BZ11" s="2">
        <f t="shared" si="20"/>
        <v>0</v>
      </c>
      <c r="CA11" s="2">
        <f t="shared" si="21"/>
        <v>0</v>
      </c>
      <c r="CB11" s="2">
        <f t="shared" si="22"/>
        <v>0</v>
      </c>
      <c r="CC11" s="2">
        <f t="shared" si="23"/>
        <v>0</v>
      </c>
      <c r="CD11" s="2">
        <f t="shared" si="24"/>
        <v>0</v>
      </c>
      <c r="CE11" s="164"/>
      <c r="CG11" s="54">
        <v>1</v>
      </c>
      <c r="CH11" s="54">
        <v>0</v>
      </c>
      <c r="CI11" s="55">
        <v>22</v>
      </c>
      <c r="CJ11" s="54">
        <v>0</v>
      </c>
      <c r="CK11" s="55">
        <v>3</v>
      </c>
      <c r="CL11" s="55">
        <v>2</v>
      </c>
      <c r="CM11" s="55">
        <v>4</v>
      </c>
      <c r="CN11" s="54">
        <v>0</v>
      </c>
      <c r="CO11" s="54">
        <v>0</v>
      </c>
      <c r="CP11" s="54">
        <v>0</v>
      </c>
      <c r="CQ11" s="56">
        <f t="shared" si="11"/>
        <v>32</v>
      </c>
    </row>
    <row r="12" spans="1:95" s="47" customFormat="1" ht="21" customHeight="1" x14ac:dyDescent="0.25">
      <c r="A12" s="10">
        <v>8</v>
      </c>
      <c r="B12" s="11" t="s">
        <v>39</v>
      </c>
      <c r="C12" s="8" t="s">
        <v>40</v>
      </c>
      <c r="D12" s="154">
        <v>45183</v>
      </c>
      <c r="E12" s="142">
        <v>0.36041666666666666</v>
      </c>
      <c r="F12" s="142">
        <v>0.7090277777777777</v>
      </c>
      <c r="G12" s="142">
        <v>0.40486111111111112</v>
      </c>
      <c r="H12" s="142">
        <v>0.70972222222222225</v>
      </c>
      <c r="I12" s="143" t="s">
        <v>15</v>
      </c>
      <c r="J12" s="143" t="s">
        <v>15</v>
      </c>
      <c r="K12" s="142">
        <v>0.62986111111111109</v>
      </c>
      <c r="L12" s="142">
        <v>0.79583333333333339</v>
      </c>
      <c r="M12" s="142">
        <v>0.36458333333333331</v>
      </c>
      <c r="N12" s="144">
        <v>0.74236111111111114</v>
      </c>
      <c r="O12" s="145">
        <v>0.3659722222222222</v>
      </c>
      <c r="P12" s="145">
        <v>0.7416666666666667</v>
      </c>
      <c r="Q12" s="145">
        <v>0.36249999999999999</v>
      </c>
      <c r="R12" s="145">
        <v>0.72916666666666663</v>
      </c>
      <c r="S12" s="145">
        <v>0.36736111111111108</v>
      </c>
      <c r="T12" s="145">
        <v>0.73055555555555562</v>
      </c>
      <c r="U12" s="145">
        <v>0.36944444444444446</v>
      </c>
      <c r="V12" s="145">
        <v>0.72222222222222221</v>
      </c>
      <c r="W12" s="143" t="s">
        <v>15</v>
      </c>
      <c r="X12" s="143" t="s">
        <v>15</v>
      </c>
      <c r="Y12" s="145">
        <v>0.36458333333333331</v>
      </c>
      <c r="Z12" s="145">
        <v>0.77430555555555547</v>
      </c>
      <c r="AA12" s="145">
        <v>0.36736111111111108</v>
      </c>
      <c r="AB12" s="145">
        <v>0.7368055555555556</v>
      </c>
      <c r="AC12" s="145">
        <v>0.36249999999999999</v>
      </c>
      <c r="AD12" s="145">
        <v>0.72916666666666663</v>
      </c>
      <c r="AE12" s="145">
        <v>0.36249999999999999</v>
      </c>
      <c r="AF12" s="145">
        <v>0.7284722222222223</v>
      </c>
      <c r="AG12" s="145">
        <v>0.36736111111111108</v>
      </c>
      <c r="AH12" s="145">
        <v>0.72083333333333333</v>
      </c>
      <c r="AI12" s="114"/>
      <c r="AJ12" s="87">
        <v>8</v>
      </c>
      <c r="AK12" s="134">
        <v>46219.373043981483</v>
      </c>
      <c r="AL12" s="134">
        <v>46219.719398148147</v>
      </c>
      <c r="AM12" s="158" t="s">
        <v>15</v>
      </c>
      <c r="AN12" s="158" t="s">
        <v>15</v>
      </c>
      <c r="AO12" s="134">
        <v>46221.363067129627</v>
      </c>
      <c r="AP12" s="134">
        <v>46221.734826388885</v>
      </c>
      <c r="AQ12" s="134">
        <v>46222.366377314815</v>
      </c>
      <c r="AR12" s="134">
        <v>46222.721261574072</v>
      </c>
      <c r="AS12" s="134">
        <v>46223.360046296293</v>
      </c>
      <c r="AT12" s="134">
        <v>46223.723483796297</v>
      </c>
      <c r="AU12" s="134">
        <v>46224.363935185182</v>
      </c>
      <c r="AV12" s="134">
        <v>46224.726863425924</v>
      </c>
      <c r="AW12" s="134">
        <v>46225.36</v>
      </c>
      <c r="AX12" s="134">
        <v>46225.734548611108</v>
      </c>
      <c r="AY12" s="134">
        <v>46226.358946759261</v>
      </c>
      <c r="AZ12" s="134">
        <v>46226.727719907409</v>
      </c>
      <c r="BA12" s="158" t="s">
        <v>15</v>
      </c>
      <c r="BB12" s="158" t="s">
        <v>15</v>
      </c>
      <c r="BC12" s="134">
        <v>46228.372731481482</v>
      </c>
      <c r="BD12" s="134">
        <v>46228.735092592593</v>
      </c>
      <c r="BE12" s="134">
        <v>46229.371666666666</v>
      </c>
      <c r="BF12" s="134">
        <v>46229.714548611111</v>
      </c>
      <c r="BG12" s="134">
        <v>46230.36577546296</v>
      </c>
      <c r="BH12" s="134">
        <v>46230.727187500001</v>
      </c>
      <c r="BI12" s="134">
        <v>46231.382152777776</v>
      </c>
      <c r="BJ12" s="134">
        <v>1</v>
      </c>
      <c r="BK12" s="134">
        <v>46232.373113425929</v>
      </c>
      <c r="BL12" s="137">
        <v>46232.724699074075</v>
      </c>
      <c r="BM12" s="135">
        <v>46233.360474537039</v>
      </c>
      <c r="BN12" s="134">
        <v>46233.711539351854</v>
      </c>
      <c r="BO12" s="158" t="s">
        <v>15</v>
      </c>
      <c r="BP12" s="158" t="s">
        <v>15</v>
      </c>
      <c r="BQ12" s="9">
        <f t="shared" si="12"/>
        <v>31</v>
      </c>
      <c r="BR12" s="68">
        <v>0</v>
      </c>
      <c r="BS12" s="1">
        <f t="shared" si="13"/>
        <v>26</v>
      </c>
      <c r="BT12" s="2">
        <f t="shared" si="14"/>
        <v>5</v>
      </c>
      <c r="BU12" s="2">
        <f t="shared" si="15"/>
        <v>0</v>
      </c>
      <c r="BV12" s="2">
        <f t="shared" si="16"/>
        <v>0</v>
      </c>
      <c r="BW12" s="2">
        <f t="shared" si="17"/>
        <v>0</v>
      </c>
      <c r="BX12" s="2">
        <f t="shared" si="18"/>
        <v>0</v>
      </c>
      <c r="BY12" s="2">
        <f t="shared" si="19"/>
        <v>0</v>
      </c>
      <c r="BZ12" s="2">
        <f t="shared" si="20"/>
        <v>0</v>
      </c>
      <c r="CA12" s="2">
        <f t="shared" si="21"/>
        <v>0</v>
      </c>
      <c r="CB12" s="2">
        <f t="shared" si="22"/>
        <v>0</v>
      </c>
      <c r="CC12" s="2">
        <f t="shared" si="23"/>
        <v>0</v>
      </c>
      <c r="CD12" s="2">
        <f t="shared" si="24"/>
        <v>0</v>
      </c>
      <c r="CE12" s="164"/>
      <c r="CG12" s="54">
        <v>0</v>
      </c>
      <c r="CH12" s="54">
        <v>0</v>
      </c>
      <c r="CI12" s="54">
        <v>0</v>
      </c>
      <c r="CJ12" s="54">
        <v>0</v>
      </c>
      <c r="CK12" s="54">
        <v>0</v>
      </c>
      <c r="CL12" s="54">
        <v>11</v>
      </c>
      <c r="CM12" s="54">
        <v>0</v>
      </c>
      <c r="CN12" s="54">
        <v>0</v>
      </c>
      <c r="CO12" s="54">
        <v>0</v>
      </c>
      <c r="CP12" s="54">
        <v>0</v>
      </c>
      <c r="CQ12" s="56">
        <f t="shared" si="11"/>
        <v>11</v>
      </c>
    </row>
    <row r="13" spans="1:95" s="47" customFormat="1" ht="21" customHeight="1" x14ac:dyDescent="0.25">
      <c r="A13" s="10">
        <v>9</v>
      </c>
      <c r="B13" s="11" t="s">
        <v>41</v>
      </c>
      <c r="C13" s="8" t="s">
        <v>232</v>
      </c>
      <c r="D13" s="85">
        <v>45592</v>
      </c>
      <c r="E13" s="142">
        <v>0.51180555555555551</v>
      </c>
      <c r="F13" s="142">
        <v>0.71458333333333324</v>
      </c>
      <c r="G13" s="142">
        <v>0.38680555555555557</v>
      </c>
      <c r="H13" s="142">
        <v>0.71527777777777779</v>
      </c>
      <c r="I13" s="143" t="s">
        <v>15</v>
      </c>
      <c r="J13" s="143" t="s">
        <v>15</v>
      </c>
      <c r="K13" s="142">
        <v>0.41944444444444445</v>
      </c>
      <c r="L13" s="142">
        <v>0.79305555555555562</v>
      </c>
      <c r="M13" s="142">
        <v>0.38819444444444445</v>
      </c>
      <c r="N13" s="149">
        <v>1</v>
      </c>
      <c r="O13" s="145">
        <v>0.38611111111111113</v>
      </c>
      <c r="P13" s="145">
        <v>0.74236111111111114</v>
      </c>
      <c r="Q13" s="145">
        <v>0.37777777777777777</v>
      </c>
      <c r="R13" s="145">
        <v>0.73402777777777783</v>
      </c>
      <c r="S13" s="145">
        <v>0.38194444444444442</v>
      </c>
      <c r="T13" s="145">
        <v>0.73333333333333339</v>
      </c>
      <c r="U13" s="145">
        <v>0.37291666666666662</v>
      </c>
      <c r="V13" s="145">
        <v>0.72222222222222221</v>
      </c>
      <c r="W13" s="143" t="s">
        <v>15</v>
      </c>
      <c r="X13" s="143" t="s">
        <v>15</v>
      </c>
      <c r="Y13" s="145">
        <v>0.4145833333333333</v>
      </c>
      <c r="Z13" s="145">
        <v>0.72986111111111107</v>
      </c>
      <c r="AA13" s="145">
        <v>0.37361111111111112</v>
      </c>
      <c r="AB13" s="145">
        <v>0.73402777777777783</v>
      </c>
      <c r="AC13" s="145">
        <v>0.37361111111111112</v>
      </c>
      <c r="AD13" s="145">
        <v>0.72499999999999998</v>
      </c>
      <c r="AE13" s="145">
        <v>0.37291666666666662</v>
      </c>
      <c r="AF13" s="145">
        <v>0.72777777777777775</v>
      </c>
      <c r="AG13" s="145">
        <v>0.3743055555555555</v>
      </c>
      <c r="AH13" s="145">
        <v>0.71458333333333324</v>
      </c>
      <c r="AI13" s="106"/>
      <c r="AJ13" s="87">
        <v>9</v>
      </c>
      <c r="AK13" s="134">
        <v>46219.374560185184</v>
      </c>
      <c r="AL13" s="134">
        <v>46219.746678240743</v>
      </c>
      <c r="AM13" s="158" t="s">
        <v>15</v>
      </c>
      <c r="AN13" s="158" t="s">
        <v>15</v>
      </c>
      <c r="AO13" s="134" t="s">
        <v>174</v>
      </c>
      <c r="AP13" s="134" t="s">
        <v>174</v>
      </c>
      <c r="AQ13" s="134">
        <v>46222.379583333335</v>
      </c>
      <c r="AR13" s="134">
        <v>46222.721226851849</v>
      </c>
      <c r="AS13" s="134">
        <v>46223.373761574076</v>
      </c>
      <c r="AT13" s="134">
        <v>1</v>
      </c>
      <c r="AU13" s="134">
        <v>46224.373749999999</v>
      </c>
      <c r="AV13" s="134">
        <v>46224.732395833336</v>
      </c>
      <c r="AW13" s="134">
        <v>46225.37159722222</v>
      </c>
      <c r="AX13" s="134">
        <v>46225.723923611113</v>
      </c>
      <c r="AY13" s="134">
        <v>46226.35396990741</v>
      </c>
      <c r="AZ13" s="134">
        <v>46226.713750000003</v>
      </c>
      <c r="BA13" s="158" t="s">
        <v>15</v>
      </c>
      <c r="BB13" s="158" t="s">
        <v>15</v>
      </c>
      <c r="BC13" s="134">
        <v>46228.411145833335</v>
      </c>
      <c r="BD13" s="134">
        <v>46228.728703703702</v>
      </c>
      <c r="BE13" s="134">
        <v>46229.410856481481</v>
      </c>
      <c r="BF13" s="134">
        <v>46229.708356481482</v>
      </c>
      <c r="BG13" s="134">
        <v>46230.413784722223</v>
      </c>
      <c r="BH13" s="134">
        <v>46230.727141203701</v>
      </c>
      <c r="BI13" s="134">
        <v>46231.373344907406</v>
      </c>
      <c r="BJ13" s="134">
        <v>1</v>
      </c>
      <c r="BK13" s="134">
        <v>0.4291666666666667</v>
      </c>
      <c r="BL13" s="159">
        <v>1</v>
      </c>
      <c r="BM13" s="135">
        <v>46233.372569444444</v>
      </c>
      <c r="BN13" s="134">
        <v>46233.725706018522</v>
      </c>
      <c r="BO13" s="158" t="s">
        <v>15</v>
      </c>
      <c r="BP13" s="158" t="s">
        <v>15</v>
      </c>
      <c r="BQ13" s="9">
        <f t="shared" si="12"/>
        <v>31</v>
      </c>
      <c r="BR13" s="68">
        <v>0</v>
      </c>
      <c r="BS13" s="1">
        <f t="shared" si="13"/>
        <v>25</v>
      </c>
      <c r="BT13" s="2">
        <f t="shared" si="14"/>
        <v>5</v>
      </c>
      <c r="BU13" s="2">
        <f t="shared" si="15"/>
        <v>0</v>
      </c>
      <c r="BV13" s="2">
        <f t="shared" si="16"/>
        <v>0</v>
      </c>
      <c r="BW13" s="2">
        <f t="shared" si="17"/>
        <v>0</v>
      </c>
      <c r="BX13" s="2">
        <f t="shared" si="18"/>
        <v>0</v>
      </c>
      <c r="BY13" s="2">
        <f t="shared" si="19"/>
        <v>0</v>
      </c>
      <c r="BZ13" s="2">
        <f t="shared" si="20"/>
        <v>1</v>
      </c>
      <c r="CA13" s="2">
        <f t="shared" si="21"/>
        <v>0</v>
      </c>
      <c r="CB13" s="2">
        <f t="shared" si="22"/>
        <v>0</v>
      </c>
      <c r="CC13" s="2">
        <f t="shared" si="23"/>
        <v>0</v>
      </c>
      <c r="CD13" s="2">
        <f t="shared" si="24"/>
        <v>0</v>
      </c>
      <c r="CE13" s="164"/>
      <c r="CG13" s="54">
        <v>0</v>
      </c>
      <c r="CH13" s="54">
        <v>0</v>
      </c>
      <c r="CI13" s="54">
        <v>38</v>
      </c>
      <c r="CJ13" s="54">
        <v>0</v>
      </c>
      <c r="CK13" s="54">
        <v>0</v>
      </c>
      <c r="CL13" s="55">
        <v>9</v>
      </c>
      <c r="CM13" s="55">
        <v>0</v>
      </c>
      <c r="CN13" s="55">
        <v>0</v>
      </c>
      <c r="CO13" s="54">
        <v>0</v>
      </c>
      <c r="CP13" s="54">
        <v>0</v>
      </c>
      <c r="CQ13" s="56">
        <f t="shared" si="11"/>
        <v>47</v>
      </c>
    </row>
    <row r="14" spans="1:95" s="47" customFormat="1" ht="22.5" customHeight="1" x14ac:dyDescent="0.25">
      <c r="A14" s="10">
        <v>10</v>
      </c>
      <c r="B14" s="45" t="s">
        <v>240</v>
      </c>
      <c r="C14" s="176" t="s">
        <v>242</v>
      </c>
      <c r="D14" s="85">
        <v>46097</v>
      </c>
      <c r="E14" s="146">
        <v>1</v>
      </c>
      <c r="F14" s="142">
        <v>0.71458333333333324</v>
      </c>
      <c r="G14" s="142">
        <v>0.37708333333333338</v>
      </c>
      <c r="H14" s="142">
        <v>0.70972222222222225</v>
      </c>
      <c r="I14" s="143" t="s">
        <v>15</v>
      </c>
      <c r="J14" s="143" t="s">
        <v>15</v>
      </c>
      <c r="K14" s="142">
        <v>0.41666666666666669</v>
      </c>
      <c r="L14" s="142">
        <v>0.79305555555555562</v>
      </c>
      <c r="M14" s="146">
        <v>1</v>
      </c>
      <c r="N14" s="144">
        <v>0.73333333333333339</v>
      </c>
      <c r="O14" s="145">
        <v>0.37708333333333338</v>
      </c>
      <c r="P14" s="145">
        <v>0.74097222222222225</v>
      </c>
      <c r="Q14" s="145">
        <v>0.37361111111111112</v>
      </c>
      <c r="R14" s="145">
        <v>0.73402777777777783</v>
      </c>
      <c r="S14" s="145">
        <v>0.73888888888888893</v>
      </c>
      <c r="T14" s="153">
        <v>1</v>
      </c>
      <c r="U14" s="145">
        <v>0.375</v>
      </c>
      <c r="V14" s="153">
        <v>1</v>
      </c>
      <c r="W14" s="143" t="s">
        <v>15</v>
      </c>
      <c r="X14" s="143" t="s">
        <v>15</v>
      </c>
      <c r="Y14" s="145">
        <v>0.41666666666666669</v>
      </c>
      <c r="Z14" s="145">
        <v>0.76527777777777783</v>
      </c>
      <c r="AA14" s="145">
        <v>0.3743055555555555</v>
      </c>
      <c r="AB14" s="145">
        <v>0.73402777777777783</v>
      </c>
      <c r="AC14" s="145">
        <v>0.3756944444444445</v>
      </c>
      <c r="AD14" s="145">
        <v>0.72499999999999998</v>
      </c>
      <c r="AE14" s="145">
        <v>0.3743055555555555</v>
      </c>
      <c r="AF14" s="145">
        <v>0.72777777777777775</v>
      </c>
      <c r="AG14" s="145">
        <v>0.37361111111111112</v>
      </c>
      <c r="AH14" s="145">
        <v>0.71388888888888891</v>
      </c>
      <c r="AI14" s="114"/>
      <c r="AJ14" s="87">
        <v>10</v>
      </c>
      <c r="AK14" s="134">
        <v>46219.373344907406</v>
      </c>
      <c r="AL14" s="134">
        <v>46219.73878472222</v>
      </c>
      <c r="AM14" s="158" t="s">
        <v>15</v>
      </c>
      <c r="AN14" s="158" t="s">
        <v>15</v>
      </c>
      <c r="AO14" s="134">
        <v>46221.416828703703</v>
      </c>
      <c r="AP14" s="134">
        <v>46221.736145833333</v>
      </c>
      <c r="AQ14" s="134">
        <v>46222.3750462963</v>
      </c>
      <c r="AR14" s="134">
        <v>46222.710231481484</v>
      </c>
      <c r="AS14" s="134">
        <v>46223.438773148147</v>
      </c>
      <c r="AT14" s="134">
        <v>46223.726087962961</v>
      </c>
      <c r="AU14" s="134">
        <v>46224.378530092596</v>
      </c>
      <c r="AV14" s="134">
        <v>46224.732488425929</v>
      </c>
      <c r="AW14" s="134">
        <v>46225.375821759262</v>
      </c>
      <c r="AX14" s="134">
        <v>46225.723993055559</v>
      </c>
      <c r="AY14" s="134">
        <v>46226.38</v>
      </c>
      <c r="AZ14" s="134">
        <v>46226.727685185186</v>
      </c>
      <c r="BA14" s="158" t="s">
        <v>15</v>
      </c>
      <c r="BB14" s="158" t="s">
        <v>15</v>
      </c>
      <c r="BC14" s="134">
        <v>46228.417048611111</v>
      </c>
      <c r="BD14" s="134">
        <v>46228.736134259256</v>
      </c>
      <c r="BE14" s="134">
        <v>46229.416898148149</v>
      </c>
      <c r="BF14" s="134">
        <v>46229.708472222221</v>
      </c>
      <c r="BG14" s="134">
        <v>46230.416481481479</v>
      </c>
      <c r="BH14" s="134">
        <v>46230.727106481485</v>
      </c>
      <c r="BI14" s="134">
        <v>46231.378993055558</v>
      </c>
      <c r="BJ14" s="134">
        <v>1</v>
      </c>
      <c r="BK14" s="134">
        <v>46232.378182870372</v>
      </c>
      <c r="BL14" s="137">
        <v>46232.725972222222</v>
      </c>
      <c r="BM14" s="137">
        <v>46233.374502314815</v>
      </c>
      <c r="BN14" s="134">
        <v>46233.726458333331</v>
      </c>
      <c r="BO14" s="158" t="s">
        <v>15</v>
      </c>
      <c r="BP14" s="158" t="s">
        <v>15</v>
      </c>
      <c r="BQ14" s="9">
        <f>BS14+BT14+BV14+CA14+BY14+BZ14+CD14+BU14</f>
        <v>31</v>
      </c>
      <c r="BR14" s="68">
        <v>0</v>
      </c>
      <c r="BS14" s="1">
        <f t="shared" si="13"/>
        <v>26</v>
      </c>
      <c r="BT14" s="2">
        <f t="shared" si="14"/>
        <v>5</v>
      </c>
      <c r="BU14" s="2">
        <f t="shared" si="15"/>
        <v>0</v>
      </c>
      <c r="BV14" s="2">
        <f t="shared" si="16"/>
        <v>0</v>
      </c>
      <c r="BW14" s="2">
        <f t="shared" si="17"/>
        <v>0</v>
      </c>
      <c r="BX14" s="2">
        <f t="shared" si="18"/>
        <v>0</v>
      </c>
      <c r="BY14" s="2">
        <f t="shared" si="19"/>
        <v>0</v>
      </c>
      <c r="BZ14" s="2">
        <f t="shared" si="20"/>
        <v>0</v>
      </c>
      <c r="CA14" s="2">
        <f t="shared" si="21"/>
        <v>0</v>
      </c>
      <c r="CB14" s="2">
        <f t="shared" si="22"/>
        <v>0</v>
      </c>
      <c r="CC14" s="2">
        <f t="shared" si="23"/>
        <v>0</v>
      </c>
      <c r="CD14" s="2">
        <f t="shared" si="24"/>
        <v>0</v>
      </c>
      <c r="CE14" s="164"/>
      <c r="CG14" s="67">
        <v>0</v>
      </c>
      <c r="CH14" s="67">
        <v>0</v>
      </c>
      <c r="CI14" s="67">
        <v>0</v>
      </c>
      <c r="CJ14" s="67">
        <v>0</v>
      </c>
      <c r="CK14" s="67">
        <v>0</v>
      </c>
      <c r="CL14" s="67">
        <v>0</v>
      </c>
      <c r="CM14" s="67">
        <v>0</v>
      </c>
      <c r="CN14" s="67">
        <v>0</v>
      </c>
      <c r="CO14" s="67">
        <v>0</v>
      </c>
      <c r="CP14" s="67">
        <v>0</v>
      </c>
      <c r="CQ14" s="56">
        <f>SUM(CG14:CP14)</f>
        <v>0</v>
      </c>
    </row>
    <row r="15" spans="1:95" s="47" customFormat="1" ht="21" customHeight="1" x14ac:dyDescent="0.25">
      <c r="A15" s="10">
        <v>11</v>
      </c>
      <c r="B15" s="11" t="s">
        <v>44</v>
      </c>
      <c r="C15" s="8" t="s">
        <v>233</v>
      </c>
      <c r="D15" s="85">
        <v>45386</v>
      </c>
      <c r="E15" s="142">
        <v>0.36041666666666666</v>
      </c>
      <c r="F15" s="146">
        <v>1</v>
      </c>
      <c r="G15" s="142">
        <v>0.35555555555555557</v>
      </c>
      <c r="H15" s="142">
        <v>0.99513888888888891</v>
      </c>
      <c r="I15" s="147">
        <v>0.6</v>
      </c>
      <c r="J15" s="148">
        <v>1</v>
      </c>
      <c r="K15" s="142">
        <v>0.35347222222222219</v>
      </c>
      <c r="L15" s="142">
        <v>0.96250000000000002</v>
      </c>
      <c r="M15" s="142">
        <v>0.35416666666666669</v>
      </c>
      <c r="N15" s="144">
        <v>0.96805555555555556</v>
      </c>
      <c r="O15" s="145">
        <v>0.35625000000000001</v>
      </c>
      <c r="P15" s="145">
        <v>0.96250000000000002</v>
      </c>
      <c r="Q15" s="145">
        <v>0.35555555555555557</v>
      </c>
      <c r="R15" s="145">
        <v>0.97222222222222221</v>
      </c>
      <c r="S15" s="145">
        <v>0.35555555555555557</v>
      </c>
      <c r="T15" s="145">
        <v>3.472222222222222E-3</v>
      </c>
      <c r="U15" s="145">
        <v>0.35347222222222219</v>
      </c>
      <c r="V15" s="145">
        <v>0.98541666666666661</v>
      </c>
      <c r="W15" s="143" t="s">
        <v>15</v>
      </c>
      <c r="X15" s="143" t="s">
        <v>15</v>
      </c>
      <c r="Y15" s="145">
        <v>0.35486111111111113</v>
      </c>
      <c r="Z15" s="145">
        <v>0.96388888888888891</v>
      </c>
      <c r="AA15" s="145">
        <v>0.35000000000000003</v>
      </c>
      <c r="AB15" s="145">
        <v>0.97499999999999998</v>
      </c>
      <c r="AC15" s="145">
        <v>0.35347222222222219</v>
      </c>
      <c r="AD15" s="145">
        <v>0.94027777777777777</v>
      </c>
      <c r="AE15" s="145">
        <v>0.35347222222222219</v>
      </c>
      <c r="AF15" s="145">
        <v>0.96458333333333324</v>
      </c>
      <c r="AG15" s="145">
        <v>0.35347222222222219</v>
      </c>
      <c r="AH15" s="145">
        <v>0.9784722222222223</v>
      </c>
      <c r="AI15" s="114"/>
      <c r="AJ15" s="87">
        <v>11</v>
      </c>
      <c r="AK15" s="134">
        <v>46219.35365740741</v>
      </c>
      <c r="AL15" s="134">
        <v>46219.994733796295</v>
      </c>
      <c r="AM15" s="134">
        <v>46220.581793981481</v>
      </c>
      <c r="AN15" s="134">
        <v>46220.942303240743</v>
      </c>
      <c r="AO15" s="134">
        <v>46221.353738425925</v>
      </c>
      <c r="AP15" s="134">
        <v>46221.971805555557</v>
      </c>
      <c r="AQ15" s="134">
        <v>46222.354722222219</v>
      </c>
      <c r="AR15" s="134">
        <v>46222.945648148147</v>
      </c>
      <c r="AS15" s="134">
        <v>46223.35491898148</v>
      </c>
      <c r="AT15" s="134">
        <v>46223.960902777777</v>
      </c>
      <c r="AU15" s="134">
        <v>46224.354097222225</v>
      </c>
      <c r="AV15" s="134">
        <v>46224.967187499999</v>
      </c>
      <c r="AW15" s="134">
        <v>46225.354710648149</v>
      </c>
      <c r="AX15" s="134">
        <v>46225.989131944443</v>
      </c>
      <c r="AY15" s="134">
        <v>46226.355706018519</v>
      </c>
      <c r="AZ15" s="134">
        <v>46226.965729166666</v>
      </c>
      <c r="BA15" s="158" t="s">
        <v>15</v>
      </c>
      <c r="BB15" s="158" t="s">
        <v>15</v>
      </c>
      <c r="BC15" s="134">
        <v>46228.349664351852</v>
      </c>
      <c r="BD15" s="134">
        <v>46228.973958333336</v>
      </c>
      <c r="BE15" s="134">
        <v>46228.349664351852</v>
      </c>
      <c r="BF15" s="134">
        <v>46229.946388888886</v>
      </c>
      <c r="BG15" s="134">
        <v>46230.354814814818</v>
      </c>
      <c r="BH15" s="134">
        <v>46230.989606481482</v>
      </c>
      <c r="BI15" s="134">
        <v>46228.349664351852</v>
      </c>
      <c r="BJ15" s="134">
        <v>46231.95994212963</v>
      </c>
      <c r="BK15" s="134">
        <v>46232.355150462965</v>
      </c>
      <c r="BL15" s="137">
        <v>46232.975798611114</v>
      </c>
      <c r="BM15" s="135">
        <v>46233.354710648149</v>
      </c>
      <c r="BN15" s="134">
        <v>46233.988622685189</v>
      </c>
      <c r="BO15" s="134">
        <v>46234.581678240742</v>
      </c>
      <c r="BP15" s="137">
        <v>46234.944085648145</v>
      </c>
      <c r="BQ15" s="9">
        <f t="shared" si="12"/>
        <v>31</v>
      </c>
      <c r="BR15" s="169">
        <v>3</v>
      </c>
      <c r="BS15" s="1">
        <f t="shared" si="13"/>
        <v>29</v>
      </c>
      <c r="BT15" s="2">
        <f t="shared" si="14"/>
        <v>2</v>
      </c>
      <c r="BU15" s="2">
        <f t="shared" si="15"/>
        <v>0</v>
      </c>
      <c r="BV15" s="2">
        <f t="shared" si="16"/>
        <v>0</v>
      </c>
      <c r="BW15" s="2">
        <f t="shared" si="17"/>
        <v>0</v>
      </c>
      <c r="BX15" s="2">
        <f t="shared" si="18"/>
        <v>0</v>
      </c>
      <c r="BY15" s="2">
        <f t="shared" si="19"/>
        <v>0</v>
      </c>
      <c r="BZ15" s="2">
        <f t="shared" si="20"/>
        <v>0</v>
      </c>
      <c r="CA15" s="2">
        <f t="shared" si="21"/>
        <v>0</v>
      </c>
      <c r="CB15" s="2">
        <f t="shared" si="22"/>
        <v>0</v>
      </c>
      <c r="CC15" s="2">
        <f t="shared" si="23"/>
        <v>0</v>
      </c>
      <c r="CD15" s="2">
        <f t="shared" si="24"/>
        <v>0</v>
      </c>
      <c r="CE15" s="164"/>
      <c r="CG15" s="54">
        <v>0</v>
      </c>
      <c r="CH15" s="54">
        <v>0</v>
      </c>
      <c r="CI15" s="55">
        <v>28</v>
      </c>
      <c r="CJ15" s="54">
        <v>0</v>
      </c>
      <c r="CK15" s="54">
        <v>0</v>
      </c>
      <c r="CL15" s="55">
        <v>1</v>
      </c>
      <c r="CM15" s="54">
        <v>0</v>
      </c>
      <c r="CN15" s="54">
        <v>0</v>
      </c>
      <c r="CO15" s="54">
        <v>0</v>
      </c>
      <c r="CP15" s="54">
        <v>0</v>
      </c>
      <c r="CQ15" s="56">
        <f t="shared" si="11"/>
        <v>29</v>
      </c>
    </row>
    <row r="16" spans="1:95" s="47" customFormat="1" ht="21" customHeight="1" x14ac:dyDescent="0.25">
      <c r="A16" s="87">
        <v>12</v>
      </c>
      <c r="B16" s="11" t="s">
        <v>42</v>
      </c>
      <c r="C16" s="8" t="s">
        <v>43</v>
      </c>
      <c r="D16" s="85">
        <v>45381</v>
      </c>
      <c r="E16" s="170" t="s">
        <v>18</v>
      </c>
      <c r="F16" s="170" t="s">
        <v>18</v>
      </c>
      <c r="G16" s="170" t="s">
        <v>18</v>
      </c>
      <c r="H16" s="170" t="s">
        <v>18</v>
      </c>
      <c r="I16" s="170" t="s">
        <v>18</v>
      </c>
      <c r="J16" s="170" t="s">
        <v>18</v>
      </c>
      <c r="K16" s="170" t="s">
        <v>18</v>
      </c>
      <c r="L16" s="170" t="s">
        <v>18</v>
      </c>
      <c r="M16" s="170" t="s">
        <v>18</v>
      </c>
      <c r="N16" s="170" t="s">
        <v>18</v>
      </c>
      <c r="O16" s="170" t="s">
        <v>18</v>
      </c>
      <c r="P16" s="170" t="s">
        <v>18</v>
      </c>
      <c r="Q16" s="170" t="s">
        <v>18</v>
      </c>
      <c r="R16" s="170" t="s">
        <v>18</v>
      </c>
      <c r="S16" s="170" t="s">
        <v>18</v>
      </c>
      <c r="T16" s="170" t="s">
        <v>18</v>
      </c>
      <c r="U16" s="170" t="s">
        <v>18</v>
      </c>
      <c r="V16" s="170" t="s">
        <v>18</v>
      </c>
      <c r="W16" s="170" t="s">
        <v>18</v>
      </c>
      <c r="X16" s="170" t="s">
        <v>18</v>
      </c>
      <c r="Y16" s="170" t="s">
        <v>18</v>
      </c>
      <c r="Z16" s="170" t="s">
        <v>18</v>
      </c>
      <c r="AA16" s="170" t="s">
        <v>18</v>
      </c>
      <c r="AB16" s="170" t="s">
        <v>18</v>
      </c>
      <c r="AC16" s="170" t="s">
        <v>18</v>
      </c>
      <c r="AD16" s="170" t="s">
        <v>18</v>
      </c>
      <c r="AE16" s="170" t="s">
        <v>18</v>
      </c>
      <c r="AF16" s="170" t="s">
        <v>18</v>
      </c>
      <c r="AG16" s="170" t="s">
        <v>18</v>
      </c>
      <c r="AH16" s="170" t="s">
        <v>18</v>
      </c>
      <c r="AI16" s="171"/>
      <c r="AJ16" s="87">
        <v>12</v>
      </c>
      <c r="AK16" s="172" t="s">
        <v>18</v>
      </c>
      <c r="AL16" s="172" t="s">
        <v>18</v>
      </c>
      <c r="AM16" s="172" t="s">
        <v>18</v>
      </c>
      <c r="AN16" s="172" t="s">
        <v>18</v>
      </c>
      <c r="AO16" s="172" t="s">
        <v>18</v>
      </c>
      <c r="AP16" s="172" t="s">
        <v>18</v>
      </c>
      <c r="AQ16" s="172" t="s">
        <v>18</v>
      </c>
      <c r="AR16" s="172" t="s">
        <v>18</v>
      </c>
      <c r="AS16" s="172" t="s">
        <v>18</v>
      </c>
      <c r="AT16" s="172" t="s">
        <v>18</v>
      </c>
      <c r="AU16" s="134">
        <v>46224.323888888888</v>
      </c>
      <c r="AV16" s="134">
        <v>46224.941608796296</v>
      </c>
      <c r="AW16" s="134">
        <v>46225.327719907407</v>
      </c>
      <c r="AX16" s="134">
        <v>46225.935046296298</v>
      </c>
      <c r="AY16" s="134">
        <v>46226.351435185185</v>
      </c>
      <c r="AZ16" s="134">
        <v>1</v>
      </c>
      <c r="BA16" s="134">
        <v>46227.58048611111</v>
      </c>
      <c r="BB16" s="134">
        <v>46227.889351851853</v>
      </c>
      <c r="BC16" s="134">
        <v>46228.324629629627</v>
      </c>
      <c r="BD16" s="134">
        <v>1</v>
      </c>
      <c r="BE16" s="134">
        <v>46229.336678240739</v>
      </c>
      <c r="BF16" s="134">
        <v>46229.914502314816</v>
      </c>
      <c r="BG16" s="134">
        <v>46230.323425925926</v>
      </c>
      <c r="BH16" s="134">
        <v>46230.952013888891</v>
      </c>
      <c r="BI16" s="134">
        <v>46231.325173611112</v>
      </c>
      <c r="BJ16" s="134">
        <v>46231.938136574077</v>
      </c>
      <c r="BK16" s="134">
        <v>46232.320393518516</v>
      </c>
      <c r="BL16" s="137">
        <v>46232.979884259257</v>
      </c>
      <c r="BM16" s="135">
        <v>46233.321597222224</v>
      </c>
      <c r="BN16" s="134">
        <v>46233.984664351854</v>
      </c>
      <c r="BO16" s="134">
        <v>46234.571192129632</v>
      </c>
      <c r="BP16" s="137">
        <v>46234.950115740743</v>
      </c>
      <c r="BQ16" s="173">
        <f>BS16+BT16+BV16+CA16+BY16+BZ16+CD16</f>
        <v>11</v>
      </c>
      <c r="BR16" s="174">
        <v>2</v>
      </c>
      <c r="BS16" s="1">
        <f t="shared" si="13"/>
        <v>11</v>
      </c>
      <c r="BT16" s="2">
        <f t="shared" si="14"/>
        <v>0</v>
      </c>
      <c r="BU16" s="2">
        <f t="shared" si="15"/>
        <v>0</v>
      </c>
      <c r="BV16" s="2">
        <f t="shared" si="16"/>
        <v>0</v>
      </c>
      <c r="BW16" s="2">
        <f t="shared" si="17"/>
        <v>20</v>
      </c>
      <c r="BX16" s="2">
        <f t="shared" si="18"/>
        <v>0</v>
      </c>
      <c r="BY16" s="2">
        <f t="shared" si="19"/>
        <v>0</v>
      </c>
      <c r="BZ16" s="2">
        <f t="shared" si="20"/>
        <v>0</v>
      </c>
      <c r="CA16" s="2">
        <f t="shared" si="21"/>
        <v>0</v>
      </c>
      <c r="CB16" s="2">
        <f t="shared" si="22"/>
        <v>0</v>
      </c>
      <c r="CC16" s="2">
        <f t="shared" si="23"/>
        <v>0</v>
      </c>
      <c r="CD16" s="2">
        <f t="shared" si="24"/>
        <v>0</v>
      </c>
      <c r="CE16" s="164"/>
    </row>
    <row r="17" spans="1:95" s="47" customFormat="1" ht="21" customHeight="1" x14ac:dyDescent="0.25">
      <c r="A17" s="10">
        <v>13</v>
      </c>
      <c r="B17" s="11" t="s">
        <v>59</v>
      </c>
      <c r="C17" s="8" t="s">
        <v>60</v>
      </c>
      <c r="D17" s="85">
        <v>45881</v>
      </c>
      <c r="E17" s="142">
        <v>0.32777777777777778</v>
      </c>
      <c r="F17" s="146">
        <v>1</v>
      </c>
      <c r="G17" s="142">
        <v>0.32569444444444445</v>
      </c>
      <c r="H17" s="146">
        <v>1</v>
      </c>
      <c r="I17" s="147">
        <v>0.56527777777777777</v>
      </c>
      <c r="J17" s="147">
        <v>0.94305555555555554</v>
      </c>
      <c r="K17" s="142">
        <v>0.32013888888888892</v>
      </c>
      <c r="L17" s="146">
        <v>1</v>
      </c>
      <c r="M17" s="142">
        <v>0.32361111111111113</v>
      </c>
      <c r="N17" s="149">
        <v>1</v>
      </c>
      <c r="O17" s="145">
        <v>0.32708333333333334</v>
      </c>
      <c r="P17" s="153">
        <v>1</v>
      </c>
      <c r="Q17" s="145">
        <v>0.32708333333333334</v>
      </c>
      <c r="R17" s="153">
        <v>1</v>
      </c>
      <c r="S17" s="145">
        <v>0.32777777777777778</v>
      </c>
      <c r="T17" s="145">
        <v>0.96111111111111114</v>
      </c>
      <c r="U17" s="145">
        <v>0.3263888888888889</v>
      </c>
      <c r="V17" s="145">
        <v>0.9770833333333333</v>
      </c>
      <c r="W17" s="150">
        <v>0.56736111111111109</v>
      </c>
      <c r="X17" s="150">
        <v>1.3888888888888889E-3</v>
      </c>
      <c r="Y17" s="145">
        <v>0.33333333333333331</v>
      </c>
      <c r="Z17" s="153">
        <v>1</v>
      </c>
      <c r="AA17" s="145">
        <v>0.3263888888888889</v>
      </c>
      <c r="AB17" s="145">
        <v>0.94513888888888886</v>
      </c>
      <c r="AC17" s="145">
        <v>0.32916666666666666</v>
      </c>
      <c r="AD17" s="146">
        <v>1</v>
      </c>
      <c r="AE17" s="145">
        <v>0.32430555555555557</v>
      </c>
      <c r="AF17" s="145">
        <v>0.9555555555555556</v>
      </c>
      <c r="AG17" s="145">
        <v>0.32083333333333336</v>
      </c>
      <c r="AH17" s="146">
        <v>1</v>
      </c>
      <c r="AI17" s="114"/>
      <c r="AJ17" s="87">
        <v>13</v>
      </c>
      <c r="AK17" s="134">
        <v>46219.328877314816</v>
      </c>
      <c r="AL17" s="134">
        <v>46219.995775462965</v>
      </c>
      <c r="AM17" s="134">
        <v>46220.564675925925</v>
      </c>
      <c r="AN17" s="136">
        <v>1</v>
      </c>
      <c r="AO17" s="134">
        <v>46221.331134259257</v>
      </c>
      <c r="AP17" s="136">
        <v>1</v>
      </c>
      <c r="AQ17" s="134">
        <v>46222.323460648149</v>
      </c>
      <c r="AR17" s="134">
        <v>46222.960092592592</v>
      </c>
      <c r="AS17" s="134">
        <v>46223.328564814816</v>
      </c>
      <c r="AT17" s="136">
        <v>1</v>
      </c>
      <c r="AU17" s="134">
        <v>46224.323796296296</v>
      </c>
      <c r="AV17" s="136">
        <v>1</v>
      </c>
      <c r="AW17" s="134">
        <v>46225.327789351853</v>
      </c>
      <c r="AX17" s="134">
        <v>46225.970497685186</v>
      </c>
      <c r="AY17" s="134">
        <v>46226.352905092594</v>
      </c>
      <c r="AZ17" s="134">
        <v>1</v>
      </c>
      <c r="BA17" s="134">
        <v>46227.566550925927</v>
      </c>
      <c r="BB17" s="134">
        <v>1</v>
      </c>
      <c r="BC17" s="134">
        <v>46228.322210648148</v>
      </c>
      <c r="BD17" s="136">
        <v>1</v>
      </c>
      <c r="BE17" s="134">
        <v>46229.318796296298</v>
      </c>
      <c r="BF17" s="134">
        <v>1</v>
      </c>
      <c r="BG17" s="134">
        <v>46230.321203703701</v>
      </c>
      <c r="BH17" s="134">
        <v>46230.975173611114</v>
      </c>
      <c r="BI17" s="134">
        <v>46231.31517361111</v>
      </c>
      <c r="BJ17" s="134">
        <v>46231.995636574073</v>
      </c>
      <c r="BK17" s="134">
        <v>46232.320451388892</v>
      </c>
      <c r="BL17" s="137">
        <v>46232.979837962965</v>
      </c>
      <c r="BM17" s="137">
        <v>46233.31695601852</v>
      </c>
      <c r="BN17" s="134">
        <v>46233.987395833334</v>
      </c>
      <c r="BO17" s="134">
        <v>46234.56622685185</v>
      </c>
      <c r="BP17" s="137">
        <v>46234.948263888888</v>
      </c>
      <c r="BQ17" s="9">
        <f>BS17+BT17+BV17+CA17+BY17+BZ17+CD17+BU17</f>
        <v>31</v>
      </c>
      <c r="BR17" s="68">
        <v>5</v>
      </c>
      <c r="BS17" s="1">
        <f t="shared" si="13"/>
        <v>31</v>
      </c>
      <c r="BT17" s="2">
        <f t="shared" si="14"/>
        <v>0</v>
      </c>
      <c r="BU17" s="2">
        <f t="shared" si="15"/>
        <v>0</v>
      </c>
      <c r="BV17" s="2">
        <f t="shared" si="16"/>
        <v>0</v>
      </c>
      <c r="BW17" s="2">
        <f t="shared" si="17"/>
        <v>0</v>
      </c>
      <c r="BX17" s="2">
        <f t="shared" si="18"/>
        <v>0</v>
      </c>
      <c r="BY17" s="2">
        <f t="shared" si="19"/>
        <v>0</v>
      </c>
      <c r="BZ17" s="2">
        <f t="shared" si="20"/>
        <v>0</v>
      </c>
      <c r="CA17" s="2">
        <f t="shared" si="21"/>
        <v>0</v>
      </c>
      <c r="CB17" s="2">
        <f t="shared" si="22"/>
        <v>0</v>
      </c>
      <c r="CC17" s="2">
        <f t="shared" si="23"/>
        <v>0</v>
      </c>
      <c r="CD17" s="2">
        <f t="shared" si="24"/>
        <v>0</v>
      </c>
      <c r="CE17" s="131"/>
      <c r="CG17" s="54">
        <v>0</v>
      </c>
      <c r="CH17" s="54">
        <v>0</v>
      </c>
      <c r="CI17" s="54">
        <v>0</v>
      </c>
      <c r="CJ17" s="54">
        <v>0</v>
      </c>
      <c r="CK17" s="54">
        <v>0</v>
      </c>
      <c r="CL17" s="54">
        <v>0</v>
      </c>
      <c r="CM17" s="54">
        <v>0</v>
      </c>
      <c r="CN17" s="54">
        <v>0</v>
      </c>
      <c r="CO17" s="54">
        <v>0</v>
      </c>
      <c r="CP17" s="54">
        <v>0</v>
      </c>
      <c r="CQ17" s="56">
        <f>SUM(CG17:CP17)</f>
        <v>0</v>
      </c>
    </row>
    <row r="18" spans="1:95" s="47" customFormat="1" ht="21.75" customHeight="1" x14ac:dyDescent="0.25">
      <c r="A18" s="10">
        <v>14</v>
      </c>
      <c r="B18" s="45" t="s">
        <v>169</v>
      </c>
      <c r="C18" s="130" t="s">
        <v>170</v>
      </c>
      <c r="D18" s="85">
        <v>45945</v>
      </c>
      <c r="E18" s="142">
        <v>0.32361111111111113</v>
      </c>
      <c r="F18" s="146">
        <v>1</v>
      </c>
      <c r="G18" s="142">
        <v>0.3347222222222222</v>
      </c>
      <c r="H18" s="142">
        <v>0.95277777777777783</v>
      </c>
      <c r="I18" s="147">
        <v>0.58194444444444449</v>
      </c>
      <c r="J18" s="147">
        <v>0.94236111111111109</v>
      </c>
      <c r="K18" s="142">
        <v>0.32013888888888892</v>
      </c>
      <c r="L18" s="142">
        <v>0.97013888888888899</v>
      </c>
      <c r="M18" s="142">
        <v>0.3347222222222222</v>
      </c>
      <c r="N18" s="149">
        <v>1</v>
      </c>
      <c r="O18" s="145">
        <v>0.32847222222222222</v>
      </c>
      <c r="P18" s="145">
        <v>0.94166666666666676</v>
      </c>
      <c r="Q18" s="145">
        <v>0.33124999999999999</v>
      </c>
      <c r="R18" s="153">
        <v>1</v>
      </c>
      <c r="S18" s="145">
        <v>0.32777777777777778</v>
      </c>
      <c r="T18" s="145">
        <v>2.0833333333333333E-3</v>
      </c>
      <c r="U18" s="145">
        <v>0.3263888888888889</v>
      </c>
      <c r="V18" s="145">
        <v>0.98541666666666661</v>
      </c>
      <c r="W18" s="150">
        <v>0.5805555555555556</v>
      </c>
      <c r="X18" s="150">
        <v>0.92152777777777783</v>
      </c>
      <c r="Y18" s="145">
        <v>0.32361111111111113</v>
      </c>
      <c r="Z18" s="145">
        <v>0.93541666666666667</v>
      </c>
      <c r="AA18" s="145">
        <v>0.33055555555555555</v>
      </c>
      <c r="AB18" s="146">
        <v>1</v>
      </c>
      <c r="AC18" s="145">
        <v>0.33263888888888887</v>
      </c>
      <c r="AD18" s="145">
        <v>0.9604166666666667</v>
      </c>
      <c r="AE18" s="145">
        <v>0.32500000000000001</v>
      </c>
      <c r="AF18" s="146">
        <v>1</v>
      </c>
      <c r="AG18" s="145">
        <v>0.33680555555555558</v>
      </c>
      <c r="AH18" s="145">
        <v>0.9604166666666667</v>
      </c>
      <c r="AI18" s="114"/>
      <c r="AJ18" s="87">
        <v>14</v>
      </c>
      <c r="AK18" s="134">
        <v>46219.328958333332</v>
      </c>
      <c r="AL18" s="134">
        <v>46219.996944444443</v>
      </c>
      <c r="AM18" s="134">
        <v>46220.580254629633</v>
      </c>
      <c r="AN18" s="134">
        <v>46220.947696759256</v>
      </c>
      <c r="AO18" s="134">
        <v>46221.331689814811</v>
      </c>
      <c r="AP18" s="134">
        <v>46221.970243055555</v>
      </c>
      <c r="AQ18" s="134">
        <v>46222.335300925923</v>
      </c>
      <c r="AR18" s="134">
        <v>46222.966574074075</v>
      </c>
      <c r="AS18" s="134">
        <v>46223.324976851851</v>
      </c>
      <c r="AT18" s="134">
        <v>46223.966898148145</v>
      </c>
      <c r="AU18" s="134">
        <v>46224.32402777778</v>
      </c>
      <c r="AV18" s="134">
        <v>46224.941678240742</v>
      </c>
      <c r="AW18" s="134">
        <v>46225.339085648149</v>
      </c>
      <c r="AX18" s="136">
        <v>1</v>
      </c>
      <c r="AY18" s="134">
        <v>46226.344224537039</v>
      </c>
      <c r="AZ18" s="136">
        <v>1</v>
      </c>
      <c r="BA18" s="134">
        <v>46227.580555555556</v>
      </c>
      <c r="BB18" s="134">
        <v>46227.889386574076</v>
      </c>
      <c r="BC18" s="134">
        <v>46228.33153935185</v>
      </c>
      <c r="BD18" s="136">
        <v>1</v>
      </c>
      <c r="BE18" s="134">
        <v>46229.336828703701</v>
      </c>
      <c r="BF18" s="134">
        <v>46229.013101851851</v>
      </c>
      <c r="BG18" s="134">
        <v>46230.333009259259</v>
      </c>
      <c r="BH18" s="134">
        <v>46230.95207175926</v>
      </c>
      <c r="BI18" s="134">
        <v>46231.333611111113</v>
      </c>
      <c r="BJ18" s="134">
        <v>46231.93822916667</v>
      </c>
      <c r="BK18" s="134">
        <v>46232.335914351854</v>
      </c>
      <c r="BL18" s="137">
        <v>46232.960347222222</v>
      </c>
      <c r="BM18" s="137">
        <v>46233.32984953704</v>
      </c>
      <c r="BN18" s="134">
        <v>46233.984722222223</v>
      </c>
      <c r="BO18" s="134">
        <v>46234.571342592593</v>
      </c>
      <c r="BP18" s="137">
        <v>46234.950312499997</v>
      </c>
      <c r="BQ18" s="9">
        <f>BS18+BT18+BV18+CA18+BY18+BZ18+CD18+BU18</f>
        <v>31</v>
      </c>
      <c r="BR18" s="68">
        <v>5</v>
      </c>
      <c r="BS18" s="1">
        <f t="shared" si="13"/>
        <v>31</v>
      </c>
      <c r="BT18" s="2">
        <f t="shared" si="14"/>
        <v>0</v>
      </c>
      <c r="BU18" s="2">
        <f t="shared" si="15"/>
        <v>0</v>
      </c>
      <c r="BV18" s="2">
        <f t="shared" si="16"/>
        <v>0</v>
      </c>
      <c r="BW18" s="2">
        <f t="shared" si="17"/>
        <v>0</v>
      </c>
      <c r="BX18" s="2">
        <f t="shared" si="18"/>
        <v>0</v>
      </c>
      <c r="BY18" s="2">
        <f t="shared" si="19"/>
        <v>0</v>
      </c>
      <c r="BZ18" s="2">
        <f t="shared" si="20"/>
        <v>0</v>
      </c>
      <c r="CA18" s="2">
        <f t="shared" si="21"/>
        <v>0</v>
      </c>
      <c r="CB18" s="2">
        <f t="shared" si="22"/>
        <v>0</v>
      </c>
      <c r="CC18" s="2">
        <f t="shared" si="23"/>
        <v>0</v>
      </c>
      <c r="CD18" s="2">
        <f t="shared" si="24"/>
        <v>0</v>
      </c>
      <c r="CE18" s="164"/>
      <c r="CG18" s="54">
        <v>0</v>
      </c>
      <c r="CH18" s="54">
        <v>0</v>
      </c>
      <c r="CI18" s="54">
        <v>0</v>
      </c>
      <c r="CJ18" s="54">
        <v>0</v>
      </c>
      <c r="CK18" s="54">
        <v>0</v>
      </c>
      <c r="CL18" s="54">
        <v>0</v>
      </c>
      <c r="CM18" s="54">
        <v>0</v>
      </c>
      <c r="CN18" s="54">
        <v>0</v>
      </c>
      <c r="CO18" s="54">
        <v>0</v>
      </c>
      <c r="CP18" s="54">
        <v>0</v>
      </c>
      <c r="CQ18" s="56">
        <f>SUM(CG18:CP18)</f>
        <v>0</v>
      </c>
    </row>
    <row r="19" spans="1:95" s="47" customFormat="1" ht="22.5" customHeight="1" x14ac:dyDescent="0.25">
      <c r="A19" s="10">
        <v>15</v>
      </c>
      <c r="B19" s="45" t="s">
        <v>217</v>
      </c>
      <c r="C19" s="176" t="s">
        <v>219</v>
      </c>
      <c r="D19" s="85">
        <v>46052</v>
      </c>
      <c r="E19" s="142">
        <v>0.35833333333333334</v>
      </c>
      <c r="F19" s="142">
        <v>0.9770833333333333</v>
      </c>
      <c r="G19" s="142">
        <v>0.35833333333333334</v>
      </c>
      <c r="H19" s="142">
        <v>0.99513888888888891</v>
      </c>
      <c r="I19" s="147">
        <v>0.57430555555555551</v>
      </c>
      <c r="J19" s="147">
        <v>0.9458333333333333</v>
      </c>
      <c r="K19" s="142">
        <v>0.35416666666666669</v>
      </c>
      <c r="L19" s="142">
        <v>0.97013888888888899</v>
      </c>
      <c r="M19" s="142">
        <v>0.3576388888888889</v>
      </c>
      <c r="N19" s="144">
        <v>0.96666666666666667</v>
      </c>
      <c r="O19" s="145">
        <v>0.35833333333333334</v>
      </c>
      <c r="P19" s="145">
        <v>0.96736111111111101</v>
      </c>
      <c r="Q19" s="145">
        <v>0.3520833333333333</v>
      </c>
      <c r="R19" s="145">
        <v>0.97569444444444453</v>
      </c>
      <c r="S19" s="145">
        <v>0.35902777777777778</v>
      </c>
      <c r="T19" s="145">
        <v>4.8611111111111112E-3</v>
      </c>
      <c r="U19" s="145" t="s">
        <v>174</v>
      </c>
      <c r="V19" s="145" t="s">
        <v>174</v>
      </c>
      <c r="W19" s="143" t="s">
        <v>15</v>
      </c>
      <c r="X19" s="143" t="s">
        <v>15</v>
      </c>
      <c r="Y19" s="145">
        <v>0.35625000000000001</v>
      </c>
      <c r="Z19" s="145">
        <v>0.96319444444444446</v>
      </c>
      <c r="AA19" s="145">
        <v>0.35347222222222219</v>
      </c>
      <c r="AB19" s="145">
        <v>0.97569444444444453</v>
      </c>
      <c r="AC19" s="145">
        <v>0.34513888888888888</v>
      </c>
      <c r="AD19" s="145">
        <v>0.95833333333333337</v>
      </c>
      <c r="AE19" s="145">
        <v>0.35347222222222219</v>
      </c>
      <c r="AF19" s="145">
        <v>0.96597222222222223</v>
      </c>
      <c r="AG19" s="145">
        <v>0.3520833333333333</v>
      </c>
      <c r="AH19" s="145">
        <v>0.97777777777777775</v>
      </c>
      <c r="AI19" s="114"/>
      <c r="AJ19" s="87">
        <v>15</v>
      </c>
      <c r="AK19" s="134">
        <v>46219.353587962964</v>
      </c>
      <c r="AL19" s="134">
        <v>46219.995717592596</v>
      </c>
      <c r="AM19" s="134">
        <v>46220.565636574072</v>
      </c>
      <c r="AN19" s="134">
        <v>46220.946284722224</v>
      </c>
      <c r="AO19" s="134">
        <v>46221.354594907411</v>
      </c>
      <c r="AP19" s="134">
        <v>46221.969525462962</v>
      </c>
      <c r="AQ19" s="134">
        <v>46222.356909722221</v>
      </c>
      <c r="AR19" s="134">
        <v>46222.960150462961</v>
      </c>
      <c r="AS19" s="134">
        <v>46223.356296296297</v>
      </c>
      <c r="AT19" s="134">
        <v>46223.96603009259</v>
      </c>
      <c r="AU19" s="134">
        <v>46224.345208333332</v>
      </c>
      <c r="AV19" s="134">
        <v>46224.967766203707</v>
      </c>
      <c r="AW19" s="134">
        <v>46225.356782407405</v>
      </c>
      <c r="AX19" s="134">
        <v>46225.989548611113</v>
      </c>
      <c r="AY19" s="134">
        <v>46226.358252314814</v>
      </c>
      <c r="AZ19" s="134">
        <v>46226.945694444446</v>
      </c>
      <c r="BA19" s="158" t="s">
        <v>15</v>
      </c>
      <c r="BB19" s="158" t="s">
        <v>15</v>
      </c>
      <c r="BC19" s="134">
        <v>46228.355567129627</v>
      </c>
      <c r="BD19" s="134">
        <v>46228.962071759262</v>
      </c>
      <c r="BE19" s="134">
        <v>46229.353877314818</v>
      </c>
      <c r="BF19" s="134">
        <v>46229.949814814812</v>
      </c>
      <c r="BG19" s="134">
        <v>46230.354479166665</v>
      </c>
      <c r="BH19" s="134">
        <v>46230.987592592595</v>
      </c>
      <c r="BI19" s="134">
        <v>46231.356562499997</v>
      </c>
      <c r="BJ19" s="134">
        <v>46231.998148148145</v>
      </c>
      <c r="BK19" s="134">
        <v>46232.348182870373</v>
      </c>
      <c r="BL19" s="137">
        <v>46232.980023148149</v>
      </c>
      <c r="BM19" s="137">
        <v>46233.349259259259</v>
      </c>
      <c r="BN19" s="134">
        <v>46233.983090277776</v>
      </c>
      <c r="BO19" s="136">
        <v>1</v>
      </c>
      <c r="BP19" s="137">
        <v>46234.953449074077</v>
      </c>
      <c r="BQ19" s="9">
        <f>BS19+BT19+BV19+CA19+BY19+BZ19+CD19+BU19</f>
        <v>31</v>
      </c>
      <c r="BR19" s="68">
        <v>3</v>
      </c>
      <c r="BS19" s="1">
        <f t="shared" si="13"/>
        <v>28</v>
      </c>
      <c r="BT19" s="2">
        <f t="shared" si="14"/>
        <v>2</v>
      </c>
      <c r="BU19" s="2">
        <f t="shared" si="15"/>
        <v>0</v>
      </c>
      <c r="BV19" s="2">
        <f t="shared" si="16"/>
        <v>0</v>
      </c>
      <c r="BW19" s="2">
        <f t="shared" si="17"/>
        <v>0</v>
      </c>
      <c r="BX19" s="2">
        <f t="shared" si="18"/>
        <v>0</v>
      </c>
      <c r="BY19" s="2">
        <f t="shared" si="19"/>
        <v>0</v>
      </c>
      <c r="BZ19" s="2">
        <f t="shared" si="20"/>
        <v>1</v>
      </c>
      <c r="CA19" s="2">
        <f t="shared" si="21"/>
        <v>0</v>
      </c>
      <c r="CB19" s="2">
        <f t="shared" si="22"/>
        <v>0</v>
      </c>
      <c r="CC19" s="2">
        <f t="shared" si="23"/>
        <v>0</v>
      </c>
      <c r="CD19" s="2">
        <f t="shared" si="24"/>
        <v>0</v>
      </c>
      <c r="CE19" s="164"/>
      <c r="CG19" s="67">
        <v>0</v>
      </c>
      <c r="CH19" s="67">
        <v>0</v>
      </c>
      <c r="CI19" s="67">
        <v>0</v>
      </c>
      <c r="CJ19" s="67">
        <v>0</v>
      </c>
      <c r="CK19" s="67">
        <v>0</v>
      </c>
      <c r="CL19" s="67">
        <v>0</v>
      </c>
      <c r="CM19" s="67">
        <v>0</v>
      </c>
      <c r="CN19" s="67">
        <v>0</v>
      </c>
      <c r="CO19" s="67">
        <v>0</v>
      </c>
      <c r="CP19" s="67">
        <v>0</v>
      </c>
      <c r="CQ19" s="56">
        <f>SUM(CG19:CP19)</f>
        <v>0</v>
      </c>
    </row>
    <row r="20" spans="1:95" s="47" customFormat="1" ht="22.5" customHeight="1" x14ac:dyDescent="0.25">
      <c r="A20" s="10">
        <v>16</v>
      </c>
      <c r="B20" s="45" t="s">
        <v>225</v>
      </c>
      <c r="C20" s="176" t="s">
        <v>229</v>
      </c>
      <c r="D20" s="85">
        <v>46070</v>
      </c>
      <c r="E20" s="142">
        <v>0.35347222222222219</v>
      </c>
      <c r="F20" s="142">
        <v>0.98263888888888884</v>
      </c>
      <c r="G20" s="142">
        <v>0.35000000000000003</v>
      </c>
      <c r="H20" s="142">
        <v>0.99513888888888891</v>
      </c>
      <c r="I20" s="143" t="s">
        <v>15</v>
      </c>
      <c r="J20" s="143" t="s">
        <v>15</v>
      </c>
      <c r="K20" s="142">
        <v>0.3527777777777778</v>
      </c>
      <c r="L20" s="142">
        <v>0.9770833333333333</v>
      </c>
      <c r="M20" s="142">
        <v>0.35138888888888892</v>
      </c>
      <c r="N20" s="144">
        <v>0.96805555555555556</v>
      </c>
      <c r="O20" s="145">
        <v>0.35555555555555557</v>
      </c>
      <c r="P20" s="145">
        <v>0.96666666666666667</v>
      </c>
      <c r="Q20" s="145">
        <v>0.3520833333333333</v>
      </c>
      <c r="R20" s="145">
        <v>0.97222222222222221</v>
      </c>
      <c r="S20" s="145">
        <v>0.3527777777777778</v>
      </c>
      <c r="T20" s="145">
        <v>5.5555555555555558E-3</v>
      </c>
      <c r="U20" s="145">
        <v>0.35416666666666669</v>
      </c>
      <c r="V20" s="145">
        <v>0.99097222222222225</v>
      </c>
      <c r="W20" s="150">
        <v>0.57152777777777775</v>
      </c>
      <c r="X20" s="150">
        <v>0.96944444444444444</v>
      </c>
      <c r="Y20" s="145">
        <v>0.35416666666666669</v>
      </c>
      <c r="Z20" s="145">
        <v>0.96388888888888891</v>
      </c>
      <c r="AA20" s="145">
        <v>0.3430555555555555</v>
      </c>
      <c r="AB20" s="145">
        <v>0.9770833333333333</v>
      </c>
      <c r="AC20" s="145">
        <v>0.3527777777777778</v>
      </c>
      <c r="AD20" s="145">
        <v>0.95833333333333337</v>
      </c>
      <c r="AE20" s="145">
        <v>0.35555555555555557</v>
      </c>
      <c r="AF20" s="145">
        <v>0.96527777777777779</v>
      </c>
      <c r="AG20" s="145">
        <v>0.3527777777777778</v>
      </c>
      <c r="AH20" s="145">
        <v>0.97777777777777775</v>
      </c>
      <c r="AI20" s="106"/>
      <c r="AJ20" s="87">
        <v>16</v>
      </c>
      <c r="AK20" s="134">
        <v>46219.3515625</v>
      </c>
      <c r="AL20" s="134">
        <v>46219.994571759256</v>
      </c>
      <c r="AM20" s="158" t="s">
        <v>15</v>
      </c>
      <c r="AN20" s="158" t="s">
        <v>15</v>
      </c>
      <c r="AO20" s="134">
        <v>46221.352268518516</v>
      </c>
      <c r="AP20" s="134">
        <v>46221.970173611109</v>
      </c>
      <c r="AQ20" s="134">
        <v>46222.352881944447</v>
      </c>
      <c r="AR20" s="134">
        <v>46222.958599537036</v>
      </c>
      <c r="AS20" s="134">
        <v>46223.354108796295</v>
      </c>
      <c r="AT20" s="134">
        <v>46223.964120370372</v>
      </c>
      <c r="AU20" s="134">
        <v>46224.353020833332</v>
      </c>
      <c r="AV20" s="134">
        <v>46224.969236111108</v>
      </c>
      <c r="AW20" s="134">
        <v>46225.34946759259</v>
      </c>
      <c r="AX20" s="134">
        <v>46225.989699074074</v>
      </c>
      <c r="AY20" s="134">
        <v>46226.354085648149</v>
      </c>
      <c r="AZ20" s="134">
        <v>46226.967164351852</v>
      </c>
      <c r="BA20" s="134">
        <v>46227.578101851854</v>
      </c>
      <c r="BB20" s="134">
        <v>46227.943124999998</v>
      </c>
      <c r="BC20" s="134">
        <v>46228.354618055557</v>
      </c>
      <c r="BD20" s="134">
        <v>46228.96398148148</v>
      </c>
      <c r="BE20" s="134">
        <v>46229.353344907409</v>
      </c>
      <c r="BF20" s="134">
        <v>46229.964583333334</v>
      </c>
      <c r="BG20" s="134">
        <v>46230.353819444441</v>
      </c>
      <c r="BH20" s="134">
        <v>1</v>
      </c>
      <c r="BI20" s="134">
        <v>46231.354583333334</v>
      </c>
      <c r="BJ20" s="134">
        <v>46231.997210648151</v>
      </c>
      <c r="BK20" s="134">
        <v>46232.354108796295</v>
      </c>
      <c r="BL20" s="137">
        <v>46232.981620370374</v>
      </c>
      <c r="BM20" s="137">
        <v>46233.351273148146</v>
      </c>
      <c r="BN20" s="134">
        <v>46233.975555555553</v>
      </c>
      <c r="BO20" s="158" t="s">
        <v>15</v>
      </c>
      <c r="BP20" s="158" t="s">
        <v>15</v>
      </c>
      <c r="BQ20" s="9">
        <f>BS20+BT20+BV20+CA20+BY20+BZ20+CD20+BU20</f>
        <v>31</v>
      </c>
      <c r="BR20" s="68">
        <v>2</v>
      </c>
      <c r="BS20" s="1">
        <f t="shared" si="13"/>
        <v>28</v>
      </c>
      <c r="BT20" s="2">
        <f t="shared" si="14"/>
        <v>3</v>
      </c>
      <c r="BU20" s="2">
        <f t="shared" si="15"/>
        <v>0</v>
      </c>
      <c r="BV20" s="2">
        <f t="shared" si="16"/>
        <v>0</v>
      </c>
      <c r="BW20" s="2">
        <f t="shared" si="17"/>
        <v>0</v>
      </c>
      <c r="BX20" s="2">
        <f t="shared" si="18"/>
        <v>0</v>
      </c>
      <c r="BY20" s="2">
        <f t="shared" si="19"/>
        <v>0</v>
      </c>
      <c r="BZ20" s="2">
        <f t="shared" si="20"/>
        <v>0</v>
      </c>
      <c r="CA20" s="2">
        <f t="shared" si="21"/>
        <v>0</v>
      </c>
      <c r="CB20" s="2">
        <f t="shared" si="22"/>
        <v>0</v>
      </c>
      <c r="CC20" s="2">
        <f t="shared" si="23"/>
        <v>0</v>
      </c>
      <c r="CD20" s="2">
        <f t="shared" si="24"/>
        <v>0</v>
      </c>
      <c r="CE20" s="164"/>
      <c r="CG20" s="67">
        <v>0</v>
      </c>
      <c r="CH20" s="67">
        <v>0</v>
      </c>
      <c r="CI20" s="67">
        <v>0</v>
      </c>
      <c r="CJ20" s="67">
        <v>0</v>
      </c>
      <c r="CK20" s="67">
        <v>1</v>
      </c>
      <c r="CL20" s="67">
        <v>3</v>
      </c>
      <c r="CM20" s="67">
        <v>0</v>
      </c>
      <c r="CN20" s="67">
        <v>0</v>
      </c>
      <c r="CO20" s="67">
        <v>0</v>
      </c>
      <c r="CP20" s="67">
        <v>0</v>
      </c>
      <c r="CQ20" s="56">
        <f>SUM(CG20:CP20)</f>
        <v>4</v>
      </c>
    </row>
    <row r="21" spans="1:95" s="47" customFormat="1" ht="22.5" customHeight="1" x14ac:dyDescent="0.25">
      <c r="A21" s="10">
        <v>17</v>
      </c>
      <c r="B21" s="45" t="s">
        <v>246</v>
      </c>
      <c r="C21" s="176" t="s">
        <v>247</v>
      </c>
      <c r="D21" s="85"/>
      <c r="E21" s="142">
        <v>0.3576388888888889</v>
      </c>
      <c r="F21" s="142">
        <v>0.97777777777777775</v>
      </c>
      <c r="G21" s="142">
        <v>0.35069444444444442</v>
      </c>
      <c r="H21" s="142">
        <v>0.99652777777777779</v>
      </c>
      <c r="I21" s="147">
        <v>0.56736111111111109</v>
      </c>
      <c r="J21" s="147">
        <v>0.94513888888888886</v>
      </c>
      <c r="K21" s="142">
        <v>0.35138888888888892</v>
      </c>
      <c r="L21" s="142">
        <v>0.95833333333333337</v>
      </c>
      <c r="M21" s="142">
        <v>0.3527777777777778</v>
      </c>
      <c r="N21" s="144">
        <v>0.9590277777777777</v>
      </c>
      <c r="O21" s="145">
        <v>0.35625000000000001</v>
      </c>
      <c r="P21" s="145">
        <v>0.96875</v>
      </c>
      <c r="Q21" s="145">
        <v>0.35555555555555557</v>
      </c>
      <c r="R21" s="145">
        <v>0.97361111111111109</v>
      </c>
      <c r="S21" s="145">
        <v>0.54583333333333328</v>
      </c>
      <c r="T21" s="145">
        <v>9.0277777777777787E-3</v>
      </c>
      <c r="U21" s="145">
        <v>0.34930555555555554</v>
      </c>
      <c r="V21" s="145">
        <v>0.98958333333333337</v>
      </c>
      <c r="W21" s="150">
        <v>0.57916666666666672</v>
      </c>
      <c r="X21" s="150">
        <v>0.97013888888888899</v>
      </c>
      <c r="Y21" s="145">
        <v>0.35138888888888892</v>
      </c>
      <c r="Z21" s="145">
        <v>0.96319444444444446</v>
      </c>
      <c r="AA21" s="145">
        <v>0.35347222222222219</v>
      </c>
      <c r="AB21" s="145">
        <v>0.97777777777777775</v>
      </c>
      <c r="AC21" s="145">
        <v>0.34583333333333338</v>
      </c>
      <c r="AD21" s="145">
        <v>0.9590277777777777</v>
      </c>
      <c r="AE21" s="145">
        <v>0.34513888888888888</v>
      </c>
      <c r="AF21" s="145">
        <v>0.96875</v>
      </c>
      <c r="AG21" s="145">
        <v>0.34861111111111115</v>
      </c>
      <c r="AH21" s="145">
        <v>0.98125000000000007</v>
      </c>
      <c r="AI21" s="114"/>
      <c r="AJ21" s="87">
        <v>17</v>
      </c>
      <c r="AK21" s="134">
        <v>46219.348136574074</v>
      </c>
      <c r="AL21" s="134">
        <v>46219.996574074074</v>
      </c>
      <c r="AM21" s="158" t="s">
        <v>15</v>
      </c>
      <c r="AN21" s="158" t="s">
        <v>15</v>
      </c>
      <c r="AO21" s="134">
        <v>46221.35052083333</v>
      </c>
      <c r="AP21" s="134">
        <v>46221.972245370373</v>
      </c>
      <c r="AQ21" s="134">
        <v>46222.351909722223</v>
      </c>
      <c r="AR21" s="134">
        <v>46222.959062499998</v>
      </c>
      <c r="AS21" s="134">
        <v>46223.348437499997</v>
      </c>
      <c r="AT21" s="134">
        <v>46223.975532407407</v>
      </c>
      <c r="AU21" s="134">
        <v>46224.35229166667</v>
      </c>
      <c r="AV21" s="134">
        <v>46224.967928240738</v>
      </c>
      <c r="AW21" s="134">
        <v>46225.350405092591</v>
      </c>
      <c r="AX21" s="134">
        <v>46225.712766203702</v>
      </c>
      <c r="AY21" s="134">
        <v>46226.349328703705</v>
      </c>
      <c r="AZ21" s="134">
        <v>46226.804710648146</v>
      </c>
      <c r="BA21" s="158" t="s">
        <v>15</v>
      </c>
      <c r="BB21" s="158" t="s">
        <v>15</v>
      </c>
      <c r="BC21" s="134" t="s">
        <v>15</v>
      </c>
      <c r="BD21" s="134" t="s">
        <v>15</v>
      </c>
      <c r="BE21" s="134" t="s">
        <v>15</v>
      </c>
      <c r="BF21" s="134" t="s">
        <v>15</v>
      </c>
      <c r="BG21" s="134" t="s">
        <v>15</v>
      </c>
      <c r="BH21" s="134" t="s">
        <v>15</v>
      </c>
      <c r="BI21" s="134" t="s">
        <v>15</v>
      </c>
      <c r="BJ21" s="134" t="s">
        <v>15</v>
      </c>
      <c r="BK21" s="134">
        <v>46232.349699074075</v>
      </c>
      <c r="BL21" s="137">
        <v>46232.982824074075</v>
      </c>
      <c r="BM21" s="137">
        <v>46233.346770833334</v>
      </c>
      <c r="BN21" s="134">
        <v>46233.984849537039</v>
      </c>
      <c r="BO21" s="134">
        <v>46234.568518518521</v>
      </c>
      <c r="BP21" s="137">
        <v>46234.955682870372</v>
      </c>
      <c r="BQ21" s="9">
        <f>BS21+BT21+BV21+CA21+BY21+BZ21+CD21+BU21</f>
        <v>31</v>
      </c>
      <c r="BR21" s="68">
        <v>3</v>
      </c>
      <c r="BS21" s="1">
        <f t="shared" si="13"/>
        <v>25</v>
      </c>
      <c r="BT21" s="2">
        <f t="shared" si="14"/>
        <v>6</v>
      </c>
      <c r="BU21" s="2">
        <f t="shared" si="15"/>
        <v>0</v>
      </c>
      <c r="BV21" s="2">
        <f t="shared" si="16"/>
        <v>0</v>
      </c>
      <c r="BW21" s="2">
        <f t="shared" si="17"/>
        <v>0</v>
      </c>
      <c r="BX21" s="2">
        <f t="shared" si="18"/>
        <v>0</v>
      </c>
      <c r="BY21" s="2">
        <f t="shared" si="19"/>
        <v>0</v>
      </c>
      <c r="BZ21" s="2">
        <f t="shared" si="20"/>
        <v>0</v>
      </c>
      <c r="CA21" s="2">
        <f t="shared" si="21"/>
        <v>0</v>
      </c>
      <c r="CB21" s="2">
        <f t="shared" si="22"/>
        <v>0</v>
      </c>
      <c r="CC21" s="2">
        <f t="shared" si="23"/>
        <v>0</v>
      </c>
      <c r="CD21" s="2">
        <f t="shared" si="24"/>
        <v>0</v>
      </c>
      <c r="CE21" s="131"/>
      <c r="CG21" s="67">
        <v>0</v>
      </c>
      <c r="CH21" s="67">
        <v>0</v>
      </c>
      <c r="CI21" s="67">
        <v>0</v>
      </c>
      <c r="CJ21" s="67">
        <v>0</v>
      </c>
      <c r="CK21" s="67">
        <v>0</v>
      </c>
      <c r="CL21" s="67">
        <v>0</v>
      </c>
      <c r="CM21" s="67">
        <v>0</v>
      </c>
      <c r="CN21" s="67">
        <v>0</v>
      </c>
      <c r="CO21" s="67">
        <v>0</v>
      </c>
      <c r="CP21" s="67">
        <v>0</v>
      </c>
      <c r="CQ21" s="56">
        <f>SUM(CG21:CP21)</f>
        <v>0</v>
      </c>
    </row>
    <row r="22" spans="1:95" s="47" customFormat="1" ht="21" customHeight="1" x14ac:dyDescent="0.25">
      <c r="A22" s="10">
        <v>18</v>
      </c>
      <c r="B22" s="11" t="s">
        <v>45</v>
      </c>
      <c r="C22" s="8" t="s">
        <v>46</v>
      </c>
      <c r="D22" s="85">
        <v>45654</v>
      </c>
      <c r="E22" s="142">
        <v>0.32916666666666666</v>
      </c>
      <c r="F22" s="146">
        <v>1</v>
      </c>
      <c r="G22" s="146">
        <v>1</v>
      </c>
      <c r="H22" s="146">
        <v>1</v>
      </c>
      <c r="I22" s="147">
        <v>0.58194444444444449</v>
      </c>
      <c r="J22" s="148">
        <v>1</v>
      </c>
      <c r="K22" s="146">
        <v>1</v>
      </c>
      <c r="L22" s="146">
        <v>1</v>
      </c>
      <c r="M22" s="146">
        <v>1</v>
      </c>
      <c r="N22" s="149">
        <v>1</v>
      </c>
      <c r="O22" s="145">
        <v>0.3298611111111111</v>
      </c>
      <c r="P22" s="149">
        <v>1</v>
      </c>
      <c r="Q22" s="145">
        <v>0.32777777777777778</v>
      </c>
      <c r="R22" s="149">
        <v>1</v>
      </c>
      <c r="S22" s="145">
        <v>0.33680555555555558</v>
      </c>
      <c r="T22" s="149">
        <v>1</v>
      </c>
      <c r="U22" s="145">
        <v>0.33124999999999999</v>
      </c>
      <c r="V22" s="149">
        <v>1</v>
      </c>
      <c r="W22" s="150">
        <v>0.57361111111111118</v>
      </c>
      <c r="X22" s="150">
        <v>0.57361111111111118</v>
      </c>
      <c r="Y22" s="145">
        <v>0.33263888888888887</v>
      </c>
      <c r="Z22" s="153">
        <v>1</v>
      </c>
      <c r="AA22" s="145">
        <v>0.32847222222222222</v>
      </c>
      <c r="AB22" s="146">
        <v>1</v>
      </c>
      <c r="AC22" s="145">
        <v>0.32916666666666666</v>
      </c>
      <c r="AD22" s="146">
        <v>1</v>
      </c>
      <c r="AE22" s="145">
        <v>0.33194444444444443</v>
      </c>
      <c r="AF22" s="146">
        <v>1</v>
      </c>
      <c r="AG22" s="145">
        <v>0.3263888888888889</v>
      </c>
      <c r="AH22" s="146">
        <v>1</v>
      </c>
      <c r="AI22" s="106"/>
      <c r="AJ22" s="87">
        <v>18</v>
      </c>
      <c r="AK22" s="134">
        <v>46219.354085648149</v>
      </c>
      <c r="AL22" s="134">
        <v>46219.968854166669</v>
      </c>
      <c r="AM22" s="158" t="s">
        <v>15</v>
      </c>
      <c r="AN22" s="158" t="s">
        <v>15</v>
      </c>
      <c r="AO22" s="134">
        <v>46221.334791666668</v>
      </c>
      <c r="AP22" s="134">
        <v>46221.955868055556</v>
      </c>
      <c r="AQ22" s="134">
        <v>46222.331284722219</v>
      </c>
      <c r="AR22" s="134">
        <v>46222.928518518522</v>
      </c>
      <c r="AS22" s="134">
        <v>0</v>
      </c>
      <c r="AT22" s="134">
        <v>46223.92690972222</v>
      </c>
      <c r="AU22" s="134">
        <v>46224.362951388888</v>
      </c>
      <c r="AV22" s="134">
        <v>46224.948009259257</v>
      </c>
      <c r="AW22" s="134">
        <v>46225.333368055559</v>
      </c>
      <c r="AX22" s="134">
        <v>46225.938807870371</v>
      </c>
      <c r="AY22" s="134">
        <v>46226.351226851853</v>
      </c>
      <c r="AZ22" s="134">
        <v>46226.929583333331</v>
      </c>
      <c r="BA22" s="134">
        <v>46227.578356481485</v>
      </c>
      <c r="BB22" s="134">
        <v>46227.907685185186</v>
      </c>
      <c r="BC22" s="134">
        <v>46228.353981481479</v>
      </c>
      <c r="BD22" s="134">
        <v>46228.939942129633</v>
      </c>
      <c r="BE22" s="134">
        <v>46229.330972222226</v>
      </c>
      <c r="BF22" s="134">
        <v>1</v>
      </c>
      <c r="BG22" s="134">
        <v>46230.328750000001</v>
      </c>
      <c r="BH22" s="134">
        <v>46230.958749999998</v>
      </c>
      <c r="BI22" s="134">
        <v>46231.335740740738</v>
      </c>
      <c r="BJ22" s="134">
        <v>46231.946504629632</v>
      </c>
      <c r="BK22" s="134">
        <v>46232.338310185187</v>
      </c>
      <c r="BL22" s="137">
        <v>46232.974039351851</v>
      </c>
      <c r="BM22" s="135">
        <v>46233.329965277779</v>
      </c>
      <c r="BN22" s="134">
        <v>46233.987083333333</v>
      </c>
      <c r="BO22" s="134">
        <v>46234.578125</v>
      </c>
      <c r="BP22" s="137">
        <v>46234.939016203702</v>
      </c>
      <c r="BQ22" s="9">
        <f t="shared" si="12"/>
        <v>31</v>
      </c>
      <c r="BR22" s="68">
        <v>4</v>
      </c>
      <c r="BS22" s="1">
        <f t="shared" si="13"/>
        <v>30</v>
      </c>
      <c r="BT22" s="2">
        <f t="shared" si="14"/>
        <v>1</v>
      </c>
      <c r="BU22" s="2">
        <f t="shared" si="15"/>
        <v>0</v>
      </c>
      <c r="BV22" s="2">
        <f t="shared" si="16"/>
        <v>0</v>
      </c>
      <c r="BW22" s="2">
        <f t="shared" si="17"/>
        <v>0</v>
      </c>
      <c r="BX22" s="2">
        <f t="shared" si="18"/>
        <v>0</v>
      </c>
      <c r="BY22" s="2">
        <f t="shared" si="19"/>
        <v>0</v>
      </c>
      <c r="BZ22" s="2">
        <f t="shared" si="20"/>
        <v>0</v>
      </c>
      <c r="CA22" s="2">
        <f t="shared" si="21"/>
        <v>0</v>
      </c>
      <c r="CB22" s="2">
        <f t="shared" si="22"/>
        <v>0</v>
      </c>
      <c r="CC22" s="2">
        <f t="shared" si="23"/>
        <v>0</v>
      </c>
      <c r="CD22" s="2">
        <f t="shared" si="24"/>
        <v>0</v>
      </c>
      <c r="CE22" s="164"/>
      <c r="CG22" s="54">
        <v>0</v>
      </c>
      <c r="CH22" s="54">
        <v>0</v>
      </c>
      <c r="CI22" s="54">
        <v>0</v>
      </c>
      <c r="CJ22" s="54">
        <v>0</v>
      </c>
      <c r="CK22" s="54">
        <v>0</v>
      </c>
      <c r="CL22" s="55">
        <v>4</v>
      </c>
      <c r="CM22" s="54">
        <v>0</v>
      </c>
      <c r="CN22" s="54">
        <v>0</v>
      </c>
      <c r="CO22" s="54">
        <v>0</v>
      </c>
      <c r="CP22" s="54">
        <v>0</v>
      </c>
      <c r="CQ22" s="56">
        <f t="shared" si="11"/>
        <v>4</v>
      </c>
    </row>
    <row r="23" spans="1:95" s="47" customFormat="1" ht="21" customHeight="1" x14ac:dyDescent="0.25">
      <c r="A23" s="10">
        <v>19</v>
      </c>
      <c r="B23" s="11" t="s">
        <v>47</v>
      </c>
      <c r="C23" s="8" t="s">
        <v>48</v>
      </c>
      <c r="D23" s="85">
        <v>45837</v>
      </c>
      <c r="E23" s="142">
        <v>0.3756944444444445</v>
      </c>
      <c r="F23" s="146">
        <v>1</v>
      </c>
      <c r="G23" s="142">
        <v>0.62847222222222221</v>
      </c>
      <c r="H23" s="142">
        <v>0.93125000000000002</v>
      </c>
      <c r="I23" s="147">
        <v>0.57916666666666672</v>
      </c>
      <c r="J23" s="147">
        <v>0.8930555555555556</v>
      </c>
      <c r="K23" s="142">
        <v>0.37361111111111112</v>
      </c>
      <c r="L23" s="142">
        <v>0.9868055555555556</v>
      </c>
      <c r="M23" s="142">
        <v>0.36944444444444446</v>
      </c>
      <c r="N23" s="149">
        <v>1</v>
      </c>
      <c r="O23" s="145">
        <v>0.41388888888888892</v>
      </c>
      <c r="P23" s="145">
        <v>0.9604166666666667</v>
      </c>
      <c r="Q23" s="145">
        <v>0.36944444444444446</v>
      </c>
      <c r="R23" s="153">
        <v>1</v>
      </c>
      <c r="S23" s="145">
        <v>0.37847222222222227</v>
      </c>
      <c r="T23" s="145">
        <v>0.96250000000000002</v>
      </c>
      <c r="U23" s="145">
        <v>0.3576388888888889</v>
      </c>
      <c r="V23" s="153">
        <v>1</v>
      </c>
      <c r="W23" s="143" t="s">
        <v>15</v>
      </c>
      <c r="X23" s="143" t="s">
        <v>15</v>
      </c>
      <c r="Y23" s="145">
        <v>0.36736111111111108</v>
      </c>
      <c r="Z23" s="153">
        <v>1</v>
      </c>
      <c r="AA23" s="145">
        <v>0.34791666666666665</v>
      </c>
      <c r="AB23" s="146">
        <v>1</v>
      </c>
      <c r="AC23" s="145">
        <v>0.3520833333333333</v>
      </c>
      <c r="AD23" s="146">
        <v>1</v>
      </c>
      <c r="AE23" s="145">
        <v>0.35138888888888892</v>
      </c>
      <c r="AF23" s="145">
        <v>0.93958333333333333</v>
      </c>
      <c r="AG23" s="145">
        <v>0.33819444444444446</v>
      </c>
      <c r="AH23" s="145">
        <v>0.35625000000000001</v>
      </c>
      <c r="AI23" s="106"/>
      <c r="AJ23" s="87">
        <v>19</v>
      </c>
      <c r="AK23" s="134">
        <v>46220.4140625</v>
      </c>
      <c r="AL23" s="136">
        <v>1</v>
      </c>
      <c r="AM23" s="134">
        <v>46220.584976851853</v>
      </c>
      <c r="AN23" s="136">
        <v>1</v>
      </c>
      <c r="AO23" s="134">
        <v>46221.352731481478</v>
      </c>
      <c r="AP23" s="134">
        <v>46221.890798611108</v>
      </c>
      <c r="AQ23" s="134">
        <v>46222.351053240738</v>
      </c>
      <c r="AR23" s="136">
        <v>1</v>
      </c>
      <c r="AS23" s="134">
        <v>46223.34542824074</v>
      </c>
      <c r="AT23" s="134">
        <v>46223.971909722219</v>
      </c>
      <c r="AU23" s="134">
        <v>46224.348715277774</v>
      </c>
      <c r="AV23" s="134">
        <v>46224.948807870373</v>
      </c>
      <c r="AW23" s="134">
        <v>46225.344178240739</v>
      </c>
      <c r="AX23" s="136">
        <v>1</v>
      </c>
      <c r="AY23" s="134">
        <v>46226.382962962962</v>
      </c>
      <c r="AZ23" s="134">
        <v>46226.917453703703</v>
      </c>
      <c r="BA23" s="158" t="s">
        <v>15</v>
      </c>
      <c r="BB23" s="158" t="s">
        <v>15</v>
      </c>
      <c r="BC23" s="134">
        <v>46228.343518518515</v>
      </c>
      <c r="BD23" s="134">
        <v>46228.954467592594</v>
      </c>
      <c r="BE23" s="134">
        <v>46229.348055555558</v>
      </c>
      <c r="BF23" s="134">
        <v>46229.964016203703</v>
      </c>
      <c r="BG23" s="134">
        <v>46230.345219907409</v>
      </c>
      <c r="BH23" s="134">
        <v>46230.927465277775</v>
      </c>
      <c r="BI23" s="134">
        <v>46231.344849537039</v>
      </c>
      <c r="BJ23" s="136">
        <v>1</v>
      </c>
      <c r="BK23" s="134">
        <v>46232.344108796293</v>
      </c>
      <c r="BL23" s="159">
        <v>1</v>
      </c>
      <c r="BM23" s="137">
        <v>46233.348530092589</v>
      </c>
      <c r="BN23" s="134">
        <v>46233.964456018519</v>
      </c>
      <c r="BO23" s="134">
        <v>46234.578923611109</v>
      </c>
      <c r="BP23" s="137">
        <v>1</v>
      </c>
      <c r="BQ23" s="9">
        <f t="shared" si="12"/>
        <v>31</v>
      </c>
      <c r="BR23" s="68">
        <v>3</v>
      </c>
      <c r="BS23" s="1">
        <f t="shared" si="13"/>
        <v>29</v>
      </c>
      <c r="BT23" s="2">
        <f t="shared" si="14"/>
        <v>2</v>
      </c>
      <c r="BU23" s="2">
        <f t="shared" si="15"/>
        <v>0</v>
      </c>
      <c r="BV23" s="2">
        <f t="shared" si="16"/>
        <v>0</v>
      </c>
      <c r="BW23" s="2">
        <f t="shared" si="17"/>
        <v>0</v>
      </c>
      <c r="BX23" s="2">
        <f t="shared" si="18"/>
        <v>0</v>
      </c>
      <c r="BY23" s="2">
        <f t="shared" si="19"/>
        <v>0</v>
      </c>
      <c r="BZ23" s="2">
        <f t="shared" si="20"/>
        <v>0</v>
      </c>
      <c r="CA23" s="2">
        <f t="shared" si="21"/>
        <v>0</v>
      </c>
      <c r="CB23" s="2">
        <f t="shared" si="22"/>
        <v>0</v>
      </c>
      <c r="CC23" s="2">
        <f t="shared" si="23"/>
        <v>0</v>
      </c>
      <c r="CD23" s="2">
        <f t="shared" si="24"/>
        <v>0</v>
      </c>
      <c r="CE23" s="164"/>
      <c r="CG23" s="54">
        <v>0</v>
      </c>
      <c r="CH23" s="54">
        <v>0</v>
      </c>
      <c r="CI23" s="54">
        <v>0</v>
      </c>
      <c r="CJ23" s="54">
        <v>0</v>
      </c>
      <c r="CK23" s="54">
        <v>0</v>
      </c>
      <c r="CL23" s="54">
        <v>0</v>
      </c>
      <c r="CM23" s="54">
        <v>0</v>
      </c>
      <c r="CN23" s="54">
        <v>0</v>
      </c>
      <c r="CO23" s="54">
        <v>0</v>
      </c>
      <c r="CP23" s="54">
        <v>0</v>
      </c>
      <c r="CQ23" s="56">
        <f t="shared" si="11"/>
        <v>0</v>
      </c>
    </row>
    <row r="24" spans="1:95" s="47" customFormat="1" ht="21" customHeight="1" x14ac:dyDescent="0.25">
      <c r="A24" s="10">
        <v>20</v>
      </c>
      <c r="B24" s="11" t="s">
        <v>51</v>
      </c>
      <c r="C24" s="8" t="s">
        <v>52</v>
      </c>
      <c r="D24" s="141"/>
      <c r="E24" s="155" t="s">
        <v>18</v>
      </c>
      <c r="F24" s="155" t="s">
        <v>18</v>
      </c>
      <c r="G24" s="155" t="s">
        <v>18</v>
      </c>
      <c r="H24" s="155" t="s">
        <v>18</v>
      </c>
      <c r="I24" s="155" t="s">
        <v>18</v>
      </c>
      <c r="J24" s="155" t="s">
        <v>18</v>
      </c>
      <c r="K24" s="155" t="s">
        <v>18</v>
      </c>
      <c r="L24" s="155" t="s">
        <v>18</v>
      </c>
      <c r="M24" s="155" t="s">
        <v>18</v>
      </c>
      <c r="N24" s="155" t="s">
        <v>18</v>
      </c>
      <c r="O24" s="155" t="s">
        <v>18</v>
      </c>
      <c r="P24" s="155" t="s">
        <v>18</v>
      </c>
      <c r="Q24" s="155" t="s">
        <v>18</v>
      </c>
      <c r="R24" s="155" t="s">
        <v>18</v>
      </c>
      <c r="S24" s="155" t="s">
        <v>18</v>
      </c>
      <c r="T24" s="155" t="s">
        <v>18</v>
      </c>
      <c r="U24" s="155" t="s">
        <v>18</v>
      </c>
      <c r="V24" s="155" t="s">
        <v>18</v>
      </c>
      <c r="W24" s="155" t="s">
        <v>18</v>
      </c>
      <c r="X24" s="155" t="s">
        <v>18</v>
      </c>
      <c r="Y24" s="155" t="s">
        <v>18</v>
      </c>
      <c r="Z24" s="155" t="s">
        <v>18</v>
      </c>
      <c r="AA24" s="155" t="s">
        <v>18</v>
      </c>
      <c r="AB24" s="155" t="s">
        <v>18</v>
      </c>
      <c r="AC24" s="155" t="s">
        <v>18</v>
      </c>
      <c r="AD24" s="155" t="s">
        <v>18</v>
      </c>
      <c r="AE24" s="155" t="s">
        <v>18</v>
      </c>
      <c r="AF24" s="155" t="s">
        <v>18</v>
      </c>
      <c r="AG24" s="145">
        <v>0.33958333333333335</v>
      </c>
      <c r="AH24" s="145">
        <v>0.97638888888888886</v>
      </c>
      <c r="AI24" s="106"/>
      <c r="AJ24" s="87">
        <v>20</v>
      </c>
      <c r="AK24" s="134">
        <v>46219.34170138889</v>
      </c>
      <c r="AL24" s="134">
        <v>46219.9924537037</v>
      </c>
      <c r="AM24" s="134">
        <v>46220.579085648147</v>
      </c>
      <c r="AN24" s="134">
        <v>46220.940983796296</v>
      </c>
      <c r="AO24" s="134">
        <v>46221.350682870368</v>
      </c>
      <c r="AP24" s="134">
        <v>46221.967777777776</v>
      </c>
      <c r="AQ24" s="134">
        <v>46222.340879629628</v>
      </c>
      <c r="AR24" s="134">
        <v>46222.944560185184</v>
      </c>
      <c r="AS24" s="134">
        <v>46223.350428240738</v>
      </c>
      <c r="AT24" s="134">
        <v>46223.960625</v>
      </c>
      <c r="AU24" s="134">
        <v>46224.349189814813</v>
      </c>
      <c r="AV24" s="134">
        <v>46224.963819444441</v>
      </c>
      <c r="AW24" s="134">
        <v>46225.348171296297</v>
      </c>
      <c r="AX24" s="134">
        <v>46225.986851851849</v>
      </c>
      <c r="AY24" s="134">
        <v>46226.353784722225</v>
      </c>
      <c r="AZ24" s="134">
        <v>46226.961655092593</v>
      </c>
      <c r="BA24" s="158" t="s">
        <v>15</v>
      </c>
      <c r="BB24" s="158" t="s">
        <v>15</v>
      </c>
      <c r="BC24" s="134">
        <v>46228.344456018516</v>
      </c>
      <c r="BD24" s="134">
        <v>46228.958981481483</v>
      </c>
      <c r="BE24" s="134">
        <v>46229.352222222224</v>
      </c>
      <c r="BF24" s="134">
        <v>46229.945347222223</v>
      </c>
      <c r="BG24" s="134">
        <v>46230.351319444446</v>
      </c>
      <c r="BH24" s="134">
        <v>46230.981238425928</v>
      </c>
      <c r="BI24" s="134">
        <v>46231.344247685185</v>
      </c>
      <c r="BJ24" s="134">
        <v>46231.958483796298</v>
      </c>
      <c r="BK24" s="134">
        <v>46232.349756944444</v>
      </c>
      <c r="BL24" s="137">
        <v>46232.972939814812</v>
      </c>
      <c r="BM24" s="135">
        <v>46233.350682870368</v>
      </c>
      <c r="BN24" s="134">
        <v>46233.980057870373</v>
      </c>
      <c r="BO24" s="134">
        <v>46234.581493055557</v>
      </c>
      <c r="BP24" s="137">
        <v>46234.9219212963</v>
      </c>
      <c r="BQ24" s="9">
        <f>BS24+BT24+BV24+CA24+BY24+BZ24+CD24+BU24</f>
        <v>17</v>
      </c>
      <c r="BR24" s="68">
        <v>2</v>
      </c>
      <c r="BS24" s="1">
        <f t="shared" si="13"/>
        <v>16</v>
      </c>
      <c r="BT24" s="2">
        <f t="shared" si="14"/>
        <v>1</v>
      </c>
      <c r="BU24" s="2">
        <f t="shared" si="15"/>
        <v>0</v>
      </c>
      <c r="BV24" s="2">
        <f t="shared" si="16"/>
        <v>0</v>
      </c>
      <c r="BW24" s="2">
        <f t="shared" si="17"/>
        <v>14</v>
      </c>
      <c r="BX24" s="2">
        <f t="shared" si="18"/>
        <v>0</v>
      </c>
      <c r="BY24" s="2">
        <f t="shared" si="19"/>
        <v>0</v>
      </c>
      <c r="BZ24" s="2">
        <f t="shared" si="20"/>
        <v>0</v>
      </c>
      <c r="CA24" s="2">
        <f t="shared" si="21"/>
        <v>0</v>
      </c>
      <c r="CB24" s="2">
        <f t="shared" si="22"/>
        <v>0</v>
      </c>
      <c r="CC24" s="2">
        <f t="shared" si="23"/>
        <v>0</v>
      </c>
      <c r="CD24" s="2">
        <f t="shared" si="24"/>
        <v>0</v>
      </c>
      <c r="CE24" s="164"/>
      <c r="CG24" s="54"/>
      <c r="CH24" s="54"/>
      <c r="CI24" s="54"/>
      <c r="CJ24" s="54"/>
      <c r="CK24" s="54"/>
      <c r="CL24" s="54"/>
      <c r="CM24" s="54"/>
      <c r="CN24" s="54"/>
      <c r="CO24" s="54"/>
      <c r="CP24" s="54"/>
      <c r="CQ24" s="56"/>
    </row>
    <row r="25" spans="1:95" s="47" customFormat="1" ht="21" customHeight="1" x14ac:dyDescent="0.25">
      <c r="A25" s="10">
        <v>21</v>
      </c>
      <c r="B25" s="12" t="s">
        <v>53</v>
      </c>
      <c r="C25" s="8" t="s">
        <v>54</v>
      </c>
      <c r="D25" s="141">
        <v>40896</v>
      </c>
      <c r="E25" s="142">
        <v>0.35347222222222219</v>
      </c>
      <c r="F25" s="142">
        <v>0.9784722222222223</v>
      </c>
      <c r="G25" s="142">
        <v>0.35347222222222219</v>
      </c>
      <c r="H25" s="142">
        <v>0.99513888888888891</v>
      </c>
      <c r="I25" s="143" t="s">
        <v>15</v>
      </c>
      <c r="J25" s="143" t="s">
        <v>15</v>
      </c>
      <c r="K25" s="142">
        <v>0.35347222222222219</v>
      </c>
      <c r="L25" s="142">
        <v>0.95138888888888884</v>
      </c>
      <c r="M25" s="142">
        <v>0.35416666666666669</v>
      </c>
      <c r="N25" s="144">
        <v>0.96597222222222223</v>
      </c>
      <c r="O25" s="145">
        <v>0.35416666666666669</v>
      </c>
      <c r="P25" s="153">
        <v>1</v>
      </c>
      <c r="Q25" s="145">
        <v>0.35416666666666669</v>
      </c>
      <c r="R25" s="153">
        <v>1</v>
      </c>
      <c r="S25" s="145">
        <v>0.35486111111111113</v>
      </c>
      <c r="T25" s="145">
        <v>9.0277777777777787E-3</v>
      </c>
      <c r="U25" s="145">
        <v>0.35416666666666669</v>
      </c>
      <c r="V25" s="145">
        <v>0.96805555555555556</v>
      </c>
      <c r="W25" s="143" t="s">
        <v>15</v>
      </c>
      <c r="X25" s="143" t="s">
        <v>15</v>
      </c>
      <c r="Y25" s="152" t="s">
        <v>19</v>
      </c>
      <c r="Z25" s="152" t="s">
        <v>19</v>
      </c>
      <c r="AA25" s="152" t="s">
        <v>19</v>
      </c>
      <c r="AB25" s="152" t="s">
        <v>19</v>
      </c>
      <c r="AC25" s="152" t="s">
        <v>19</v>
      </c>
      <c r="AD25" s="152" t="s">
        <v>19</v>
      </c>
      <c r="AE25" s="145">
        <v>0.35347222222222219</v>
      </c>
      <c r="AF25" s="145">
        <v>0.96458333333333324</v>
      </c>
      <c r="AG25" s="145">
        <v>0.3527777777777778</v>
      </c>
      <c r="AH25" s="146">
        <v>1</v>
      </c>
      <c r="AI25" s="114"/>
      <c r="AJ25" s="87">
        <v>21</v>
      </c>
      <c r="AK25" s="134">
        <v>46219.346770833334</v>
      </c>
      <c r="AL25" s="134">
        <v>46219.997685185182</v>
      </c>
      <c r="AM25" s="134">
        <v>46220.600740740738</v>
      </c>
      <c r="AN25" s="134">
        <v>46220.940497685187</v>
      </c>
      <c r="AO25" s="134">
        <v>46221.354224537034</v>
      </c>
      <c r="AP25" s="134">
        <v>46221.970462962963</v>
      </c>
      <c r="AQ25" s="134">
        <v>46222.352800925924</v>
      </c>
      <c r="AR25" s="134">
        <v>46222.960659722223</v>
      </c>
      <c r="AS25" s="134">
        <v>46223.353159722225</v>
      </c>
      <c r="AT25" s="134">
        <v>46223.964745370373</v>
      </c>
      <c r="AU25" s="134">
        <v>46224.354432870372</v>
      </c>
      <c r="AV25" s="134">
        <v>46224.966273148151</v>
      </c>
      <c r="AW25" s="134">
        <v>46225.353634259256</v>
      </c>
      <c r="AX25" s="134">
        <v>46225.992083333331</v>
      </c>
      <c r="AY25" s="134">
        <v>46226.35056712963</v>
      </c>
      <c r="AZ25" s="134">
        <v>46226.963819444441</v>
      </c>
      <c r="BA25" s="158" t="s">
        <v>15</v>
      </c>
      <c r="BB25" s="158" t="s">
        <v>15</v>
      </c>
      <c r="BC25" s="134">
        <v>46228.353587962964</v>
      </c>
      <c r="BD25" s="134">
        <v>46228.960763888892</v>
      </c>
      <c r="BE25" s="134">
        <v>46229.354317129626</v>
      </c>
      <c r="BF25" s="134">
        <v>46229.942928240744</v>
      </c>
      <c r="BG25" s="134">
        <v>46230.353194444448</v>
      </c>
      <c r="BH25" s="134">
        <v>46230.959421296298</v>
      </c>
      <c r="BI25" s="134">
        <v>46231.354641203703</v>
      </c>
      <c r="BJ25" s="134">
        <v>46231.958761574075</v>
      </c>
      <c r="BK25" s="134">
        <v>46232.352534722224</v>
      </c>
      <c r="BL25" s="137">
        <v>46232.979745370372</v>
      </c>
      <c r="BM25" s="135">
        <v>46233.353020833332</v>
      </c>
      <c r="BN25" s="136">
        <v>1</v>
      </c>
      <c r="BO25" s="134">
        <v>46234.581875000003</v>
      </c>
      <c r="BP25" s="137">
        <v>46234.942037037035</v>
      </c>
      <c r="BQ25" s="9">
        <f>BS25+BT25+BV25+CA25+BY25+BZ25+CD25+BU25</f>
        <v>28</v>
      </c>
      <c r="BR25" s="68">
        <v>2</v>
      </c>
      <c r="BS25" s="1">
        <f t="shared" si="13"/>
        <v>25</v>
      </c>
      <c r="BT25" s="2">
        <f t="shared" si="14"/>
        <v>3</v>
      </c>
      <c r="BU25" s="2">
        <f t="shared" si="15"/>
        <v>0</v>
      </c>
      <c r="BV25" s="2">
        <f t="shared" si="16"/>
        <v>0</v>
      </c>
      <c r="BW25" s="2">
        <f t="shared" si="17"/>
        <v>0</v>
      </c>
      <c r="BX25" s="2">
        <f t="shared" si="18"/>
        <v>3</v>
      </c>
      <c r="BY25" s="2">
        <f t="shared" si="19"/>
        <v>0</v>
      </c>
      <c r="BZ25" s="2">
        <f t="shared" si="20"/>
        <v>0</v>
      </c>
      <c r="CA25" s="2">
        <f t="shared" si="21"/>
        <v>0</v>
      </c>
      <c r="CB25" s="2">
        <f t="shared" si="22"/>
        <v>0</v>
      </c>
      <c r="CC25" s="2">
        <f t="shared" si="23"/>
        <v>0</v>
      </c>
      <c r="CD25" s="2">
        <f t="shared" si="24"/>
        <v>0</v>
      </c>
      <c r="CE25" s="164"/>
      <c r="CG25" s="54">
        <v>0</v>
      </c>
      <c r="CH25" s="54">
        <v>0</v>
      </c>
      <c r="CI25" s="54">
        <v>0</v>
      </c>
      <c r="CJ25" s="54">
        <v>0</v>
      </c>
      <c r="CK25" s="54">
        <v>0</v>
      </c>
      <c r="CL25" s="55">
        <v>1</v>
      </c>
      <c r="CM25" s="54">
        <v>0</v>
      </c>
      <c r="CN25" s="54">
        <v>0</v>
      </c>
      <c r="CO25" s="54">
        <v>0</v>
      </c>
      <c r="CP25" s="54">
        <v>0</v>
      </c>
      <c r="CQ25" s="56">
        <f t="shared" si="11"/>
        <v>1</v>
      </c>
    </row>
    <row r="26" spans="1:95" s="47" customFormat="1" ht="21" customHeight="1" x14ac:dyDescent="0.25">
      <c r="A26" s="10">
        <v>22</v>
      </c>
      <c r="B26" s="11" t="s">
        <v>55</v>
      </c>
      <c r="C26" s="8" t="s">
        <v>56</v>
      </c>
      <c r="D26" s="141">
        <v>42446</v>
      </c>
      <c r="E26" s="142">
        <v>0.34236111111111112</v>
      </c>
      <c r="F26" s="142">
        <v>0.9194444444444444</v>
      </c>
      <c r="G26" s="142">
        <v>0.34236111111111112</v>
      </c>
      <c r="H26" s="142">
        <v>0.92847222222222225</v>
      </c>
      <c r="I26" s="143" t="s">
        <v>15</v>
      </c>
      <c r="J26" s="143" t="s">
        <v>15</v>
      </c>
      <c r="K26" s="142">
        <v>0.3430555555555555</v>
      </c>
      <c r="L26" s="142">
        <v>0.94305555555555554</v>
      </c>
      <c r="M26" s="142">
        <v>0.34236111111111112</v>
      </c>
      <c r="N26" s="144">
        <v>0.91388888888888886</v>
      </c>
      <c r="O26" s="145">
        <v>0.34375</v>
      </c>
      <c r="P26" s="145">
        <v>0.91180555555555554</v>
      </c>
      <c r="Q26" s="145">
        <v>0.34236111111111112</v>
      </c>
      <c r="R26" s="145">
        <v>0.90138888888888891</v>
      </c>
      <c r="S26" s="145">
        <v>0.34236111111111112</v>
      </c>
      <c r="T26" s="145">
        <v>0.93819444444444444</v>
      </c>
      <c r="U26" s="145">
        <v>0.3430555555555555</v>
      </c>
      <c r="V26" s="145">
        <v>0.98472222222222217</v>
      </c>
      <c r="W26" s="150">
        <v>0.57152777777777775</v>
      </c>
      <c r="X26" s="150">
        <v>0.93819444444444444</v>
      </c>
      <c r="Y26" s="145">
        <v>0.33958333333333335</v>
      </c>
      <c r="Z26" s="145">
        <v>0.94791666666666663</v>
      </c>
      <c r="AA26" s="145">
        <v>0.33680555555555558</v>
      </c>
      <c r="AB26" s="145">
        <v>0.9194444444444444</v>
      </c>
      <c r="AC26" s="145">
        <v>0.34166666666666662</v>
      </c>
      <c r="AD26" s="145">
        <v>0.91388888888888886</v>
      </c>
      <c r="AE26" s="145">
        <v>0.3430555555555555</v>
      </c>
      <c r="AF26" s="145">
        <v>0.9194444444444444</v>
      </c>
      <c r="AG26" s="145">
        <v>0.34097222222222223</v>
      </c>
      <c r="AH26" s="146">
        <v>1</v>
      </c>
      <c r="AI26" s="114"/>
      <c r="AJ26" s="87">
        <v>22</v>
      </c>
      <c r="AK26" s="134">
        <v>46219.342557870368</v>
      </c>
      <c r="AL26" s="134">
        <v>46219.950277777774</v>
      </c>
      <c r="AM26" s="158" t="s">
        <v>15</v>
      </c>
      <c r="AN26" s="158" t="s">
        <v>15</v>
      </c>
      <c r="AO26" s="134">
        <v>46221.342581018522</v>
      </c>
      <c r="AP26" s="134">
        <v>46221.971053240741</v>
      </c>
      <c r="AQ26" s="134">
        <v>46222.342222222222</v>
      </c>
      <c r="AR26" s="134">
        <v>46222.929444444446</v>
      </c>
      <c r="AS26" s="134">
        <v>46223.341898148145</v>
      </c>
      <c r="AT26" s="134">
        <v>46223.952476851853</v>
      </c>
      <c r="AU26" s="134">
        <v>46224.342858796299</v>
      </c>
      <c r="AV26" s="134">
        <v>46224.942164351851</v>
      </c>
      <c r="AW26" s="134">
        <v>46225.343136574076</v>
      </c>
      <c r="AX26" s="134">
        <v>1</v>
      </c>
      <c r="AY26" s="134">
        <v>46226.331608796296</v>
      </c>
      <c r="AZ26" s="134">
        <v>46226.94027777778</v>
      </c>
      <c r="BA26" s="134">
        <v>46227.569374999999</v>
      </c>
      <c r="BB26" s="134">
        <v>46227.902881944443</v>
      </c>
      <c r="BC26" s="134">
        <v>46228.341979166667</v>
      </c>
      <c r="BD26" s="134">
        <v>1</v>
      </c>
      <c r="BE26" s="134">
        <v>46229.343136574076</v>
      </c>
      <c r="BF26" s="134">
        <v>46229.905798611115</v>
      </c>
      <c r="BG26" s="134">
        <v>46230.341817129629</v>
      </c>
      <c r="BH26" s="134">
        <v>1</v>
      </c>
      <c r="BI26" s="134">
        <v>46231.343206018515</v>
      </c>
      <c r="BJ26" s="134">
        <v>46231.9296412037</v>
      </c>
      <c r="BK26" s="134">
        <v>46232.341631944444</v>
      </c>
      <c r="BL26" s="159">
        <v>1</v>
      </c>
      <c r="BM26" s="135">
        <v>46233.342094907406</v>
      </c>
      <c r="BN26" s="134">
        <v>46233.934756944444</v>
      </c>
      <c r="BO26" s="158" t="s">
        <v>15</v>
      </c>
      <c r="BP26" s="158" t="s">
        <v>15</v>
      </c>
      <c r="BQ26" s="9">
        <f t="shared" si="12"/>
        <v>31</v>
      </c>
      <c r="BR26" s="68">
        <v>3</v>
      </c>
      <c r="BS26" s="1">
        <f t="shared" si="13"/>
        <v>28</v>
      </c>
      <c r="BT26" s="2">
        <f t="shared" si="14"/>
        <v>3</v>
      </c>
      <c r="BU26" s="2">
        <f t="shared" si="15"/>
        <v>0</v>
      </c>
      <c r="BV26" s="2">
        <f t="shared" si="16"/>
        <v>0</v>
      </c>
      <c r="BW26" s="2">
        <f t="shared" si="17"/>
        <v>0</v>
      </c>
      <c r="BX26" s="2">
        <f t="shared" si="18"/>
        <v>0</v>
      </c>
      <c r="BY26" s="2">
        <f t="shared" si="19"/>
        <v>0</v>
      </c>
      <c r="BZ26" s="2">
        <f t="shared" si="20"/>
        <v>0</v>
      </c>
      <c r="CA26" s="2">
        <f t="shared" si="21"/>
        <v>0</v>
      </c>
      <c r="CB26" s="2">
        <f t="shared" si="22"/>
        <v>0</v>
      </c>
      <c r="CC26" s="2">
        <f t="shared" si="23"/>
        <v>0</v>
      </c>
      <c r="CD26" s="2">
        <f t="shared" si="24"/>
        <v>0</v>
      </c>
      <c r="CE26" s="164"/>
      <c r="CG26" s="54">
        <v>0</v>
      </c>
      <c r="CH26" s="54">
        <v>0</v>
      </c>
      <c r="CI26" s="55">
        <v>2</v>
      </c>
      <c r="CJ26" s="54">
        <v>0</v>
      </c>
      <c r="CK26" s="54">
        <v>0</v>
      </c>
      <c r="CL26" s="54">
        <v>0</v>
      </c>
      <c r="CM26" s="54">
        <v>0</v>
      </c>
      <c r="CN26" s="54">
        <v>0</v>
      </c>
      <c r="CO26" s="54">
        <v>0</v>
      </c>
      <c r="CP26" s="54">
        <v>0</v>
      </c>
      <c r="CQ26" s="56">
        <f t="shared" si="11"/>
        <v>2</v>
      </c>
    </row>
    <row r="27" spans="1:95" s="47" customFormat="1" ht="21" customHeight="1" x14ac:dyDescent="0.25">
      <c r="A27" s="10">
        <v>23</v>
      </c>
      <c r="B27" s="11" t="s">
        <v>57</v>
      </c>
      <c r="C27" s="8" t="s">
        <v>58</v>
      </c>
      <c r="D27" s="141">
        <v>42640</v>
      </c>
      <c r="E27" s="142">
        <v>0.34236111111111112</v>
      </c>
      <c r="F27" s="146">
        <v>1</v>
      </c>
      <c r="G27" s="142">
        <v>0.34097222222222223</v>
      </c>
      <c r="H27" s="146">
        <v>1</v>
      </c>
      <c r="I27" s="143" t="s">
        <v>15</v>
      </c>
      <c r="J27" s="143" t="s">
        <v>15</v>
      </c>
      <c r="K27" s="142">
        <v>0.3430555555555555</v>
      </c>
      <c r="L27" s="146">
        <v>1</v>
      </c>
      <c r="M27" s="142">
        <v>0.3430555555555555</v>
      </c>
      <c r="N27" s="149">
        <v>1</v>
      </c>
      <c r="O27" s="145">
        <v>0.3444444444444445</v>
      </c>
      <c r="P27" s="153">
        <v>1</v>
      </c>
      <c r="Q27" s="145">
        <v>0.34375</v>
      </c>
      <c r="R27" s="153">
        <v>1</v>
      </c>
      <c r="S27" s="145">
        <v>0.34583333333333338</v>
      </c>
      <c r="T27" s="153">
        <v>1</v>
      </c>
      <c r="U27" s="145">
        <v>0.34027777777777773</v>
      </c>
      <c r="V27" s="153">
        <v>1</v>
      </c>
      <c r="W27" s="150">
        <v>0.56388888888888888</v>
      </c>
      <c r="X27" s="156">
        <v>1</v>
      </c>
      <c r="Y27" s="145">
        <v>0.34375</v>
      </c>
      <c r="Z27" s="153">
        <v>1</v>
      </c>
      <c r="AA27" s="145">
        <v>0.33611111111111108</v>
      </c>
      <c r="AB27" s="146">
        <v>1</v>
      </c>
      <c r="AC27" s="145">
        <v>0.3430555555555555</v>
      </c>
      <c r="AD27" s="146">
        <v>1</v>
      </c>
      <c r="AE27" s="145">
        <v>0.3430555555555555</v>
      </c>
      <c r="AF27" s="146">
        <v>1</v>
      </c>
      <c r="AG27" s="145">
        <v>0.34375</v>
      </c>
      <c r="AH27" s="146">
        <v>1</v>
      </c>
      <c r="AI27" s="106"/>
      <c r="AJ27" s="87">
        <v>23</v>
      </c>
      <c r="AK27" s="134">
        <v>46219.344918981478</v>
      </c>
      <c r="AL27" s="134">
        <v>1</v>
      </c>
      <c r="AM27" s="134">
        <v>46220.578645833331</v>
      </c>
      <c r="AN27" s="134">
        <v>1</v>
      </c>
      <c r="AO27" s="134">
        <v>46221.34070601852</v>
      </c>
      <c r="AP27" s="134">
        <v>1</v>
      </c>
      <c r="AQ27" s="134">
        <v>46222.353125000001</v>
      </c>
      <c r="AR27" s="134">
        <v>1</v>
      </c>
      <c r="AS27" s="134">
        <v>46223.34648148148</v>
      </c>
      <c r="AT27" s="134">
        <v>1</v>
      </c>
      <c r="AU27" s="134">
        <v>46224.345208333332</v>
      </c>
      <c r="AV27" s="134">
        <v>1</v>
      </c>
      <c r="AW27" s="134">
        <v>46225.342997685184</v>
      </c>
      <c r="AX27" s="134">
        <v>1</v>
      </c>
      <c r="AY27" s="134">
        <v>46226.362164351849</v>
      </c>
      <c r="AZ27" s="134">
        <v>1</v>
      </c>
      <c r="BA27" s="134">
        <v>46227.577974537038</v>
      </c>
      <c r="BB27" s="134">
        <v>1</v>
      </c>
      <c r="BC27" s="134">
        <v>46228.353055555555</v>
      </c>
      <c r="BD27" s="134">
        <v>1</v>
      </c>
      <c r="BE27" s="134">
        <v>46229.35423611111</v>
      </c>
      <c r="BF27" s="134">
        <v>1</v>
      </c>
      <c r="BG27" s="134">
        <v>46230.348506944443</v>
      </c>
      <c r="BH27" s="134">
        <v>1</v>
      </c>
      <c r="BI27" s="134">
        <v>46231.352638888886</v>
      </c>
      <c r="BJ27" s="134">
        <v>1</v>
      </c>
      <c r="BK27" s="134">
        <v>46232.352835648147</v>
      </c>
      <c r="BL27" s="159">
        <v>1</v>
      </c>
      <c r="BM27" s="135">
        <v>46233.354398148149</v>
      </c>
      <c r="BN27" s="136">
        <v>1</v>
      </c>
      <c r="BO27" s="158" t="s">
        <v>15</v>
      </c>
      <c r="BP27" s="158" t="s">
        <v>15</v>
      </c>
      <c r="BQ27" s="9">
        <f t="shared" si="12"/>
        <v>31</v>
      </c>
      <c r="BR27" s="68">
        <v>3</v>
      </c>
      <c r="BS27" s="1">
        <f t="shared" si="13"/>
        <v>29</v>
      </c>
      <c r="BT27" s="2">
        <f t="shared" si="14"/>
        <v>2</v>
      </c>
      <c r="BU27" s="2">
        <f t="shared" si="15"/>
        <v>0</v>
      </c>
      <c r="BV27" s="2">
        <f t="shared" si="16"/>
        <v>0</v>
      </c>
      <c r="BW27" s="2">
        <f t="shared" si="17"/>
        <v>0</v>
      </c>
      <c r="BX27" s="2">
        <f t="shared" si="18"/>
        <v>0</v>
      </c>
      <c r="BY27" s="2">
        <f t="shared" si="19"/>
        <v>0</v>
      </c>
      <c r="BZ27" s="2">
        <f t="shared" si="20"/>
        <v>0</v>
      </c>
      <c r="CA27" s="2">
        <f t="shared" si="21"/>
        <v>0</v>
      </c>
      <c r="CB27" s="2">
        <f t="shared" si="22"/>
        <v>0</v>
      </c>
      <c r="CC27" s="2">
        <f t="shared" si="23"/>
        <v>0</v>
      </c>
      <c r="CD27" s="2">
        <f t="shared" si="24"/>
        <v>0</v>
      </c>
      <c r="CE27" s="164"/>
      <c r="CG27" s="54">
        <v>0</v>
      </c>
      <c r="CH27" s="54">
        <v>0</v>
      </c>
      <c r="CI27" s="55">
        <v>49</v>
      </c>
      <c r="CJ27" s="54">
        <v>0</v>
      </c>
      <c r="CK27" s="54">
        <v>0</v>
      </c>
      <c r="CL27" s="54">
        <v>0</v>
      </c>
      <c r="CM27" s="54">
        <v>0</v>
      </c>
      <c r="CN27" s="54">
        <v>0</v>
      </c>
      <c r="CO27" s="54">
        <v>0</v>
      </c>
      <c r="CP27" s="54">
        <v>0</v>
      </c>
      <c r="CQ27" s="56">
        <f t="shared" si="11"/>
        <v>49</v>
      </c>
    </row>
    <row r="28" spans="1:95" s="47" customFormat="1" ht="21" customHeight="1" x14ac:dyDescent="0.25">
      <c r="A28" s="10">
        <v>24</v>
      </c>
      <c r="B28" s="11" t="s">
        <v>215</v>
      </c>
      <c r="C28" s="8" t="s">
        <v>248</v>
      </c>
      <c r="D28" s="157"/>
      <c r="E28" s="142">
        <v>0.35000000000000003</v>
      </c>
      <c r="F28" s="146">
        <v>1</v>
      </c>
      <c r="G28" s="142">
        <v>0.34791666666666665</v>
      </c>
      <c r="H28" s="142">
        <v>0.99513888888888891</v>
      </c>
      <c r="I28" s="143" t="s">
        <v>15</v>
      </c>
      <c r="J28" s="143" t="s">
        <v>15</v>
      </c>
      <c r="K28" s="142">
        <v>0.35138888888888892</v>
      </c>
      <c r="L28" s="142">
        <v>0.95833333333333337</v>
      </c>
      <c r="M28" s="142">
        <v>0.35138888888888892</v>
      </c>
      <c r="N28" s="144">
        <v>0.97013888888888899</v>
      </c>
      <c r="O28" s="145">
        <v>0.34583333333333338</v>
      </c>
      <c r="P28" s="145">
        <v>0.96597222222222223</v>
      </c>
      <c r="Q28" s="145">
        <v>0.34930555555555554</v>
      </c>
      <c r="R28" s="145">
        <v>0.97361111111111109</v>
      </c>
      <c r="S28" s="145">
        <v>0.34722222222222227</v>
      </c>
      <c r="T28" s="145">
        <v>3.472222222222222E-3</v>
      </c>
      <c r="U28" s="145">
        <v>0.34791666666666665</v>
      </c>
      <c r="V28" s="145">
        <v>0.98541666666666661</v>
      </c>
      <c r="W28" s="150">
        <v>0.5625</v>
      </c>
      <c r="X28" s="156">
        <v>1</v>
      </c>
      <c r="Y28" s="145">
        <v>0.35000000000000003</v>
      </c>
      <c r="Z28" s="145">
        <v>0.96388888888888891</v>
      </c>
      <c r="AA28" s="145">
        <v>0.3444444444444445</v>
      </c>
      <c r="AB28" s="145">
        <v>0.97430555555555554</v>
      </c>
      <c r="AC28" s="145">
        <v>0.35138888888888892</v>
      </c>
      <c r="AD28" s="146">
        <v>1</v>
      </c>
      <c r="AE28" s="145">
        <v>0.34930555555555554</v>
      </c>
      <c r="AF28" s="146">
        <v>1</v>
      </c>
      <c r="AG28" s="145">
        <v>0.35000000000000003</v>
      </c>
      <c r="AH28" s="146">
        <v>1</v>
      </c>
      <c r="AI28" s="115"/>
      <c r="AJ28" s="87">
        <v>24</v>
      </c>
      <c r="AK28" s="134">
        <v>46219.348101851851</v>
      </c>
      <c r="AL28" s="134">
        <v>46219.995069444441</v>
      </c>
      <c r="AM28" s="158" t="s">
        <v>15</v>
      </c>
      <c r="AN28" s="158" t="s">
        <v>15</v>
      </c>
      <c r="AO28" s="134">
        <v>46221.351759259262</v>
      </c>
      <c r="AP28" s="134">
        <v>46221.972013888888</v>
      </c>
      <c r="AQ28" s="134">
        <v>46222.349560185183</v>
      </c>
      <c r="AR28" s="134">
        <v>46222.948379629626</v>
      </c>
      <c r="AS28" s="134">
        <v>46223.35125</v>
      </c>
      <c r="AT28" s="134">
        <v>46223.959027777775</v>
      </c>
      <c r="AU28" s="134">
        <v>46224.350983796299</v>
      </c>
      <c r="AV28" s="134">
        <v>46224.967013888891</v>
      </c>
      <c r="AW28" s="134">
        <v>46225.344108796293</v>
      </c>
      <c r="AX28" s="134">
        <v>46225.989502314813</v>
      </c>
      <c r="AY28" s="134">
        <v>46226.319733796299</v>
      </c>
      <c r="AZ28" s="134">
        <v>46226.967569444445</v>
      </c>
      <c r="BA28" s="134">
        <v>46227.58079861111</v>
      </c>
      <c r="BB28" s="134">
        <v>46227.939641203702</v>
      </c>
      <c r="BC28" s="134">
        <v>46228.350462962961</v>
      </c>
      <c r="BD28" s="134">
        <v>46228.975590277776</v>
      </c>
      <c r="BE28" s="134">
        <v>46229.351967592593</v>
      </c>
      <c r="BF28" s="134">
        <v>46229.953958333332</v>
      </c>
      <c r="BG28" s="134">
        <v>46230.352210648147</v>
      </c>
      <c r="BH28" s="134">
        <v>46230.989537037036</v>
      </c>
      <c r="BI28" s="134">
        <v>46231.353310185186</v>
      </c>
      <c r="BJ28" s="134">
        <v>46231.960034722222</v>
      </c>
      <c r="BK28" s="134">
        <v>46232.349421296298</v>
      </c>
      <c r="BL28" s="137">
        <v>46232.97997685185</v>
      </c>
      <c r="BM28" s="135">
        <v>46233.352534722224</v>
      </c>
      <c r="BN28" s="134">
        <v>46233.981689814813</v>
      </c>
      <c r="BO28" s="158" t="s">
        <v>15</v>
      </c>
      <c r="BP28" s="158" t="s">
        <v>15</v>
      </c>
      <c r="BQ28" s="9">
        <f t="shared" si="12"/>
        <v>31</v>
      </c>
      <c r="BR28" s="68">
        <v>2</v>
      </c>
      <c r="BS28" s="1">
        <f t="shared" si="13"/>
        <v>28</v>
      </c>
      <c r="BT28" s="2">
        <f t="shared" si="14"/>
        <v>3</v>
      </c>
      <c r="BU28" s="2">
        <f t="shared" si="15"/>
        <v>0</v>
      </c>
      <c r="BV28" s="2">
        <f t="shared" si="16"/>
        <v>0</v>
      </c>
      <c r="BW28" s="2">
        <f t="shared" si="17"/>
        <v>0</v>
      </c>
      <c r="BX28" s="2">
        <f t="shared" si="18"/>
        <v>0</v>
      </c>
      <c r="BY28" s="2">
        <f t="shared" si="19"/>
        <v>0</v>
      </c>
      <c r="BZ28" s="2">
        <f t="shared" si="20"/>
        <v>0</v>
      </c>
      <c r="CA28" s="2">
        <f t="shared" si="21"/>
        <v>0</v>
      </c>
      <c r="CB28" s="2">
        <f t="shared" si="22"/>
        <v>0</v>
      </c>
      <c r="CC28" s="2">
        <f t="shared" si="23"/>
        <v>0</v>
      </c>
      <c r="CD28" s="2">
        <f t="shared" si="24"/>
        <v>0</v>
      </c>
      <c r="CE28" s="164"/>
      <c r="CG28" s="54">
        <v>0</v>
      </c>
      <c r="CH28" s="54">
        <v>0</v>
      </c>
      <c r="CI28" s="54">
        <v>30</v>
      </c>
      <c r="CJ28" s="54">
        <v>0</v>
      </c>
      <c r="CK28" s="54">
        <v>0</v>
      </c>
      <c r="CL28" s="54">
        <v>0</v>
      </c>
      <c r="CM28" s="54">
        <v>0</v>
      </c>
      <c r="CN28" s="54">
        <v>0</v>
      </c>
      <c r="CO28" s="54">
        <v>40</v>
      </c>
      <c r="CP28" s="54">
        <v>0</v>
      </c>
      <c r="CQ28" s="56">
        <f t="shared" si="11"/>
        <v>70</v>
      </c>
    </row>
    <row r="29" spans="1:95" s="47" customFormat="1" ht="22.5" customHeight="1" x14ac:dyDescent="0.25">
      <c r="A29" s="10">
        <v>25</v>
      </c>
      <c r="B29" s="45" t="s">
        <v>238</v>
      </c>
      <c r="C29" s="176" t="s">
        <v>239</v>
      </c>
      <c r="D29" s="85">
        <v>46083</v>
      </c>
      <c r="E29" s="142">
        <v>0.34097222222222223</v>
      </c>
      <c r="F29" s="142">
        <v>0.95416666666666661</v>
      </c>
      <c r="G29" s="142">
        <v>0.33333333333333331</v>
      </c>
      <c r="H29" s="142">
        <v>0.97499999999999998</v>
      </c>
      <c r="I29" s="147">
        <v>0.56666666666666665</v>
      </c>
      <c r="J29" s="147">
        <v>0.95208333333333339</v>
      </c>
      <c r="K29" s="142">
        <v>0.3430555555555555</v>
      </c>
      <c r="L29" s="142">
        <v>0.97499999999999998</v>
      </c>
      <c r="M29" s="142">
        <v>0.3430555555555555</v>
      </c>
      <c r="N29" s="144">
        <v>0.95624999999999993</v>
      </c>
      <c r="O29" s="145">
        <v>0.34027777777777773</v>
      </c>
      <c r="P29" s="145">
        <v>0.95833333333333337</v>
      </c>
      <c r="Q29" s="145">
        <v>0.3430555555555555</v>
      </c>
      <c r="R29" s="145">
        <v>0.9506944444444444</v>
      </c>
      <c r="S29" s="145">
        <v>0.33888888888888885</v>
      </c>
      <c r="T29" s="145">
        <v>0.95833333333333337</v>
      </c>
      <c r="U29" s="145">
        <v>0.33958333333333335</v>
      </c>
      <c r="V29" s="145">
        <v>0.97916666666666663</v>
      </c>
      <c r="W29" s="150">
        <v>0.56597222222222221</v>
      </c>
      <c r="X29" s="150">
        <v>0.95972222222222225</v>
      </c>
      <c r="Y29" s="145">
        <v>0.34097222222222223</v>
      </c>
      <c r="Z29" s="145">
        <v>0.97499999999999998</v>
      </c>
      <c r="AA29" s="145">
        <v>0.33749999999999997</v>
      </c>
      <c r="AB29" s="145">
        <v>0.95833333333333337</v>
      </c>
      <c r="AC29" s="145">
        <v>0.34097222222222223</v>
      </c>
      <c r="AD29" s="145">
        <v>0.95347222222222217</v>
      </c>
      <c r="AE29" s="145">
        <v>0.33749999999999997</v>
      </c>
      <c r="AF29" s="145">
        <v>0.95416666666666661</v>
      </c>
      <c r="AG29" s="145">
        <v>0.33749999999999997</v>
      </c>
      <c r="AH29" s="145">
        <v>0.95833333333333337</v>
      </c>
      <c r="AI29" s="114"/>
      <c r="AJ29" s="87">
        <v>25</v>
      </c>
      <c r="AK29" s="134">
        <v>46219.34101851852</v>
      </c>
      <c r="AL29" s="134">
        <v>46219.981111111112</v>
      </c>
      <c r="AM29" s="134">
        <v>46220.569062499999</v>
      </c>
      <c r="AN29" s="134">
        <v>46220.956354166665</v>
      </c>
      <c r="AO29" s="134">
        <v>46221.340937499997</v>
      </c>
      <c r="AP29" s="134">
        <v>46221.975787037038</v>
      </c>
      <c r="AQ29" s="134">
        <v>46222.339930555558</v>
      </c>
      <c r="AR29" s="134">
        <v>46222.960034722222</v>
      </c>
      <c r="AS29" s="134">
        <v>46223.337939814817</v>
      </c>
      <c r="AT29" s="134">
        <v>46223.957280092596</v>
      </c>
      <c r="AU29" s="134">
        <v>46224.337962962964</v>
      </c>
      <c r="AV29" s="134">
        <v>1</v>
      </c>
      <c r="AW29" s="134">
        <v>46225.337314814817</v>
      </c>
      <c r="AX29" s="134">
        <v>46225.956087962964</v>
      </c>
      <c r="AY29" s="134">
        <v>46226.338935185187</v>
      </c>
      <c r="AZ29" s="134">
        <v>46226.974976851852</v>
      </c>
      <c r="BA29" s="158" t="s">
        <v>15</v>
      </c>
      <c r="BB29" s="158" t="s">
        <v>15</v>
      </c>
      <c r="BC29" s="134">
        <v>46228.339479166665</v>
      </c>
      <c r="BD29" s="134">
        <v>46228.968611111108</v>
      </c>
      <c r="BE29" s="134">
        <v>46229.336782407408</v>
      </c>
      <c r="BF29" s="134">
        <v>46229.950023148151</v>
      </c>
      <c r="BG29" s="134">
        <v>46230.335625</v>
      </c>
      <c r="BH29" s="134">
        <v>46230.949791666666</v>
      </c>
      <c r="BI29" s="134">
        <v>46231.339016203703</v>
      </c>
      <c r="BJ29" s="134">
        <v>1</v>
      </c>
      <c r="BK29" s="134">
        <v>46232.336886574078</v>
      </c>
      <c r="BL29" s="137">
        <v>46232.962870370371</v>
      </c>
      <c r="BM29" s="137">
        <v>46233.336886574078</v>
      </c>
      <c r="BN29" s="134">
        <v>46233.976875</v>
      </c>
      <c r="BO29" s="134">
        <v>46234.568622685183</v>
      </c>
      <c r="BP29" s="137">
        <v>46234.953553240739</v>
      </c>
      <c r="BQ29" s="9">
        <f t="shared" si="12"/>
        <v>31</v>
      </c>
      <c r="BR29" s="68">
        <v>4</v>
      </c>
      <c r="BS29" s="1">
        <f t="shared" si="13"/>
        <v>30</v>
      </c>
      <c r="BT29" s="2">
        <f t="shared" si="14"/>
        <v>1</v>
      </c>
      <c r="BU29" s="2">
        <f t="shared" si="15"/>
        <v>0</v>
      </c>
      <c r="BV29" s="2">
        <f t="shared" si="16"/>
        <v>0</v>
      </c>
      <c r="BW29" s="2">
        <f t="shared" si="17"/>
        <v>0</v>
      </c>
      <c r="BX29" s="2">
        <f t="shared" si="18"/>
        <v>0</v>
      </c>
      <c r="BY29" s="2">
        <f t="shared" si="19"/>
        <v>0</v>
      </c>
      <c r="BZ29" s="2">
        <f t="shared" si="20"/>
        <v>0</v>
      </c>
      <c r="CA29" s="2">
        <f t="shared" si="21"/>
        <v>0</v>
      </c>
      <c r="CB29" s="2">
        <f t="shared" si="22"/>
        <v>0</v>
      </c>
      <c r="CC29" s="2">
        <f t="shared" si="23"/>
        <v>0</v>
      </c>
      <c r="CD29" s="2">
        <f t="shared" si="24"/>
        <v>0</v>
      </c>
      <c r="CE29" s="164"/>
      <c r="CG29" s="67">
        <v>0</v>
      </c>
      <c r="CH29" s="67">
        <v>0</v>
      </c>
      <c r="CI29" s="67">
        <v>0</v>
      </c>
      <c r="CJ29" s="67">
        <v>0</v>
      </c>
      <c r="CK29" s="67">
        <v>0</v>
      </c>
      <c r="CL29" s="67">
        <v>1</v>
      </c>
      <c r="CM29" s="67">
        <v>0</v>
      </c>
      <c r="CN29" s="67">
        <v>0</v>
      </c>
      <c r="CO29" s="67">
        <v>0</v>
      </c>
      <c r="CP29" s="67">
        <v>0</v>
      </c>
      <c r="CQ29" s="56">
        <f t="shared" si="11"/>
        <v>1</v>
      </c>
    </row>
    <row r="30" spans="1:95" x14ac:dyDescent="0.25">
      <c r="BS30" s="103"/>
      <c r="BT30" s="104"/>
      <c r="BU30" s="104"/>
      <c r="BV30" s="104"/>
      <c r="BW30" s="104"/>
      <c r="BX30" s="104"/>
      <c r="BY30" s="104"/>
      <c r="BZ30" s="104"/>
      <c r="CA30" s="104"/>
      <c r="CB30" s="104"/>
      <c r="CC30" s="104"/>
      <c r="CD30" s="104"/>
    </row>
    <row r="32" spans="1:95" ht="15.75" x14ac:dyDescent="0.25">
      <c r="E32" s="16"/>
      <c r="F32" s="17" t="s">
        <v>62</v>
      </c>
      <c r="G32" s="18"/>
      <c r="H32" s="17"/>
      <c r="I32" s="19"/>
      <c r="L32" s="19"/>
      <c r="M32" s="20"/>
      <c r="N32" s="21"/>
      <c r="O32" s="21"/>
      <c r="P32" s="22" t="s">
        <v>63</v>
      </c>
      <c r="Q32" s="22"/>
      <c r="R32" s="20"/>
      <c r="S32" s="20"/>
      <c r="T32" s="20"/>
      <c r="U32" s="20"/>
      <c r="V32" s="20" t="s">
        <v>64</v>
      </c>
      <c r="W32" s="20"/>
      <c r="X32" s="20"/>
      <c r="Y32" s="20"/>
      <c r="Z32" s="22" t="s">
        <v>65</v>
      </c>
      <c r="AA32" s="20"/>
      <c r="BR32" s="35" t="s">
        <v>74</v>
      </c>
      <c r="BS32" s="36"/>
      <c r="BT32" s="36"/>
      <c r="BU32" s="37" t="s">
        <v>17</v>
      </c>
      <c r="BV32" s="38"/>
      <c r="BW32" s="43" t="s">
        <v>75</v>
      </c>
      <c r="BX32" s="44"/>
      <c r="BY32" s="44"/>
      <c r="BZ32" s="41"/>
      <c r="CA32" s="42" t="s">
        <v>23</v>
      </c>
    </row>
    <row r="33" spans="1:95" ht="23.25" customHeight="1" x14ac:dyDescent="0.25">
      <c r="E33" s="23"/>
      <c r="F33" s="19"/>
      <c r="G33" s="19"/>
      <c r="H33" s="19"/>
      <c r="I33" s="19"/>
      <c r="L33" s="19"/>
      <c r="M33" s="19"/>
      <c r="N33" s="24"/>
      <c r="O33" s="24"/>
      <c r="P33" s="24"/>
      <c r="Q33" s="19"/>
      <c r="R33" s="19"/>
      <c r="S33" s="19"/>
      <c r="T33" s="25"/>
      <c r="U33" s="25"/>
      <c r="V33" s="25"/>
      <c r="W33" s="25"/>
      <c r="X33" s="25"/>
      <c r="Y33" s="25"/>
      <c r="Z33" s="26"/>
      <c r="AA33" s="26"/>
      <c r="BR33" s="35" t="s">
        <v>76</v>
      </c>
      <c r="BS33" s="36"/>
      <c r="BT33" s="36"/>
      <c r="BU33" s="37" t="s">
        <v>18</v>
      </c>
      <c r="BV33" s="38"/>
      <c r="BW33" s="39" t="s">
        <v>77</v>
      </c>
      <c r="BX33" s="40"/>
      <c r="BY33" s="40"/>
      <c r="BZ33" s="41"/>
      <c r="CA33" s="42" t="s">
        <v>24</v>
      </c>
    </row>
    <row r="34" spans="1:95" ht="17.25" x14ac:dyDescent="0.25">
      <c r="E34" s="23"/>
      <c r="F34" s="27"/>
      <c r="G34" s="19"/>
      <c r="H34" s="27"/>
      <c r="I34" s="19"/>
      <c r="L34" s="19"/>
      <c r="M34" s="27" t="s">
        <v>64</v>
      </c>
      <c r="N34" s="28"/>
      <c r="O34" s="28"/>
      <c r="P34" s="24"/>
      <c r="Q34" s="19"/>
      <c r="R34" s="27"/>
      <c r="S34" s="27"/>
      <c r="T34" s="20"/>
      <c r="U34" s="19"/>
      <c r="V34" s="19"/>
      <c r="W34" s="19"/>
      <c r="X34" s="19"/>
      <c r="Y34" s="19"/>
      <c r="Z34" s="29"/>
      <c r="AA34" s="29"/>
      <c r="BR34" s="35" t="s">
        <v>78</v>
      </c>
      <c r="BS34" s="36"/>
      <c r="BT34" s="36"/>
      <c r="BU34" s="37" t="s">
        <v>19</v>
      </c>
      <c r="BV34" s="38"/>
      <c r="BW34" s="39" t="s">
        <v>79</v>
      </c>
      <c r="BX34" s="40"/>
      <c r="BY34" s="40"/>
      <c r="BZ34" s="41"/>
      <c r="CA34" s="42" t="s">
        <v>25</v>
      </c>
    </row>
    <row r="35" spans="1:95" ht="17.25" x14ac:dyDescent="0.25">
      <c r="E35" s="30"/>
      <c r="F35" s="27"/>
      <c r="G35" s="19"/>
      <c r="H35" s="27"/>
      <c r="I35" s="19"/>
      <c r="L35" s="19"/>
      <c r="M35" s="27"/>
      <c r="N35" s="28"/>
      <c r="O35" s="28"/>
      <c r="P35" s="24"/>
      <c r="Q35" s="20"/>
      <c r="R35" s="27"/>
      <c r="S35" s="27"/>
      <c r="T35" s="20"/>
      <c r="U35" s="19"/>
      <c r="V35" s="19"/>
      <c r="W35" s="19"/>
      <c r="X35" s="19"/>
      <c r="Y35" s="19"/>
      <c r="Z35" s="29"/>
      <c r="AA35" s="29"/>
      <c r="BR35" s="35" t="s">
        <v>80</v>
      </c>
      <c r="BS35" s="36"/>
      <c r="BT35" s="36"/>
      <c r="BU35" s="37" t="s">
        <v>20</v>
      </c>
      <c r="BV35" s="38"/>
      <c r="BW35" s="38"/>
      <c r="BX35" s="38"/>
      <c r="BY35" s="38"/>
      <c r="BZ35" s="38"/>
      <c r="CA35" s="38"/>
    </row>
    <row r="36" spans="1:95" ht="17.25" x14ac:dyDescent="0.25">
      <c r="E36" s="31"/>
      <c r="F36" s="32"/>
      <c r="G36" s="16"/>
      <c r="H36" s="31"/>
      <c r="I36" s="19"/>
      <c r="L36" s="19"/>
      <c r="M36" s="27"/>
      <c r="N36" s="24"/>
      <c r="O36" s="28"/>
      <c r="P36" s="18" t="s">
        <v>67</v>
      </c>
      <c r="Q36" s="19"/>
      <c r="R36" s="27"/>
      <c r="S36" s="20"/>
      <c r="T36" s="19"/>
      <c r="U36" s="19"/>
      <c r="V36" s="19"/>
      <c r="W36" s="19"/>
      <c r="X36" s="19"/>
      <c r="Y36" s="19"/>
      <c r="Z36" s="18" t="s">
        <v>68</v>
      </c>
      <c r="AA36" s="29"/>
    </row>
    <row r="37" spans="1:95" ht="17.25" x14ac:dyDescent="0.25">
      <c r="E37" s="31"/>
      <c r="F37" s="32"/>
      <c r="G37" s="16"/>
      <c r="H37" s="31"/>
      <c r="I37" s="19"/>
      <c r="L37" s="19"/>
      <c r="M37" s="27"/>
      <c r="N37" s="24"/>
      <c r="O37" s="28"/>
      <c r="P37" s="18"/>
      <c r="Q37" s="19"/>
      <c r="R37" s="27"/>
      <c r="S37" s="20"/>
      <c r="T37" s="19"/>
      <c r="U37" s="19"/>
      <c r="V37" s="19"/>
      <c r="W37" s="19"/>
      <c r="X37" s="19"/>
      <c r="Y37" s="19"/>
      <c r="Z37" s="18"/>
      <c r="AA37" s="29"/>
    </row>
    <row r="38" spans="1:95" ht="17.25" x14ac:dyDescent="0.25">
      <c r="E38" s="31"/>
      <c r="F38" s="31" t="s">
        <v>69</v>
      </c>
      <c r="G38" s="30"/>
      <c r="H38" s="30"/>
      <c r="I38" s="19"/>
      <c r="L38" s="19"/>
      <c r="M38" s="18"/>
      <c r="N38" s="33"/>
      <c r="O38" s="33"/>
      <c r="P38" s="18" t="s">
        <v>70</v>
      </c>
      <c r="Q38" s="18"/>
      <c r="R38" s="18"/>
      <c r="S38" s="20"/>
      <c r="T38" s="18"/>
      <c r="U38" s="19"/>
      <c r="V38" s="19"/>
      <c r="W38" s="19"/>
      <c r="X38" s="19"/>
      <c r="Y38" s="19"/>
      <c r="Z38" s="18" t="s">
        <v>71</v>
      </c>
      <c r="AA38" s="29"/>
    </row>
    <row r="39" spans="1:95" ht="15.75" x14ac:dyDescent="0.25"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34"/>
      <c r="Y39" s="34"/>
    </row>
    <row r="40" spans="1:95" ht="25.5" customHeight="1" x14ac:dyDescent="0.25">
      <c r="A40" s="198" t="s">
        <v>251</v>
      </c>
      <c r="B40" s="199"/>
      <c r="C40" s="199"/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199"/>
      <c r="Q40" s="199"/>
      <c r="R40" s="199"/>
      <c r="S40" s="199"/>
      <c r="T40" s="199"/>
      <c r="U40" s="199"/>
      <c r="V40" s="199"/>
      <c r="W40" s="199"/>
      <c r="X40" s="199"/>
      <c r="Y40" s="199"/>
      <c r="Z40" s="199"/>
      <c r="AA40" s="199"/>
      <c r="AB40" s="199"/>
      <c r="AC40" s="199"/>
      <c r="AD40" s="199"/>
      <c r="AE40" s="199"/>
      <c r="AF40" s="199"/>
      <c r="AG40" s="199"/>
      <c r="AH40" s="200"/>
      <c r="AI40" s="110"/>
      <c r="AJ40" s="216" t="s">
        <v>251</v>
      </c>
      <c r="AK40" s="216"/>
      <c r="AL40" s="216"/>
      <c r="AM40" s="216"/>
      <c r="AN40" s="216"/>
      <c r="AO40" s="216"/>
      <c r="AP40" s="216"/>
      <c r="AQ40" s="216"/>
      <c r="AR40" s="216"/>
      <c r="AS40" s="216"/>
      <c r="AT40" s="216"/>
      <c r="AU40" s="216"/>
      <c r="AV40" s="216"/>
      <c r="AW40" s="216"/>
      <c r="AX40" s="216"/>
      <c r="AY40" s="216"/>
      <c r="AZ40" s="216"/>
      <c r="BA40" s="216"/>
      <c r="BB40" s="216"/>
      <c r="BC40" s="216"/>
      <c r="BD40" s="216"/>
      <c r="BE40" s="216"/>
      <c r="BF40" s="216"/>
      <c r="BG40" s="216"/>
      <c r="BH40" s="216"/>
      <c r="BI40" s="216"/>
      <c r="BJ40" s="216"/>
      <c r="BK40" s="216"/>
      <c r="BL40" s="216"/>
      <c r="BM40" s="216"/>
      <c r="BN40" s="216"/>
      <c r="BO40" s="216"/>
      <c r="BP40" s="216"/>
      <c r="BQ40" s="216"/>
      <c r="BR40" s="216"/>
      <c r="BS40" s="216"/>
      <c r="BT40" s="216"/>
      <c r="BU40" s="216"/>
      <c r="BV40" s="216"/>
      <c r="BW40" s="216"/>
      <c r="BX40" s="216"/>
      <c r="BY40" s="216"/>
      <c r="BZ40" s="216"/>
      <c r="CA40" s="216"/>
      <c r="CB40" s="216"/>
      <c r="CC40" s="216"/>
      <c r="CD40" s="216"/>
      <c r="CE40" s="216"/>
    </row>
    <row r="41" spans="1:95" ht="22.5" customHeight="1" x14ac:dyDescent="0.25">
      <c r="A41" s="210" t="s">
        <v>173</v>
      </c>
      <c r="B41" s="211"/>
      <c r="C41" s="212"/>
      <c r="D41" s="84"/>
      <c r="E41" s="190" t="s">
        <v>1</v>
      </c>
      <c r="F41" s="190"/>
      <c r="G41" s="190" t="s">
        <v>2</v>
      </c>
      <c r="H41" s="190"/>
      <c r="I41" s="190" t="s">
        <v>3</v>
      </c>
      <c r="J41" s="190"/>
      <c r="K41" s="190" t="s">
        <v>4</v>
      </c>
      <c r="L41" s="190"/>
      <c r="M41" s="190" t="s">
        <v>5</v>
      </c>
      <c r="N41" s="190"/>
      <c r="O41" s="190" t="s">
        <v>6</v>
      </c>
      <c r="P41" s="190"/>
      <c r="Q41" s="190" t="s">
        <v>7</v>
      </c>
      <c r="R41" s="190"/>
      <c r="S41" s="190" t="s">
        <v>1</v>
      </c>
      <c r="T41" s="190"/>
      <c r="U41" s="190" t="s">
        <v>2</v>
      </c>
      <c r="V41" s="190"/>
      <c r="W41" s="190" t="s">
        <v>3</v>
      </c>
      <c r="X41" s="190"/>
      <c r="Y41" s="190" t="s">
        <v>4</v>
      </c>
      <c r="Z41" s="190"/>
      <c r="AA41" s="190" t="s">
        <v>5</v>
      </c>
      <c r="AB41" s="190"/>
      <c r="AC41" s="190" t="s">
        <v>6</v>
      </c>
      <c r="AD41" s="190"/>
      <c r="AE41" s="190" t="s">
        <v>7</v>
      </c>
      <c r="AF41" s="190"/>
      <c r="AG41" s="190" t="s">
        <v>1</v>
      </c>
      <c r="AH41" s="190"/>
      <c r="AI41" s="111"/>
      <c r="AJ41" s="133"/>
      <c r="AK41" s="190" t="s">
        <v>2</v>
      </c>
      <c r="AL41" s="191"/>
      <c r="AM41" s="190" t="s">
        <v>3</v>
      </c>
      <c r="AN41" s="191"/>
      <c r="AO41" s="190" t="s">
        <v>4</v>
      </c>
      <c r="AP41" s="191"/>
      <c r="AQ41" s="190" t="s">
        <v>5</v>
      </c>
      <c r="AR41" s="191"/>
      <c r="AS41" s="190" t="s">
        <v>6</v>
      </c>
      <c r="AT41" s="191"/>
      <c r="AU41" s="190" t="s">
        <v>7</v>
      </c>
      <c r="AV41" s="191"/>
      <c r="AW41" s="190" t="s">
        <v>1</v>
      </c>
      <c r="AX41" s="191"/>
      <c r="AY41" s="190" t="s">
        <v>2</v>
      </c>
      <c r="AZ41" s="191"/>
      <c r="BA41" s="190" t="s">
        <v>3</v>
      </c>
      <c r="BB41" s="191"/>
      <c r="BC41" s="190" t="s">
        <v>4</v>
      </c>
      <c r="BD41" s="191"/>
      <c r="BE41" s="190" t="s">
        <v>5</v>
      </c>
      <c r="BF41" s="191"/>
      <c r="BG41" s="190" t="s">
        <v>6</v>
      </c>
      <c r="BH41" s="191"/>
      <c r="BI41" s="190" t="s">
        <v>7</v>
      </c>
      <c r="BJ41" s="191"/>
      <c r="BK41" s="190" t="s">
        <v>1</v>
      </c>
      <c r="BL41" s="191"/>
      <c r="BM41" s="190" t="s">
        <v>2</v>
      </c>
      <c r="BN41" s="191"/>
      <c r="BO41" s="190" t="s">
        <v>3</v>
      </c>
      <c r="BP41" s="191"/>
      <c r="BQ41" s="197" t="s">
        <v>8</v>
      </c>
      <c r="BR41" s="192" t="s">
        <v>9</v>
      </c>
      <c r="BS41" s="203"/>
      <c r="BT41" s="204"/>
      <c r="BU41" s="204"/>
      <c r="BV41" s="204"/>
      <c r="BW41" s="204"/>
      <c r="BX41" s="204"/>
      <c r="BY41" s="204"/>
      <c r="BZ41" s="204"/>
      <c r="CA41" s="204"/>
      <c r="CB41" s="204"/>
      <c r="CC41" s="204"/>
      <c r="CD41" s="204"/>
      <c r="CE41" s="205"/>
      <c r="CG41" s="202" t="s">
        <v>194</v>
      </c>
      <c r="CH41" s="202"/>
      <c r="CI41" s="202"/>
      <c r="CJ41" s="202"/>
      <c r="CK41" s="202"/>
      <c r="CL41" s="202"/>
      <c r="CM41" s="202"/>
      <c r="CN41" s="202"/>
      <c r="CO41" s="202"/>
      <c r="CP41" s="202"/>
      <c r="CQ41" s="47"/>
    </row>
    <row r="42" spans="1:95" ht="22.5" customHeight="1" x14ac:dyDescent="0.25">
      <c r="A42" s="213"/>
      <c r="B42" s="214"/>
      <c r="C42" s="215"/>
      <c r="D42" s="84"/>
      <c r="E42" s="188">
        <v>46204</v>
      </c>
      <c r="F42" s="188"/>
      <c r="G42" s="188">
        <v>46205</v>
      </c>
      <c r="H42" s="188"/>
      <c r="I42" s="188">
        <v>46206</v>
      </c>
      <c r="J42" s="188"/>
      <c r="K42" s="188">
        <v>46207</v>
      </c>
      <c r="L42" s="188"/>
      <c r="M42" s="188">
        <v>46208</v>
      </c>
      <c r="N42" s="188"/>
      <c r="O42" s="188">
        <v>46209</v>
      </c>
      <c r="P42" s="188"/>
      <c r="Q42" s="188">
        <v>46210</v>
      </c>
      <c r="R42" s="188"/>
      <c r="S42" s="188">
        <v>46211</v>
      </c>
      <c r="T42" s="188"/>
      <c r="U42" s="188">
        <v>46212</v>
      </c>
      <c r="V42" s="188"/>
      <c r="W42" s="188">
        <v>46213</v>
      </c>
      <c r="X42" s="188"/>
      <c r="Y42" s="188">
        <v>46214</v>
      </c>
      <c r="Z42" s="188"/>
      <c r="AA42" s="188">
        <v>46215</v>
      </c>
      <c r="AB42" s="188"/>
      <c r="AC42" s="188">
        <v>46216</v>
      </c>
      <c r="AD42" s="188"/>
      <c r="AE42" s="188">
        <v>46217</v>
      </c>
      <c r="AF42" s="188"/>
      <c r="AG42" s="188">
        <v>46218</v>
      </c>
      <c r="AH42" s="188"/>
      <c r="AI42" s="112"/>
      <c r="AJ42" s="102"/>
      <c r="AK42" s="188">
        <v>46219</v>
      </c>
      <c r="AL42" s="189"/>
      <c r="AM42" s="188">
        <v>46220</v>
      </c>
      <c r="AN42" s="189"/>
      <c r="AO42" s="188">
        <v>46221</v>
      </c>
      <c r="AP42" s="189"/>
      <c r="AQ42" s="188">
        <v>46222</v>
      </c>
      <c r="AR42" s="189"/>
      <c r="AS42" s="188">
        <v>46223</v>
      </c>
      <c r="AT42" s="189"/>
      <c r="AU42" s="188">
        <v>46224</v>
      </c>
      <c r="AV42" s="189"/>
      <c r="AW42" s="188">
        <v>46225</v>
      </c>
      <c r="AX42" s="189"/>
      <c r="AY42" s="188">
        <v>46226</v>
      </c>
      <c r="AZ42" s="189"/>
      <c r="BA42" s="188">
        <v>46227</v>
      </c>
      <c r="BB42" s="189"/>
      <c r="BC42" s="188">
        <v>46228</v>
      </c>
      <c r="BD42" s="189"/>
      <c r="BE42" s="188">
        <v>46229</v>
      </c>
      <c r="BF42" s="189"/>
      <c r="BG42" s="188">
        <v>46230</v>
      </c>
      <c r="BH42" s="189"/>
      <c r="BI42" s="188">
        <v>46231</v>
      </c>
      <c r="BJ42" s="189"/>
      <c r="BK42" s="188">
        <v>46232</v>
      </c>
      <c r="BL42" s="189"/>
      <c r="BM42" s="188">
        <v>46233</v>
      </c>
      <c r="BN42" s="189"/>
      <c r="BO42" s="188">
        <v>46234</v>
      </c>
      <c r="BP42" s="189"/>
      <c r="BQ42" s="206"/>
      <c r="BR42" s="193"/>
      <c r="BS42" s="62"/>
      <c r="BT42" s="63"/>
      <c r="BU42" s="63"/>
      <c r="BV42" s="63"/>
      <c r="BW42" s="63"/>
      <c r="BX42" s="63"/>
      <c r="BY42" s="63"/>
      <c r="BZ42" s="63"/>
      <c r="CA42" s="63"/>
      <c r="CB42" s="63"/>
      <c r="CC42" s="63"/>
      <c r="CD42" s="63"/>
      <c r="CE42" s="165"/>
      <c r="CG42" s="57" t="s">
        <v>249</v>
      </c>
      <c r="CH42" s="57"/>
      <c r="CI42" s="57"/>
      <c r="CJ42" s="57"/>
      <c r="CK42" s="57"/>
      <c r="CL42" s="57"/>
      <c r="CM42" s="57"/>
      <c r="CN42" s="57"/>
      <c r="CO42" s="57"/>
      <c r="CP42" s="57"/>
      <c r="CQ42" s="47"/>
    </row>
    <row r="43" spans="1:95" ht="20.25" customHeight="1" x14ac:dyDescent="0.25">
      <c r="A43" s="4" t="s">
        <v>10</v>
      </c>
      <c r="B43" s="4" t="s">
        <v>11</v>
      </c>
      <c r="C43" s="175" t="s">
        <v>12</v>
      </c>
      <c r="D43" s="13"/>
      <c r="E43" s="13" t="s">
        <v>13</v>
      </c>
      <c r="F43" s="13" t="s">
        <v>14</v>
      </c>
      <c r="G43" s="13" t="s">
        <v>13</v>
      </c>
      <c r="H43" s="13" t="s">
        <v>14</v>
      </c>
      <c r="I43" s="13" t="s">
        <v>13</v>
      </c>
      <c r="J43" s="13" t="s">
        <v>14</v>
      </c>
      <c r="K43" s="13" t="s">
        <v>13</v>
      </c>
      <c r="L43" s="13" t="s">
        <v>14</v>
      </c>
      <c r="M43" s="13" t="s">
        <v>13</v>
      </c>
      <c r="N43" s="13" t="s">
        <v>14</v>
      </c>
      <c r="O43" s="13" t="s">
        <v>13</v>
      </c>
      <c r="P43" s="13" t="s">
        <v>14</v>
      </c>
      <c r="Q43" s="13" t="s">
        <v>13</v>
      </c>
      <c r="R43" s="13" t="s">
        <v>14</v>
      </c>
      <c r="S43" s="13" t="s">
        <v>13</v>
      </c>
      <c r="T43" s="13" t="s">
        <v>14</v>
      </c>
      <c r="U43" s="13" t="s">
        <v>13</v>
      </c>
      <c r="V43" s="13" t="s">
        <v>14</v>
      </c>
      <c r="W43" s="13" t="s">
        <v>13</v>
      </c>
      <c r="X43" s="13" t="s">
        <v>14</v>
      </c>
      <c r="Y43" s="4" t="s">
        <v>13</v>
      </c>
      <c r="Z43" s="4" t="s">
        <v>14</v>
      </c>
      <c r="AA43" s="4" t="s">
        <v>13</v>
      </c>
      <c r="AB43" s="4" t="s">
        <v>14</v>
      </c>
      <c r="AC43" s="4" t="s">
        <v>13</v>
      </c>
      <c r="AD43" s="4" t="s">
        <v>14</v>
      </c>
      <c r="AE43" s="4" t="s">
        <v>13</v>
      </c>
      <c r="AF43" s="4" t="s">
        <v>14</v>
      </c>
      <c r="AG43" s="4" t="s">
        <v>13</v>
      </c>
      <c r="AH43" s="4" t="s">
        <v>14</v>
      </c>
      <c r="AI43" s="113"/>
      <c r="AJ43" s="13"/>
      <c r="AK43" s="13" t="s">
        <v>13</v>
      </c>
      <c r="AL43" s="13" t="s">
        <v>14</v>
      </c>
      <c r="AM43" s="13" t="s">
        <v>13</v>
      </c>
      <c r="AN43" s="13" t="s">
        <v>14</v>
      </c>
      <c r="AO43" s="13" t="s">
        <v>13</v>
      </c>
      <c r="AP43" s="13" t="s">
        <v>14</v>
      </c>
      <c r="AQ43" s="13" t="s">
        <v>13</v>
      </c>
      <c r="AR43" s="13" t="s">
        <v>14</v>
      </c>
      <c r="AS43" s="13" t="s">
        <v>13</v>
      </c>
      <c r="AT43" s="13" t="s">
        <v>14</v>
      </c>
      <c r="AU43" s="13" t="s">
        <v>13</v>
      </c>
      <c r="AV43" s="13" t="s">
        <v>14</v>
      </c>
      <c r="AW43" s="13" t="s">
        <v>13</v>
      </c>
      <c r="AX43" s="13" t="s">
        <v>14</v>
      </c>
      <c r="AY43" s="13" t="s">
        <v>13</v>
      </c>
      <c r="AZ43" s="13" t="s">
        <v>14</v>
      </c>
      <c r="BA43" s="13" t="s">
        <v>13</v>
      </c>
      <c r="BB43" s="13" t="s">
        <v>14</v>
      </c>
      <c r="BC43" s="13" t="s">
        <v>13</v>
      </c>
      <c r="BD43" s="13" t="s">
        <v>14</v>
      </c>
      <c r="BE43" s="13" t="s">
        <v>13</v>
      </c>
      <c r="BF43" s="13" t="s">
        <v>14</v>
      </c>
      <c r="BG43" s="13" t="s">
        <v>13</v>
      </c>
      <c r="BH43" s="13" t="s">
        <v>14</v>
      </c>
      <c r="BI43" s="13" t="s">
        <v>13</v>
      </c>
      <c r="BJ43" s="13" t="s">
        <v>14</v>
      </c>
      <c r="BK43" s="13" t="s">
        <v>13</v>
      </c>
      <c r="BL43" s="13" t="s">
        <v>14</v>
      </c>
      <c r="BM43" s="13" t="s">
        <v>13</v>
      </c>
      <c r="BN43" s="13" t="s">
        <v>14</v>
      </c>
      <c r="BO43" s="13" t="s">
        <v>13</v>
      </c>
      <c r="BP43" s="13" t="s">
        <v>14</v>
      </c>
      <c r="BQ43" s="206"/>
      <c r="BR43" s="194"/>
      <c r="BS43" s="59"/>
      <c r="BT43" s="91" t="s">
        <v>15</v>
      </c>
      <c r="BU43" s="89" t="s">
        <v>16</v>
      </c>
      <c r="BV43" s="89" t="s">
        <v>17</v>
      </c>
      <c r="BW43" s="86" t="s">
        <v>18</v>
      </c>
      <c r="BX43" s="89" t="s">
        <v>19</v>
      </c>
      <c r="BY43" s="89" t="s">
        <v>20</v>
      </c>
      <c r="BZ43" s="74" t="s">
        <v>174</v>
      </c>
      <c r="CA43" s="60" t="s">
        <v>22</v>
      </c>
      <c r="CB43" s="76" t="s">
        <v>23</v>
      </c>
      <c r="CC43" s="76" t="s">
        <v>24</v>
      </c>
      <c r="CD43" s="76" t="s">
        <v>25</v>
      </c>
      <c r="CE43" s="166" t="s">
        <v>26</v>
      </c>
      <c r="CG43" s="51" t="s">
        <v>16</v>
      </c>
      <c r="CH43" s="52" t="s">
        <v>17</v>
      </c>
      <c r="CI43" s="52" t="s">
        <v>18</v>
      </c>
      <c r="CJ43" s="52" t="s">
        <v>19</v>
      </c>
      <c r="CK43" s="52" t="s">
        <v>20</v>
      </c>
      <c r="CL43" s="52" t="s">
        <v>21</v>
      </c>
      <c r="CM43" s="52" t="s">
        <v>22</v>
      </c>
      <c r="CN43" s="52" t="s">
        <v>23</v>
      </c>
      <c r="CO43" s="52" t="s">
        <v>24</v>
      </c>
      <c r="CP43" s="52" t="s">
        <v>25</v>
      </c>
      <c r="CQ43" s="53" t="s">
        <v>195</v>
      </c>
    </row>
    <row r="44" spans="1:95" s="47" customFormat="1" ht="21.75" customHeight="1" x14ac:dyDescent="0.25">
      <c r="A44" s="45">
        <v>26</v>
      </c>
      <c r="B44" s="11" t="s">
        <v>81</v>
      </c>
      <c r="C44" s="8" t="s">
        <v>82</v>
      </c>
      <c r="D44" s="85">
        <v>41196</v>
      </c>
      <c r="E44" s="65">
        <v>0.3527777777777778</v>
      </c>
      <c r="F44" s="65">
        <v>0.97499999999999998</v>
      </c>
      <c r="G44" s="65">
        <v>0.35486111111111113</v>
      </c>
      <c r="H44" s="65">
        <v>0.99305555555555547</v>
      </c>
      <c r="I44" s="91" t="s">
        <v>15</v>
      </c>
      <c r="J44" s="91" t="s">
        <v>15</v>
      </c>
      <c r="K44" s="65">
        <v>0.35347222222222219</v>
      </c>
      <c r="L44" s="65">
        <v>0.95208333333333339</v>
      </c>
      <c r="M44" s="65">
        <v>0.35486111111111113</v>
      </c>
      <c r="N44" s="65">
        <v>0.95763888888888893</v>
      </c>
      <c r="O44" s="65">
        <v>0.35347222222222219</v>
      </c>
      <c r="P44" s="65">
        <v>0.96111111111111114</v>
      </c>
      <c r="Q44" s="65">
        <v>0.35416666666666669</v>
      </c>
      <c r="R44" s="65">
        <v>0.96805555555555556</v>
      </c>
      <c r="S44" s="65">
        <v>0.35416666666666669</v>
      </c>
      <c r="T44" s="65">
        <v>0.99375000000000002</v>
      </c>
      <c r="U44" s="65">
        <v>0.35555555555555557</v>
      </c>
      <c r="V44" s="65">
        <v>0.9819444444444444</v>
      </c>
      <c r="W44" s="98">
        <v>0.58194444444444449</v>
      </c>
      <c r="X44" s="98">
        <v>0.96527777777777779</v>
      </c>
      <c r="Y44" s="65">
        <v>0.3520833333333333</v>
      </c>
      <c r="Z44" s="65">
        <v>0.95277777777777783</v>
      </c>
      <c r="AA44" s="65">
        <v>0.34861111111111115</v>
      </c>
      <c r="AB44" s="65">
        <v>0.96458333333333324</v>
      </c>
      <c r="AC44" s="65">
        <v>0.3527777777777778</v>
      </c>
      <c r="AD44" s="65">
        <v>0.93611111111111101</v>
      </c>
      <c r="AE44" s="65">
        <v>0.35138888888888892</v>
      </c>
      <c r="AF44" s="65">
        <v>0.95624999999999993</v>
      </c>
      <c r="AG44" s="65">
        <v>0.3527777777777778</v>
      </c>
      <c r="AH44" s="65">
        <v>0.97499999999999998</v>
      </c>
      <c r="AI44" s="114"/>
      <c r="AJ44" s="45">
        <v>26</v>
      </c>
      <c r="AK44" s="134">
        <v>46219.354525462964</v>
      </c>
      <c r="AL44" s="134">
        <v>46219.993333333332</v>
      </c>
      <c r="AM44" s="158" t="s">
        <v>15</v>
      </c>
      <c r="AN44" s="158" t="s">
        <v>15</v>
      </c>
      <c r="AO44" s="134">
        <v>46221.352777777778</v>
      </c>
      <c r="AP44" s="134">
        <v>46221.969583333332</v>
      </c>
      <c r="AQ44" s="134">
        <v>46222.353726851848</v>
      </c>
      <c r="AR44" s="134">
        <v>46222.94189814815</v>
      </c>
      <c r="AS44" s="134">
        <v>46223.3515162037</v>
      </c>
      <c r="AT44" s="134">
        <v>1</v>
      </c>
      <c r="AU44" s="134">
        <v>46224.350775462961</v>
      </c>
      <c r="AV44" s="134">
        <v>46224.964849537035</v>
      </c>
      <c r="AW44" s="134">
        <v>46225.353622685187</v>
      </c>
      <c r="AX44" s="134">
        <v>1</v>
      </c>
      <c r="AY44" s="134">
        <v>46226.365497685183</v>
      </c>
      <c r="AZ44" s="134">
        <v>46226.963067129633</v>
      </c>
      <c r="BA44" s="134">
        <v>46227.581747685188</v>
      </c>
      <c r="BB44" s="134">
        <v>46227.933946759258</v>
      </c>
      <c r="BC44" s="134">
        <v>46228.353738425925</v>
      </c>
      <c r="BD44" s="134">
        <v>46228.963414351849</v>
      </c>
      <c r="BE44" s="134">
        <v>46229.354421296295</v>
      </c>
      <c r="BF44" s="134">
        <v>46229.942743055559</v>
      </c>
      <c r="BG44" s="134">
        <v>46230.351944444446</v>
      </c>
      <c r="BH44" s="134">
        <v>46230.962534722225</v>
      </c>
      <c r="BI44" s="134">
        <v>46231.353391203702</v>
      </c>
      <c r="BJ44" s="134">
        <v>1</v>
      </c>
      <c r="BK44" s="134">
        <v>46232.352268518516</v>
      </c>
      <c r="BL44" s="137">
        <v>46232.973715277774</v>
      </c>
      <c r="BM44" s="135">
        <v>46233.353865740741</v>
      </c>
      <c r="BN44" s="134">
        <v>46233.968877314815</v>
      </c>
      <c r="BO44" s="158" t="s">
        <v>15</v>
      </c>
      <c r="BP44" s="158" t="s">
        <v>15</v>
      </c>
      <c r="BQ44" s="9">
        <f t="shared" ref="BQ44:BQ108" si="25">BS44+BT44+BV44+CA44+BY44+BZ44+CD44+BU44</f>
        <v>31</v>
      </c>
      <c r="BR44" s="68">
        <v>2</v>
      </c>
      <c r="BS44" s="1">
        <f>COUNT(E44:AH44)/2+COUNT(AK44:BP44)/2</f>
        <v>28</v>
      </c>
      <c r="BT44" s="2">
        <f>COUNTIF(E44:BP44,"OFF")/2</f>
        <v>3</v>
      </c>
      <c r="BU44" s="2">
        <f>COUNTIF(E44:BP44,"MC")/2</f>
        <v>0</v>
      </c>
      <c r="BV44" s="2">
        <f>COUNTIF(E44:BP44,"EL")/2</f>
        <v>0</v>
      </c>
      <c r="BW44" s="2">
        <f>COUNTIF(E44:BP44,"AL")/2</f>
        <v>0</v>
      </c>
      <c r="BX44" s="2">
        <f>COUNTIF(E44:BP44,"SUS")/2</f>
        <v>0</v>
      </c>
      <c r="BY44" s="2">
        <f>COUNTIF(E44:BP44,"FL")/2</f>
        <v>0</v>
      </c>
      <c r="BZ44" s="2">
        <f>COUNTIF(E44:BP44,"SICK")/2</f>
        <v>0</v>
      </c>
      <c r="CA44" s="2">
        <f>COUNTIF(E44:BP44,"HD")/2</f>
        <v>0</v>
      </c>
      <c r="CB44" s="2">
        <f>COUNTIF(E44:BP44,"AB")/2</f>
        <v>0</v>
      </c>
      <c r="CC44" s="2">
        <f>COUNTIF(E44:BP44,"NL")/2</f>
        <v>0</v>
      </c>
      <c r="CD44" s="2">
        <f>COUNTIF(E44:BP44,"SP")/2</f>
        <v>0</v>
      </c>
      <c r="CE44" s="131"/>
      <c r="CG44" s="122">
        <v>0</v>
      </c>
      <c r="CH44" s="123">
        <v>0</v>
      </c>
      <c r="CI44" s="123">
        <v>0</v>
      </c>
      <c r="CJ44" s="123">
        <v>0</v>
      </c>
      <c r="CK44" s="123">
        <v>1</v>
      </c>
      <c r="CL44" s="123">
        <v>0</v>
      </c>
      <c r="CM44" s="123">
        <v>0</v>
      </c>
      <c r="CN44" s="123">
        <v>0</v>
      </c>
      <c r="CO44" s="123">
        <v>0</v>
      </c>
      <c r="CP44" s="123">
        <v>0</v>
      </c>
      <c r="CQ44" s="124">
        <f t="shared" ref="CQ44:CQ76" si="26">SUM(CG44:CP44)</f>
        <v>1</v>
      </c>
    </row>
    <row r="45" spans="1:95" s="47" customFormat="1" ht="21.75" customHeight="1" x14ac:dyDescent="0.25">
      <c r="A45" s="45">
        <v>27</v>
      </c>
      <c r="B45" s="11" t="s">
        <v>85</v>
      </c>
      <c r="C45" s="8" t="s">
        <v>86</v>
      </c>
      <c r="D45" s="85">
        <v>43466</v>
      </c>
      <c r="E45" s="65">
        <v>0.35138888888888892</v>
      </c>
      <c r="F45" s="65">
        <v>0.94513888888888886</v>
      </c>
      <c r="G45" s="65">
        <v>0.35138888888888892</v>
      </c>
      <c r="H45" s="65">
        <v>0.96388888888888891</v>
      </c>
      <c r="I45" s="98">
        <v>0.57638888888888895</v>
      </c>
      <c r="J45" s="98">
        <v>0.9506944444444444</v>
      </c>
      <c r="K45" s="65">
        <v>0.35138888888888892</v>
      </c>
      <c r="L45" s="65">
        <v>0.96180555555555547</v>
      </c>
      <c r="M45" s="65">
        <v>0.35138888888888892</v>
      </c>
      <c r="N45" s="65">
        <v>0.94444444444444453</v>
      </c>
      <c r="O45" s="65">
        <v>0.35069444444444442</v>
      </c>
      <c r="P45" s="65">
        <v>0.94374999999999998</v>
      </c>
      <c r="Q45" s="65">
        <v>0.35138888888888892</v>
      </c>
      <c r="R45" s="65">
        <v>0.94097222222222221</v>
      </c>
      <c r="S45" s="65">
        <v>0.35138888888888892</v>
      </c>
      <c r="T45" s="65">
        <v>0.94652777777777775</v>
      </c>
      <c r="U45" s="65">
        <v>0.35138888888888892</v>
      </c>
      <c r="V45" s="65">
        <v>0.9770833333333333</v>
      </c>
      <c r="W45" s="91" t="s">
        <v>15</v>
      </c>
      <c r="X45" s="91" t="s">
        <v>15</v>
      </c>
      <c r="Y45" s="65">
        <v>0.35138888888888892</v>
      </c>
      <c r="Z45" s="65">
        <v>0.96111111111111114</v>
      </c>
      <c r="AA45" s="65">
        <v>0.34722222222222227</v>
      </c>
      <c r="AB45" s="65">
        <v>0.9458333333333333</v>
      </c>
      <c r="AC45" s="65">
        <v>0.35138888888888892</v>
      </c>
      <c r="AD45" s="65">
        <v>0.94305555555555554</v>
      </c>
      <c r="AE45" s="65">
        <v>0.35069444444444442</v>
      </c>
      <c r="AF45" s="65">
        <v>0.94513888888888886</v>
      </c>
      <c r="AG45" s="65">
        <v>0.35069444444444442</v>
      </c>
      <c r="AH45" s="65">
        <v>0.94652777777777775</v>
      </c>
      <c r="AI45" s="114"/>
      <c r="AJ45" s="45">
        <v>27</v>
      </c>
      <c r="AK45" s="134">
        <v>46219.351493055554</v>
      </c>
      <c r="AL45" s="134">
        <v>46219.968078703707</v>
      </c>
      <c r="AM45" s="134">
        <v>46220.577847222223</v>
      </c>
      <c r="AN45" s="134">
        <v>46220.954560185186</v>
      </c>
      <c r="AO45" s="134">
        <v>46221.351342592592</v>
      </c>
      <c r="AP45" s="134">
        <v>46221.964988425927</v>
      </c>
      <c r="AQ45" s="134">
        <v>46222.351423611108</v>
      </c>
      <c r="AR45" s="134">
        <v>46222.949675925927</v>
      </c>
      <c r="AS45" s="134">
        <v>46223.350925925923</v>
      </c>
      <c r="AT45" s="134">
        <v>46223.946527777778</v>
      </c>
      <c r="AU45" s="134">
        <v>46224.351435185185</v>
      </c>
      <c r="AV45" s="134">
        <v>46224.947500000002</v>
      </c>
      <c r="AW45" s="134">
        <v>46225.351655092592</v>
      </c>
      <c r="AX45" s="134">
        <v>46225.960717592592</v>
      </c>
      <c r="AY45" s="134">
        <v>46226.338425925926</v>
      </c>
      <c r="AZ45" s="134">
        <v>46226.967638888891</v>
      </c>
      <c r="BA45" s="158" t="s">
        <v>15</v>
      </c>
      <c r="BB45" s="158" t="s">
        <v>15</v>
      </c>
      <c r="BC45" s="134">
        <v>46228.351006944446</v>
      </c>
      <c r="BD45" s="134">
        <v>46228.9687962963</v>
      </c>
      <c r="BE45" s="134">
        <v>46229.351817129631</v>
      </c>
      <c r="BF45" s="134">
        <v>46229.9452662037</v>
      </c>
      <c r="BG45" s="134">
        <v>46230.35125</v>
      </c>
      <c r="BH45" s="134">
        <v>46230.986354166664</v>
      </c>
      <c r="BI45" s="134">
        <v>46231.351504629631</v>
      </c>
      <c r="BJ45" s="134">
        <v>1</v>
      </c>
      <c r="BK45" s="134">
        <v>46232.3512962963</v>
      </c>
      <c r="BL45" s="137">
        <v>46232.950775462959</v>
      </c>
      <c r="BM45" s="135">
        <v>46233.351122685184</v>
      </c>
      <c r="BN45" s="134">
        <v>46233.975381944445</v>
      </c>
      <c r="BO45" s="134">
        <v>46234.575937499998</v>
      </c>
      <c r="BP45" s="137">
        <v>46234.950428240743</v>
      </c>
      <c r="BQ45" s="9">
        <f t="shared" si="25"/>
        <v>31</v>
      </c>
      <c r="BR45" s="68">
        <v>3</v>
      </c>
      <c r="BS45" s="1">
        <f t="shared" ref="BS45:BS108" si="27">COUNT(E45:AH45)/2+COUNT(AK45:BP45)/2</f>
        <v>29</v>
      </c>
      <c r="BT45" s="2">
        <f t="shared" ref="BT45:BT108" si="28">COUNTIF(E45:BP45,"OFF")/2</f>
        <v>2</v>
      </c>
      <c r="BU45" s="2">
        <f t="shared" ref="BU45:BU108" si="29">COUNTIF(E45:BP45,"MC")/2</f>
        <v>0</v>
      </c>
      <c r="BV45" s="2">
        <f t="shared" ref="BV45:BV108" si="30">COUNTIF(E45:BP45,"EL")/2</f>
        <v>0</v>
      </c>
      <c r="BW45" s="2">
        <f t="shared" ref="BW45:BW108" si="31">COUNTIF(E45:BP45,"AL")/2</f>
        <v>0</v>
      </c>
      <c r="BX45" s="2">
        <f t="shared" ref="BX45:BX108" si="32">COUNTIF(E45:BP45,"SUS")/2</f>
        <v>0</v>
      </c>
      <c r="BY45" s="2">
        <f t="shared" ref="BY45:BY108" si="33">COUNTIF(E45:BP45,"FL")/2</f>
        <v>0</v>
      </c>
      <c r="BZ45" s="2">
        <f t="shared" ref="BZ45:BZ108" si="34">COUNTIF(E45:BP45,"SICK")/2</f>
        <v>0</v>
      </c>
      <c r="CA45" s="2">
        <f t="shared" ref="CA45:CA108" si="35">COUNTIF(E45:BP45,"HD")/2</f>
        <v>0</v>
      </c>
      <c r="CB45" s="2">
        <f t="shared" ref="CB45:CB108" si="36">COUNTIF(E45:BP45,"AB")/2</f>
        <v>0</v>
      </c>
      <c r="CC45" s="2">
        <f t="shared" ref="CC45:CC108" si="37">COUNTIF(E45:BP45,"NL")/2</f>
        <v>0</v>
      </c>
      <c r="CD45" s="2">
        <f t="shared" ref="CD45:CD108" si="38">COUNTIF(E45:BP45,"SP")/2</f>
        <v>0</v>
      </c>
      <c r="CE45" s="131"/>
      <c r="CG45" s="122">
        <v>0</v>
      </c>
      <c r="CH45" s="123">
        <v>0</v>
      </c>
      <c r="CI45" s="123">
        <v>13</v>
      </c>
      <c r="CJ45" s="123">
        <v>0</v>
      </c>
      <c r="CK45" s="123">
        <v>0</v>
      </c>
      <c r="CL45" s="123">
        <v>0</v>
      </c>
      <c r="CM45" s="123">
        <v>0</v>
      </c>
      <c r="CN45" s="123">
        <v>0</v>
      </c>
      <c r="CO45" s="123">
        <v>0</v>
      </c>
      <c r="CP45" s="123">
        <v>0</v>
      </c>
      <c r="CQ45" s="125">
        <f t="shared" si="26"/>
        <v>13</v>
      </c>
    </row>
    <row r="46" spans="1:95" s="47" customFormat="1" ht="21.75" customHeight="1" x14ac:dyDescent="0.25">
      <c r="A46" s="45">
        <v>28</v>
      </c>
      <c r="B46" s="11" t="s">
        <v>87</v>
      </c>
      <c r="C46" s="8" t="s">
        <v>88</v>
      </c>
      <c r="D46" s="162"/>
      <c r="E46" s="65">
        <v>0.35000000000000003</v>
      </c>
      <c r="F46" s="65">
        <v>0.9458333333333333</v>
      </c>
      <c r="G46" s="65">
        <v>0.34861111111111115</v>
      </c>
      <c r="H46" s="65">
        <v>0.96388888888888891</v>
      </c>
      <c r="I46" s="98">
        <v>0.58194444444444449</v>
      </c>
      <c r="J46" s="98">
        <v>0.93958333333333333</v>
      </c>
      <c r="K46" s="65">
        <v>0.34722222222222227</v>
      </c>
      <c r="L46" s="65">
        <v>0.95416666666666661</v>
      </c>
      <c r="M46" s="65">
        <v>0.34375</v>
      </c>
      <c r="N46" s="65">
        <v>0.95347222222222217</v>
      </c>
      <c r="O46" s="65">
        <v>0.35000000000000003</v>
      </c>
      <c r="P46" s="65">
        <v>0.9506944444444444</v>
      </c>
      <c r="Q46" s="65">
        <v>0.34861111111111115</v>
      </c>
      <c r="R46" s="65">
        <v>0.95486111111111116</v>
      </c>
      <c r="S46" s="65">
        <v>0.34722222222222227</v>
      </c>
      <c r="T46" s="65">
        <v>0.9770833333333333</v>
      </c>
      <c r="U46" s="65">
        <v>0.35138888888888892</v>
      </c>
      <c r="V46" s="65">
        <v>0.97499999999999998</v>
      </c>
      <c r="W46" s="91" t="s">
        <v>15</v>
      </c>
      <c r="X46" s="91" t="s">
        <v>15</v>
      </c>
      <c r="Y46" s="65">
        <v>0.34791666666666665</v>
      </c>
      <c r="Z46" s="65">
        <v>0.9555555555555556</v>
      </c>
      <c r="AA46" s="65">
        <v>0.34583333333333338</v>
      </c>
      <c r="AB46" s="65">
        <v>0.9472222222222223</v>
      </c>
      <c r="AC46" s="65">
        <v>0.34652777777777777</v>
      </c>
      <c r="AD46" s="65">
        <v>0.95000000000000007</v>
      </c>
      <c r="AE46" s="65">
        <v>0.3520833333333333</v>
      </c>
      <c r="AF46" s="65">
        <v>0.95138888888888884</v>
      </c>
      <c r="AG46" s="65">
        <v>0.35000000000000003</v>
      </c>
      <c r="AH46" s="65">
        <v>0.95763888888888893</v>
      </c>
      <c r="AI46" s="114"/>
      <c r="AJ46" s="45">
        <v>28</v>
      </c>
      <c r="AK46" s="134">
        <v>46219.35255787037</v>
      </c>
      <c r="AL46" s="134">
        <v>46219.966944444444</v>
      </c>
      <c r="AM46" s="134">
        <v>46220.581423611111</v>
      </c>
      <c r="AN46" s="134">
        <v>46220.945243055554</v>
      </c>
      <c r="AO46" s="134">
        <v>46221.352002314816</v>
      </c>
      <c r="AP46" s="134">
        <v>46221.964409722219</v>
      </c>
      <c r="AQ46" s="134">
        <v>46222.348032407404</v>
      </c>
      <c r="AR46" s="134">
        <v>46222.946701388886</v>
      </c>
      <c r="AS46" s="134">
        <v>46223.348113425927</v>
      </c>
      <c r="AT46" s="134">
        <v>46223.958171296297</v>
      </c>
      <c r="AU46" s="134">
        <v>46224.346574074072</v>
      </c>
      <c r="AV46" s="134">
        <v>46224.946979166663</v>
      </c>
      <c r="AW46" s="134">
        <v>46225.347141203703</v>
      </c>
      <c r="AX46" s="134">
        <v>46225.945185185185</v>
      </c>
      <c r="AY46" s="134">
        <v>46226.349409722221</v>
      </c>
      <c r="AZ46" s="134">
        <v>46226.959270833337</v>
      </c>
      <c r="BA46" s="158" t="s">
        <v>15</v>
      </c>
      <c r="BB46" s="158" t="s">
        <v>15</v>
      </c>
      <c r="BC46" s="134">
        <v>46228.348773148151</v>
      </c>
      <c r="BD46" s="134">
        <v>46228.960717592592</v>
      </c>
      <c r="BE46" s="134">
        <v>46229.352094907408</v>
      </c>
      <c r="BF46" s="134">
        <v>46229.941122685188</v>
      </c>
      <c r="BG46" s="134">
        <v>46230.352164351854</v>
      </c>
      <c r="BH46" s="134">
        <v>46230.98096064815</v>
      </c>
      <c r="BI46" s="134">
        <v>46231.352835648147</v>
      </c>
      <c r="BJ46" s="134">
        <v>46231.944490740738</v>
      </c>
      <c r="BK46" s="134">
        <v>46232.350358796299</v>
      </c>
      <c r="BL46" s="137">
        <v>46232.964675925927</v>
      </c>
      <c r="BM46" s="135">
        <v>46233.346886574072</v>
      </c>
      <c r="BN46" s="134">
        <v>46233.962175925924</v>
      </c>
      <c r="BO46" s="134">
        <v>46234.582141203704</v>
      </c>
      <c r="BP46" s="137">
        <v>46234.941932870373</v>
      </c>
      <c r="BQ46" s="9">
        <f t="shared" si="25"/>
        <v>31</v>
      </c>
      <c r="BR46" s="68">
        <v>3</v>
      </c>
      <c r="BS46" s="1">
        <f t="shared" si="27"/>
        <v>29</v>
      </c>
      <c r="BT46" s="2">
        <f t="shared" si="28"/>
        <v>2</v>
      </c>
      <c r="BU46" s="2">
        <f t="shared" si="29"/>
        <v>0</v>
      </c>
      <c r="BV46" s="2">
        <f t="shared" si="30"/>
        <v>0</v>
      </c>
      <c r="BW46" s="2">
        <f t="shared" si="31"/>
        <v>0</v>
      </c>
      <c r="BX46" s="2">
        <f t="shared" si="32"/>
        <v>0</v>
      </c>
      <c r="BY46" s="2">
        <f t="shared" si="33"/>
        <v>0</v>
      </c>
      <c r="BZ46" s="2">
        <f t="shared" si="34"/>
        <v>0</v>
      </c>
      <c r="CA46" s="2">
        <f t="shared" si="35"/>
        <v>0</v>
      </c>
      <c r="CB46" s="2">
        <f t="shared" si="36"/>
        <v>0</v>
      </c>
      <c r="CC46" s="2">
        <f t="shared" si="37"/>
        <v>0</v>
      </c>
      <c r="CD46" s="2">
        <f t="shared" si="38"/>
        <v>0</v>
      </c>
      <c r="CE46" s="131"/>
      <c r="CG46" s="55">
        <v>0</v>
      </c>
      <c r="CH46" s="54">
        <v>0</v>
      </c>
      <c r="CI46" s="55">
        <v>4</v>
      </c>
      <c r="CJ46" s="54">
        <v>0</v>
      </c>
      <c r="CK46" s="54">
        <v>0</v>
      </c>
      <c r="CL46" s="55">
        <v>11</v>
      </c>
      <c r="CM46" s="54">
        <v>0</v>
      </c>
      <c r="CN46" s="55">
        <v>2</v>
      </c>
      <c r="CO46" s="54">
        <v>0</v>
      </c>
      <c r="CP46" s="54">
        <v>0</v>
      </c>
      <c r="CQ46" s="126">
        <f t="shared" si="26"/>
        <v>17</v>
      </c>
    </row>
    <row r="47" spans="1:95" s="47" customFormat="1" ht="21.75" customHeight="1" x14ac:dyDescent="0.25">
      <c r="A47" s="45">
        <v>29</v>
      </c>
      <c r="B47" s="11" t="s">
        <v>200</v>
      </c>
      <c r="C47" s="178" t="s">
        <v>245</v>
      </c>
      <c r="D47" s="85">
        <v>43468</v>
      </c>
      <c r="E47" s="65">
        <v>0.34861111111111115</v>
      </c>
      <c r="F47" s="65">
        <v>0.96875</v>
      </c>
      <c r="G47" s="65">
        <v>0.34861111111111115</v>
      </c>
      <c r="H47" s="65">
        <v>0.99305555555555547</v>
      </c>
      <c r="I47" s="91" t="s">
        <v>15</v>
      </c>
      <c r="J47" s="91" t="s">
        <v>15</v>
      </c>
      <c r="K47" s="65">
        <v>0.34652777777777777</v>
      </c>
      <c r="L47" s="65">
        <v>0.95624999999999993</v>
      </c>
      <c r="M47" s="65">
        <v>0.34861111111111115</v>
      </c>
      <c r="N47" s="65">
        <v>0.9590277777777777</v>
      </c>
      <c r="O47" s="65">
        <v>0.34652777777777777</v>
      </c>
      <c r="P47" s="65">
        <v>0.96111111111111114</v>
      </c>
      <c r="Q47" s="65">
        <v>0.34722222222222227</v>
      </c>
      <c r="R47" s="65">
        <v>0.97499999999999998</v>
      </c>
      <c r="S47" s="65">
        <v>0.34861111111111115</v>
      </c>
      <c r="T47" s="65">
        <v>2.0833333333333333E-3</v>
      </c>
      <c r="U47" s="65">
        <v>0.35069444444444442</v>
      </c>
      <c r="V47" s="65">
        <v>0.98472222222222217</v>
      </c>
      <c r="W47" s="98">
        <v>0.57986111111111105</v>
      </c>
      <c r="X47" s="98">
        <v>0.96527777777777779</v>
      </c>
      <c r="Y47" s="65">
        <v>0.34861111111111115</v>
      </c>
      <c r="Z47" s="65">
        <v>0.95208333333333339</v>
      </c>
      <c r="AA47" s="65">
        <v>0.3430555555555555</v>
      </c>
      <c r="AB47" s="65">
        <v>0.96527777777777779</v>
      </c>
      <c r="AC47" s="65">
        <v>0.3444444444444445</v>
      </c>
      <c r="AD47" s="65">
        <v>0.93611111111111101</v>
      </c>
      <c r="AE47" s="65">
        <v>0.34513888888888888</v>
      </c>
      <c r="AF47" s="65">
        <v>0.95833333333333337</v>
      </c>
      <c r="AG47" s="65">
        <v>0.34513888888888888</v>
      </c>
      <c r="AH47" s="65">
        <v>0.97430555555555554</v>
      </c>
      <c r="AI47" s="114"/>
      <c r="AJ47" s="45">
        <v>29</v>
      </c>
      <c r="AK47" s="134">
        <v>46219.344548611109</v>
      </c>
      <c r="AL47" s="134">
        <v>46219.992743055554</v>
      </c>
      <c r="AM47" s="158" t="s">
        <v>15</v>
      </c>
      <c r="AN47" s="158" t="s">
        <v>15</v>
      </c>
      <c r="AO47" s="134">
        <v>46221.349259259259</v>
      </c>
      <c r="AP47" s="134">
        <v>46221.968854166669</v>
      </c>
      <c r="AQ47" s="134">
        <v>46222.345092592594</v>
      </c>
      <c r="AR47" s="134">
        <v>46222.942233796297</v>
      </c>
      <c r="AS47" s="134">
        <v>46223.345509259256</v>
      </c>
      <c r="AT47" s="134">
        <v>46223.956469907411</v>
      </c>
      <c r="AU47" s="134">
        <v>46224.345648148148</v>
      </c>
      <c r="AV47" s="134">
        <v>46224.962280092594</v>
      </c>
      <c r="AW47" s="134">
        <v>46225.345960648148</v>
      </c>
      <c r="AX47" s="134">
        <v>46225.986944444441</v>
      </c>
      <c r="AY47" s="134">
        <v>46226.332962962966</v>
      </c>
      <c r="AZ47" s="134">
        <v>46226.964826388888</v>
      </c>
      <c r="BA47" s="134">
        <v>46227.579652777778</v>
      </c>
      <c r="BB47" s="134">
        <v>46227.938379629632</v>
      </c>
      <c r="BC47" s="134">
        <v>46228.345335648148</v>
      </c>
      <c r="BD47" s="134">
        <v>46228.962638888886</v>
      </c>
      <c r="BE47" s="134">
        <v>46229.349016203705</v>
      </c>
      <c r="BF47" s="134">
        <v>46229.943090277775</v>
      </c>
      <c r="BG47" s="134">
        <v>46230.349212962959</v>
      </c>
      <c r="BH47" s="134">
        <v>46230.987349537034</v>
      </c>
      <c r="BI47" s="134">
        <v>46231.349351851852</v>
      </c>
      <c r="BJ47" s="134">
        <v>46231.956990740742</v>
      </c>
      <c r="BK47" s="134">
        <v>46232.349143518521</v>
      </c>
      <c r="BL47" s="137">
        <v>46232.973113425927</v>
      </c>
      <c r="BM47" s="135">
        <v>46233.345243055555</v>
      </c>
      <c r="BN47" s="134">
        <v>46233.968171296299</v>
      </c>
      <c r="BO47" s="158" t="s">
        <v>15</v>
      </c>
      <c r="BP47" s="158" t="s">
        <v>15</v>
      </c>
      <c r="BQ47" s="9">
        <f t="shared" si="25"/>
        <v>31</v>
      </c>
      <c r="BR47" s="68">
        <v>2</v>
      </c>
      <c r="BS47" s="1">
        <f t="shared" si="27"/>
        <v>28</v>
      </c>
      <c r="BT47" s="2">
        <f t="shared" si="28"/>
        <v>3</v>
      </c>
      <c r="BU47" s="2">
        <f t="shared" si="29"/>
        <v>0</v>
      </c>
      <c r="BV47" s="2">
        <f t="shared" si="30"/>
        <v>0</v>
      </c>
      <c r="BW47" s="2">
        <f t="shared" si="31"/>
        <v>0</v>
      </c>
      <c r="BX47" s="2">
        <f t="shared" si="32"/>
        <v>0</v>
      </c>
      <c r="BY47" s="2">
        <f t="shared" si="33"/>
        <v>0</v>
      </c>
      <c r="BZ47" s="2">
        <f t="shared" si="34"/>
        <v>0</v>
      </c>
      <c r="CA47" s="2">
        <f t="shared" si="35"/>
        <v>0</v>
      </c>
      <c r="CB47" s="2">
        <f t="shared" si="36"/>
        <v>0</v>
      </c>
      <c r="CC47" s="2">
        <f t="shared" si="37"/>
        <v>0</v>
      </c>
      <c r="CD47" s="2">
        <f t="shared" si="38"/>
        <v>0</v>
      </c>
      <c r="CE47" s="131"/>
      <c r="CG47" s="122">
        <v>0</v>
      </c>
      <c r="CH47" s="123">
        <v>0</v>
      </c>
      <c r="CI47" s="123">
        <v>0</v>
      </c>
      <c r="CJ47" s="123">
        <v>0</v>
      </c>
      <c r="CK47" s="123">
        <v>0</v>
      </c>
      <c r="CL47" s="122">
        <v>6</v>
      </c>
      <c r="CM47" s="123">
        <v>0</v>
      </c>
      <c r="CN47" s="123">
        <v>0</v>
      </c>
      <c r="CO47" s="123">
        <v>0</v>
      </c>
      <c r="CP47" s="123">
        <v>0</v>
      </c>
      <c r="CQ47" s="125">
        <f t="shared" si="26"/>
        <v>6</v>
      </c>
    </row>
    <row r="48" spans="1:95" s="47" customFormat="1" ht="21.75" customHeight="1" x14ac:dyDescent="0.25">
      <c r="A48" s="45">
        <v>30</v>
      </c>
      <c r="B48" s="11" t="s">
        <v>89</v>
      </c>
      <c r="C48" s="8" t="s">
        <v>90</v>
      </c>
      <c r="D48" s="85">
        <v>42522</v>
      </c>
      <c r="E48" s="65">
        <v>0.3520833333333333</v>
      </c>
      <c r="F48" s="69">
        <v>1</v>
      </c>
      <c r="G48" s="65">
        <v>0.35000000000000003</v>
      </c>
      <c r="H48" s="65">
        <v>0.9819444444444444</v>
      </c>
      <c r="I48" s="91" t="s">
        <v>15</v>
      </c>
      <c r="J48" s="91" t="s">
        <v>15</v>
      </c>
      <c r="K48" s="65">
        <v>0.3520833333333333</v>
      </c>
      <c r="L48" s="69">
        <v>1</v>
      </c>
      <c r="M48" s="65">
        <v>0.35138888888888892</v>
      </c>
      <c r="N48" s="65">
        <v>0.35138888888888892</v>
      </c>
      <c r="O48" s="65">
        <v>0.35069444444444442</v>
      </c>
      <c r="P48" s="69">
        <v>1</v>
      </c>
      <c r="Q48" s="65">
        <v>0.35486111111111113</v>
      </c>
      <c r="R48" s="65">
        <v>0.35486111111111113</v>
      </c>
      <c r="S48" s="65">
        <v>0.3520833333333333</v>
      </c>
      <c r="T48" s="65">
        <v>0.3527777777777778</v>
      </c>
      <c r="U48" s="65">
        <v>0.35138888888888892</v>
      </c>
      <c r="V48" s="65">
        <v>0.35138888888888892</v>
      </c>
      <c r="W48" s="98">
        <v>0.5805555555555556</v>
      </c>
      <c r="X48" s="98">
        <v>0.96597222222222223</v>
      </c>
      <c r="Y48" s="65">
        <v>0.34583333333333338</v>
      </c>
      <c r="Z48" s="65">
        <v>0.96111111111111114</v>
      </c>
      <c r="AA48" s="65">
        <v>0.34375</v>
      </c>
      <c r="AB48" s="65">
        <v>0.97361111111111109</v>
      </c>
      <c r="AC48" s="65">
        <v>0.3527777777777778</v>
      </c>
      <c r="AD48" s="65">
        <v>0.3527777777777778</v>
      </c>
      <c r="AE48" s="65">
        <v>0.3520833333333333</v>
      </c>
      <c r="AF48" s="65">
        <v>0.3520833333333333</v>
      </c>
      <c r="AG48" s="65">
        <v>0.35347222222222219</v>
      </c>
      <c r="AH48" s="65">
        <v>0.96319444444444446</v>
      </c>
      <c r="AI48" s="106"/>
      <c r="AJ48" s="45">
        <v>30</v>
      </c>
      <c r="AK48" s="134">
        <v>46219.351793981485</v>
      </c>
      <c r="AL48" s="134">
        <v>46219.992812500001</v>
      </c>
      <c r="AM48" s="158" t="s">
        <v>15</v>
      </c>
      <c r="AN48" s="158" t="s">
        <v>15</v>
      </c>
      <c r="AO48" s="134">
        <v>46221.352685185186</v>
      </c>
      <c r="AP48" s="134">
        <v>1</v>
      </c>
      <c r="AQ48" s="134" t="s">
        <v>23</v>
      </c>
      <c r="AR48" s="134" t="s">
        <v>23</v>
      </c>
      <c r="AS48" s="134" t="s">
        <v>23</v>
      </c>
      <c r="AT48" s="134" t="s">
        <v>23</v>
      </c>
      <c r="AU48" s="134">
        <v>46224.349745370368</v>
      </c>
      <c r="AV48" s="134">
        <v>1</v>
      </c>
      <c r="AW48" s="134">
        <v>46225.351527777777</v>
      </c>
      <c r="AX48" s="134">
        <v>1</v>
      </c>
      <c r="AY48" s="134">
        <v>46226.353171296294</v>
      </c>
      <c r="AZ48" s="134">
        <v>1</v>
      </c>
      <c r="BA48" s="134">
        <v>46227.570717592593</v>
      </c>
      <c r="BB48" s="134">
        <v>1</v>
      </c>
      <c r="BC48" s="158" t="s">
        <v>15</v>
      </c>
      <c r="BD48" s="158" t="s">
        <v>15</v>
      </c>
      <c r="BE48" s="134">
        <v>46229.351678240739</v>
      </c>
      <c r="BF48" s="134">
        <v>1</v>
      </c>
      <c r="BG48" s="134">
        <v>46230.350891203707</v>
      </c>
      <c r="BH48" s="134">
        <v>46230.988576388889</v>
      </c>
      <c r="BI48" s="134">
        <v>46231.35056712963</v>
      </c>
      <c r="BJ48" s="134">
        <v>1</v>
      </c>
      <c r="BK48" s="134">
        <v>46232.35193287037</v>
      </c>
      <c r="BL48" s="159">
        <v>1</v>
      </c>
      <c r="BM48" s="135">
        <v>46233.345324074071</v>
      </c>
      <c r="BN48" s="136">
        <v>1</v>
      </c>
      <c r="BO48" s="158" t="s">
        <v>15</v>
      </c>
      <c r="BP48" s="158" t="s">
        <v>15</v>
      </c>
      <c r="BQ48" s="9">
        <f t="shared" si="25"/>
        <v>29</v>
      </c>
      <c r="BR48" s="68">
        <v>2</v>
      </c>
      <c r="BS48" s="1">
        <f t="shared" si="27"/>
        <v>25</v>
      </c>
      <c r="BT48" s="2">
        <f t="shared" si="28"/>
        <v>4</v>
      </c>
      <c r="BU48" s="2">
        <f t="shared" si="29"/>
        <v>0</v>
      </c>
      <c r="BV48" s="2">
        <f t="shared" si="30"/>
        <v>0</v>
      </c>
      <c r="BW48" s="2">
        <f t="shared" si="31"/>
        <v>0</v>
      </c>
      <c r="BX48" s="2">
        <f t="shared" si="32"/>
        <v>0</v>
      </c>
      <c r="BY48" s="2">
        <f t="shared" si="33"/>
        <v>0</v>
      </c>
      <c r="BZ48" s="2">
        <f t="shared" si="34"/>
        <v>0</v>
      </c>
      <c r="CA48" s="2">
        <f t="shared" si="35"/>
        <v>0</v>
      </c>
      <c r="CB48" s="2">
        <f t="shared" si="36"/>
        <v>2</v>
      </c>
      <c r="CC48" s="2">
        <f t="shared" si="37"/>
        <v>0</v>
      </c>
      <c r="CD48" s="2">
        <f t="shared" si="38"/>
        <v>0</v>
      </c>
      <c r="CE48" s="131"/>
      <c r="CG48" s="55">
        <v>0</v>
      </c>
      <c r="CH48" s="54">
        <v>0</v>
      </c>
      <c r="CI48" s="54">
        <v>0</v>
      </c>
      <c r="CJ48" s="54">
        <v>0</v>
      </c>
      <c r="CK48" s="54">
        <v>0</v>
      </c>
      <c r="CL48" s="55">
        <v>2</v>
      </c>
      <c r="CM48" s="54">
        <v>0</v>
      </c>
      <c r="CN48" s="55">
        <v>19</v>
      </c>
      <c r="CO48" s="54">
        <v>0</v>
      </c>
      <c r="CP48" s="54">
        <v>0</v>
      </c>
      <c r="CQ48" s="126">
        <f t="shared" si="26"/>
        <v>21</v>
      </c>
    </row>
    <row r="49" spans="1:95" s="47" customFormat="1" ht="21.75" customHeight="1" x14ac:dyDescent="0.25">
      <c r="A49" s="45">
        <v>31</v>
      </c>
      <c r="B49" s="11" t="s">
        <v>91</v>
      </c>
      <c r="C49" s="8" t="s">
        <v>92</v>
      </c>
      <c r="D49" s="85">
        <v>42439</v>
      </c>
      <c r="E49" s="65">
        <v>0.35416666666666669</v>
      </c>
      <c r="F49" s="65">
        <v>0.91319444444444453</v>
      </c>
      <c r="G49" s="65">
        <v>0.35416666666666669</v>
      </c>
      <c r="H49" s="65">
        <v>0.90138888888888891</v>
      </c>
      <c r="I49" s="98">
        <v>0.58819444444444446</v>
      </c>
      <c r="J49" s="98">
        <v>0.90347222222222223</v>
      </c>
      <c r="K49" s="65">
        <v>0.35347222222222219</v>
      </c>
      <c r="L49" s="65">
        <v>0.91111111111111109</v>
      </c>
      <c r="M49" s="65">
        <v>0.3520833333333333</v>
      </c>
      <c r="N49" s="69">
        <v>1</v>
      </c>
      <c r="O49" s="65">
        <v>0.35486111111111113</v>
      </c>
      <c r="P49" s="65">
        <v>0.8965277777777777</v>
      </c>
      <c r="Q49" s="65">
        <v>0.35347222222222219</v>
      </c>
      <c r="R49" s="65">
        <v>0.91249999999999998</v>
      </c>
      <c r="S49" s="65">
        <v>0.35486111111111113</v>
      </c>
      <c r="T49" s="69">
        <v>1</v>
      </c>
      <c r="U49" s="65">
        <v>0.35486111111111113</v>
      </c>
      <c r="V49" s="65">
        <v>0.97152777777777777</v>
      </c>
      <c r="W49" s="91" t="s">
        <v>15</v>
      </c>
      <c r="X49" s="91" t="s">
        <v>15</v>
      </c>
      <c r="Y49" s="65">
        <v>0.35555555555555557</v>
      </c>
      <c r="Z49" s="65">
        <v>0.89027777777777783</v>
      </c>
      <c r="AA49" s="65">
        <v>0.34791666666666665</v>
      </c>
      <c r="AB49" s="65">
        <v>0.8881944444444444</v>
      </c>
      <c r="AC49" s="65">
        <v>0.35347222222222219</v>
      </c>
      <c r="AD49" s="65">
        <v>0.91527777777777775</v>
      </c>
      <c r="AE49" s="65">
        <v>0.35416666666666669</v>
      </c>
      <c r="AF49" s="65">
        <v>0.89930555555555547</v>
      </c>
      <c r="AG49" s="76" t="s">
        <v>23</v>
      </c>
      <c r="AH49" s="76" t="s">
        <v>23</v>
      </c>
      <c r="AI49" s="106"/>
      <c r="AJ49" s="45">
        <v>31</v>
      </c>
      <c r="AK49" s="134">
        <v>0.52986111111111112</v>
      </c>
      <c r="AL49" s="134">
        <v>46219.905694444446</v>
      </c>
      <c r="AM49" s="134">
        <v>46220.582719907405</v>
      </c>
      <c r="AN49" s="134">
        <v>46220.872928240744</v>
      </c>
      <c r="AO49" s="134">
        <v>46221.349791666667</v>
      </c>
      <c r="AP49" s="134">
        <v>46221.914224537039</v>
      </c>
      <c r="AQ49" s="134">
        <v>46222.351736111108</v>
      </c>
      <c r="AR49" s="134">
        <v>46222.891701388886</v>
      </c>
      <c r="AS49" s="134">
        <v>46223.354108796295</v>
      </c>
      <c r="AT49" s="134">
        <v>46223.929282407407</v>
      </c>
      <c r="AU49" s="134">
        <v>46224.35597222222</v>
      </c>
      <c r="AV49" s="134">
        <v>46224.892592592594</v>
      </c>
      <c r="AW49" s="134">
        <v>46225.347048611111</v>
      </c>
      <c r="AX49" s="134">
        <v>46225.891898148147</v>
      </c>
      <c r="AY49" s="134">
        <v>46226.351886574077</v>
      </c>
      <c r="AZ49" s="134">
        <v>46226.956863425927</v>
      </c>
      <c r="BA49" s="158" t="s">
        <v>15</v>
      </c>
      <c r="BB49" s="158" t="s">
        <v>15</v>
      </c>
      <c r="BC49" s="134">
        <v>46228.351412037038</v>
      </c>
      <c r="BD49" s="134">
        <v>46228.931620370371</v>
      </c>
      <c r="BE49" s="134">
        <v>46229.355000000003</v>
      </c>
      <c r="BF49" s="134">
        <v>46229.910277777781</v>
      </c>
      <c r="BG49" s="134">
        <v>46230.351122685184</v>
      </c>
      <c r="BH49" s="134">
        <v>46230.898831018516</v>
      </c>
      <c r="BI49" s="134">
        <v>46231.35260416667</v>
      </c>
      <c r="BJ49" s="134">
        <v>46231.917928240742</v>
      </c>
      <c r="BK49" s="134">
        <v>46232.349062499998</v>
      </c>
      <c r="BL49" s="137">
        <v>46232.916747685187</v>
      </c>
      <c r="BM49" s="135">
        <v>46233.34516203704</v>
      </c>
      <c r="BN49" s="134">
        <v>46233.912708333337</v>
      </c>
      <c r="BO49" s="134">
        <v>46234.57917824074</v>
      </c>
      <c r="BP49" s="137">
        <v>46234.89</v>
      </c>
      <c r="BQ49" s="9">
        <f t="shared" si="25"/>
        <v>30</v>
      </c>
      <c r="BR49" s="68">
        <v>3</v>
      </c>
      <c r="BS49" s="1">
        <f t="shared" si="27"/>
        <v>28</v>
      </c>
      <c r="BT49" s="2">
        <f t="shared" si="28"/>
        <v>2</v>
      </c>
      <c r="BU49" s="2">
        <f t="shared" si="29"/>
        <v>0</v>
      </c>
      <c r="BV49" s="2">
        <f t="shared" si="30"/>
        <v>0</v>
      </c>
      <c r="BW49" s="2">
        <f t="shared" si="31"/>
        <v>0</v>
      </c>
      <c r="BX49" s="2">
        <f t="shared" si="32"/>
        <v>0</v>
      </c>
      <c r="BY49" s="2">
        <f t="shared" si="33"/>
        <v>0</v>
      </c>
      <c r="BZ49" s="2">
        <f t="shared" si="34"/>
        <v>0</v>
      </c>
      <c r="CA49" s="2">
        <f t="shared" si="35"/>
        <v>0</v>
      </c>
      <c r="CB49" s="2">
        <f t="shared" si="36"/>
        <v>1</v>
      </c>
      <c r="CC49" s="2">
        <f t="shared" si="37"/>
        <v>0</v>
      </c>
      <c r="CD49" s="2">
        <f t="shared" si="38"/>
        <v>0</v>
      </c>
      <c r="CE49" s="131"/>
      <c r="CG49" s="122">
        <v>0</v>
      </c>
      <c r="CH49" s="123">
        <v>0</v>
      </c>
      <c r="CI49" s="122">
        <v>80</v>
      </c>
      <c r="CJ49" s="123">
        <v>0</v>
      </c>
      <c r="CK49" s="123">
        <v>0</v>
      </c>
      <c r="CL49" s="122">
        <v>11</v>
      </c>
      <c r="CM49" s="123">
        <v>0</v>
      </c>
      <c r="CN49" s="123">
        <v>1</v>
      </c>
      <c r="CO49" s="123">
        <v>0</v>
      </c>
      <c r="CP49" s="123">
        <v>0</v>
      </c>
      <c r="CQ49" s="125">
        <f t="shared" si="26"/>
        <v>92</v>
      </c>
    </row>
    <row r="50" spans="1:95" s="47" customFormat="1" ht="23.25" customHeight="1" x14ac:dyDescent="0.25">
      <c r="A50" s="45">
        <v>32</v>
      </c>
      <c r="B50" s="11" t="s">
        <v>93</v>
      </c>
      <c r="C50" s="8" t="s">
        <v>94</v>
      </c>
      <c r="D50" s="85">
        <v>43566</v>
      </c>
      <c r="E50" s="65">
        <v>0.3444444444444445</v>
      </c>
      <c r="F50" s="65">
        <v>0.96388888888888891</v>
      </c>
      <c r="G50" s="65">
        <v>0.3444444444444445</v>
      </c>
      <c r="H50" s="65">
        <v>0.99236111111111114</v>
      </c>
      <c r="I50" s="91" t="s">
        <v>15</v>
      </c>
      <c r="J50" s="91" t="s">
        <v>15</v>
      </c>
      <c r="K50" s="65">
        <v>0.3444444444444445</v>
      </c>
      <c r="L50" s="65">
        <v>0.93888888888888899</v>
      </c>
      <c r="M50" s="65">
        <v>0.3444444444444445</v>
      </c>
      <c r="N50" s="65">
        <v>0.96527777777777779</v>
      </c>
      <c r="O50" s="65">
        <v>0.35069444444444442</v>
      </c>
      <c r="P50" s="65">
        <v>0.96180555555555547</v>
      </c>
      <c r="Q50" s="65">
        <v>0.3444444444444445</v>
      </c>
      <c r="R50" s="65">
        <v>0.92569444444444438</v>
      </c>
      <c r="S50" s="65">
        <v>0.3444444444444445</v>
      </c>
      <c r="T50" s="65">
        <v>2.7777777777777779E-3</v>
      </c>
      <c r="U50" s="65">
        <v>0.34375</v>
      </c>
      <c r="V50" s="65">
        <v>0.98402777777777783</v>
      </c>
      <c r="W50" s="98">
        <v>0.58194444444444449</v>
      </c>
      <c r="X50" s="98">
        <v>0.96319444444444446</v>
      </c>
      <c r="Y50" s="65">
        <v>0.3444444444444445</v>
      </c>
      <c r="Z50" s="65">
        <v>0.94305555555555554</v>
      </c>
      <c r="AA50" s="65">
        <v>0.33819444444444446</v>
      </c>
      <c r="AB50" s="65">
        <v>0.97361111111111109</v>
      </c>
      <c r="AC50" s="65">
        <v>0.34375</v>
      </c>
      <c r="AD50" s="65">
        <v>0.93680555555555556</v>
      </c>
      <c r="AE50" s="65">
        <v>0.3444444444444445</v>
      </c>
      <c r="AF50" s="65">
        <v>0.96319444444444446</v>
      </c>
      <c r="AG50" s="65">
        <v>0.34583333333333338</v>
      </c>
      <c r="AH50" s="65">
        <v>0.97569444444444453</v>
      </c>
      <c r="AI50" s="114"/>
      <c r="AJ50" s="45">
        <v>32</v>
      </c>
      <c r="AK50" s="134">
        <v>46219.345023148147</v>
      </c>
      <c r="AL50" s="134">
        <v>46219.961180555554</v>
      </c>
      <c r="AM50" s="158" t="s">
        <v>15</v>
      </c>
      <c r="AN50" s="158" t="s">
        <v>15</v>
      </c>
      <c r="AO50" s="134">
        <v>46221.344861111109</v>
      </c>
      <c r="AP50" s="134">
        <v>46221.971643518518</v>
      </c>
      <c r="AQ50" s="134">
        <v>46222.344502314816</v>
      </c>
      <c r="AR50" s="134">
        <v>46222.941701388889</v>
      </c>
      <c r="AS50" s="134">
        <v>46223.345439814817</v>
      </c>
      <c r="AT50" s="134">
        <v>46223.95585648148</v>
      </c>
      <c r="AU50" s="134">
        <v>46224.344270833331</v>
      </c>
      <c r="AV50" s="134">
        <v>46224.96266203704</v>
      </c>
      <c r="AW50" s="134">
        <v>46225.343923611108</v>
      </c>
      <c r="AX50" s="134">
        <v>1</v>
      </c>
      <c r="AY50" s="134">
        <v>46226.343969907408</v>
      </c>
      <c r="AZ50" s="134">
        <v>46226.958773148152</v>
      </c>
      <c r="BA50" s="134">
        <v>46227.582152777781</v>
      </c>
      <c r="BB50" s="134">
        <v>46227.928622685184</v>
      </c>
      <c r="BC50" s="134">
        <v>46228.344548611109</v>
      </c>
      <c r="BD50" s="134">
        <v>46228.961388888885</v>
      </c>
      <c r="BE50" s="134">
        <v>46229.3440625</v>
      </c>
      <c r="BF50" s="134">
        <v>46229.938877314817</v>
      </c>
      <c r="BG50" s="134">
        <v>46230.344629629632</v>
      </c>
      <c r="BH50" s="134">
        <v>46230.965821759259</v>
      </c>
      <c r="BI50" s="134">
        <v>46231.344560185185</v>
      </c>
      <c r="BJ50" s="134">
        <v>46231.957280092596</v>
      </c>
      <c r="BK50" s="134">
        <v>46232.344629629632</v>
      </c>
      <c r="BL50" s="137">
        <v>46232.979837962965</v>
      </c>
      <c r="BM50" s="135">
        <v>46233.343900462962</v>
      </c>
      <c r="BN50" s="134">
        <v>46233.959351851852</v>
      </c>
      <c r="BO50" s="158" t="s">
        <v>15</v>
      </c>
      <c r="BP50" s="158" t="s">
        <v>15</v>
      </c>
      <c r="BQ50" s="9">
        <f t="shared" si="25"/>
        <v>31</v>
      </c>
      <c r="BR50" s="68">
        <v>2</v>
      </c>
      <c r="BS50" s="1">
        <f t="shared" si="27"/>
        <v>28</v>
      </c>
      <c r="BT50" s="2">
        <f t="shared" si="28"/>
        <v>3</v>
      </c>
      <c r="BU50" s="2">
        <f t="shared" si="29"/>
        <v>0</v>
      </c>
      <c r="BV50" s="2">
        <f t="shared" si="30"/>
        <v>0</v>
      </c>
      <c r="BW50" s="2">
        <f t="shared" si="31"/>
        <v>0</v>
      </c>
      <c r="BX50" s="2">
        <f t="shared" si="32"/>
        <v>0</v>
      </c>
      <c r="BY50" s="2">
        <f t="shared" si="33"/>
        <v>0</v>
      </c>
      <c r="BZ50" s="2">
        <f t="shared" si="34"/>
        <v>0</v>
      </c>
      <c r="CA50" s="2">
        <f t="shared" si="35"/>
        <v>0</v>
      </c>
      <c r="CB50" s="2">
        <f t="shared" si="36"/>
        <v>0</v>
      </c>
      <c r="CC50" s="2">
        <f t="shared" si="37"/>
        <v>0</v>
      </c>
      <c r="CD50" s="2">
        <f t="shared" si="38"/>
        <v>0</v>
      </c>
      <c r="CE50" s="131"/>
      <c r="CG50" s="55">
        <v>0</v>
      </c>
      <c r="CH50" s="54">
        <v>0</v>
      </c>
      <c r="CI50" s="54">
        <v>0</v>
      </c>
      <c r="CJ50" s="55">
        <v>15</v>
      </c>
      <c r="CK50" s="54">
        <v>0</v>
      </c>
      <c r="CL50" s="55">
        <v>5</v>
      </c>
      <c r="CM50" s="55">
        <v>2</v>
      </c>
      <c r="CN50" s="55">
        <v>1</v>
      </c>
      <c r="CO50" s="54">
        <v>0</v>
      </c>
      <c r="CP50" s="54">
        <v>0</v>
      </c>
      <c r="CQ50" s="126">
        <f t="shared" si="26"/>
        <v>23</v>
      </c>
    </row>
    <row r="51" spans="1:95" s="47" customFormat="1" ht="21.75" customHeight="1" x14ac:dyDescent="0.25">
      <c r="A51" s="45">
        <v>33</v>
      </c>
      <c r="B51" s="11" t="s">
        <v>95</v>
      </c>
      <c r="C51" s="8" t="s">
        <v>96</v>
      </c>
      <c r="D51" s="85">
        <v>45707</v>
      </c>
      <c r="E51" s="69">
        <v>1</v>
      </c>
      <c r="F51" s="69">
        <v>1</v>
      </c>
      <c r="G51" s="65">
        <v>0.35347222222222219</v>
      </c>
      <c r="H51" s="69">
        <v>1</v>
      </c>
      <c r="I51" s="98">
        <v>0.56944444444444442</v>
      </c>
      <c r="J51" s="99">
        <v>1</v>
      </c>
      <c r="K51" s="65">
        <v>0.33680555555555558</v>
      </c>
      <c r="L51" s="69">
        <v>1</v>
      </c>
      <c r="M51" s="65">
        <v>0.36041666666666666</v>
      </c>
      <c r="N51" s="69">
        <v>1</v>
      </c>
      <c r="O51" s="65">
        <v>0.33402777777777781</v>
      </c>
      <c r="P51" s="65">
        <v>0.33402777777777781</v>
      </c>
      <c r="Q51" s="65">
        <v>0.34375</v>
      </c>
      <c r="R51" s="65">
        <v>0.34375</v>
      </c>
      <c r="S51" s="65">
        <v>0.3430555555555555</v>
      </c>
      <c r="T51" s="69">
        <v>1</v>
      </c>
      <c r="U51" s="65">
        <v>0.3354166666666667</v>
      </c>
      <c r="V51" s="69">
        <v>1</v>
      </c>
      <c r="W51" s="99">
        <v>1</v>
      </c>
      <c r="X51" s="99">
        <v>1</v>
      </c>
      <c r="Y51" s="65">
        <v>0.34583333333333338</v>
      </c>
      <c r="Z51" s="69">
        <v>1</v>
      </c>
      <c r="AA51" s="65">
        <v>0.33263888888888887</v>
      </c>
      <c r="AB51" s="69">
        <v>1</v>
      </c>
      <c r="AC51" s="65">
        <v>0.33263888888888887</v>
      </c>
      <c r="AD51" s="69">
        <v>1</v>
      </c>
      <c r="AE51" s="65">
        <v>0.35069444444444442</v>
      </c>
      <c r="AF51" s="69">
        <v>1</v>
      </c>
      <c r="AG51" s="65">
        <v>0.33194444444444443</v>
      </c>
      <c r="AH51" s="69">
        <v>1</v>
      </c>
      <c r="AI51" s="106"/>
      <c r="AJ51" s="45">
        <v>33</v>
      </c>
      <c r="AK51" s="134">
        <v>46219.344155092593</v>
      </c>
      <c r="AL51" s="134">
        <v>1</v>
      </c>
      <c r="AM51" s="134">
        <v>46220.56318287037</v>
      </c>
      <c r="AN51" s="134">
        <v>1</v>
      </c>
      <c r="AO51" s="134">
        <v>46221.350416666668</v>
      </c>
      <c r="AP51" s="134">
        <v>1</v>
      </c>
      <c r="AQ51" s="134">
        <v>46222.339456018519</v>
      </c>
      <c r="AR51" s="134">
        <v>1</v>
      </c>
      <c r="AS51" s="134">
        <v>46223.345891203702</v>
      </c>
      <c r="AT51" s="134">
        <v>1</v>
      </c>
      <c r="AU51" s="134">
        <v>46224.339201388888</v>
      </c>
      <c r="AV51" s="134">
        <v>46224.956307870372</v>
      </c>
      <c r="AW51" s="134">
        <v>46225.339942129627</v>
      </c>
      <c r="AX51" s="134">
        <v>46225.945034722223</v>
      </c>
      <c r="AY51" s="134">
        <v>46226.343124999999</v>
      </c>
      <c r="AZ51" s="134">
        <v>1</v>
      </c>
      <c r="BA51" s="134">
        <v>46227.572025462963</v>
      </c>
      <c r="BB51" s="134">
        <v>1</v>
      </c>
      <c r="BC51" s="134">
        <v>46228.368541666663</v>
      </c>
      <c r="BD51" s="134">
        <v>1</v>
      </c>
      <c r="BE51" s="134">
        <v>46229.348773148151</v>
      </c>
      <c r="BF51" s="134">
        <v>1</v>
      </c>
      <c r="BG51" s="134">
        <v>46230.333854166667</v>
      </c>
      <c r="BH51" s="134">
        <v>1</v>
      </c>
      <c r="BI51" s="134">
        <v>46231.355706018519</v>
      </c>
      <c r="BJ51" s="134">
        <v>1</v>
      </c>
      <c r="BK51" s="134">
        <v>46232.34516203704</v>
      </c>
      <c r="BL51" s="159">
        <v>1</v>
      </c>
      <c r="BM51" s="135">
        <v>46233.325601851851</v>
      </c>
      <c r="BN51" s="136">
        <v>1</v>
      </c>
      <c r="BO51" s="138">
        <v>1</v>
      </c>
      <c r="BP51" s="138">
        <v>1</v>
      </c>
      <c r="BQ51" s="9">
        <f t="shared" si="25"/>
        <v>31</v>
      </c>
      <c r="BR51" s="68">
        <v>5</v>
      </c>
      <c r="BS51" s="1">
        <f t="shared" si="27"/>
        <v>31</v>
      </c>
      <c r="BT51" s="2">
        <f t="shared" si="28"/>
        <v>0</v>
      </c>
      <c r="BU51" s="2">
        <f t="shared" si="29"/>
        <v>0</v>
      </c>
      <c r="BV51" s="2">
        <f t="shared" si="30"/>
        <v>0</v>
      </c>
      <c r="BW51" s="2">
        <f t="shared" si="31"/>
        <v>0</v>
      </c>
      <c r="BX51" s="2">
        <f t="shared" si="32"/>
        <v>0</v>
      </c>
      <c r="BY51" s="2">
        <f t="shared" si="33"/>
        <v>0</v>
      </c>
      <c r="BZ51" s="2">
        <f t="shared" si="34"/>
        <v>0</v>
      </c>
      <c r="CA51" s="2">
        <f t="shared" si="35"/>
        <v>0</v>
      </c>
      <c r="CB51" s="2">
        <f t="shared" si="36"/>
        <v>0</v>
      </c>
      <c r="CC51" s="2">
        <f t="shared" si="37"/>
        <v>0</v>
      </c>
      <c r="CD51" s="2">
        <f t="shared" si="38"/>
        <v>0</v>
      </c>
      <c r="CE51" s="131"/>
      <c r="CG51" s="122">
        <v>0</v>
      </c>
      <c r="CH51" s="123">
        <v>0</v>
      </c>
      <c r="CI51" s="123">
        <v>0</v>
      </c>
      <c r="CJ51" s="123">
        <v>0</v>
      </c>
      <c r="CK51" s="123">
        <v>0</v>
      </c>
      <c r="CL51" s="122">
        <v>1</v>
      </c>
      <c r="CM51" s="122">
        <v>0</v>
      </c>
      <c r="CN51" s="122">
        <v>3</v>
      </c>
      <c r="CO51" s="123">
        <v>0</v>
      </c>
      <c r="CP51" s="123">
        <v>0</v>
      </c>
      <c r="CQ51" s="125">
        <f t="shared" si="26"/>
        <v>4</v>
      </c>
    </row>
    <row r="52" spans="1:95" s="47" customFormat="1" ht="21.75" customHeight="1" x14ac:dyDescent="0.25">
      <c r="A52" s="45">
        <v>34</v>
      </c>
      <c r="B52" s="11" t="s">
        <v>97</v>
      </c>
      <c r="C52" s="8" t="s">
        <v>98</v>
      </c>
      <c r="D52" s="85">
        <v>42262</v>
      </c>
      <c r="E52" s="65">
        <v>0.9194444444444444</v>
      </c>
      <c r="F52" s="69">
        <v>1</v>
      </c>
      <c r="G52" s="65">
        <v>0.4694444444444445</v>
      </c>
      <c r="H52" s="65">
        <v>0.96944444444444444</v>
      </c>
      <c r="I52" s="98">
        <v>0.95416666666666661</v>
      </c>
      <c r="J52" s="99">
        <v>1</v>
      </c>
      <c r="K52" s="69">
        <v>1</v>
      </c>
      <c r="L52" s="69">
        <v>1</v>
      </c>
      <c r="M52" s="65">
        <v>0.3666666666666667</v>
      </c>
      <c r="N52" s="69">
        <v>1</v>
      </c>
      <c r="O52" s="65">
        <v>0.39374999999999999</v>
      </c>
      <c r="P52" s="69">
        <v>1</v>
      </c>
      <c r="Q52" s="65">
        <v>0.36319444444444443</v>
      </c>
      <c r="R52" s="69">
        <v>1</v>
      </c>
      <c r="S52" s="69">
        <v>1</v>
      </c>
      <c r="T52" s="69">
        <v>1</v>
      </c>
      <c r="U52" s="65">
        <v>0.35416666666666669</v>
      </c>
      <c r="V52" s="69">
        <v>1</v>
      </c>
      <c r="W52" s="99">
        <v>1</v>
      </c>
      <c r="X52" s="99">
        <v>1</v>
      </c>
      <c r="Y52" s="69">
        <v>1</v>
      </c>
      <c r="Z52" s="69">
        <v>1</v>
      </c>
      <c r="AA52" s="65">
        <v>0.40208333333333335</v>
      </c>
      <c r="AB52" s="65">
        <v>0.96805555555555556</v>
      </c>
      <c r="AC52" s="65">
        <v>0.39583333333333331</v>
      </c>
      <c r="AD52" s="69">
        <v>1</v>
      </c>
      <c r="AE52" s="65">
        <v>0.37847222222222227</v>
      </c>
      <c r="AF52" s="69">
        <v>1</v>
      </c>
      <c r="AG52" s="69">
        <v>1</v>
      </c>
      <c r="AH52" s="69">
        <v>1</v>
      </c>
      <c r="AI52" s="114"/>
      <c r="AJ52" s="45">
        <v>34</v>
      </c>
      <c r="AK52" s="136">
        <v>1</v>
      </c>
      <c r="AL52" s="136">
        <v>1</v>
      </c>
      <c r="AM52" s="134">
        <v>46220.625902777778</v>
      </c>
      <c r="AN52" s="136">
        <v>1</v>
      </c>
      <c r="AO52" s="136">
        <v>1</v>
      </c>
      <c r="AP52" s="136">
        <v>1</v>
      </c>
      <c r="AQ52" s="134">
        <v>46222.37363425926</v>
      </c>
      <c r="AR52" s="136">
        <v>1</v>
      </c>
      <c r="AS52" s="136">
        <v>1</v>
      </c>
      <c r="AT52" s="136">
        <v>1</v>
      </c>
      <c r="AU52" s="134">
        <v>46224.358263888891</v>
      </c>
      <c r="AV52" s="136">
        <v>1</v>
      </c>
      <c r="AW52" s="136">
        <v>1</v>
      </c>
      <c r="AX52" s="134">
        <v>46225.983020833337</v>
      </c>
      <c r="AY52" s="134">
        <v>46226.342569444445</v>
      </c>
      <c r="AZ52" s="136">
        <v>1</v>
      </c>
      <c r="BA52" s="134">
        <v>46227.592442129629</v>
      </c>
      <c r="BB52" s="134">
        <v>46227.919803240744</v>
      </c>
      <c r="BC52" s="136">
        <v>1</v>
      </c>
      <c r="BD52" s="136">
        <v>1</v>
      </c>
      <c r="BE52" s="136">
        <v>1</v>
      </c>
      <c r="BF52" s="136">
        <v>1</v>
      </c>
      <c r="BG52" s="136">
        <v>1</v>
      </c>
      <c r="BH52" s="136">
        <v>1</v>
      </c>
      <c r="BI52" s="136">
        <v>1</v>
      </c>
      <c r="BJ52" s="136">
        <v>1</v>
      </c>
      <c r="BK52" s="134">
        <v>0.43472222222222223</v>
      </c>
      <c r="BL52" s="159">
        <v>1</v>
      </c>
      <c r="BM52" s="135">
        <v>46233.36482638889</v>
      </c>
      <c r="BN52" s="136">
        <v>1</v>
      </c>
      <c r="BO52" s="158" t="s">
        <v>15</v>
      </c>
      <c r="BP52" s="158" t="s">
        <v>15</v>
      </c>
      <c r="BQ52" s="9">
        <f t="shared" si="25"/>
        <v>31</v>
      </c>
      <c r="BR52" s="68">
        <v>1</v>
      </c>
      <c r="BS52" s="1">
        <f t="shared" si="27"/>
        <v>30</v>
      </c>
      <c r="BT52" s="2">
        <f t="shared" si="28"/>
        <v>1</v>
      </c>
      <c r="BU52" s="2">
        <f t="shared" si="29"/>
        <v>0</v>
      </c>
      <c r="BV52" s="2">
        <f t="shared" si="30"/>
        <v>0</v>
      </c>
      <c r="BW52" s="2">
        <f t="shared" si="31"/>
        <v>0</v>
      </c>
      <c r="BX52" s="2">
        <f t="shared" si="32"/>
        <v>0</v>
      </c>
      <c r="BY52" s="2">
        <f t="shared" si="33"/>
        <v>0</v>
      </c>
      <c r="BZ52" s="2">
        <f t="shared" si="34"/>
        <v>0</v>
      </c>
      <c r="CA52" s="2">
        <f t="shared" si="35"/>
        <v>0</v>
      </c>
      <c r="CB52" s="2">
        <f t="shared" si="36"/>
        <v>0</v>
      </c>
      <c r="CC52" s="2">
        <f t="shared" si="37"/>
        <v>0</v>
      </c>
      <c r="CD52" s="2">
        <f t="shared" si="38"/>
        <v>0</v>
      </c>
      <c r="CE52" s="131"/>
      <c r="CG52" s="55">
        <v>0</v>
      </c>
      <c r="CH52" s="54">
        <v>0</v>
      </c>
      <c r="CI52" s="55">
        <v>14</v>
      </c>
      <c r="CJ52" s="54">
        <v>0</v>
      </c>
      <c r="CK52" s="54">
        <v>0</v>
      </c>
      <c r="CL52" s="55">
        <v>1</v>
      </c>
      <c r="CM52" s="55">
        <v>0</v>
      </c>
      <c r="CN52" s="54">
        <v>0</v>
      </c>
      <c r="CO52" s="54">
        <v>0</v>
      </c>
      <c r="CP52" s="54">
        <v>0</v>
      </c>
      <c r="CQ52" s="126">
        <f t="shared" si="26"/>
        <v>15</v>
      </c>
    </row>
    <row r="53" spans="1:95" s="47" customFormat="1" ht="21.75" customHeight="1" x14ac:dyDescent="0.25">
      <c r="A53" s="45">
        <v>35</v>
      </c>
      <c r="B53" s="11" t="s">
        <v>252</v>
      </c>
      <c r="C53" s="8" t="s">
        <v>101</v>
      </c>
      <c r="D53" s="85"/>
      <c r="E53" s="76" t="s">
        <v>24</v>
      </c>
      <c r="F53" s="76" t="s">
        <v>24</v>
      </c>
      <c r="G53" s="76" t="s">
        <v>24</v>
      </c>
      <c r="H53" s="76" t="s">
        <v>24</v>
      </c>
      <c r="I53" s="76" t="s">
        <v>24</v>
      </c>
      <c r="J53" s="76" t="s">
        <v>24</v>
      </c>
      <c r="K53" s="76" t="s">
        <v>24</v>
      </c>
      <c r="L53" s="76" t="s">
        <v>24</v>
      </c>
      <c r="M53" s="76" t="s">
        <v>24</v>
      </c>
      <c r="N53" s="76" t="s">
        <v>24</v>
      </c>
      <c r="O53" s="76" t="s">
        <v>24</v>
      </c>
      <c r="P53" s="76" t="s">
        <v>24</v>
      </c>
      <c r="Q53" s="76" t="s">
        <v>24</v>
      </c>
      <c r="R53" s="76" t="s">
        <v>24</v>
      </c>
      <c r="S53" s="76" t="s">
        <v>24</v>
      </c>
      <c r="T53" s="76" t="s">
        <v>24</v>
      </c>
      <c r="U53" s="76" t="s">
        <v>24</v>
      </c>
      <c r="V53" s="76" t="s">
        <v>24</v>
      </c>
      <c r="W53" s="76" t="s">
        <v>24</v>
      </c>
      <c r="X53" s="76" t="s">
        <v>24</v>
      </c>
      <c r="Y53" s="76" t="s">
        <v>24</v>
      </c>
      <c r="Z53" s="76" t="s">
        <v>24</v>
      </c>
      <c r="AA53" s="65">
        <v>0.35000000000000003</v>
      </c>
      <c r="AB53" s="65">
        <v>0.92569444444444438</v>
      </c>
      <c r="AC53" s="65">
        <v>0.3520833333333333</v>
      </c>
      <c r="AD53" s="65">
        <v>0.9291666666666667</v>
      </c>
      <c r="AE53" s="65">
        <v>0.34861111111111115</v>
      </c>
      <c r="AF53" s="65">
        <v>0.92013888888888884</v>
      </c>
      <c r="AG53" s="65">
        <v>0.35069444444444442</v>
      </c>
      <c r="AH53" s="65">
        <v>0.93263888888888891</v>
      </c>
      <c r="AI53" s="114"/>
      <c r="AJ53" s="45">
        <v>35</v>
      </c>
      <c r="AK53" s="134">
        <v>46219.350972222222</v>
      </c>
      <c r="AL53" s="134">
        <v>46219.932766203703</v>
      </c>
      <c r="AM53" s="134">
        <v>46220.580393518518</v>
      </c>
      <c r="AN53" s="134">
        <v>46220.914386574077</v>
      </c>
      <c r="AO53" s="134">
        <v>46221.353136574071</v>
      </c>
      <c r="AP53" s="134">
        <v>46221.947939814818</v>
      </c>
      <c r="AQ53" s="134">
        <v>46222.350856481484</v>
      </c>
      <c r="AR53" s="134">
        <v>46222.943935185183</v>
      </c>
      <c r="AS53" s="134">
        <v>46223.351990740739</v>
      </c>
      <c r="AT53" s="134">
        <v>46223.952928240738</v>
      </c>
      <c r="AU53" s="134">
        <v>46224.352534722224</v>
      </c>
      <c r="AV53" s="134">
        <v>46224.964050925926</v>
      </c>
      <c r="AW53" s="134">
        <v>46225.350694444445</v>
      </c>
      <c r="AX53" s="134">
        <v>46225.945081018515</v>
      </c>
      <c r="AY53" s="134">
        <v>46226.353634259256</v>
      </c>
      <c r="AZ53" s="134">
        <v>46226.982789351852</v>
      </c>
      <c r="BA53" s="158" t="s">
        <v>15</v>
      </c>
      <c r="BB53" s="158" t="s">
        <v>15</v>
      </c>
      <c r="BC53" s="134">
        <v>46228.349386574075</v>
      </c>
      <c r="BD53" s="134">
        <v>1</v>
      </c>
      <c r="BE53" s="134">
        <v>46229.349456018521</v>
      </c>
      <c r="BF53" s="134">
        <v>46229.935289351852</v>
      </c>
      <c r="BG53" s="134">
        <v>46230.350185185183</v>
      </c>
      <c r="BH53" s="134">
        <v>46230.974259259259</v>
      </c>
      <c r="BI53" s="134">
        <v>46231.350243055553</v>
      </c>
      <c r="BJ53" s="134">
        <v>46231.920289351852</v>
      </c>
      <c r="BK53" s="134">
        <v>46232.350451388891</v>
      </c>
      <c r="BL53" s="137">
        <v>46232.936886574076</v>
      </c>
      <c r="BM53" s="135">
        <v>46233.350856481484</v>
      </c>
      <c r="BN53" s="134">
        <v>46233.945127314815</v>
      </c>
      <c r="BO53" s="134">
        <v>46234.579039351855</v>
      </c>
      <c r="BP53" s="137">
        <v>46234.897314814814</v>
      </c>
      <c r="BQ53" s="9">
        <f t="shared" ref="BQ53" si="39">BS53+BT53+BV53+CA53+BY53+BZ53+CD53+BU53</f>
        <v>20</v>
      </c>
      <c r="BR53" s="68">
        <v>1</v>
      </c>
      <c r="BS53" s="1">
        <f t="shared" si="27"/>
        <v>19</v>
      </c>
      <c r="BT53" s="2">
        <f t="shared" si="28"/>
        <v>1</v>
      </c>
      <c r="BU53" s="2">
        <f t="shared" si="29"/>
        <v>0</v>
      </c>
      <c r="BV53" s="2">
        <f t="shared" si="30"/>
        <v>0</v>
      </c>
      <c r="BW53" s="2">
        <f t="shared" si="31"/>
        <v>0</v>
      </c>
      <c r="BX53" s="2">
        <f t="shared" si="32"/>
        <v>0</v>
      </c>
      <c r="BY53" s="2">
        <f t="shared" si="33"/>
        <v>0</v>
      </c>
      <c r="BZ53" s="2">
        <f t="shared" si="34"/>
        <v>0</v>
      </c>
      <c r="CA53" s="2">
        <f t="shared" si="35"/>
        <v>0</v>
      </c>
      <c r="CB53" s="2">
        <f t="shared" si="36"/>
        <v>0</v>
      </c>
      <c r="CC53" s="2">
        <f t="shared" si="37"/>
        <v>11</v>
      </c>
      <c r="CD53" s="2">
        <f t="shared" si="38"/>
        <v>0</v>
      </c>
      <c r="CE53" s="131"/>
      <c r="CG53" s="55"/>
      <c r="CH53" s="54"/>
      <c r="CI53" s="54"/>
      <c r="CJ53" s="54"/>
      <c r="CK53" s="54"/>
      <c r="CL53" s="55"/>
      <c r="CM53" s="55"/>
      <c r="CN53" s="54"/>
      <c r="CO53" s="54"/>
      <c r="CP53" s="54"/>
      <c r="CQ53" s="126"/>
    </row>
    <row r="54" spans="1:95" s="47" customFormat="1" ht="21.75" customHeight="1" x14ac:dyDescent="0.25">
      <c r="A54" s="45">
        <v>36</v>
      </c>
      <c r="B54" s="45" t="s">
        <v>102</v>
      </c>
      <c r="C54" s="8" t="s">
        <v>103</v>
      </c>
      <c r="D54" s="85">
        <v>44920</v>
      </c>
      <c r="E54" s="65">
        <v>0.36041666666666666</v>
      </c>
      <c r="F54" s="65">
        <v>0.97013888888888899</v>
      </c>
      <c r="G54" s="65">
        <v>0.35347222222222219</v>
      </c>
      <c r="H54" s="65">
        <v>0.96319444444444446</v>
      </c>
      <c r="I54" s="91" t="s">
        <v>15</v>
      </c>
      <c r="J54" s="91" t="s">
        <v>15</v>
      </c>
      <c r="K54" s="65">
        <v>0.35347222222222219</v>
      </c>
      <c r="L54" s="65">
        <v>0.93958333333333333</v>
      </c>
      <c r="M54" s="65">
        <v>0.35486111111111113</v>
      </c>
      <c r="N54" s="65">
        <v>0.97013888888888899</v>
      </c>
      <c r="O54" s="65">
        <v>0.35486111111111113</v>
      </c>
      <c r="P54" s="69">
        <v>1</v>
      </c>
      <c r="Q54" s="65">
        <v>0.35347222222222219</v>
      </c>
      <c r="R54" s="69">
        <v>1</v>
      </c>
      <c r="S54" s="65">
        <v>0.4291666666666667</v>
      </c>
      <c r="T54" s="65">
        <v>0.98472222222222217</v>
      </c>
      <c r="U54" s="65">
        <v>0.35555555555555557</v>
      </c>
      <c r="V54" s="65">
        <v>0.96111111111111114</v>
      </c>
      <c r="W54" s="98">
        <v>0.57430555555555551</v>
      </c>
      <c r="X54" s="69">
        <v>1</v>
      </c>
      <c r="Y54" s="65">
        <v>0.35555555555555557</v>
      </c>
      <c r="Z54" s="65">
        <v>0.95972222222222225</v>
      </c>
      <c r="AA54" s="65">
        <v>0.35000000000000003</v>
      </c>
      <c r="AB54" s="65">
        <v>0.9604166666666667</v>
      </c>
      <c r="AC54" s="65">
        <v>0.35555555555555557</v>
      </c>
      <c r="AD54" s="65">
        <v>0.9375</v>
      </c>
      <c r="AE54" s="65">
        <v>0.34583333333333338</v>
      </c>
      <c r="AF54" s="65">
        <v>0.9590277777777777</v>
      </c>
      <c r="AG54" s="65">
        <v>0.34930555555555554</v>
      </c>
      <c r="AH54" s="65">
        <v>0.96458333333333324</v>
      </c>
      <c r="AI54" s="106"/>
      <c r="AJ54" s="45">
        <v>36</v>
      </c>
      <c r="AK54" s="134">
        <v>46219.350532407407</v>
      </c>
      <c r="AL54" s="134">
        <v>46219.983113425929</v>
      </c>
      <c r="AM54" s="158" t="s">
        <v>15</v>
      </c>
      <c r="AN54" s="158" t="s">
        <v>15</v>
      </c>
      <c r="AO54" s="134">
        <v>46221.334583333337</v>
      </c>
      <c r="AP54" s="134">
        <v>46221.940069444441</v>
      </c>
      <c r="AQ54" s="134">
        <v>46222.334733796299</v>
      </c>
      <c r="AR54" s="134">
        <v>46222.945972222224</v>
      </c>
      <c r="AS54" s="134">
        <v>46223.329988425925</v>
      </c>
      <c r="AT54" s="134">
        <v>46223.939351851855</v>
      </c>
      <c r="AU54" s="134">
        <v>46224.329247685186</v>
      </c>
      <c r="AV54" s="134">
        <v>46224.945150462961</v>
      </c>
      <c r="AW54" s="134">
        <v>46225.333321759259</v>
      </c>
      <c r="AX54" s="134">
        <v>46225.939652777779</v>
      </c>
      <c r="AY54" s="134">
        <v>46226.329189814816</v>
      </c>
      <c r="AZ54" s="134">
        <v>46226.959918981483</v>
      </c>
      <c r="BA54" s="134">
        <v>46227.561516203707</v>
      </c>
      <c r="BB54" s="134">
        <v>46227.923032407409</v>
      </c>
      <c r="BC54" s="134">
        <v>46228.351736111108</v>
      </c>
      <c r="BD54" s="134">
        <v>46228.961273148147</v>
      </c>
      <c r="BE54" s="134">
        <v>46229.353379629632</v>
      </c>
      <c r="BF54" s="134">
        <v>46229.944745370369</v>
      </c>
      <c r="BG54" s="134">
        <v>46230.351064814815</v>
      </c>
      <c r="BH54" s="134">
        <v>46230.981388888889</v>
      </c>
      <c r="BI54" s="134">
        <v>46231.350960648146</v>
      </c>
      <c r="BJ54" s="134">
        <v>46231.938009259262</v>
      </c>
      <c r="BK54" s="134">
        <v>46232.352083333331</v>
      </c>
      <c r="BL54" s="137">
        <v>46232.961956018517</v>
      </c>
      <c r="BM54" s="135">
        <v>46233.351400462961</v>
      </c>
      <c r="BN54" s="134">
        <v>46233.958958333336</v>
      </c>
      <c r="BO54" s="158" t="s">
        <v>15</v>
      </c>
      <c r="BP54" s="158" t="s">
        <v>15</v>
      </c>
      <c r="BQ54" s="9">
        <f t="shared" si="25"/>
        <v>31</v>
      </c>
      <c r="BR54" s="68">
        <v>2</v>
      </c>
      <c r="BS54" s="1">
        <f t="shared" si="27"/>
        <v>28</v>
      </c>
      <c r="BT54" s="2">
        <f t="shared" si="28"/>
        <v>3</v>
      </c>
      <c r="BU54" s="2">
        <f t="shared" si="29"/>
        <v>0</v>
      </c>
      <c r="BV54" s="2">
        <f t="shared" si="30"/>
        <v>0</v>
      </c>
      <c r="BW54" s="2">
        <f t="shared" si="31"/>
        <v>0</v>
      </c>
      <c r="BX54" s="2">
        <f t="shared" si="32"/>
        <v>0</v>
      </c>
      <c r="BY54" s="2">
        <f t="shared" si="33"/>
        <v>0</v>
      </c>
      <c r="BZ54" s="2">
        <f t="shared" si="34"/>
        <v>0</v>
      </c>
      <c r="CA54" s="2">
        <f t="shared" si="35"/>
        <v>0</v>
      </c>
      <c r="CB54" s="2">
        <f t="shared" si="36"/>
        <v>0</v>
      </c>
      <c r="CC54" s="2">
        <f t="shared" si="37"/>
        <v>0</v>
      </c>
      <c r="CD54" s="2">
        <f t="shared" si="38"/>
        <v>0</v>
      </c>
      <c r="CE54" s="131"/>
      <c r="CG54" s="122">
        <v>0</v>
      </c>
      <c r="CH54" s="123">
        <v>0</v>
      </c>
      <c r="CI54" s="123">
        <v>0</v>
      </c>
      <c r="CJ54" s="122">
        <v>8</v>
      </c>
      <c r="CK54" s="123">
        <v>0</v>
      </c>
      <c r="CL54" s="122">
        <v>3</v>
      </c>
      <c r="CM54" s="122">
        <v>0</v>
      </c>
      <c r="CN54" s="122">
        <v>4</v>
      </c>
      <c r="CO54" s="123">
        <v>0</v>
      </c>
      <c r="CP54" s="123">
        <v>0</v>
      </c>
      <c r="CQ54" s="125">
        <f t="shared" si="26"/>
        <v>15</v>
      </c>
    </row>
    <row r="55" spans="1:95" s="47" customFormat="1" ht="21.75" customHeight="1" x14ac:dyDescent="0.25">
      <c r="A55" s="45">
        <v>37</v>
      </c>
      <c r="B55" s="11" t="s">
        <v>104</v>
      </c>
      <c r="C55" s="8" t="s">
        <v>105</v>
      </c>
      <c r="D55" s="85">
        <v>44641</v>
      </c>
      <c r="E55" s="65">
        <v>0.34027777777777773</v>
      </c>
      <c r="F55" s="65">
        <v>0.97361111111111109</v>
      </c>
      <c r="G55" s="65">
        <v>0.3520833333333333</v>
      </c>
      <c r="H55" s="65">
        <v>0.9916666666666667</v>
      </c>
      <c r="I55" s="91" t="s">
        <v>15</v>
      </c>
      <c r="J55" s="91" t="s">
        <v>15</v>
      </c>
      <c r="K55" s="65">
        <v>0.34097222222222223</v>
      </c>
      <c r="L55" s="65">
        <v>0.95000000000000007</v>
      </c>
      <c r="M55" s="65">
        <v>0.34166666666666662</v>
      </c>
      <c r="N55" s="65">
        <v>0.96736111111111101</v>
      </c>
      <c r="O55" s="65">
        <v>0.34652777777777777</v>
      </c>
      <c r="P55" s="65">
        <v>0.9604166666666667</v>
      </c>
      <c r="Q55" s="65">
        <v>0.35347222222222219</v>
      </c>
      <c r="R55" s="69">
        <v>1</v>
      </c>
      <c r="S55" s="65">
        <v>0.3527777777777778</v>
      </c>
      <c r="T55" s="65">
        <v>2.0833333333333333E-3</v>
      </c>
      <c r="U55" s="65">
        <v>0.34791666666666665</v>
      </c>
      <c r="V55" s="65">
        <v>0.98472222222222217</v>
      </c>
      <c r="W55" s="98">
        <v>0.57500000000000007</v>
      </c>
      <c r="X55" s="98">
        <v>0.96250000000000002</v>
      </c>
      <c r="Y55" s="65">
        <v>0.35972222222222222</v>
      </c>
      <c r="Z55" s="65">
        <v>0.94444444444444453</v>
      </c>
      <c r="AA55" s="65">
        <v>0.35069444444444442</v>
      </c>
      <c r="AB55" s="65">
        <v>0.97361111111111109</v>
      </c>
      <c r="AC55" s="65">
        <v>0.3520833333333333</v>
      </c>
      <c r="AD55" s="65">
        <v>0.93125000000000002</v>
      </c>
      <c r="AE55" s="65">
        <v>0.34930555555555554</v>
      </c>
      <c r="AF55" s="65">
        <v>0.96319444444444446</v>
      </c>
      <c r="AG55" s="65">
        <v>0.3527777777777778</v>
      </c>
      <c r="AH55" s="65">
        <v>0.97499999999999998</v>
      </c>
      <c r="AI55" s="114"/>
      <c r="AJ55" s="45">
        <v>37</v>
      </c>
      <c r="AK55" s="134">
        <v>46219.351689814815</v>
      </c>
      <c r="AL55" s="134">
        <v>46219.992071759261</v>
      </c>
      <c r="AM55" s="158" t="s">
        <v>15</v>
      </c>
      <c r="AN55" s="158" t="s">
        <v>15</v>
      </c>
      <c r="AO55" s="134">
        <v>46221.350347222222</v>
      </c>
      <c r="AP55" s="134">
        <v>46221.966874999998</v>
      </c>
      <c r="AQ55" s="134">
        <v>46222.350092592591</v>
      </c>
      <c r="AR55" s="134">
        <v>46222.945</v>
      </c>
      <c r="AS55" s="134">
        <v>46223.350995370369</v>
      </c>
      <c r="AT55" s="134">
        <v>46223.958773148152</v>
      </c>
      <c r="AU55" s="134">
        <v>46224.350937499999</v>
      </c>
      <c r="AV55" s="134">
        <v>46224.965277777781</v>
      </c>
      <c r="AW55" s="134">
        <v>46225.34888888889</v>
      </c>
      <c r="AX55" s="134">
        <v>46225.931979166664</v>
      </c>
      <c r="AY55" s="134">
        <v>46226.330636574072</v>
      </c>
      <c r="AZ55" s="134">
        <v>46226.966145833336</v>
      </c>
      <c r="BA55" s="134">
        <v>46227.58085648148</v>
      </c>
      <c r="BB55" s="134">
        <v>46227.92796296296</v>
      </c>
      <c r="BC55" s="134">
        <v>46228.351122685184</v>
      </c>
      <c r="BD55" s="134">
        <v>46228.959398148145</v>
      </c>
      <c r="BE55" s="134">
        <v>46229.34952546296</v>
      </c>
      <c r="BF55" s="134">
        <v>46229.944236111114</v>
      </c>
      <c r="BG55" s="158" t="s">
        <v>15</v>
      </c>
      <c r="BH55" s="158" t="s">
        <v>15</v>
      </c>
      <c r="BI55" s="134">
        <v>46231.347210648149</v>
      </c>
      <c r="BJ55" s="134">
        <v>46231.95853009259</v>
      </c>
      <c r="BK55" s="134">
        <v>46232.345335648148</v>
      </c>
      <c r="BL55" s="137">
        <v>46232.972812499997</v>
      </c>
      <c r="BM55" s="135">
        <v>46233.353078703702</v>
      </c>
      <c r="BN55" s="134">
        <v>46233.988206018519</v>
      </c>
      <c r="BO55" s="158" t="s">
        <v>15</v>
      </c>
      <c r="BP55" s="158" t="s">
        <v>15</v>
      </c>
      <c r="BQ55" s="9">
        <f t="shared" si="25"/>
        <v>31</v>
      </c>
      <c r="BR55" s="68">
        <v>2</v>
      </c>
      <c r="BS55" s="1">
        <f t="shared" si="27"/>
        <v>27</v>
      </c>
      <c r="BT55" s="2">
        <f t="shared" si="28"/>
        <v>4</v>
      </c>
      <c r="BU55" s="2">
        <f t="shared" si="29"/>
        <v>0</v>
      </c>
      <c r="BV55" s="2">
        <f t="shared" si="30"/>
        <v>0</v>
      </c>
      <c r="BW55" s="2">
        <f t="shared" si="31"/>
        <v>0</v>
      </c>
      <c r="BX55" s="2">
        <f t="shared" si="32"/>
        <v>0</v>
      </c>
      <c r="BY55" s="2">
        <f t="shared" si="33"/>
        <v>0</v>
      </c>
      <c r="BZ55" s="2">
        <f t="shared" si="34"/>
        <v>0</v>
      </c>
      <c r="CA55" s="2">
        <f t="shared" si="35"/>
        <v>0</v>
      </c>
      <c r="CB55" s="2">
        <f t="shared" si="36"/>
        <v>0</v>
      </c>
      <c r="CC55" s="2">
        <f t="shared" si="37"/>
        <v>0</v>
      </c>
      <c r="CD55" s="2">
        <f t="shared" si="38"/>
        <v>0</v>
      </c>
      <c r="CE55" s="131"/>
      <c r="CG55" s="55">
        <v>0</v>
      </c>
      <c r="CH55" s="54">
        <v>0</v>
      </c>
      <c r="CI55" s="54">
        <v>0</v>
      </c>
      <c r="CJ55" s="54">
        <v>0</v>
      </c>
      <c r="CK55" s="54">
        <v>0</v>
      </c>
      <c r="CL55" s="55">
        <v>1</v>
      </c>
      <c r="CM55" s="55">
        <v>0</v>
      </c>
      <c r="CN55" s="55">
        <v>0</v>
      </c>
      <c r="CO55" s="54">
        <v>0</v>
      </c>
      <c r="CP55" s="54">
        <v>0</v>
      </c>
      <c r="CQ55" s="126">
        <f t="shared" si="26"/>
        <v>1</v>
      </c>
    </row>
    <row r="56" spans="1:95" s="47" customFormat="1" ht="21.75" customHeight="1" x14ac:dyDescent="0.25">
      <c r="A56" s="45">
        <v>38</v>
      </c>
      <c r="B56" s="11" t="s">
        <v>106</v>
      </c>
      <c r="C56" s="8" t="s">
        <v>107</v>
      </c>
      <c r="D56" s="85">
        <v>45283</v>
      </c>
      <c r="E56" s="65">
        <v>0.36180555555555555</v>
      </c>
      <c r="F56" s="65">
        <v>0.9458333333333333</v>
      </c>
      <c r="G56" s="65">
        <v>0.35347222222222219</v>
      </c>
      <c r="H56" s="65">
        <v>0.96458333333333324</v>
      </c>
      <c r="I56" s="91" t="s">
        <v>15</v>
      </c>
      <c r="J56" s="91" t="s">
        <v>15</v>
      </c>
      <c r="K56" s="65">
        <v>0.35625000000000001</v>
      </c>
      <c r="L56" s="65">
        <v>0.95000000000000007</v>
      </c>
      <c r="M56" s="65">
        <v>0.35833333333333334</v>
      </c>
      <c r="N56" s="65">
        <v>0.95000000000000007</v>
      </c>
      <c r="O56" s="65">
        <v>0.3576388888888889</v>
      </c>
      <c r="P56" s="65">
        <v>0.94791666666666663</v>
      </c>
      <c r="Q56" s="65">
        <v>0.3576388888888889</v>
      </c>
      <c r="R56" s="69">
        <v>1</v>
      </c>
      <c r="S56" s="65">
        <v>0.41805555555555557</v>
      </c>
      <c r="T56" s="65">
        <v>0.99097222222222225</v>
      </c>
      <c r="U56" s="65">
        <v>0.35972222222222222</v>
      </c>
      <c r="V56" s="65">
        <v>0.97569444444444453</v>
      </c>
      <c r="W56" s="98">
        <v>0.58194444444444449</v>
      </c>
      <c r="X56" s="98">
        <v>0.96527777777777779</v>
      </c>
      <c r="Y56" s="65">
        <v>0.35902777777777778</v>
      </c>
      <c r="Z56" s="65">
        <v>0.94374999999999998</v>
      </c>
      <c r="AA56" s="65">
        <v>0.35416666666666669</v>
      </c>
      <c r="AB56" s="65">
        <v>0.92847222222222225</v>
      </c>
      <c r="AC56" s="65">
        <v>0.35625000000000001</v>
      </c>
      <c r="AD56" s="65">
        <v>0.9194444444444444</v>
      </c>
      <c r="AE56" s="65">
        <v>0.3430555555555555</v>
      </c>
      <c r="AF56" s="65">
        <v>0.93888888888888899</v>
      </c>
      <c r="AG56" s="65">
        <v>0.45069444444444445</v>
      </c>
      <c r="AH56" s="65">
        <v>0.96250000000000002</v>
      </c>
      <c r="AI56" s="114"/>
      <c r="AJ56" s="45">
        <v>38</v>
      </c>
      <c r="AK56" s="134">
        <v>46219.349664351852</v>
      </c>
      <c r="AL56" s="134">
        <v>46219.964699074073</v>
      </c>
      <c r="AM56" s="158" t="s">
        <v>15</v>
      </c>
      <c r="AN56" s="158" t="s">
        <v>15</v>
      </c>
      <c r="AO56" s="134">
        <v>46221.35392361111</v>
      </c>
      <c r="AP56" s="134">
        <v>46221.940879629627</v>
      </c>
      <c r="AQ56" s="134">
        <v>46222.352511574078</v>
      </c>
      <c r="AR56" s="134">
        <v>46222.937638888892</v>
      </c>
      <c r="AS56" s="134">
        <v>46223.353425925925</v>
      </c>
      <c r="AT56" s="134">
        <v>46223.956782407404</v>
      </c>
      <c r="AU56" s="134">
        <v>46224.355613425927</v>
      </c>
      <c r="AV56" s="134">
        <v>46224.962777777779</v>
      </c>
      <c r="AW56" s="134">
        <v>46225.351747685185</v>
      </c>
      <c r="AX56" s="134">
        <v>46225.962395833332</v>
      </c>
      <c r="AY56" s="134">
        <v>46226.355381944442</v>
      </c>
      <c r="AZ56" s="134">
        <v>46226.922754629632</v>
      </c>
      <c r="BA56" s="134">
        <v>46227.570960648147</v>
      </c>
      <c r="BB56" s="136">
        <v>1</v>
      </c>
      <c r="BC56" s="134">
        <v>46228.355011574073</v>
      </c>
      <c r="BD56" s="134">
        <v>46228.958738425928</v>
      </c>
      <c r="BE56" s="134">
        <v>46229.326481481483</v>
      </c>
      <c r="BF56" s="134">
        <v>46229.898229166669</v>
      </c>
      <c r="BG56" s="134">
        <v>46230.330208333333</v>
      </c>
      <c r="BH56" s="134">
        <v>46230.939664351848</v>
      </c>
      <c r="BI56" s="134">
        <v>46231.327314814815</v>
      </c>
      <c r="BJ56" s="134">
        <v>46231.92597222222</v>
      </c>
      <c r="BK56" s="134">
        <v>46232.326365740744</v>
      </c>
      <c r="BL56" s="137">
        <v>46232.928877314815</v>
      </c>
      <c r="BM56" s="135">
        <v>46233.328553240739</v>
      </c>
      <c r="BN56" s="134">
        <v>46233.918425925927</v>
      </c>
      <c r="BO56" s="158" t="s">
        <v>15</v>
      </c>
      <c r="BP56" s="158" t="s">
        <v>15</v>
      </c>
      <c r="BQ56" s="9">
        <f t="shared" si="25"/>
        <v>31</v>
      </c>
      <c r="BR56" s="68">
        <v>2</v>
      </c>
      <c r="BS56" s="1">
        <f t="shared" si="27"/>
        <v>28</v>
      </c>
      <c r="BT56" s="2">
        <f t="shared" si="28"/>
        <v>3</v>
      </c>
      <c r="BU56" s="2">
        <f t="shared" si="29"/>
        <v>0</v>
      </c>
      <c r="BV56" s="2">
        <f t="shared" si="30"/>
        <v>0</v>
      </c>
      <c r="BW56" s="2">
        <f t="shared" si="31"/>
        <v>0</v>
      </c>
      <c r="BX56" s="2">
        <f t="shared" si="32"/>
        <v>0</v>
      </c>
      <c r="BY56" s="2">
        <f t="shared" si="33"/>
        <v>0</v>
      </c>
      <c r="BZ56" s="2">
        <f t="shared" si="34"/>
        <v>0</v>
      </c>
      <c r="CA56" s="2">
        <f t="shared" si="35"/>
        <v>0</v>
      </c>
      <c r="CB56" s="2">
        <f t="shared" si="36"/>
        <v>0</v>
      </c>
      <c r="CC56" s="2">
        <f t="shared" si="37"/>
        <v>0</v>
      </c>
      <c r="CD56" s="2">
        <f t="shared" si="38"/>
        <v>0</v>
      </c>
      <c r="CE56" s="131"/>
      <c r="CG56" s="122">
        <v>0</v>
      </c>
      <c r="CH56" s="123">
        <v>0</v>
      </c>
      <c r="CI56" s="123">
        <v>0</v>
      </c>
      <c r="CJ56" s="123">
        <v>0</v>
      </c>
      <c r="CK56" s="123">
        <v>0</v>
      </c>
      <c r="CL56" s="122">
        <v>3</v>
      </c>
      <c r="CM56" s="122">
        <v>0</v>
      </c>
      <c r="CN56" s="122">
        <v>0</v>
      </c>
      <c r="CO56" s="123">
        <v>0</v>
      </c>
      <c r="CP56" s="123">
        <v>0</v>
      </c>
      <c r="CQ56" s="125">
        <f t="shared" si="26"/>
        <v>3</v>
      </c>
    </row>
    <row r="57" spans="1:95" s="47" customFormat="1" ht="21.75" customHeight="1" x14ac:dyDescent="0.25">
      <c r="A57" s="45">
        <v>39</v>
      </c>
      <c r="B57" s="11" t="s">
        <v>109</v>
      </c>
      <c r="C57" s="8" t="s">
        <v>110</v>
      </c>
      <c r="D57" s="85">
        <v>44990</v>
      </c>
      <c r="E57" s="65">
        <v>0.35972222222222222</v>
      </c>
      <c r="F57" s="65">
        <v>0.97361111111111109</v>
      </c>
      <c r="G57" s="65">
        <v>0.35486111111111113</v>
      </c>
      <c r="H57" s="65">
        <v>0.9916666666666667</v>
      </c>
      <c r="I57" s="91" t="s">
        <v>15</v>
      </c>
      <c r="J57" s="91" t="s">
        <v>15</v>
      </c>
      <c r="K57" s="65">
        <v>0.35416666666666669</v>
      </c>
      <c r="L57" s="65">
        <v>0.94861111111111107</v>
      </c>
      <c r="M57" s="65">
        <v>0.35555555555555557</v>
      </c>
      <c r="N57" s="65">
        <v>0.95833333333333337</v>
      </c>
      <c r="O57" s="65">
        <v>0.35416666666666669</v>
      </c>
      <c r="P57" s="65">
        <v>0.9604166666666667</v>
      </c>
      <c r="Q57" s="65">
        <v>0.35625000000000001</v>
      </c>
      <c r="R57" s="69">
        <v>1</v>
      </c>
      <c r="S57" s="65">
        <v>0.43124999999999997</v>
      </c>
      <c r="T57" s="65">
        <v>0.9868055555555556</v>
      </c>
      <c r="U57" s="65">
        <v>0.35416666666666669</v>
      </c>
      <c r="V57" s="65">
        <v>0.98333333333333339</v>
      </c>
      <c r="W57" s="98">
        <v>0.58124999999999993</v>
      </c>
      <c r="X57" s="98">
        <v>0.96527777777777779</v>
      </c>
      <c r="Y57" s="65">
        <v>0.35625000000000001</v>
      </c>
      <c r="Z57" s="65">
        <v>0.94444444444444453</v>
      </c>
      <c r="AA57" s="65">
        <v>0.34930555555555554</v>
      </c>
      <c r="AB57" s="65">
        <v>0.97361111111111109</v>
      </c>
      <c r="AC57" s="65">
        <v>0.3520833333333333</v>
      </c>
      <c r="AD57" s="65">
        <v>0.93055555555555547</v>
      </c>
      <c r="AE57" s="65">
        <v>0.3520833333333333</v>
      </c>
      <c r="AF57" s="65">
        <v>0.96180555555555547</v>
      </c>
      <c r="AG57" s="65">
        <v>0.35347222222222219</v>
      </c>
      <c r="AH57" s="65">
        <v>0.97499999999999998</v>
      </c>
      <c r="AI57" s="114"/>
      <c r="AJ57" s="45">
        <v>39</v>
      </c>
      <c r="AK57" s="134">
        <v>46219.353912037041</v>
      </c>
      <c r="AL57" s="134">
        <v>46219.993773148148</v>
      </c>
      <c r="AM57" s="158" t="s">
        <v>15</v>
      </c>
      <c r="AN57" s="158" t="s">
        <v>15</v>
      </c>
      <c r="AO57" s="134">
        <v>46221.353587962964</v>
      </c>
      <c r="AP57" s="134">
        <v>46221.967199074075</v>
      </c>
      <c r="AQ57" s="134">
        <v>46222.351365740738</v>
      </c>
      <c r="AR57" s="134">
        <v>46222.941250000003</v>
      </c>
      <c r="AS57" s="134">
        <v>46223.352476851855</v>
      </c>
      <c r="AT57" s="134">
        <v>46223.957592592589</v>
      </c>
      <c r="AU57" s="134">
        <v>46224.354178240741</v>
      </c>
      <c r="AV57" s="134">
        <v>46224.997187499997</v>
      </c>
      <c r="AW57" s="134">
        <v>46225.3516087963</v>
      </c>
      <c r="AX57" s="134">
        <v>46225.986284722225</v>
      </c>
      <c r="AY57" s="134">
        <v>46226.331701388888</v>
      </c>
      <c r="AZ57" s="134">
        <v>46226.96162037037</v>
      </c>
      <c r="BA57" s="134">
        <v>46227.581631944442</v>
      </c>
      <c r="BB57" s="134">
        <v>46227.925439814811</v>
      </c>
      <c r="BC57" s="134">
        <v>46228.35328703704</v>
      </c>
      <c r="BD57" s="134">
        <v>46228.958935185183</v>
      </c>
      <c r="BE57" s="134">
        <v>46229.35328703704</v>
      </c>
      <c r="BF57" s="134">
        <v>46229.944618055553</v>
      </c>
      <c r="BG57" s="134">
        <v>46230.353564814817</v>
      </c>
      <c r="BH57" s="134">
        <v>46230.982118055559</v>
      </c>
      <c r="BI57" s="134">
        <v>46231.353993055556</v>
      </c>
      <c r="BJ57" s="134">
        <v>46231.958368055559</v>
      </c>
      <c r="BK57" s="134">
        <v>46232.353472222225</v>
      </c>
      <c r="BL57" s="137">
        <v>46232.972685185188</v>
      </c>
      <c r="BM57" s="135">
        <v>46233.353958333333</v>
      </c>
      <c r="BN57" s="134">
        <v>46233.969710648147</v>
      </c>
      <c r="BO57" s="158" t="s">
        <v>15</v>
      </c>
      <c r="BP57" s="158" t="s">
        <v>15</v>
      </c>
      <c r="BQ57" s="9">
        <f t="shared" si="25"/>
        <v>31</v>
      </c>
      <c r="BR57" s="68">
        <v>2</v>
      </c>
      <c r="BS57" s="1">
        <f t="shared" si="27"/>
        <v>28</v>
      </c>
      <c r="BT57" s="2">
        <f t="shared" si="28"/>
        <v>3</v>
      </c>
      <c r="BU57" s="2">
        <f t="shared" si="29"/>
        <v>0</v>
      </c>
      <c r="BV57" s="2">
        <f t="shared" si="30"/>
        <v>0</v>
      </c>
      <c r="BW57" s="2">
        <f t="shared" si="31"/>
        <v>0</v>
      </c>
      <c r="BX57" s="2">
        <f t="shared" si="32"/>
        <v>0</v>
      </c>
      <c r="BY57" s="2">
        <f t="shared" si="33"/>
        <v>0</v>
      </c>
      <c r="BZ57" s="2">
        <f t="shared" si="34"/>
        <v>0</v>
      </c>
      <c r="CA57" s="2">
        <f t="shared" si="35"/>
        <v>0</v>
      </c>
      <c r="CB57" s="2">
        <f t="shared" si="36"/>
        <v>0</v>
      </c>
      <c r="CC57" s="2">
        <f t="shared" si="37"/>
        <v>0</v>
      </c>
      <c r="CD57" s="2">
        <f t="shared" si="38"/>
        <v>0</v>
      </c>
      <c r="CE57" s="131"/>
      <c r="CG57" s="55">
        <v>0</v>
      </c>
      <c r="CH57" s="54">
        <v>0</v>
      </c>
      <c r="CI57" s="54">
        <v>0</v>
      </c>
      <c r="CJ57" s="54">
        <v>0</v>
      </c>
      <c r="CK57" s="54">
        <v>0</v>
      </c>
      <c r="CL57" s="55">
        <v>1</v>
      </c>
      <c r="CM57" s="55">
        <v>0</v>
      </c>
      <c r="CN57" s="55">
        <v>2</v>
      </c>
      <c r="CO57" s="54">
        <v>0</v>
      </c>
      <c r="CP57" s="54">
        <v>0</v>
      </c>
      <c r="CQ57" s="126">
        <f t="shared" si="26"/>
        <v>3</v>
      </c>
    </row>
    <row r="58" spans="1:95" s="47" customFormat="1" ht="21.75" customHeight="1" x14ac:dyDescent="0.25">
      <c r="A58" s="45">
        <v>40</v>
      </c>
      <c r="B58" s="11" t="s">
        <v>112</v>
      </c>
      <c r="C58" s="8" t="s">
        <v>178</v>
      </c>
      <c r="D58" s="85">
        <v>45243</v>
      </c>
      <c r="E58" s="65">
        <v>0.35347222222222219</v>
      </c>
      <c r="F58" s="65">
        <v>0.95833333333333337</v>
      </c>
      <c r="G58" s="65">
        <v>0.35416666666666669</v>
      </c>
      <c r="H58" s="65">
        <v>0.98749999999999993</v>
      </c>
      <c r="I58" s="98">
        <v>0.58263888888888882</v>
      </c>
      <c r="J58" s="98">
        <v>0.91736111111111107</v>
      </c>
      <c r="K58" s="65">
        <v>0.32708333333333334</v>
      </c>
      <c r="L58" s="65">
        <v>0.91875000000000007</v>
      </c>
      <c r="M58" s="65">
        <v>0.94097222222222221</v>
      </c>
      <c r="N58" s="65">
        <v>0.94097222222222221</v>
      </c>
      <c r="O58" s="65">
        <v>0.33680555555555558</v>
      </c>
      <c r="P58" s="65">
        <v>0.94791666666666663</v>
      </c>
      <c r="Q58" s="65">
        <v>0.33124999999999999</v>
      </c>
      <c r="R58" s="69">
        <v>1</v>
      </c>
      <c r="S58" s="65">
        <v>0.35347222222222219</v>
      </c>
      <c r="T58" s="65">
        <v>0.94513888888888886</v>
      </c>
      <c r="U58" s="65">
        <v>0.97499999999999998</v>
      </c>
      <c r="V58" s="69">
        <v>1</v>
      </c>
      <c r="W58" s="91" t="s">
        <v>15</v>
      </c>
      <c r="X58" s="91" t="s">
        <v>15</v>
      </c>
      <c r="Y58" s="65">
        <v>0.3520833333333333</v>
      </c>
      <c r="Z58" s="69">
        <v>1</v>
      </c>
      <c r="AA58" s="65">
        <v>0.34652777777777777</v>
      </c>
      <c r="AB58" s="65">
        <v>0.94097222222222221</v>
      </c>
      <c r="AC58" s="65">
        <v>0.34166666666666662</v>
      </c>
      <c r="AD58" s="65">
        <v>0.93263888888888891</v>
      </c>
      <c r="AE58" s="65">
        <v>0.35486111111111113</v>
      </c>
      <c r="AF58" s="65">
        <v>0.94305555555555554</v>
      </c>
      <c r="AG58" s="65">
        <v>0.35416666666666669</v>
      </c>
      <c r="AH58" s="69">
        <v>1</v>
      </c>
      <c r="AI58" s="114"/>
      <c r="AJ58" s="45">
        <v>40</v>
      </c>
      <c r="AK58" s="134">
        <v>46219.353252314817</v>
      </c>
      <c r="AL58" s="134">
        <v>46219.982499999998</v>
      </c>
      <c r="AM58" s="134">
        <v>46220.580266203702</v>
      </c>
      <c r="AN58" s="134">
        <v>46220.905370370368</v>
      </c>
      <c r="AO58" s="134">
        <v>46221.357037037036</v>
      </c>
      <c r="AP58" s="134">
        <v>1</v>
      </c>
      <c r="AQ58" s="134">
        <v>46222.351631944446</v>
      </c>
      <c r="AR58" s="134">
        <v>46222.942546296297</v>
      </c>
      <c r="AS58" s="134">
        <v>46223.351400462961</v>
      </c>
      <c r="AT58" s="134">
        <v>1</v>
      </c>
      <c r="AU58" s="134">
        <v>46224.349444444444</v>
      </c>
      <c r="AV58" s="134">
        <v>46224.961678240739</v>
      </c>
      <c r="AW58" s="134">
        <v>46225.349675925929</v>
      </c>
      <c r="AX58" s="134">
        <v>46225.968009259261</v>
      </c>
      <c r="AY58" s="134">
        <v>46226.340046296296</v>
      </c>
      <c r="AZ58" s="134">
        <v>46226.957546296297</v>
      </c>
      <c r="BA58" s="158" t="s">
        <v>15</v>
      </c>
      <c r="BB58" s="158" t="s">
        <v>15</v>
      </c>
      <c r="BC58" s="134">
        <v>46228.351967592593</v>
      </c>
      <c r="BD58" s="134">
        <v>1</v>
      </c>
      <c r="BE58" s="134">
        <v>46229.35193287037</v>
      </c>
      <c r="BF58" s="134">
        <v>46229.943009259259</v>
      </c>
      <c r="BG58" s="134">
        <v>46230.349074074074</v>
      </c>
      <c r="BH58" s="134">
        <v>46230.981168981481</v>
      </c>
      <c r="BI58" s="134">
        <v>46231.351759259262</v>
      </c>
      <c r="BJ58" s="134">
        <v>46231.945833333331</v>
      </c>
      <c r="BK58" s="134">
        <v>46232.352766203701</v>
      </c>
      <c r="BL58" s="137">
        <v>46232.962361111109</v>
      </c>
      <c r="BM58" s="135">
        <v>46233.353576388887</v>
      </c>
      <c r="BN58" s="136">
        <v>1</v>
      </c>
      <c r="BO58" s="134">
        <v>46234.582430555558</v>
      </c>
      <c r="BP58" s="137">
        <v>1</v>
      </c>
      <c r="BQ58" s="9">
        <f t="shared" si="25"/>
        <v>31</v>
      </c>
      <c r="BR58" s="68">
        <v>3</v>
      </c>
      <c r="BS58" s="1">
        <f t="shared" si="27"/>
        <v>29</v>
      </c>
      <c r="BT58" s="2">
        <f t="shared" si="28"/>
        <v>2</v>
      </c>
      <c r="BU58" s="2">
        <f t="shared" si="29"/>
        <v>0</v>
      </c>
      <c r="BV58" s="2">
        <f t="shared" si="30"/>
        <v>0</v>
      </c>
      <c r="BW58" s="2">
        <f t="shared" si="31"/>
        <v>0</v>
      </c>
      <c r="BX58" s="2">
        <f t="shared" si="32"/>
        <v>0</v>
      </c>
      <c r="BY58" s="2">
        <f t="shared" si="33"/>
        <v>0</v>
      </c>
      <c r="BZ58" s="2">
        <f t="shared" si="34"/>
        <v>0</v>
      </c>
      <c r="CA58" s="2">
        <f t="shared" si="35"/>
        <v>0</v>
      </c>
      <c r="CB58" s="2">
        <f t="shared" si="36"/>
        <v>0</v>
      </c>
      <c r="CC58" s="2">
        <f t="shared" si="37"/>
        <v>0</v>
      </c>
      <c r="CD58" s="2">
        <f t="shared" si="38"/>
        <v>0</v>
      </c>
      <c r="CE58" s="131"/>
      <c r="CG58" s="122">
        <v>0</v>
      </c>
      <c r="CH58" s="123">
        <v>0</v>
      </c>
      <c r="CI58" s="123">
        <v>0</v>
      </c>
      <c r="CJ58" s="123">
        <v>0</v>
      </c>
      <c r="CK58" s="123">
        <v>0</v>
      </c>
      <c r="CL58" s="123">
        <v>0</v>
      </c>
      <c r="CM58" s="123">
        <v>0</v>
      </c>
      <c r="CN58" s="123">
        <v>0</v>
      </c>
      <c r="CO58" s="123">
        <v>0</v>
      </c>
      <c r="CP58" s="123">
        <v>0</v>
      </c>
      <c r="CQ58" s="125">
        <f t="shared" si="26"/>
        <v>0</v>
      </c>
    </row>
    <row r="59" spans="1:95" s="47" customFormat="1" ht="21.75" customHeight="1" x14ac:dyDescent="0.25">
      <c r="A59" s="45">
        <v>41</v>
      </c>
      <c r="B59" s="11" t="s">
        <v>114</v>
      </c>
      <c r="C59" s="8" t="s">
        <v>115</v>
      </c>
      <c r="D59" s="85">
        <v>45330</v>
      </c>
      <c r="E59" s="161" t="s">
        <v>18</v>
      </c>
      <c r="F59" s="161" t="s">
        <v>18</v>
      </c>
      <c r="G59" s="161" t="s">
        <v>18</v>
      </c>
      <c r="H59" s="161" t="s">
        <v>18</v>
      </c>
      <c r="I59" s="161" t="s">
        <v>18</v>
      </c>
      <c r="J59" s="161" t="s">
        <v>18</v>
      </c>
      <c r="K59" s="161" t="s">
        <v>18</v>
      </c>
      <c r="L59" s="161" t="s">
        <v>18</v>
      </c>
      <c r="M59" s="161" t="s">
        <v>18</v>
      </c>
      <c r="N59" s="161" t="s">
        <v>18</v>
      </c>
      <c r="O59" s="161" t="s">
        <v>18</v>
      </c>
      <c r="P59" s="161" t="s">
        <v>18</v>
      </c>
      <c r="Q59" s="161" t="s">
        <v>18</v>
      </c>
      <c r="R59" s="161" t="s">
        <v>18</v>
      </c>
      <c r="S59" s="161" t="s">
        <v>18</v>
      </c>
      <c r="T59" s="161" t="s">
        <v>18</v>
      </c>
      <c r="U59" s="161" t="s">
        <v>18</v>
      </c>
      <c r="V59" s="161" t="s">
        <v>18</v>
      </c>
      <c r="W59" s="161" t="s">
        <v>18</v>
      </c>
      <c r="X59" s="161" t="s">
        <v>18</v>
      </c>
      <c r="Y59" s="161" t="s">
        <v>18</v>
      </c>
      <c r="Z59" s="161" t="s">
        <v>18</v>
      </c>
      <c r="AA59" s="161" t="s">
        <v>18</v>
      </c>
      <c r="AB59" s="161" t="s">
        <v>18</v>
      </c>
      <c r="AC59" s="161" t="s">
        <v>18</v>
      </c>
      <c r="AD59" s="161" t="s">
        <v>18</v>
      </c>
      <c r="AE59" s="161" t="s">
        <v>18</v>
      </c>
      <c r="AF59" s="161" t="s">
        <v>18</v>
      </c>
      <c r="AG59" s="161" t="s">
        <v>18</v>
      </c>
      <c r="AH59" s="161" t="s">
        <v>18</v>
      </c>
      <c r="AI59" s="121"/>
      <c r="AJ59" s="45">
        <v>41</v>
      </c>
      <c r="AK59" s="161" t="s">
        <v>18</v>
      </c>
      <c r="AL59" s="161" t="s">
        <v>18</v>
      </c>
      <c r="AM59" s="161" t="s">
        <v>18</v>
      </c>
      <c r="AN59" s="161" t="s">
        <v>18</v>
      </c>
      <c r="AO59" s="161" t="s">
        <v>18</v>
      </c>
      <c r="AP59" s="161" t="s">
        <v>18</v>
      </c>
      <c r="AQ59" s="161" t="s">
        <v>18</v>
      </c>
      <c r="AR59" s="161" t="s">
        <v>18</v>
      </c>
      <c r="AS59" s="134">
        <v>46223.32917824074</v>
      </c>
      <c r="AT59" s="134">
        <v>46223.957048611112</v>
      </c>
      <c r="AU59" s="134">
        <v>46224.338935185187</v>
      </c>
      <c r="AV59" s="134">
        <v>46224.953090277777</v>
      </c>
      <c r="AW59" s="134">
        <v>46225.333877314813</v>
      </c>
      <c r="AX59" s="134">
        <v>46225.954826388886</v>
      </c>
      <c r="AY59" s="134">
        <v>46226.350798611114</v>
      </c>
      <c r="AZ59" s="134">
        <v>46226.974942129629</v>
      </c>
      <c r="BA59" s="134">
        <v>46227.570810185185</v>
      </c>
      <c r="BB59" s="134">
        <v>46227.959548611114</v>
      </c>
      <c r="BC59" s="134">
        <v>46228.331493055557</v>
      </c>
      <c r="BD59" s="134">
        <v>46228.968333333331</v>
      </c>
      <c r="BE59" s="134">
        <v>46229.334467592591</v>
      </c>
      <c r="BF59" s="134">
        <v>46229.956296296295</v>
      </c>
      <c r="BG59" s="134">
        <v>46230.327569444446</v>
      </c>
      <c r="BH59" s="134">
        <v>46230.953668981485</v>
      </c>
      <c r="BI59" s="134">
        <v>46231.328634259262</v>
      </c>
      <c r="BJ59" s="134">
        <v>46231.960289351853</v>
      </c>
      <c r="BK59" s="134">
        <v>46232.325520833336</v>
      </c>
      <c r="BL59" s="137">
        <v>46232.96303240741</v>
      </c>
      <c r="BM59" s="135">
        <v>46233.322534722225</v>
      </c>
      <c r="BN59" s="134">
        <v>46233.978680555556</v>
      </c>
      <c r="BO59" s="158" t="s">
        <v>15</v>
      </c>
      <c r="BP59" s="158" t="s">
        <v>15</v>
      </c>
      <c r="BQ59" s="9">
        <f>BS59+BT59+BV59+CA59+BY59+BZ59+CD59</f>
        <v>12</v>
      </c>
      <c r="BR59" s="68">
        <v>1</v>
      </c>
      <c r="BS59" s="1">
        <f t="shared" si="27"/>
        <v>11</v>
      </c>
      <c r="BT59" s="2">
        <f t="shared" si="28"/>
        <v>1</v>
      </c>
      <c r="BU59" s="2">
        <f t="shared" si="29"/>
        <v>0</v>
      </c>
      <c r="BV59" s="2">
        <f t="shared" si="30"/>
        <v>0</v>
      </c>
      <c r="BW59" s="2">
        <f t="shared" si="31"/>
        <v>19</v>
      </c>
      <c r="BX59" s="2">
        <f t="shared" si="32"/>
        <v>0</v>
      </c>
      <c r="BY59" s="2">
        <f t="shared" si="33"/>
        <v>0</v>
      </c>
      <c r="BZ59" s="2">
        <f t="shared" si="34"/>
        <v>0</v>
      </c>
      <c r="CA59" s="2">
        <f t="shared" si="35"/>
        <v>0</v>
      </c>
      <c r="CB59" s="2">
        <f t="shared" si="36"/>
        <v>0</v>
      </c>
      <c r="CC59" s="2">
        <f t="shared" si="37"/>
        <v>0</v>
      </c>
      <c r="CD59" s="2">
        <f t="shared" si="38"/>
        <v>0</v>
      </c>
      <c r="CE59" s="131"/>
      <c r="CG59" s="122">
        <v>0</v>
      </c>
      <c r="CH59" s="123">
        <v>0</v>
      </c>
      <c r="CI59" s="123">
        <v>0</v>
      </c>
      <c r="CJ59" s="123">
        <v>0</v>
      </c>
      <c r="CK59" s="123">
        <v>0</v>
      </c>
      <c r="CL59" s="123">
        <v>0</v>
      </c>
      <c r="CM59" s="123">
        <v>0</v>
      </c>
      <c r="CN59" s="123">
        <v>0</v>
      </c>
      <c r="CO59" s="123">
        <v>0</v>
      </c>
      <c r="CP59" s="123">
        <v>0</v>
      </c>
      <c r="CQ59" s="125">
        <f t="shared" ref="CQ59" si="40">SUM(CG59:CP59)</f>
        <v>0</v>
      </c>
    </row>
    <row r="60" spans="1:95" s="47" customFormat="1" ht="21.75" customHeight="1" x14ac:dyDescent="0.25">
      <c r="A60" s="45">
        <v>42</v>
      </c>
      <c r="B60" s="11" t="s">
        <v>113</v>
      </c>
      <c r="C60" s="8" t="s">
        <v>181</v>
      </c>
      <c r="E60" s="65">
        <v>0.35416666666666669</v>
      </c>
      <c r="F60" s="65">
        <v>0.94236111111111109</v>
      </c>
      <c r="G60" s="65">
        <v>0.35416666666666669</v>
      </c>
      <c r="H60" s="65">
        <v>0.96319444444444446</v>
      </c>
      <c r="I60" s="91" t="s">
        <v>15</v>
      </c>
      <c r="J60" s="91" t="s">
        <v>15</v>
      </c>
      <c r="K60" s="65">
        <v>0.35416666666666669</v>
      </c>
      <c r="L60" s="65">
        <v>0.96180555555555547</v>
      </c>
      <c r="M60" s="65">
        <v>0.35416666666666669</v>
      </c>
      <c r="N60" s="65">
        <v>0.94374999999999998</v>
      </c>
      <c r="O60" s="65">
        <v>0.35486111111111113</v>
      </c>
      <c r="P60" s="65">
        <v>0.94374999999999998</v>
      </c>
      <c r="Q60" s="65">
        <v>0.35486111111111113</v>
      </c>
      <c r="R60" s="65">
        <v>0.94305555555555554</v>
      </c>
      <c r="S60" s="65">
        <v>0.35486111111111113</v>
      </c>
      <c r="T60" s="65">
        <v>0.94374999999999998</v>
      </c>
      <c r="U60" s="65">
        <v>0.35347222222222219</v>
      </c>
      <c r="V60" s="65">
        <v>0.96875</v>
      </c>
      <c r="W60" s="98">
        <v>0.57986111111111105</v>
      </c>
      <c r="X60" s="98">
        <v>0.94861111111111107</v>
      </c>
      <c r="Y60" s="65">
        <v>0.35347222222222219</v>
      </c>
      <c r="Z60" s="65">
        <v>0.95833333333333337</v>
      </c>
      <c r="AA60" s="65">
        <v>0.35000000000000003</v>
      </c>
      <c r="AB60" s="65">
        <v>0.94305555555555554</v>
      </c>
      <c r="AC60" s="65">
        <v>0.35347222222222219</v>
      </c>
      <c r="AD60" s="65">
        <v>0.94374999999999998</v>
      </c>
      <c r="AE60" s="65">
        <v>0.35347222222222219</v>
      </c>
      <c r="AF60" s="65">
        <v>0.94513888888888886</v>
      </c>
      <c r="AG60" s="65">
        <v>0.35347222222222219</v>
      </c>
      <c r="AH60" s="65">
        <v>0.94374999999999998</v>
      </c>
      <c r="AI60" s="114"/>
      <c r="AJ60" s="45">
        <v>42</v>
      </c>
      <c r="AK60" s="134">
        <v>46219.353981481479</v>
      </c>
      <c r="AL60" s="134">
        <v>46219.963796296295</v>
      </c>
      <c r="AM60" s="158" t="s">
        <v>15</v>
      </c>
      <c r="AN60" s="158" t="s">
        <v>15</v>
      </c>
      <c r="AO60" s="134">
        <v>46221.35434027778</v>
      </c>
      <c r="AP60" s="134">
        <v>46221.964108796295</v>
      </c>
      <c r="AQ60" s="134">
        <v>46222.35355324074</v>
      </c>
      <c r="AR60" s="134">
        <v>46222.948506944442</v>
      </c>
      <c r="AS60" s="134">
        <v>46223.352268518516</v>
      </c>
      <c r="AT60" s="134">
        <v>46223.946238425924</v>
      </c>
      <c r="AU60" s="134">
        <v>46224.353333333333</v>
      </c>
      <c r="AV60" s="134">
        <v>46224.94703703704</v>
      </c>
      <c r="AW60" s="134">
        <v>46225.351840277777</v>
      </c>
      <c r="AX60" s="134">
        <v>46225.948344907411</v>
      </c>
      <c r="AY60" s="134">
        <v>46226.350868055553</v>
      </c>
      <c r="AZ60" s="134">
        <v>46226.962824074071</v>
      </c>
      <c r="BA60" s="134">
        <v>46227.582337962966</v>
      </c>
      <c r="BB60" s="134">
        <v>46227.948055555556</v>
      </c>
      <c r="BC60" s="134">
        <v>46228.352997685186</v>
      </c>
      <c r="BD60" s="134">
        <v>46228.966412037036</v>
      </c>
      <c r="BE60" s="134">
        <v>46229.354189814818</v>
      </c>
      <c r="BF60" s="134">
        <v>46229.945138888892</v>
      </c>
      <c r="BG60" s="134">
        <v>46230.353425925925</v>
      </c>
      <c r="BH60" s="134">
        <v>46230.986562500002</v>
      </c>
      <c r="BI60" s="134">
        <v>46231.353784722225</v>
      </c>
      <c r="BJ60" s="134">
        <v>1</v>
      </c>
      <c r="BK60" s="134">
        <v>46232.35365740741</v>
      </c>
      <c r="BL60" s="137">
        <v>46232.950486111113</v>
      </c>
      <c r="BM60" s="135">
        <v>46233.352939814817</v>
      </c>
      <c r="BN60" s="134">
        <v>46233.974398148152</v>
      </c>
      <c r="BO60" s="158" t="s">
        <v>15</v>
      </c>
      <c r="BP60" s="158" t="s">
        <v>15</v>
      </c>
      <c r="BQ60" s="9">
        <f t="shared" si="25"/>
        <v>31</v>
      </c>
      <c r="BR60" s="68">
        <v>2</v>
      </c>
      <c r="BS60" s="1">
        <f t="shared" si="27"/>
        <v>28</v>
      </c>
      <c r="BT60" s="2">
        <f t="shared" si="28"/>
        <v>3</v>
      </c>
      <c r="BU60" s="2">
        <f t="shared" si="29"/>
        <v>0</v>
      </c>
      <c r="BV60" s="2">
        <f t="shared" si="30"/>
        <v>0</v>
      </c>
      <c r="BW60" s="2">
        <f t="shared" si="31"/>
        <v>0</v>
      </c>
      <c r="BX60" s="2">
        <f t="shared" si="32"/>
        <v>0</v>
      </c>
      <c r="BY60" s="2">
        <f t="shared" si="33"/>
        <v>0</v>
      </c>
      <c r="BZ60" s="2">
        <f t="shared" si="34"/>
        <v>0</v>
      </c>
      <c r="CA60" s="2">
        <f t="shared" si="35"/>
        <v>0</v>
      </c>
      <c r="CB60" s="2">
        <f t="shared" si="36"/>
        <v>0</v>
      </c>
      <c r="CC60" s="2">
        <f t="shared" si="37"/>
        <v>0</v>
      </c>
      <c r="CD60" s="2">
        <f t="shared" si="38"/>
        <v>0</v>
      </c>
      <c r="CE60" s="131"/>
      <c r="CG60" s="55">
        <v>0</v>
      </c>
      <c r="CH60" s="54">
        <v>0</v>
      </c>
      <c r="CI60" s="54">
        <v>0</v>
      </c>
      <c r="CJ60" s="54">
        <v>0</v>
      </c>
      <c r="CK60" s="54">
        <v>0</v>
      </c>
      <c r="CL60" s="55">
        <v>-1</v>
      </c>
      <c r="CM60" s="55">
        <v>0</v>
      </c>
      <c r="CN60" s="55">
        <v>-2</v>
      </c>
      <c r="CO60" s="54">
        <v>0</v>
      </c>
      <c r="CP60" s="54">
        <v>0</v>
      </c>
      <c r="CQ60" s="126">
        <f t="shared" si="26"/>
        <v>-3</v>
      </c>
    </row>
    <row r="61" spans="1:95" s="47" customFormat="1" ht="21.75" customHeight="1" x14ac:dyDescent="0.25">
      <c r="A61" s="45">
        <v>43</v>
      </c>
      <c r="B61" s="11" t="s">
        <v>118</v>
      </c>
      <c r="C61" s="8" t="s">
        <v>119</v>
      </c>
      <c r="D61" s="85">
        <v>45371</v>
      </c>
      <c r="E61" s="65">
        <v>0.34861111111111115</v>
      </c>
      <c r="F61" s="65">
        <v>0.95000000000000007</v>
      </c>
      <c r="G61" s="65">
        <v>0.34583333333333338</v>
      </c>
      <c r="H61" s="65">
        <v>0.9604166666666667</v>
      </c>
      <c r="I61" s="91" t="s">
        <v>15</v>
      </c>
      <c r="J61" s="91" t="s">
        <v>15</v>
      </c>
      <c r="K61" s="65">
        <v>0.34652777777777777</v>
      </c>
      <c r="L61" s="65">
        <v>0.96666666666666667</v>
      </c>
      <c r="M61" s="65">
        <v>0.34861111111111115</v>
      </c>
      <c r="N61" s="65">
        <v>0.94236111111111109</v>
      </c>
      <c r="O61" s="65">
        <v>0.34861111111111115</v>
      </c>
      <c r="P61" s="65">
        <v>0.95208333333333339</v>
      </c>
      <c r="Q61" s="65">
        <v>0.34652777777777777</v>
      </c>
      <c r="R61" s="65">
        <v>0.94027777777777777</v>
      </c>
      <c r="S61" s="65">
        <v>0.34236111111111112</v>
      </c>
      <c r="T61" s="69">
        <v>1</v>
      </c>
      <c r="U61" s="65">
        <v>0.34791666666666665</v>
      </c>
      <c r="V61" s="65">
        <v>0.97291666666666676</v>
      </c>
      <c r="W61" s="98">
        <v>0.5756944444444444</v>
      </c>
      <c r="X61" s="98">
        <v>0.94374999999999998</v>
      </c>
      <c r="Y61" s="65">
        <v>0.33958333333333335</v>
      </c>
      <c r="Z61" s="65">
        <v>0.9555555555555556</v>
      </c>
      <c r="AA61" s="65">
        <v>0.33819444444444446</v>
      </c>
      <c r="AB61" s="65">
        <v>0.94444444444444453</v>
      </c>
      <c r="AC61" s="65">
        <v>0.34791666666666665</v>
      </c>
      <c r="AD61" s="65">
        <v>0.94305555555555554</v>
      </c>
      <c r="AE61" s="65">
        <v>0.34652777777777777</v>
      </c>
      <c r="AF61" s="65">
        <v>0.94791666666666663</v>
      </c>
      <c r="AG61" s="65">
        <v>0.34791666666666665</v>
      </c>
      <c r="AH61" s="65">
        <v>0.9506944444444444</v>
      </c>
      <c r="AI61" s="114"/>
      <c r="AJ61" s="45">
        <v>43</v>
      </c>
      <c r="AK61" s="134">
        <v>46219.344722222224</v>
      </c>
      <c r="AL61" s="134">
        <v>1</v>
      </c>
      <c r="AM61" s="158" t="s">
        <v>15</v>
      </c>
      <c r="AN61" s="158" t="s">
        <v>15</v>
      </c>
      <c r="AO61" s="134">
        <v>46221.350937499999</v>
      </c>
      <c r="AP61" s="134">
        <v>46221.964525462965</v>
      </c>
      <c r="AQ61" s="134">
        <v>46222.353368055556</v>
      </c>
      <c r="AR61" s="134">
        <v>46222.940243055556</v>
      </c>
      <c r="AS61" s="134">
        <v>46223.349108796298</v>
      </c>
      <c r="AT61" s="134">
        <v>46223.960243055553</v>
      </c>
      <c r="AU61" s="134">
        <v>46224.347534722219</v>
      </c>
      <c r="AV61" s="134">
        <v>46224.947777777779</v>
      </c>
      <c r="AW61" s="134">
        <v>46225.346261574072</v>
      </c>
      <c r="AX61" s="134">
        <v>46225.937708333331</v>
      </c>
      <c r="AY61" s="134">
        <v>46226.355891203704</v>
      </c>
      <c r="AZ61" s="134">
        <v>46226.962766203702</v>
      </c>
      <c r="BA61" s="134">
        <v>46227.572372685187</v>
      </c>
      <c r="BB61" s="134">
        <v>46227.940092592595</v>
      </c>
      <c r="BC61" s="134">
        <v>46228.348553240743</v>
      </c>
      <c r="BD61" s="134">
        <v>46228.962581018517</v>
      </c>
      <c r="BE61" s="134">
        <v>46229.332719907405</v>
      </c>
      <c r="BF61" s="134">
        <v>46229.941412037035</v>
      </c>
      <c r="BG61" s="134">
        <v>46230.33258101852</v>
      </c>
      <c r="BH61" s="134">
        <v>46230.954421296294</v>
      </c>
      <c r="BI61" s="134">
        <v>46231.331099537034</v>
      </c>
      <c r="BJ61" s="134">
        <v>46231.943657407406</v>
      </c>
      <c r="BK61" s="134">
        <v>46232.331736111111</v>
      </c>
      <c r="BL61" s="137">
        <v>46232.964201388888</v>
      </c>
      <c r="BM61" s="135">
        <v>46233.333981481483</v>
      </c>
      <c r="BN61" s="134">
        <v>46233.962442129632</v>
      </c>
      <c r="BO61" s="158" t="s">
        <v>15</v>
      </c>
      <c r="BP61" s="158" t="s">
        <v>15</v>
      </c>
      <c r="BQ61" s="9">
        <f t="shared" si="25"/>
        <v>31</v>
      </c>
      <c r="BR61" s="68">
        <v>2</v>
      </c>
      <c r="BS61" s="1">
        <f t="shared" si="27"/>
        <v>28</v>
      </c>
      <c r="BT61" s="2">
        <f t="shared" si="28"/>
        <v>3</v>
      </c>
      <c r="BU61" s="2">
        <f t="shared" si="29"/>
        <v>0</v>
      </c>
      <c r="BV61" s="2">
        <f t="shared" si="30"/>
        <v>0</v>
      </c>
      <c r="BW61" s="2">
        <f t="shared" si="31"/>
        <v>0</v>
      </c>
      <c r="BX61" s="2">
        <f t="shared" si="32"/>
        <v>0</v>
      </c>
      <c r="BY61" s="2">
        <f t="shared" si="33"/>
        <v>0</v>
      </c>
      <c r="BZ61" s="2">
        <f t="shared" si="34"/>
        <v>0</v>
      </c>
      <c r="CA61" s="2">
        <f t="shared" si="35"/>
        <v>0</v>
      </c>
      <c r="CB61" s="2">
        <f t="shared" si="36"/>
        <v>0</v>
      </c>
      <c r="CC61" s="2">
        <f t="shared" si="37"/>
        <v>0</v>
      </c>
      <c r="CD61" s="2">
        <f t="shared" si="38"/>
        <v>0</v>
      </c>
      <c r="CE61" s="131"/>
      <c r="CG61" s="55">
        <v>0</v>
      </c>
      <c r="CH61" s="54">
        <v>0</v>
      </c>
      <c r="CI61" s="54">
        <v>0</v>
      </c>
      <c r="CJ61" s="54">
        <v>0</v>
      </c>
      <c r="CK61" s="54">
        <v>0</v>
      </c>
      <c r="CL61" s="54">
        <v>7</v>
      </c>
      <c r="CM61" s="55">
        <v>0</v>
      </c>
      <c r="CN61" s="55">
        <v>4</v>
      </c>
      <c r="CO61" s="54">
        <v>0</v>
      </c>
      <c r="CP61" s="54">
        <v>0</v>
      </c>
      <c r="CQ61" s="126">
        <f t="shared" si="26"/>
        <v>11</v>
      </c>
    </row>
    <row r="62" spans="1:95" s="47" customFormat="1" ht="21.75" customHeight="1" x14ac:dyDescent="0.25">
      <c r="A62" s="45">
        <v>44</v>
      </c>
      <c r="B62" s="49" t="s">
        <v>193</v>
      </c>
      <c r="C62" s="179" t="s">
        <v>192</v>
      </c>
      <c r="D62" s="85">
        <v>45371</v>
      </c>
      <c r="E62" s="65">
        <v>0.34722222222222227</v>
      </c>
      <c r="F62" s="65">
        <v>0.95624999999999993</v>
      </c>
      <c r="G62" s="65">
        <v>0.34722222222222227</v>
      </c>
      <c r="H62" s="65">
        <v>0.92152777777777783</v>
      </c>
      <c r="I62" s="98">
        <v>0.56944444444444442</v>
      </c>
      <c r="J62" s="98">
        <v>0.91736111111111107</v>
      </c>
      <c r="K62" s="65">
        <v>0.35069444444444442</v>
      </c>
      <c r="L62" s="65">
        <v>0.90972222222222221</v>
      </c>
      <c r="M62" s="65">
        <v>0.34861111111111115</v>
      </c>
      <c r="N62" s="65">
        <v>0.9458333333333333</v>
      </c>
      <c r="O62" s="65">
        <v>0.3520833333333333</v>
      </c>
      <c r="P62" s="65">
        <v>0.90763888888888899</v>
      </c>
      <c r="Q62" s="65">
        <v>0.34027777777777773</v>
      </c>
      <c r="R62" s="65">
        <v>0.91249999999999998</v>
      </c>
      <c r="S62" s="65">
        <v>0.34652777777777777</v>
      </c>
      <c r="T62" s="65">
        <v>0.9472222222222223</v>
      </c>
      <c r="U62" s="65">
        <v>0.34375</v>
      </c>
      <c r="V62" s="65">
        <v>0.97361111111111109</v>
      </c>
      <c r="W62" s="91" t="s">
        <v>15</v>
      </c>
      <c r="X62" s="91" t="s">
        <v>15</v>
      </c>
      <c r="Y62" s="65">
        <v>0.3520833333333333</v>
      </c>
      <c r="Z62" s="65">
        <v>0.9291666666666667</v>
      </c>
      <c r="AA62" s="65">
        <v>0.34861111111111115</v>
      </c>
      <c r="AB62" s="65">
        <v>0.90486111111111101</v>
      </c>
      <c r="AC62" s="65">
        <v>0.34375</v>
      </c>
      <c r="AD62" s="69">
        <v>1</v>
      </c>
      <c r="AE62" s="65">
        <v>0.34236111111111112</v>
      </c>
      <c r="AF62" s="65">
        <v>0.89236111111111116</v>
      </c>
      <c r="AG62" s="65">
        <v>0.34513888888888888</v>
      </c>
      <c r="AH62" s="65">
        <v>0.89374999999999993</v>
      </c>
      <c r="AI62" s="114"/>
      <c r="AJ62" s="45">
        <v>44</v>
      </c>
      <c r="AK62" s="134">
        <v>46219.351817129631</v>
      </c>
      <c r="AL62" s="134">
        <v>46219.918449074074</v>
      </c>
      <c r="AM62" s="134">
        <v>46220.562268518515</v>
      </c>
      <c r="AN62" s="134">
        <v>46220.909120370372</v>
      </c>
      <c r="AO62" s="134">
        <v>46221.352893518517</v>
      </c>
      <c r="AP62" s="134">
        <v>46221.948472222219</v>
      </c>
      <c r="AQ62" s="134">
        <v>46222.352094907408</v>
      </c>
      <c r="AR62" s="134">
        <v>46222.933078703703</v>
      </c>
      <c r="AS62" s="134">
        <v>46223.350740740738</v>
      </c>
      <c r="AT62" s="134">
        <v>46223.953032407408</v>
      </c>
      <c r="AU62" s="134">
        <v>46224.345023148147</v>
      </c>
      <c r="AV62" s="134">
        <v>46224.964236111111</v>
      </c>
      <c r="AW62" s="134">
        <v>46225.354016203702</v>
      </c>
      <c r="AX62" s="134">
        <v>46225.913321759261</v>
      </c>
      <c r="AY62" s="134">
        <v>46226.35328703704</v>
      </c>
      <c r="AZ62" s="134">
        <v>1</v>
      </c>
      <c r="BA62" s="158" t="s">
        <v>15</v>
      </c>
      <c r="BB62" s="158" t="s">
        <v>15</v>
      </c>
      <c r="BC62" s="134">
        <v>46228.344363425924</v>
      </c>
      <c r="BD62" s="134">
        <v>46228.918379629627</v>
      </c>
      <c r="BE62" s="134">
        <v>46229.353055555555</v>
      </c>
      <c r="BF62" s="134">
        <v>46229.927002314813</v>
      </c>
      <c r="BG62" s="134">
        <v>46230.351574074077</v>
      </c>
      <c r="BH62" s="134">
        <v>46230.98678240741</v>
      </c>
      <c r="BI62" s="134">
        <v>46231.348495370374</v>
      </c>
      <c r="BJ62" s="134">
        <v>46231.918854166666</v>
      </c>
      <c r="BK62" s="134">
        <v>46232.346620370372</v>
      </c>
      <c r="BL62" s="137">
        <v>46232.944328703707</v>
      </c>
      <c r="BM62" s="135">
        <v>46233.354699074072</v>
      </c>
      <c r="BN62" s="134">
        <v>46233.931712962964</v>
      </c>
      <c r="BO62" s="134">
        <v>46234.563252314816</v>
      </c>
      <c r="BP62" s="137">
        <v>46234.897499999999</v>
      </c>
      <c r="BQ62" s="9">
        <f t="shared" si="25"/>
        <v>31</v>
      </c>
      <c r="BR62" s="68">
        <v>3</v>
      </c>
      <c r="BS62" s="1">
        <f t="shared" si="27"/>
        <v>29</v>
      </c>
      <c r="BT62" s="2">
        <f t="shared" si="28"/>
        <v>2</v>
      </c>
      <c r="BU62" s="2">
        <f t="shared" si="29"/>
        <v>0</v>
      </c>
      <c r="BV62" s="2">
        <f t="shared" si="30"/>
        <v>0</v>
      </c>
      <c r="BW62" s="2">
        <f t="shared" si="31"/>
        <v>0</v>
      </c>
      <c r="BX62" s="2">
        <f t="shared" si="32"/>
        <v>0</v>
      </c>
      <c r="BY62" s="2">
        <f t="shared" si="33"/>
        <v>0</v>
      </c>
      <c r="BZ62" s="2">
        <f t="shared" si="34"/>
        <v>0</v>
      </c>
      <c r="CA62" s="2">
        <f t="shared" si="35"/>
        <v>0</v>
      </c>
      <c r="CB62" s="2">
        <f t="shared" si="36"/>
        <v>0</v>
      </c>
      <c r="CC62" s="2">
        <f t="shared" si="37"/>
        <v>0</v>
      </c>
      <c r="CD62" s="2">
        <f t="shared" si="38"/>
        <v>0</v>
      </c>
      <c r="CE62" s="131"/>
      <c r="CG62" s="122">
        <v>0</v>
      </c>
      <c r="CH62" s="123">
        <v>0</v>
      </c>
      <c r="CI62" s="123">
        <v>0</v>
      </c>
      <c r="CJ62" s="123">
        <v>0</v>
      </c>
      <c r="CK62" s="123">
        <v>0</v>
      </c>
      <c r="CL62" s="122">
        <v>6</v>
      </c>
      <c r="CM62" s="122">
        <v>1</v>
      </c>
      <c r="CN62" s="122">
        <v>1</v>
      </c>
      <c r="CO62" s="123">
        <v>0</v>
      </c>
      <c r="CP62" s="123">
        <v>0</v>
      </c>
      <c r="CQ62" s="125">
        <f t="shared" si="26"/>
        <v>8</v>
      </c>
    </row>
    <row r="63" spans="1:95" s="47" customFormat="1" ht="21.75" customHeight="1" x14ac:dyDescent="0.25">
      <c r="A63" s="45">
        <v>45</v>
      </c>
      <c r="B63" s="11" t="s">
        <v>120</v>
      </c>
      <c r="C63" s="8" t="s">
        <v>121</v>
      </c>
      <c r="D63" s="85">
        <v>45382</v>
      </c>
      <c r="E63" s="65">
        <v>0.34791666666666665</v>
      </c>
      <c r="F63" s="65">
        <v>0.95694444444444438</v>
      </c>
      <c r="G63" s="65">
        <v>0.33124999999999999</v>
      </c>
      <c r="H63" s="65">
        <v>0.96250000000000002</v>
      </c>
      <c r="I63" s="98">
        <v>0.56111111111111112</v>
      </c>
      <c r="J63" s="98">
        <v>0.94027777777777777</v>
      </c>
      <c r="K63" s="65">
        <v>0.34375</v>
      </c>
      <c r="L63" s="65">
        <v>0.95486111111111116</v>
      </c>
      <c r="M63" s="65">
        <v>0.33819444444444446</v>
      </c>
      <c r="N63" s="65">
        <v>0.94236111111111109</v>
      </c>
      <c r="O63" s="65">
        <v>0.3347222222222222</v>
      </c>
      <c r="P63" s="65">
        <v>0.95277777777777783</v>
      </c>
      <c r="Q63" s="65">
        <v>0.34236111111111112</v>
      </c>
      <c r="R63" s="65">
        <v>0.94513888888888886</v>
      </c>
      <c r="S63" s="65">
        <v>0.34166666666666662</v>
      </c>
      <c r="T63" s="65">
        <v>0.94444444444444453</v>
      </c>
      <c r="U63" s="65">
        <v>0.3430555555555555</v>
      </c>
      <c r="V63" s="65">
        <v>0.97499999999999998</v>
      </c>
      <c r="W63" s="91" t="s">
        <v>15</v>
      </c>
      <c r="X63" s="91" t="s">
        <v>15</v>
      </c>
      <c r="Y63" s="65">
        <v>0.34583333333333338</v>
      </c>
      <c r="Z63" s="65">
        <v>0.94791666666666663</v>
      </c>
      <c r="AA63" s="65">
        <v>0.33749999999999997</v>
      </c>
      <c r="AB63" s="65">
        <v>0.94444444444444453</v>
      </c>
      <c r="AC63" s="65">
        <v>0.34583333333333338</v>
      </c>
      <c r="AD63" s="65">
        <v>0.94166666666666676</v>
      </c>
      <c r="AE63" s="65">
        <v>0.3430555555555555</v>
      </c>
      <c r="AF63" s="65">
        <v>0.95833333333333337</v>
      </c>
      <c r="AG63" s="65">
        <v>0.34652777777777777</v>
      </c>
      <c r="AH63" s="69">
        <v>1</v>
      </c>
      <c r="AI63" s="114"/>
      <c r="AJ63" s="45">
        <v>45</v>
      </c>
      <c r="AK63" s="134">
        <v>46219.337766203702</v>
      </c>
      <c r="AL63" s="134">
        <v>46219.979224537034</v>
      </c>
      <c r="AM63" s="134">
        <v>46220.575821759259</v>
      </c>
      <c r="AN63" s="134">
        <v>46220.945370370369</v>
      </c>
      <c r="AO63" s="134">
        <v>46221.346226851849</v>
      </c>
      <c r="AP63" s="134">
        <v>46221.964699074073</v>
      </c>
      <c r="AQ63" s="134">
        <v>46222.34269675926</v>
      </c>
      <c r="AR63" s="134">
        <v>46222.941192129627</v>
      </c>
      <c r="AS63" s="134">
        <v>46223.345219907409</v>
      </c>
      <c r="AT63" s="134">
        <v>46223.958460648151</v>
      </c>
      <c r="AU63" s="134">
        <v>46224.344363425924</v>
      </c>
      <c r="AV63" s="134">
        <v>46224.966898148145</v>
      </c>
      <c r="AW63" s="134">
        <v>46225.343055555553</v>
      </c>
      <c r="AX63" s="134">
        <v>46225.962719907409</v>
      </c>
      <c r="AY63" s="134">
        <v>46226.334363425929</v>
      </c>
      <c r="AZ63" s="134">
        <v>46226.961539351854</v>
      </c>
      <c r="BA63" s="158" t="s">
        <v>15</v>
      </c>
      <c r="BB63" s="158" t="s">
        <v>15</v>
      </c>
      <c r="BC63" s="134">
        <v>46228.344212962962</v>
      </c>
      <c r="BD63" s="134">
        <v>46228.959618055553</v>
      </c>
      <c r="BE63" s="134">
        <v>46229.343368055554</v>
      </c>
      <c r="BF63" s="134">
        <v>46229.942604166667</v>
      </c>
      <c r="BG63" s="134">
        <v>46230.342534722222</v>
      </c>
      <c r="BH63" s="134">
        <v>46230.989849537036</v>
      </c>
      <c r="BI63" s="134">
        <v>46231.342789351853</v>
      </c>
      <c r="BJ63" s="134">
        <v>46231.959085648145</v>
      </c>
      <c r="BK63" s="134">
        <v>46232.348923611113</v>
      </c>
      <c r="BL63" s="137">
        <v>46232.973275462966</v>
      </c>
      <c r="BM63" s="135">
        <v>46233.389120370368</v>
      </c>
      <c r="BN63" s="134">
        <v>46233.962638888886</v>
      </c>
      <c r="BO63" s="134">
        <v>46234.575486111113</v>
      </c>
      <c r="BP63" s="137">
        <v>46234.942129629628</v>
      </c>
      <c r="BQ63" s="9">
        <f t="shared" si="25"/>
        <v>31</v>
      </c>
      <c r="BR63" s="68">
        <v>3</v>
      </c>
      <c r="BS63" s="1">
        <f t="shared" si="27"/>
        <v>29</v>
      </c>
      <c r="BT63" s="2">
        <f t="shared" si="28"/>
        <v>2</v>
      </c>
      <c r="BU63" s="2">
        <f t="shared" si="29"/>
        <v>0</v>
      </c>
      <c r="BV63" s="2">
        <f t="shared" si="30"/>
        <v>0</v>
      </c>
      <c r="BW63" s="2">
        <f t="shared" si="31"/>
        <v>0</v>
      </c>
      <c r="BX63" s="2">
        <f t="shared" si="32"/>
        <v>0</v>
      </c>
      <c r="BY63" s="2">
        <f t="shared" si="33"/>
        <v>0</v>
      </c>
      <c r="BZ63" s="2">
        <f t="shared" si="34"/>
        <v>0</v>
      </c>
      <c r="CA63" s="2">
        <f t="shared" si="35"/>
        <v>0</v>
      </c>
      <c r="CB63" s="2">
        <f t="shared" si="36"/>
        <v>0</v>
      </c>
      <c r="CC63" s="2">
        <f t="shared" si="37"/>
        <v>0</v>
      </c>
      <c r="CD63" s="2">
        <f t="shared" si="38"/>
        <v>0</v>
      </c>
      <c r="CE63" s="131"/>
      <c r="CG63" s="55">
        <v>0</v>
      </c>
      <c r="CH63" s="54">
        <v>0</v>
      </c>
      <c r="CI63" s="54">
        <v>0</v>
      </c>
      <c r="CJ63" s="54">
        <v>0</v>
      </c>
      <c r="CK63" s="54">
        <v>0</v>
      </c>
      <c r="CL63" s="55">
        <v>11</v>
      </c>
      <c r="CM63" s="54">
        <v>0</v>
      </c>
      <c r="CN63" s="54">
        <v>0</v>
      </c>
      <c r="CO63" s="54">
        <v>0</v>
      </c>
      <c r="CP63" s="54">
        <v>0</v>
      </c>
      <c r="CQ63" s="126">
        <f t="shared" si="26"/>
        <v>11</v>
      </c>
    </row>
    <row r="64" spans="1:95" s="47" customFormat="1" ht="21.75" customHeight="1" x14ac:dyDescent="0.25">
      <c r="A64" s="45">
        <v>46</v>
      </c>
      <c r="B64" s="11" t="s">
        <v>124</v>
      </c>
      <c r="C64" s="8" t="s">
        <v>125</v>
      </c>
      <c r="D64" s="85">
        <v>45401</v>
      </c>
      <c r="E64" s="65">
        <v>0.34861111111111115</v>
      </c>
      <c r="F64" s="65">
        <v>0.93611111111111101</v>
      </c>
      <c r="G64" s="65">
        <v>0.3520833333333333</v>
      </c>
      <c r="H64" s="65">
        <v>0.9555555555555556</v>
      </c>
      <c r="I64" s="91" t="s">
        <v>15</v>
      </c>
      <c r="J64" s="91" t="s">
        <v>15</v>
      </c>
      <c r="K64" s="65">
        <v>0.3527777777777778</v>
      </c>
      <c r="L64" s="65">
        <v>0.95138888888888884</v>
      </c>
      <c r="M64" s="65">
        <v>0.34861111111111115</v>
      </c>
      <c r="N64" s="65">
        <v>0.92708333333333337</v>
      </c>
      <c r="O64" s="65">
        <v>0.35486111111111113</v>
      </c>
      <c r="P64" s="65">
        <v>0.92569444444444438</v>
      </c>
      <c r="Q64" s="65">
        <v>0.34791666666666665</v>
      </c>
      <c r="R64" s="65">
        <v>0.96388888888888891</v>
      </c>
      <c r="S64" s="65">
        <v>0.35138888888888892</v>
      </c>
      <c r="T64" s="65">
        <v>0.93680555555555556</v>
      </c>
      <c r="U64" s="65">
        <v>0.3527777777777778</v>
      </c>
      <c r="V64" s="65">
        <v>0.98333333333333339</v>
      </c>
      <c r="W64" s="98">
        <v>0.57916666666666672</v>
      </c>
      <c r="X64" s="98">
        <v>0.94444444444444453</v>
      </c>
      <c r="Y64" s="65">
        <v>0.35138888888888892</v>
      </c>
      <c r="Z64" s="65">
        <v>0.95000000000000007</v>
      </c>
      <c r="AA64" s="65">
        <v>0.34513888888888888</v>
      </c>
      <c r="AB64" s="65">
        <v>0.91388888888888886</v>
      </c>
      <c r="AC64" s="65">
        <v>0.34930555555555554</v>
      </c>
      <c r="AD64" s="65">
        <v>0.92291666666666661</v>
      </c>
      <c r="AE64" s="65">
        <v>0.3520833333333333</v>
      </c>
      <c r="AF64" s="65">
        <v>0.93680555555555556</v>
      </c>
      <c r="AG64" s="65">
        <v>0.34583333333333338</v>
      </c>
      <c r="AH64" s="65">
        <v>0.92152777777777783</v>
      </c>
      <c r="AI64" s="114"/>
      <c r="AJ64" s="45">
        <v>46</v>
      </c>
      <c r="AK64" s="134">
        <v>46219.350104166668</v>
      </c>
      <c r="AL64" s="134">
        <v>46219.965381944443</v>
      </c>
      <c r="AM64" s="134">
        <v>46220.58079861111</v>
      </c>
      <c r="AN64" s="134">
        <v>1</v>
      </c>
      <c r="AO64" s="134">
        <v>46221.35396990741</v>
      </c>
      <c r="AP64" s="134">
        <v>46221.970891203702</v>
      </c>
      <c r="AQ64" s="134">
        <v>46222.350277777776</v>
      </c>
      <c r="AR64" s="134">
        <v>46222.931990740741</v>
      </c>
      <c r="AS64" s="134">
        <v>46223.351446759261</v>
      </c>
      <c r="AT64" s="134">
        <v>46223.951423611114</v>
      </c>
      <c r="AU64" s="134">
        <v>46224.351504629631</v>
      </c>
      <c r="AV64" s="134">
        <v>46224.939918981479</v>
      </c>
      <c r="AW64" s="134">
        <v>46225.349351851852</v>
      </c>
      <c r="AX64" s="134">
        <v>46225.92763888889</v>
      </c>
      <c r="AY64" s="134">
        <v>46226.34814814815</v>
      </c>
      <c r="AZ64" s="134">
        <v>46226.958368055559</v>
      </c>
      <c r="BA64" s="158" t="s">
        <v>15</v>
      </c>
      <c r="BB64" s="158" t="s">
        <v>15</v>
      </c>
      <c r="BC64" s="134">
        <v>46228.35365740741</v>
      </c>
      <c r="BD64" s="134">
        <v>46228.958379629628</v>
      </c>
      <c r="BE64" s="134">
        <v>46229.349699074075</v>
      </c>
      <c r="BF64" s="134">
        <v>46229.934895833336</v>
      </c>
      <c r="BG64" s="134">
        <v>46230.349699074075</v>
      </c>
      <c r="BH64" s="134">
        <v>46230.97388888889</v>
      </c>
      <c r="BI64" s="134">
        <v>46231.347349537034</v>
      </c>
      <c r="BJ64" s="134">
        <v>46231.941400462965</v>
      </c>
      <c r="BK64" s="134">
        <v>46232.348530092589</v>
      </c>
      <c r="BL64" s="137">
        <v>46232.958356481482</v>
      </c>
      <c r="BM64" s="135">
        <v>46233.349317129629</v>
      </c>
      <c r="BN64" s="134">
        <v>46233.941446759258</v>
      </c>
      <c r="BO64" s="134">
        <v>46234.580625000002</v>
      </c>
      <c r="BP64" s="137">
        <v>46234.882789351854</v>
      </c>
      <c r="BQ64" s="9">
        <f t="shared" si="25"/>
        <v>31</v>
      </c>
      <c r="BR64" s="68">
        <v>3</v>
      </c>
      <c r="BS64" s="1">
        <f t="shared" si="27"/>
        <v>29</v>
      </c>
      <c r="BT64" s="2">
        <f t="shared" si="28"/>
        <v>2</v>
      </c>
      <c r="BU64" s="2">
        <f t="shared" si="29"/>
        <v>0</v>
      </c>
      <c r="BV64" s="2">
        <f t="shared" si="30"/>
        <v>0</v>
      </c>
      <c r="BW64" s="2">
        <f t="shared" si="31"/>
        <v>0</v>
      </c>
      <c r="BX64" s="2">
        <f t="shared" si="32"/>
        <v>0</v>
      </c>
      <c r="BY64" s="2">
        <f t="shared" si="33"/>
        <v>0</v>
      </c>
      <c r="BZ64" s="2">
        <f t="shared" si="34"/>
        <v>0</v>
      </c>
      <c r="CA64" s="2">
        <f t="shared" si="35"/>
        <v>0</v>
      </c>
      <c r="CB64" s="2">
        <f t="shared" si="36"/>
        <v>0</v>
      </c>
      <c r="CC64" s="2">
        <f t="shared" si="37"/>
        <v>0</v>
      </c>
      <c r="CD64" s="2">
        <f t="shared" si="38"/>
        <v>0</v>
      </c>
      <c r="CE64" s="131"/>
      <c r="CG64" s="55">
        <v>0</v>
      </c>
      <c r="CH64" s="54">
        <v>0</v>
      </c>
      <c r="CI64" s="54">
        <v>0</v>
      </c>
      <c r="CJ64" s="54">
        <v>0</v>
      </c>
      <c r="CK64" s="54">
        <v>0</v>
      </c>
      <c r="CL64" s="55">
        <v>2</v>
      </c>
      <c r="CM64" s="54">
        <v>0</v>
      </c>
      <c r="CN64" s="54">
        <v>0</v>
      </c>
      <c r="CO64" s="54">
        <v>0</v>
      </c>
      <c r="CP64" s="54">
        <v>0</v>
      </c>
      <c r="CQ64" s="126">
        <f t="shared" si="26"/>
        <v>2</v>
      </c>
    </row>
    <row r="65" spans="1:95" s="47" customFormat="1" ht="21.75" customHeight="1" x14ac:dyDescent="0.25">
      <c r="A65" s="45">
        <v>47</v>
      </c>
      <c r="B65" s="11" t="s">
        <v>127</v>
      </c>
      <c r="C65" s="8" t="s">
        <v>182</v>
      </c>
      <c r="D65" s="85">
        <v>45447</v>
      </c>
      <c r="E65" s="65">
        <v>0.34791666666666665</v>
      </c>
      <c r="F65" s="65">
        <v>0.91319444444444453</v>
      </c>
      <c r="G65" s="65">
        <v>0.35000000000000003</v>
      </c>
      <c r="H65" s="65">
        <v>0.92291666666666661</v>
      </c>
      <c r="I65" s="98">
        <v>0.57777777777777783</v>
      </c>
      <c r="J65" s="98">
        <v>0.87847222222222221</v>
      </c>
      <c r="K65" s="65">
        <v>0.35069444444444442</v>
      </c>
      <c r="L65" s="65">
        <v>0.93541666666666667</v>
      </c>
      <c r="M65" s="65">
        <v>0.34722222222222227</v>
      </c>
      <c r="N65" s="65">
        <v>0.89722222222222225</v>
      </c>
      <c r="O65" s="65">
        <v>0.34930555555555554</v>
      </c>
      <c r="P65" s="65">
        <v>0.89930555555555547</v>
      </c>
      <c r="Q65" s="65">
        <v>0.34791666666666665</v>
      </c>
      <c r="R65" s="65">
        <v>0.8965277777777777</v>
      </c>
      <c r="S65" s="65">
        <v>0.34930555555555554</v>
      </c>
      <c r="T65" s="65">
        <v>0.90416666666666667</v>
      </c>
      <c r="U65" s="65">
        <v>0.34791666666666665</v>
      </c>
      <c r="V65" s="65">
        <v>0.94166666666666676</v>
      </c>
      <c r="W65" s="91" t="s">
        <v>15</v>
      </c>
      <c r="X65" s="91" t="s">
        <v>15</v>
      </c>
      <c r="Y65" s="65">
        <v>0.34930555555555554</v>
      </c>
      <c r="Z65" s="65">
        <v>0.92291666666666661</v>
      </c>
      <c r="AA65" s="65">
        <v>0.34375</v>
      </c>
      <c r="AB65" s="65">
        <v>0.91180555555555554</v>
      </c>
      <c r="AC65" s="65">
        <v>0.35000000000000003</v>
      </c>
      <c r="AD65" s="65">
        <v>0.90208333333333324</v>
      </c>
      <c r="AE65" s="65">
        <v>0.35138888888888892</v>
      </c>
      <c r="AF65" s="65">
        <v>0.91249999999999998</v>
      </c>
      <c r="AG65" s="65">
        <v>0.34583333333333338</v>
      </c>
      <c r="AH65" s="65">
        <v>0.92152777777777783</v>
      </c>
      <c r="AI65" s="114"/>
      <c r="AJ65" s="45">
        <v>47</v>
      </c>
      <c r="AK65" s="134">
        <v>46219.350381944445</v>
      </c>
      <c r="AL65" s="134">
        <v>46219.946388888886</v>
      </c>
      <c r="AM65" s="134">
        <v>46220.574733796297</v>
      </c>
      <c r="AN65" s="134">
        <v>46220.892129629632</v>
      </c>
      <c r="AO65" s="134">
        <v>46221.349745370368</v>
      </c>
      <c r="AP65" s="134">
        <v>46221.926863425928</v>
      </c>
      <c r="AQ65" s="134">
        <v>46222.351793981485</v>
      </c>
      <c r="AR65" s="134">
        <v>46222.908622685187</v>
      </c>
      <c r="AS65" s="134">
        <v>46223.348402777781</v>
      </c>
      <c r="AT65" s="134">
        <v>46223.904594907406</v>
      </c>
      <c r="AU65" s="134">
        <v>46224.348032407404</v>
      </c>
      <c r="AV65" s="134">
        <v>46224.934004629627</v>
      </c>
      <c r="AW65" s="134">
        <v>46225.34952546296</v>
      </c>
      <c r="AX65" s="134">
        <v>46225.931689814817</v>
      </c>
      <c r="AY65" s="134">
        <v>46226.309837962966</v>
      </c>
      <c r="AZ65" s="134">
        <v>46226.932800925926</v>
      </c>
      <c r="BA65" s="158" t="s">
        <v>15</v>
      </c>
      <c r="BB65" s="158" t="s">
        <v>15</v>
      </c>
      <c r="BC65" s="134">
        <v>46228.343310185184</v>
      </c>
      <c r="BD65" s="134">
        <v>46228.918738425928</v>
      </c>
      <c r="BE65" s="134">
        <v>46229.352534722224</v>
      </c>
      <c r="BF65" s="134">
        <v>46229.897951388892</v>
      </c>
      <c r="BG65" s="134">
        <v>46230.348981481482</v>
      </c>
      <c r="BH65" s="134">
        <v>46230.925949074073</v>
      </c>
      <c r="BI65" s="134">
        <v>46231.351458333331</v>
      </c>
      <c r="BJ65" s="134">
        <v>46231.923680555556</v>
      </c>
      <c r="BK65" s="134">
        <v>46232.347048611111</v>
      </c>
      <c r="BL65" s="137">
        <v>46232.92114583333</v>
      </c>
      <c r="BM65" s="135">
        <v>46233.347974537035</v>
      </c>
      <c r="BN65" s="134">
        <v>46233.922951388886</v>
      </c>
      <c r="BO65" s="134">
        <v>46234.577013888891</v>
      </c>
      <c r="BP65" s="137">
        <v>46234.882719907408</v>
      </c>
      <c r="BQ65" s="9">
        <f t="shared" si="25"/>
        <v>31</v>
      </c>
      <c r="BR65" s="68">
        <v>3</v>
      </c>
      <c r="BS65" s="1">
        <f t="shared" si="27"/>
        <v>29</v>
      </c>
      <c r="BT65" s="2">
        <f t="shared" si="28"/>
        <v>2</v>
      </c>
      <c r="BU65" s="2">
        <f t="shared" si="29"/>
        <v>0</v>
      </c>
      <c r="BV65" s="2">
        <f t="shared" si="30"/>
        <v>0</v>
      </c>
      <c r="BW65" s="2">
        <f t="shared" si="31"/>
        <v>0</v>
      </c>
      <c r="BX65" s="2">
        <f t="shared" si="32"/>
        <v>0</v>
      </c>
      <c r="BY65" s="2">
        <f t="shared" si="33"/>
        <v>0</v>
      </c>
      <c r="BZ65" s="2">
        <f t="shared" si="34"/>
        <v>0</v>
      </c>
      <c r="CA65" s="2">
        <f t="shared" si="35"/>
        <v>0</v>
      </c>
      <c r="CB65" s="2">
        <f t="shared" si="36"/>
        <v>0</v>
      </c>
      <c r="CC65" s="2">
        <f t="shared" si="37"/>
        <v>0</v>
      </c>
      <c r="CD65" s="2">
        <f t="shared" si="38"/>
        <v>0</v>
      </c>
      <c r="CE65" s="131"/>
      <c r="CG65" s="122">
        <v>0</v>
      </c>
      <c r="CH65" s="123">
        <v>0</v>
      </c>
      <c r="CI65" s="123">
        <v>0</v>
      </c>
      <c r="CJ65" s="123">
        <v>0</v>
      </c>
      <c r="CK65" s="123">
        <v>0</v>
      </c>
      <c r="CL65" s="122">
        <v>1</v>
      </c>
      <c r="CM65" s="123">
        <v>0</v>
      </c>
      <c r="CN65" s="123">
        <v>0</v>
      </c>
      <c r="CO65" s="123">
        <v>0</v>
      </c>
      <c r="CP65" s="123">
        <v>0</v>
      </c>
      <c r="CQ65" s="125">
        <f t="shared" si="26"/>
        <v>1</v>
      </c>
    </row>
    <row r="66" spans="1:95" s="47" customFormat="1" ht="21.75" customHeight="1" x14ac:dyDescent="0.25">
      <c r="A66" s="45">
        <v>48</v>
      </c>
      <c r="B66" s="11" t="s">
        <v>128</v>
      </c>
      <c r="C66" s="8" t="s">
        <v>183</v>
      </c>
      <c r="D66" s="85">
        <v>45467</v>
      </c>
      <c r="E66" s="65">
        <v>0.35555555555555557</v>
      </c>
      <c r="F66" s="69">
        <v>1</v>
      </c>
      <c r="G66" s="65">
        <v>0.35625000000000001</v>
      </c>
      <c r="H66" s="65">
        <v>0.96944444444444444</v>
      </c>
      <c r="I66" s="91" t="s">
        <v>15</v>
      </c>
      <c r="J66" s="91" t="s">
        <v>15</v>
      </c>
      <c r="K66" s="65">
        <v>0.35555555555555557</v>
      </c>
      <c r="L66" s="69">
        <v>1</v>
      </c>
      <c r="M66" s="65">
        <v>0.35625000000000001</v>
      </c>
      <c r="N66" s="65">
        <v>0.95486111111111116</v>
      </c>
      <c r="O66" s="65">
        <v>0.35833333333333334</v>
      </c>
      <c r="P66" s="69">
        <v>1</v>
      </c>
      <c r="Q66" s="65">
        <v>0.35555555555555557</v>
      </c>
      <c r="R66" s="65">
        <v>0.94374999999999998</v>
      </c>
      <c r="S66" s="65">
        <v>0.35625000000000001</v>
      </c>
      <c r="T66" s="65">
        <v>0.95277777777777783</v>
      </c>
      <c r="U66" s="65">
        <v>0.35555555555555557</v>
      </c>
      <c r="V66" s="65">
        <v>0.97638888888888886</v>
      </c>
      <c r="W66" s="98">
        <v>0.5854166666666667</v>
      </c>
      <c r="X66" s="98">
        <v>0.95694444444444438</v>
      </c>
      <c r="Y66" s="65">
        <v>0.35625000000000001</v>
      </c>
      <c r="Z66" s="65">
        <v>0.35625000000000001</v>
      </c>
      <c r="AA66" s="65">
        <v>0.35138888888888892</v>
      </c>
      <c r="AB66" s="65">
        <v>0.94652777777777775</v>
      </c>
      <c r="AC66" s="65">
        <v>0.35486111111111113</v>
      </c>
      <c r="AD66" s="65">
        <v>0.95138888888888884</v>
      </c>
      <c r="AE66" s="65">
        <v>0.35486111111111113</v>
      </c>
      <c r="AF66" s="65">
        <v>0.94444444444444453</v>
      </c>
      <c r="AG66" s="65">
        <v>0.35486111111111113</v>
      </c>
      <c r="AH66" s="65">
        <v>0.94930555555555562</v>
      </c>
      <c r="AI66" s="106"/>
      <c r="AJ66" s="45">
        <v>48</v>
      </c>
      <c r="AK66" s="134">
        <v>46219.354849537034</v>
      </c>
      <c r="AL66" s="134">
        <v>1</v>
      </c>
      <c r="AM66" s="158" t="s">
        <v>15</v>
      </c>
      <c r="AN66" s="158" t="s">
        <v>15</v>
      </c>
      <c r="AO66" s="134">
        <v>46221.354201388887</v>
      </c>
      <c r="AP66" s="134">
        <v>46221.973055555558</v>
      </c>
      <c r="AQ66" s="134">
        <v>46222.354004629633</v>
      </c>
      <c r="AR66" s="134">
        <v>46222.945856481485</v>
      </c>
      <c r="AS66" s="134">
        <v>46223.355995370373</v>
      </c>
      <c r="AT66" s="134">
        <v>46223.95480324074</v>
      </c>
      <c r="AU66" s="134">
        <v>46224.356504629628</v>
      </c>
      <c r="AV66" s="134">
        <v>1</v>
      </c>
      <c r="AW66" s="134">
        <v>46225.35670138889</v>
      </c>
      <c r="AX66" s="134">
        <v>1</v>
      </c>
      <c r="AY66" s="134">
        <v>46226.374108796299</v>
      </c>
      <c r="AZ66" s="134">
        <v>46226.972222222219</v>
      </c>
      <c r="BA66" s="134">
        <v>46227.584201388891</v>
      </c>
      <c r="BB66" s="134">
        <v>46227.947141203702</v>
      </c>
      <c r="BC66" s="134">
        <v>46228.356273148151</v>
      </c>
      <c r="BD66" s="134">
        <v>46228.968124999999</v>
      </c>
      <c r="BE66" s="134">
        <v>46229.356215277781</v>
      </c>
      <c r="BF66" s="134">
        <v>46229.943229166667</v>
      </c>
      <c r="BG66" s="134">
        <v>46230.355138888888</v>
      </c>
      <c r="BH66" s="134">
        <v>1</v>
      </c>
      <c r="BI66" s="134">
        <v>46231.35428240741</v>
      </c>
      <c r="BJ66" s="134">
        <v>46231.005462962959</v>
      </c>
      <c r="BK66" s="134">
        <v>46232.354212962964</v>
      </c>
      <c r="BL66" s="137">
        <v>46232.949826388889</v>
      </c>
      <c r="BM66" s="135">
        <v>46233.354201388887</v>
      </c>
      <c r="BN66" s="134">
        <v>46233.970671296294</v>
      </c>
      <c r="BO66" s="158" t="s">
        <v>15</v>
      </c>
      <c r="BP66" s="158" t="s">
        <v>15</v>
      </c>
      <c r="BQ66" s="9">
        <f t="shared" si="25"/>
        <v>31</v>
      </c>
      <c r="BR66" s="68">
        <v>2</v>
      </c>
      <c r="BS66" s="1">
        <f t="shared" si="27"/>
        <v>28</v>
      </c>
      <c r="BT66" s="2">
        <f t="shared" si="28"/>
        <v>3</v>
      </c>
      <c r="BU66" s="2">
        <f t="shared" si="29"/>
        <v>0</v>
      </c>
      <c r="BV66" s="2">
        <f t="shared" si="30"/>
        <v>0</v>
      </c>
      <c r="BW66" s="2">
        <f t="shared" si="31"/>
        <v>0</v>
      </c>
      <c r="BX66" s="2">
        <f t="shared" si="32"/>
        <v>0</v>
      </c>
      <c r="BY66" s="2">
        <f t="shared" si="33"/>
        <v>0</v>
      </c>
      <c r="BZ66" s="2">
        <f t="shared" si="34"/>
        <v>0</v>
      </c>
      <c r="CA66" s="2">
        <f t="shared" si="35"/>
        <v>0</v>
      </c>
      <c r="CB66" s="2">
        <f t="shared" si="36"/>
        <v>0</v>
      </c>
      <c r="CC66" s="2">
        <f t="shared" si="37"/>
        <v>0</v>
      </c>
      <c r="CD66" s="2">
        <f t="shared" si="38"/>
        <v>0</v>
      </c>
      <c r="CE66" s="131"/>
      <c r="CG66" s="55">
        <v>0</v>
      </c>
      <c r="CH66" s="54">
        <v>0</v>
      </c>
      <c r="CI66" s="54">
        <v>0</v>
      </c>
      <c r="CJ66" s="54">
        <v>0</v>
      </c>
      <c r="CK66" s="54">
        <v>0</v>
      </c>
      <c r="CL66" s="55">
        <v>1</v>
      </c>
      <c r="CM66" s="54">
        <v>0</v>
      </c>
      <c r="CN66" s="54">
        <v>0</v>
      </c>
      <c r="CO66" s="54">
        <v>0</v>
      </c>
      <c r="CP66" s="54">
        <v>0</v>
      </c>
      <c r="CQ66" s="126">
        <f t="shared" si="26"/>
        <v>1</v>
      </c>
    </row>
    <row r="67" spans="1:95" s="47" customFormat="1" ht="21.75" customHeight="1" x14ac:dyDescent="0.25">
      <c r="A67" s="45">
        <v>49</v>
      </c>
      <c r="B67" s="11" t="s">
        <v>129</v>
      </c>
      <c r="C67" s="8" t="s">
        <v>130</v>
      </c>
      <c r="D67" s="85">
        <v>45491</v>
      </c>
      <c r="E67" s="65">
        <v>0.35486111111111113</v>
      </c>
      <c r="F67" s="65">
        <v>0.97430555555555554</v>
      </c>
      <c r="G67" s="65">
        <v>0.35555555555555557</v>
      </c>
      <c r="H67" s="65">
        <v>0.99236111111111114</v>
      </c>
      <c r="I67" s="91" t="s">
        <v>15</v>
      </c>
      <c r="J67" s="91" t="s">
        <v>15</v>
      </c>
      <c r="K67" s="65">
        <v>0.35486111111111113</v>
      </c>
      <c r="L67" s="65">
        <v>0.94930555555555562</v>
      </c>
      <c r="M67" s="65">
        <v>0.35486111111111113</v>
      </c>
      <c r="N67" s="65">
        <v>0.95833333333333337</v>
      </c>
      <c r="O67" s="65">
        <v>0.35555555555555557</v>
      </c>
      <c r="P67" s="69">
        <v>1</v>
      </c>
      <c r="Q67" s="65">
        <v>0.35486111111111113</v>
      </c>
      <c r="R67" s="65">
        <v>0.97361111111111109</v>
      </c>
      <c r="S67" s="65">
        <v>0.35416666666666669</v>
      </c>
      <c r="T67" s="65">
        <v>2.0833333333333333E-3</v>
      </c>
      <c r="U67" s="65">
        <v>0.35486111111111113</v>
      </c>
      <c r="V67" s="65">
        <v>0.98402777777777783</v>
      </c>
      <c r="W67" s="98">
        <v>0.58402777777777781</v>
      </c>
      <c r="X67" s="98">
        <v>0.96736111111111101</v>
      </c>
      <c r="Y67" s="65">
        <v>0.3520833333333333</v>
      </c>
      <c r="Z67" s="65">
        <v>0.95208333333333339</v>
      </c>
      <c r="AA67" s="65">
        <v>0.34930555555555554</v>
      </c>
      <c r="AB67" s="65">
        <v>0.97430555555555554</v>
      </c>
      <c r="AC67" s="65">
        <v>0.3527777777777778</v>
      </c>
      <c r="AD67" s="65">
        <v>0.93055555555555547</v>
      </c>
      <c r="AE67" s="65">
        <v>0.3527777777777778</v>
      </c>
      <c r="AF67" s="65">
        <v>0.96250000000000002</v>
      </c>
      <c r="AG67" s="65">
        <v>0.35347222222222219</v>
      </c>
      <c r="AH67" s="65">
        <v>0.97499999999999998</v>
      </c>
      <c r="AI67" s="114"/>
      <c r="AJ67" s="45">
        <v>49</v>
      </c>
      <c r="AK67" s="134">
        <v>46219.35297453704</v>
      </c>
      <c r="AL67" s="134">
        <v>46219.992592592593</v>
      </c>
      <c r="AM67" s="158" t="s">
        <v>15</v>
      </c>
      <c r="AN67" s="158" t="s">
        <v>15</v>
      </c>
      <c r="AO67" s="134">
        <v>46221.354375000003</v>
      </c>
      <c r="AP67" s="134">
        <v>46221.96738425926</v>
      </c>
      <c r="AQ67" s="134">
        <v>46222.353229166663</v>
      </c>
      <c r="AR67" s="134">
        <v>46222.94189814815</v>
      </c>
      <c r="AS67" s="134">
        <v>46223.352627314816</v>
      </c>
      <c r="AT67" s="134">
        <v>46223.957442129627</v>
      </c>
      <c r="AU67" s="134">
        <v>46224.354027777779</v>
      </c>
      <c r="AV67" s="134">
        <v>46224.963368055556</v>
      </c>
      <c r="AW67" s="134">
        <v>46225.353703703702</v>
      </c>
      <c r="AX67" s="134">
        <v>46225.987060185187</v>
      </c>
      <c r="AY67" s="134">
        <v>46226.350891203707</v>
      </c>
      <c r="AZ67" s="134">
        <v>46226.966099537036</v>
      </c>
      <c r="BA67" s="134">
        <v>46227.580914351849</v>
      </c>
      <c r="BB67" s="134">
        <v>46227.92591435185</v>
      </c>
      <c r="BC67" s="134">
        <v>46228.354270833333</v>
      </c>
      <c r="BD67" s="134">
        <v>46228.959085648145</v>
      </c>
      <c r="BE67" s="134">
        <v>46229.353333333333</v>
      </c>
      <c r="BF67" s="134">
        <v>46229.898298611108</v>
      </c>
      <c r="BG67" s="134">
        <v>46230.353877314818</v>
      </c>
      <c r="BH67" s="134">
        <v>46230.983657407407</v>
      </c>
      <c r="BI67" s="134">
        <v>46231.353692129633</v>
      </c>
      <c r="BJ67" s="134">
        <v>46231.95721064815</v>
      </c>
      <c r="BK67" s="134">
        <v>46232.353541666664</v>
      </c>
      <c r="BL67" s="137">
        <v>46232.973078703704</v>
      </c>
      <c r="BM67" s="135">
        <v>46233.356412037036</v>
      </c>
      <c r="BN67" s="134">
        <v>46233.988159722219</v>
      </c>
      <c r="BO67" s="158" t="s">
        <v>15</v>
      </c>
      <c r="BP67" s="158" t="s">
        <v>15</v>
      </c>
      <c r="BQ67" s="9">
        <f t="shared" si="25"/>
        <v>31</v>
      </c>
      <c r="BR67" s="68">
        <v>2</v>
      </c>
      <c r="BS67" s="1">
        <f t="shared" si="27"/>
        <v>28</v>
      </c>
      <c r="BT67" s="2">
        <f t="shared" si="28"/>
        <v>3</v>
      </c>
      <c r="BU67" s="2">
        <f t="shared" si="29"/>
        <v>0</v>
      </c>
      <c r="BV67" s="2">
        <f t="shared" si="30"/>
        <v>0</v>
      </c>
      <c r="BW67" s="2">
        <f t="shared" si="31"/>
        <v>0</v>
      </c>
      <c r="BX67" s="2">
        <f t="shared" si="32"/>
        <v>0</v>
      </c>
      <c r="BY67" s="2">
        <f t="shared" si="33"/>
        <v>0</v>
      </c>
      <c r="BZ67" s="2">
        <f t="shared" si="34"/>
        <v>0</v>
      </c>
      <c r="CA67" s="2">
        <f t="shared" si="35"/>
        <v>0</v>
      </c>
      <c r="CB67" s="2">
        <f t="shared" si="36"/>
        <v>0</v>
      </c>
      <c r="CC67" s="2">
        <f t="shared" si="37"/>
        <v>0</v>
      </c>
      <c r="CD67" s="2">
        <f t="shared" si="38"/>
        <v>0</v>
      </c>
      <c r="CE67" s="131"/>
      <c r="CG67" s="122">
        <v>0</v>
      </c>
      <c r="CH67" s="123">
        <v>0</v>
      </c>
      <c r="CI67" s="123">
        <v>0</v>
      </c>
      <c r="CJ67" s="123">
        <v>0</v>
      </c>
      <c r="CK67" s="123">
        <v>0</v>
      </c>
      <c r="CL67" s="122">
        <v>4</v>
      </c>
      <c r="CM67" s="123">
        <v>0</v>
      </c>
      <c r="CN67" s="122">
        <v>5</v>
      </c>
      <c r="CO67" s="123">
        <v>0</v>
      </c>
      <c r="CP67" s="123">
        <v>0</v>
      </c>
      <c r="CQ67" s="125">
        <f t="shared" si="26"/>
        <v>9</v>
      </c>
    </row>
    <row r="68" spans="1:95" s="47" customFormat="1" ht="21.75" customHeight="1" x14ac:dyDescent="0.25">
      <c r="A68" s="45">
        <v>50</v>
      </c>
      <c r="B68" s="11" t="s">
        <v>131</v>
      </c>
      <c r="C68" s="8" t="s">
        <v>132</v>
      </c>
      <c r="D68" s="85">
        <v>45512</v>
      </c>
      <c r="E68" s="65">
        <v>0.35347222222222219</v>
      </c>
      <c r="F68" s="65">
        <v>0.95000000000000007</v>
      </c>
      <c r="G68" s="65">
        <v>0.3527777777777778</v>
      </c>
      <c r="H68" s="65">
        <v>0.97222222222222221</v>
      </c>
      <c r="I68" s="98">
        <v>0.58194444444444449</v>
      </c>
      <c r="J68" s="98">
        <v>0.94930555555555562</v>
      </c>
      <c r="K68" s="65">
        <v>0.3527777777777778</v>
      </c>
      <c r="L68" s="65">
        <v>0.97083333333333333</v>
      </c>
      <c r="M68" s="65">
        <v>0.35416666666666669</v>
      </c>
      <c r="N68" s="65">
        <v>0.95277777777777783</v>
      </c>
      <c r="O68" s="65">
        <v>0.35416666666666669</v>
      </c>
      <c r="P68" s="65">
        <v>0.95208333333333339</v>
      </c>
      <c r="Q68" s="65">
        <v>0.35347222222222219</v>
      </c>
      <c r="R68" s="65">
        <v>0.94791666666666663</v>
      </c>
      <c r="S68" s="65">
        <v>0.3527777777777778</v>
      </c>
      <c r="T68" s="65">
        <v>0.95208333333333339</v>
      </c>
      <c r="U68" s="65">
        <v>0.35069444444444442</v>
      </c>
      <c r="V68" s="65">
        <v>0.97638888888888886</v>
      </c>
      <c r="W68" s="91" t="s">
        <v>15</v>
      </c>
      <c r="X68" s="91" t="s">
        <v>15</v>
      </c>
      <c r="Y68" s="65">
        <v>0.35069444444444442</v>
      </c>
      <c r="Z68" s="65">
        <v>0.96666666666666667</v>
      </c>
      <c r="AA68" s="65">
        <v>0.34791666666666665</v>
      </c>
      <c r="AB68" s="65">
        <v>0.9555555555555556</v>
      </c>
      <c r="AC68" s="65">
        <v>0.35069444444444442</v>
      </c>
      <c r="AD68" s="65">
        <v>0.95138888888888884</v>
      </c>
      <c r="AE68" s="65">
        <v>0.3520833333333333</v>
      </c>
      <c r="AF68" s="65">
        <v>0.95138888888888884</v>
      </c>
      <c r="AG68" s="65">
        <v>0.3527777777777778</v>
      </c>
      <c r="AH68" s="65">
        <v>0.95624999999999993</v>
      </c>
      <c r="AI68" s="114"/>
      <c r="AJ68" s="45">
        <v>50</v>
      </c>
      <c r="AK68" s="134">
        <v>46219.353321759256</v>
      </c>
      <c r="AL68" s="134">
        <v>46219.978159722225</v>
      </c>
      <c r="AM68" s="134">
        <v>46220.581064814818</v>
      </c>
      <c r="AN68" s="134">
        <v>46220.953865740739</v>
      </c>
      <c r="AO68" s="134">
        <v>46221.352662037039</v>
      </c>
      <c r="AP68" s="134">
        <v>46221.973009259258</v>
      </c>
      <c r="AQ68" s="134">
        <v>46222.352650462963</v>
      </c>
      <c r="AR68" s="134">
        <v>46222.956400462965</v>
      </c>
      <c r="AS68" s="134">
        <v>46223.352337962962</v>
      </c>
      <c r="AT68" s="134">
        <v>46223.957812499997</v>
      </c>
      <c r="AU68" s="134">
        <v>46224.3515625</v>
      </c>
      <c r="AV68" s="134">
        <v>46224.954270833332</v>
      </c>
      <c r="AW68" s="134">
        <v>46225.350763888891</v>
      </c>
      <c r="AX68" s="134">
        <v>46225.95516203704</v>
      </c>
      <c r="AY68" s="134">
        <v>46226.35</v>
      </c>
      <c r="AZ68" s="134">
        <v>46226.975092592591</v>
      </c>
      <c r="BA68" s="158" t="s">
        <v>15</v>
      </c>
      <c r="BB68" s="158" t="s">
        <v>15</v>
      </c>
      <c r="BC68" s="134">
        <v>46228.351585648146</v>
      </c>
      <c r="BD68" s="134">
        <v>46228.967951388891</v>
      </c>
      <c r="BE68" s="134">
        <v>46229.352673611109</v>
      </c>
      <c r="BF68" s="134">
        <v>46229.956122685187</v>
      </c>
      <c r="BG68" s="134">
        <v>46230.352662037039</v>
      </c>
      <c r="BH68" s="134">
        <v>46230.950439814813</v>
      </c>
      <c r="BI68" s="134">
        <v>46231.352893518517</v>
      </c>
      <c r="BJ68" s="134">
        <v>46231.959444444445</v>
      </c>
      <c r="BK68" s="134">
        <v>46232.350729166668</v>
      </c>
      <c r="BL68" s="137">
        <v>46232.963935185187</v>
      </c>
      <c r="BM68" s="135">
        <v>46233.352453703701</v>
      </c>
      <c r="BN68" s="134">
        <v>46233.980196759258</v>
      </c>
      <c r="BO68" s="134">
        <v>46234.578634259262</v>
      </c>
      <c r="BP68" s="137">
        <v>46234.949976851851</v>
      </c>
      <c r="BQ68" s="9">
        <f t="shared" si="25"/>
        <v>31</v>
      </c>
      <c r="BR68" s="68">
        <v>3</v>
      </c>
      <c r="BS68" s="1">
        <f t="shared" si="27"/>
        <v>29</v>
      </c>
      <c r="BT68" s="2">
        <f t="shared" si="28"/>
        <v>2</v>
      </c>
      <c r="BU68" s="2">
        <f t="shared" si="29"/>
        <v>0</v>
      </c>
      <c r="BV68" s="2">
        <f t="shared" si="30"/>
        <v>0</v>
      </c>
      <c r="BW68" s="2">
        <f t="shared" si="31"/>
        <v>0</v>
      </c>
      <c r="BX68" s="2">
        <f t="shared" si="32"/>
        <v>0</v>
      </c>
      <c r="BY68" s="2">
        <f t="shared" si="33"/>
        <v>0</v>
      </c>
      <c r="BZ68" s="2">
        <f t="shared" si="34"/>
        <v>0</v>
      </c>
      <c r="CA68" s="2">
        <f t="shared" si="35"/>
        <v>0</v>
      </c>
      <c r="CB68" s="2">
        <f t="shared" si="36"/>
        <v>0</v>
      </c>
      <c r="CC68" s="2">
        <f t="shared" si="37"/>
        <v>0</v>
      </c>
      <c r="CD68" s="2">
        <f t="shared" si="38"/>
        <v>0</v>
      </c>
      <c r="CE68" s="131"/>
      <c r="CG68" s="55">
        <v>0</v>
      </c>
      <c r="CH68" s="54">
        <v>0</v>
      </c>
      <c r="CI68" s="54">
        <v>0</v>
      </c>
      <c r="CJ68" s="54">
        <v>0</v>
      </c>
      <c r="CK68" s="54">
        <v>0</v>
      </c>
      <c r="CL68" s="54">
        <v>6</v>
      </c>
      <c r="CM68" s="54">
        <v>0</v>
      </c>
      <c r="CN68" s="55">
        <v>1</v>
      </c>
      <c r="CO68" s="54">
        <v>0</v>
      </c>
      <c r="CP68" s="54">
        <v>0</v>
      </c>
      <c r="CQ68" s="126">
        <f t="shared" si="26"/>
        <v>7</v>
      </c>
    </row>
    <row r="69" spans="1:95" s="47" customFormat="1" ht="21.75" customHeight="1" x14ac:dyDescent="0.25">
      <c r="A69" s="45">
        <v>51</v>
      </c>
      <c r="B69" s="11" t="s">
        <v>133</v>
      </c>
      <c r="C69" s="8" t="s">
        <v>234</v>
      </c>
      <c r="D69" s="85">
        <v>45536</v>
      </c>
      <c r="E69" s="65">
        <v>0.36041666666666666</v>
      </c>
      <c r="F69" s="65">
        <v>0.97361111111111109</v>
      </c>
      <c r="G69" s="65">
        <v>0.35555555555555557</v>
      </c>
      <c r="H69" s="65">
        <v>0.9916666666666667</v>
      </c>
      <c r="I69" s="98">
        <v>0.58263888888888882</v>
      </c>
      <c r="J69" s="98">
        <v>0.93680555555555556</v>
      </c>
      <c r="K69" s="65">
        <v>0.35833333333333334</v>
      </c>
      <c r="L69" s="65">
        <v>0.95138888888888884</v>
      </c>
      <c r="M69" s="65">
        <v>0.35555555555555557</v>
      </c>
      <c r="N69" s="65">
        <v>0.95833333333333337</v>
      </c>
      <c r="O69" s="65">
        <v>0.35486111111111113</v>
      </c>
      <c r="P69" s="65">
        <v>0.9604166666666667</v>
      </c>
      <c r="Q69" s="65">
        <v>0.35555555555555557</v>
      </c>
      <c r="R69" s="65">
        <v>0.97291666666666676</v>
      </c>
      <c r="S69" s="65">
        <v>0.35416666666666669</v>
      </c>
      <c r="T69" s="65">
        <v>2.0833333333333333E-3</v>
      </c>
      <c r="U69" s="65">
        <v>0.35833333333333334</v>
      </c>
      <c r="V69" s="65">
        <v>0.98402777777777783</v>
      </c>
      <c r="W69" s="91" t="s">
        <v>15</v>
      </c>
      <c r="X69" s="91" t="s">
        <v>15</v>
      </c>
      <c r="Y69" s="65">
        <v>0.35138888888888892</v>
      </c>
      <c r="Z69" s="65">
        <v>0.94444444444444453</v>
      </c>
      <c r="AA69" s="65">
        <v>0.34722222222222227</v>
      </c>
      <c r="AB69" s="65">
        <v>0.97430555555555554</v>
      </c>
      <c r="AC69" s="65">
        <v>0.35138888888888892</v>
      </c>
      <c r="AD69" s="65">
        <v>0.93333333333333324</v>
      </c>
      <c r="AE69" s="65">
        <v>0.3520833333333333</v>
      </c>
      <c r="AF69" s="65">
        <v>0.96250000000000002</v>
      </c>
      <c r="AG69" s="65">
        <v>0.3527777777777778</v>
      </c>
      <c r="AH69" s="65">
        <v>0.97499999999999998</v>
      </c>
      <c r="AI69" s="114"/>
      <c r="AJ69" s="45">
        <v>51</v>
      </c>
      <c r="AK69" s="134">
        <v>46219.352916666663</v>
      </c>
      <c r="AL69" s="134">
        <v>46219.992754629631</v>
      </c>
      <c r="AM69" s="134">
        <v>46220.58258101852</v>
      </c>
      <c r="AN69" s="134">
        <v>46220.940358796295</v>
      </c>
      <c r="AO69" s="134">
        <v>46221.354710648149</v>
      </c>
      <c r="AP69" s="134">
        <v>46221.969108796293</v>
      </c>
      <c r="AQ69" s="134">
        <v>46222.354722222219</v>
      </c>
      <c r="AR69" s="134">
        <v>46222.941342592596</v>
      </c>
      <c r="AS69" s="134">
        <v>46223.352233796293</v>
      </c>
      <c r="AT69" s="134">
        <v>1</v>
      </c>
      <c r="AU69" s="134">
        <v>46224.35229166667</v>
      </c>
      <c r="AV69" s="134">
        <v>46224.962847222225</v>
      </c>
      <c r="AW69" s="134">
        <v>46225.351134259261</v>
      </c>
      <c r="AX69" s="134">
        <v>46225.98678240741</v>
      </c>
      <c r="AY69" s="134">
        <v>46226.332372685189</v>
      </c>
      <c r="AZ69" s="134">
        <v>46226.961921296293</v>
      </c>
      <c r="BA69" s="158" t="s">
        <v>15</v>
      </c>
      <c r="BB69" s="158" t="s">
        <v>15</v>
      </c>
      <c r="BC69" s="134">
        <v>46228.354097222225</v>
      </c>
      <c r="BD69" s="134">
        <v>46228.959016203706</v>
      </c>
      <c r="BE69" s="134">
        <v>46229.352800925924</v>
      </c>
      <c r="BF69" s="134">
        <v>46229.944050925929</v>
      </c>
      <c r="BG69" s="134">
        <v>46230.354722222219</v>
      </c>
      <c r="BH69" s="134">
        <v>46230.986643518518</v>
      </c>
      <c r="BI69" s="134">
        <v>46231.352349537039</v>
      </c>
      <c r="BJ69" s="134">
        <v>46231.958344907405</v>
      </c>
      <c r="BK69" s="134">
        <v>46232.352442129632</v>
      </c>
      <c r="BL69" s="137">
        <v>46232.97284722222</v>
      </c>
      <c r="BM69" s="135">
        <v>46233.353344907409</v>
      </c>
      <c r="BN69" s="134">
        <v>46233.968692129631</v>
      </c>
      <c r="BO69" s="134">
        <v>46234.582638888889</v>
      </c>
      <c r="BP69" s="137">
        <v>46234.922824074078</v>
      </c>
      <c r="BQ69" s="9">
        <f t="shared" si="25"/>
        <v>31</v>
      </c>
      <c r="BR69" s="68">
        <v>3</v>
      </c>
      <c r="BS69" s="1">
        <f t="shared" si="27"/>
        <v>29</v>
      </c>
      <c r="BT69" s="2">
        <f t="shared" si="28"/>
        <v>2</v>
      </c>
      <c r="BU69" s="2">
        <f t="shared" si="29"/>
        <v>0</v>
      </c>
      <c r="BV69" s="2">
        <f t="shared" si="30"/>
        <v>0</v>
      </c>
      <c r="BW69" s="2">
        <f t="shared" si="31"/>
        <v>0</v>
      </c>
      <c r="BX69" s="2">
        <f t="shared" si="32"/>
        <v>0</v>
      </c>
      <c r="BY69" s="2">
        <f t="shared" si="33"/>
        <v>0</v>
      </c>
      <c r="BZ69" s="2">
        <f t="shared" si="34"/>
        <v>0</v>
      </c>
      <c r="CA69" s="2">
        <f t="shared" si="35"/>
        <v>0</v>
      </c>
      <c r="CB69" s="2">
        <f t="shared" si="36"/>
        <v>0</v>
      </c>
      <c r="CC69" s="2">
        <f t="shared" si="37"/>
        <v>0</v>
      </c>
      <c r="CD69" s="2">
        <f t="shared" si="38"/>
        <v>0</v>
      </c>
      <c r="CE69" s="131"/>
      <c r="CG69" s="122">
        <v>0</v>
      </c>
      <c r="CH69" s="123">
        <v>0</v>
      </c>
      <c r="CI69" s="123">
        <v>0</v>
      </c>
      <c r="CJ69" s="122">
        <v>8</v>
      </c>
      <c r="CK69" s="123">
        <v>0</v>
      </c>
      <c r="CL69" s="122">
        <v>4</v>
      </c>
      <c r="CM69" s="123">
        <v>0</v>
      </c>
      <c r="CN69" s="123">
        <v>0</v>
      </c>
      <c r="CO69" s="123">
        <v>0</v>
      </c>
      <c r="CP69" s="123">
        <v>0</v>
      </c>
      <c r="CQ69" s="125">
        <f t="shared" si="26"/>
        <v>12</v>
      </c>
    </row>
    <row r="70" spans="1:95" s="47" customFormat="1" ht="21.75" customHeight="1" x14ac:dyDescent="0.25">
      <c r="A70" s="45">
        <v>52</v>
      </c>
      <c r="B70" s="11" t="s">
        <v>134</v>
      </c>
      <c r="C70" s="8" t="s">
        <v>135</v>
      </c>
      <c r="D70" s="85">
        <v>45562</v>
      </c>
      <c r="E70" s="65">
        <v>0.41805555555555557</v>
      </c>
      <c r="F70" s="69">
        <v>1</v>
      </c>
      <c r="G70" s="65">
        <v>0.47222222222222227</v>
      </c>
      <c r="H70" s="65">
        <v>0.95416666666666661</v>
      </c>
      <c r="I70" s="98">
        <v>0.5625</v>
      </c>
      <c r="J70" s="99">
        <v>1</v>
      </c>
      <c r="K70" s="65">
        <v>0.32430555555555557</v>
      </c>
      <c r="L70" s="65">
        <v>0.91666666666666663</v>
      </c>
      <c r="M70" s="65">
        <v>0.34791666666666665</v>
      </c>
      <c r="N70" s="65">
        <v>0.93263888888888891</v>
      </c>
      <c r="O70" s="65">
        <v>0.34583333333333338</v>
      </c>
      <c r="P70" s="65">
        <v>0.92083333333333339</v>
      </c>
      <c r="Q70" s="65">
        <v>0.34513888888888888</v>
      </c>
      <c r="R70" s="65">
        <v>0.91875000000000007</v>
      </c>
      <c r="S70" s="65">
        <v>0.34791666666666665</v>
      </c>
      <c r="T70" s="65">
        <v>0.96527777777777779</v>
      </c>
      <c r="U70" s="65">
        <v>0.34791666666666665</v>
      </c>
      <c r="V70" s="65">
        <v>0.98402777777777783</v>
      </c>
      <c r="W70" s="98">
        <v>0.57708333333333328</v>
      </c>
      <c r="X70" s="98">
        <v>0.92986111111111114</v>
      </c>
      <c r="Y70" s="65">
        <v>0.35069444444444442</v>
      </c>
      <c r="Z70" s="65">
        <v>0.92291666666666661</v>
      </c>
      <c r="AA70" s="65">
        <v>0.3430555555555555</v>
      </c>
      <c r="AB70" s="65">
        <v>0.94444444444444453</v>
      </c>
      <c r="AC70" s="65">
        <v>0.65277777777777779</v>
      </c>
      <c r="AD70" s="65">
        <v>0.92083333333333339</v>
      </c>
      <c r="AE70" s="65">
        <v>0.34722222222222227</v>
      </c>
      <c r="AF70" s="65">
        <v>0.93611111111111101</v>
      </c>
      <c r="AG70" s="65">
        <v>0.34930555555555554</v>
      </c>
      <c r="AH70" s="69">
        <v>1</v>
      </c>
      <c r="AI70" s="106"/>
      <c r="AJ70" s="45">
        <v>52</v>
      </c>
      <c r="AK70" s="134">
        <v>46219.345092592594</v>
      </c>
      <c r="AL70" s="134">
        <v>46219.963078703702</v>
      </c>
      <c r="AM70" s="134">
        <v>46220.575613425928</v>
      </c>
      <c r="AN70" s="134">
        <v>46220.928518518522</v>
      </c>
      <c r="AO70" s="134">
        <v>46221.366157407407</v>
      </c>
      <c r="AP70" s="134">
        <v>46221.930659722224</v>
      </c>
      <c r="AQ70" s="134">
        <v>46222.354363425926</v>
      </c>
      <c r="AR70" s="134">
        <v>1</v>
      </c>
      <c r="AS70" s="134">
        <v>46223.331331018519</v>
      </c>
      <c r="AT70" s="134">
        <v>1</v>
      </c>
      <c r="AU70" s="134">
        <v>46224.348738425928</v>
      </c>
      <c r="AV70" s="134">
        <v>1</v>
      </c>
      <c r="AW70" s="134">
        <v>46225.335752314815</v>
      </c>
      <c r="AX70" s="134">
        <v>1</v>
      </c>
      <c r="AY70" s="134">
        <v>46226.342974537038</v>
      </c>
      <c r="AZ70" s="134">
        <v>1</v>
      </c>
      <c r="BA70" s="134">
        <v>46227.580451388887</v>
      </c>
      <c r="BB70" s="134">
        <v>46227.923495370371</v>
      </c>
      <c r="BC70" s="134">
        <v>46228.348865740743</v>
      </c>
      <c r="BD70" s="134">
        <v>46228.965810185182</v>
      </c>
      <c r="BE70" s="134">
        <v>46229.360486111109</v>
      </c>
      <c r="BF70" s="134">
        <v>1</v>
      </c>
      <c r="BG70" s="134">
        <v>46230.339050925926</v>
      </c>
      <c r="BH70" s="134">
        <v>1</v>
      </c>
      <c r="BI70" s="134">
        <v>46231.344930555555</v>
      </c>
      <c r="BJ70" s="134">
        <v>46231.926979166667</v>
      </c>
      <c r="BK70" s="134">
        <v>46232.34584490741</v>
      </c>
      <c r="BL70" s="137">
        <v>46232.931006944447</v>
      </c>
      <c r="BM70" s="135">
        <v>46233.342627314814</v>
      </c>
      <c r="BN70" s="136">
        <v>1</v>
      </c>
      <c r="BO70" s="134">
        <v>46234.563958333332</v>
      </c>
      <c r="BP70" s="137">
        <v>1</v>
      </c>
      <c r="BQ70" s="9">
        <f t="shared" si="25"/>
        <v>31</v>
      </c>
      <c r="BR70" s="68">
        <v>5</v>
      </c>
      <c r="BS70" s="1">
        <f t="shared" si="27"/>
        <v>31</v>
      </c>
      <c r="BT70" s="2">
        <f t="shared" si="28"/>
        <v>0</v>
      </c>
      <c r="BU70" s="2">
        <f t="shared" si="29"/>
        <v>0</v>
      </c>
      <c r="BV70" s="2">
        <f t="shared" si="30"/>
        <v>0</v>
      </c>
      <c r="BW70" s="2">
        <f t="shared" si="31"/>
        <v>0</v>
      </c>
      <c r="BX70" s="2">
        <f t="shared" si="32"/>
        <v>0</v>
      </c>
      <c r="BY70" s="2">
        <f t="shared" si="33"/>
        <v>0</v>
      </c>
      <c r="BZ70" s="2">
        <f t="shared" si="34"/>
        <v>0</v>
      </c>
      <c r="CA70" s="2">
        <f t="shared" si="35"/>
        <v>0</v>
      </c>
      <c r="CB70" s="2">
        <f t="shared" si="36"/>
        <v>0</v>
      </c>
      <c r="CC70" s="2">
        <f t="shared" si="37"/>
        <v>0</v>
      </c>
      <c r="CD70" s="2">
        <f t="shared" si="38"/>
        <v>0</v>
      </c>
      <c r="CE70" s="131"/>
      <c r="CG70" s="55">
        <v>0</v>
      </c>
      <c r="CH70" s="54">
        <v>0</v>
      </c>
      <c r="CI70" s="54">
        <v>0</v>
      </c>
      <c r="CJ70" s="54">
        <v>0</v>
      </c>
      <c r="CK70" s="54">
        <v>0</v>
      </c>
      <c r="CL70" s="54">
        <v>0</v>
      </c>
      <c r="CM70" s="54">
        <v>0</v>
      </c>
      <c r="CN70" s="54">
        <v>0</v>
      </c>
      <c r="CO70" s="54">
        <v>0</v>
      </c>
      <c r="CP70" s="54">
        <v>0</v>
      </c>
      <c r="CQ70" s="126">
        <f t="shared" si="26"/>
        <v>0</v>
      </c>
    </row>
    <row r="71" spans="1:95" s="47" customFormat="1" ht="21.75" customHeight="1" x14ac:dyDescent="0.25">
      <c r="A71" s="45">
        <v>53</v>
      </c>
      <c r="B71" s="11" t="s">
        <v>176</v>
      </c>
      <c r="C71" s="8" t="s">
        <v>175</v>
      </c>
      <c r="D71" s="85">
        <v>45562</v>
      </c>
      <c r="E71" s="65">
        <v>0.34722222222222227</v>
      </c>
      <c r="F71" s="65">
        <v>0.95694444444444438</v>
      </c>
      <c r="G71" s="65">
        <v>0.92986111111111114</v>
      </c>
      <c r="H71" s="69">
        <v>1</v>
      </c>
      <c r="I71" s="91" t="s">
        <v>15</v>
      </c>
      <c r="J71" s="91" t="s">
        <v>15</v>
      </c>
      <c r="K71" s="65">
        <v>0.34861111111111115</v>
      </c>
      <c r="L71" s="65">
        <v>0.93819444444444444</v>
      </c>
      <c r="M71" s="65">
        <v>0.34930555555555554</v>
      </c>
      <c r="N71" s="65">
        <v>0.95347222222222217</v>
      </c>
      <c r="O71" s="65">
        <v>0.34791666666666665</v>
      </c>
      <c r="P71" s="65">
        <v>0.92361111111111116</v>
      </c>
      <c r="Q71" s="65">
        <v>0.3444444444444445</v>
      </c>
      <c r="R71" s="65">
        <v>0.91875000000000007</v>
      </c>
      <c r="S71" s="65">
        <v>0.34930555555555554</v>
      </c>
      <c r="T71" s="65">
        <v>0.95416666666666661</v>
      </c>
      <c r="U71" s="65">
        <v>0.3444444444444445</v>
      </c>
      <c r="V71" s="65">
        <v>0.98472222222222217</v>
      </c>
      <c r="W71" s="98">
        <v>0.5756944444444444</v>
      </c>
      <c r="X71" s="99">
        <v>1</v>
      </c>
      <c r="Y71" s="65">
        <v>0.34652777777777777</v>
      </c>
      <c r="Z71" s="65">
        <v>0.95208333333333339</v>
      </c>
      <c r="AA71" s="65">
        <v>0.3430555555555555</v>
      </c>
      <c r="AB71" s="65">
        <v>0.92499999999999993</v>
      </c>
      <c r="AC71" s="65">
        <v>0.34722222222222227</v>
      </c>
      <c r="AD71" s="65">
        <v>0.9291666666666667</v>
      </c>
      <c r="AE71" s="65">
        <v>0.34513888888888888</v>
      </c>
      <c r="AF71" s="65">
        <v>0.92013888888888884</v>
      </c>
      <c r="AG71" s="65">
        <v>0.34513888888888888</v>
      </c>
      <c r="AH71" s="65">
        <v>0.93263888888888891</v>
      </c>
      <c r="AI71" s="114"/>
      <c r="AJ71" s="45">
        <v>53</v>
      </c>
      <c r="AK71" s="134">
        <v>46219.347141203703</v>
      </c>
      <c r="AL71" s="134">
        <v>46219.932824074072</v>
      </c>
      <c r="AM71" s="158" t="s">
        <v>15</v>
      </c>
      <c r="AN71" s="158" t="s">
        <v>15</v>
      </c>
      <c r="AO71" s="134">
        <v>46221.346608796295</v>
      </c>
      <c r="AP71" s="134">
        <v>46221.948009259257</v>
      </c>
      <c r="AQ71" s="134">
        <v>46222.346041666664</v>
      </c>
      <c r="AR71" s="134">
        <v>46222.944085648145</v>
      </c>
      <c r="AS71" s="134">
        <v>46223.348240740743</v>
      </c>
      <c r="AT71" s="134">
        <v>46223.952974537038</v>
      </c>
      <c r="AU71" s="134">
        <v>46224.345752314817</v>
      </c>
      <c r="AV71" s="134">
        <v>46224.962476851855</v>
      </c>
      <c r="AW71" s="134">
        <v>46225.345763888887</v>
      </c>
      <c r="AX71" s="134">
        <v>46225.945254629631</v>
      </c>
      <c r="AY71" s="134">
        <v>46226.351458333331</v>
      </c>
      <c r="AZ71" s="134">
        <v>46226.983148148145</v>
      </c>
      <c r="BA71" s="134">
        <v>46227.571585648147</v>
      </c>
      <c r="BB71" s="134">
        <v>46227.914444444446</v>
      </c>
      <c r="BC71" s="134">
        <v>46228.346759259257</v>
      </c>
      <c r="BD71" s="134">
        <v>1</v>
      </c>
      <c r="BE71" s="134">
        <v>46229.347800925927</v>
      </c>
      <c r="BF71" s="134">
        <v>46229.935370370367</v>
      </c>
      <c r="BG71" s="134">
        <v>46230.345682870371</v>
      </c>
      <c r="BH71" s="134">
        <v>46230.945543981485</v>
      </c>
      <c r="BI71" s="134">
        <v>46231.345196759263</v>
      </c>
      <c r="BJ71" s="134">
        <v>46231.920231481483</v>
      </c>
      <c r="BK71" s="134">
        <v>46232.348587962966</v>
      </c>
      <c r="BL71" s="137">
        <v>46232.93681712963</v>
      </c>
      <c r="BM71" s="135">
        <v>46233.347800925927</v>
      </c>
      <c r="BN71" s="134">
        <v>46233.9450462963</v>
      </c>
      <c r="BO71" s="158" t="s">
        <v>15</v>
      </c>
      <c r="BP71" s="158" t="s">
        <v>15</v>
      </c>
      <c r="BQ71" s="9">
        <f t="shared" si="25"/>
        <v>31</v>
      </c>
      <c r="BR71" s="68">
        <v>2</v>
      </c>
      <c r="BS71" s="1">
        <f t="shared" si="27"/>
        <v>28</v>
      </c>
      <c r="BT71" s="2">
        <f t="shared" si="28"/>
        <v>3</v>
      </c>
      <c r="BU71" s="2">
        <f t="shared" si="29"/>
        <v>0</v>
      </c>
      <c r="BV71" s="2">
        <f t="shared" si="30"/>
        <v>0</v>
      </c>
      <c r="BW71" s="2">
        <f t="shared" si="31"/>
        <v>0</v>
      </c>
      <c r="BX71" s="2">
        <f t="shared" si="32"/>
        <v>0</v>
      </c>
      <c r="BY71" s="2">
        <f t="shared" si="33"/>
        <v>0</v>
      </c>
      <c r="BZ71" s="2">
        <f t="shared" si="34"/>
        <v>0</v>
      </c>
      <c r="CA71" s="2">
        <f t="shared" si="35"/>
        <v>0</v>
      </c>
      <c r="CB71" s="2">
        <f t="shared" si="36"/>
        <v>0</v>
      </c>
      <c r="CC71" s="2">
        <f t="shared" si="37"/>
        <v>0</v>
      </c>
      <c r="CD71" s="2">
        <f t="shared" si="38"/>
        <v>0</v>
      </c>
      <c r="CE71" s="131"/>
      <c r="CG71" s="122">
        <v>0</v>
      </c>
      <c r="CH71" s="123">
        <v>0</v>
      </c>
      <c r="CI71" s="123">
        <v>0</v>
      </c>
      <c r="CJ71" s="123">
        <v>0</v>
      </c>
      <c r="CK71" s="123">
        <v>0</v>
      </c>
      <c r="CL71" s="122">
        <v>3</v>
      </c>
      <c r="CM71" s="123">
        <v>0</v>
      </c>
      <c r="CN71" s="123">
        <v>0</v>
      </c>
      <c r="CO71" s="123">
        <v>0</v>
      </c>
      <c r="CP71" s="123">
        <v>0</v>
      </c>
      <c r="CQ71" s="125">
        <f t="shared" si="26"/>
        <v>3</v>
      </c>
    </row>
    <row r="72" spans="1:95" s="47" customFormat="1" ht="21.75" customHeight="1" x14ac:dyDescent="0.25">
      <c r="A72" s="45">
        <v>54</v>
      </c>
      <c r="B72" s="11" t="s">
        <v>117</v>
      </c>
      <c r="C72" s="8" t="s">
        <v>231</v>
      </c>
      <c r="D72" s="85">
        <v>45330</v>
      </c>
      <c r="E72" s="161" t="s">
        <v>18</v>
      </c>
      <c r="F72" s="161" t="s">
        <v>18</v>
      </c>
      <c r="G72" s="161" t="s">
        <v>18</v>
      </c>
      <c r="H72" s="161" t="s">
        <v>18</v>
      </c>
      <c r="I72" s="161" t="s">
        <v>18</v>
      </c>
      <c r="J72" s="161" t="s">
        <v>18</v>
      </c>
      <c r="K72" s="161" t="s">
        <v>18</v>
      </c>
      <c r="L72" s="161" t="s">
        <v>18</v>
      </c>
      <c r="M72" s="161" t="s">
        <v>18</v>
      </c>
      <c r="N72" s="161" t="s">
        <v>18</v>
      </c>
      <c r="O72" s="161" t="s">
        <v>18</v>
      </c>
      <c r="P72" s="161" t="s">
        <v>18</v>
      </c>
      <c r="Q72" s="161" t="s">
        <v>18</v>
      </c>
      <c r="R72" s="161" t="s">
        <v>18</v>
      </c>
      <c r="S72" s="161" t="s">
        <v>18</v>
      </c>
      <c r="T72" s="161" t="s">
        <v>18</v>
      </c>
      <c r="U72" s="161" t="s">
        <v>18</v>
      </c>
      <c r="V72" s="161" t="s">
        <v>18</v>
      </c>
      <c r="W72" s="161" t="s">
        <v>18</v>
      </c>
      <c r="X72" s="161" t="s">
        <v>18</v>
      </c>
      <c r="Y72" s="161" t="s">
        <v>18</v>
      </c>
      <c r="Z72" s="161" t="s">
        <v>18</v>
      </c>
      <c r="AA72" s="161" t="s">
        <v>18</v>
      </c>
      <c r="AB72" s="161" t="s">
        <v>18</v>
      </c>
      <c r="AC72" s="161" t="s">
        <v>18</v>
      </c>
      <c r="AD72" s="161" t="s">
        <v>18</v>
      </c>
      <c r="AE72" s="161" t="s">
        <v>18</v>
      </c>
      <c r="AF72" s="161" t="s">
        <v>18</v>
      </c>
      <c r="AG72" s="161" t="s">
        <v>18</v>
      </c>
      <c r="AH72" s="161" t="s">
        <v>18</v>
      </c>
      <c r="AI72" s="121"/>
      <c r="AJ72" s="45">
        <v>54</v>
      </c>
      <c r="AK72" s="161" t="s">
        <v>18</v>
      </c>
      <c r="AL72" s="161" t="s">
        <v>18</v>
      </c>
      <c r="AM72" s="161" t="s">
        <v>18</v>
      </c>
      <c r="AN72" s="161" t="s">
        <v>18</v>
      </c>
      <c r="AO72" s="161" t="s">
        <v>18</v>
      </c>
      <c r="AP72" s="161" t="s">
        <v>18</v>
      </c>
      <c r="AQ72" s="161" t="s">
        <v>18</v>
      </c>
      <c r="AR72" s="161" t="s">
        <v>18</v>
      </c>
      <c r="AS72" s="161" t="s">
        <v>18</v>
      </c>
      <c r="AT72" s="161" t="s">
        <v>18</v>
      </c>
      <c r="AU72" s="161" t="s">
        <v>18</v>
      </c>
      <c r="AV72" s="161" t="s">
        <v>18</v>
      </c>
      <c r="AW72" s="161" t="s">
        <v>18</v>
      </c>
      <c r="AX72" s="161" t="s">
        <v>18</v>
      </c>
      <c r="AY72" s="161" t="s">
        <v>18</v>
      </c>
      <c r="AZ72" s="161" t="s">
        <v>18</v>
      </c>
      <c r="BA72" s="161" t="s">
        <v>18</v>
      </c>
      <c r="BB72" s="161" t="s">
        <v>18</v>
      </c>
      <c r="BC72" s="161" t="s">
        <v>18</v>
      </c>
      <c r="BD72" s="161" t="s">
        <v>18</v>
      </c>
      <c r="BE72" s="134">
        <v>46229.355057870373</v>
      </c>
      <c r="BF72" s="134">
        <v>46229.945011574076</v>
      </c>
      <c r="BG72" s="134">
        <v>46230.34884259259</v>
      </c>
      <c r="BH72" s="134">
        <v>46230.966446759259</v>
      </c>
      <c r="BI72" s="134">
        <v>46231.349687499998</v>
      </c>
      <c r="BJ72" s="134">
        <v>46231.958402777775</v>
      </c>
      <c r="BK72" s="134">
        <v>46229.355057870373</v>
      </c>
      <c r="BL72" s="134">
        <v>46229.945011574076</v>
      </c>
      <c r="BM72" s="134">
        <v>46230.34884259259</v>
      </c>
      <c r="BN72" s="134">
        <v>46230.966446759259</v>
      </c>
      <c r="BO72" s="134">
        <v>46231.349687499998</v>
      </c>
      <c r="BP72" s="134">
        <v>46231.958402777775</v>
      </c>
      <c r="BQ72" s="97">
        <f>BS72+BT72+BV72+CA72+BY72+BZ72+CD72</f>
        <v>6</v>
      </c>
      <c r="BR72" s="68">
        <v>1</v>
      </c>
      <c r="BS72" s="1">
        <f t="shared" si="27"/>
        <v>6</v>
      </c>
      <c r="BT72" s="2">
        <f t="shared" si="28"/>
        <v>0</v>
      </c>
      <c r="BU72" s="2">
        <f t="shared" si="29"/>
        <v>0</v>
      </c>
      <c r="BV72" s="2">
        <f t="shared" si="30"/>
        <v>0</v>
      </c>
      <c r="BW72" s="2">
        <f t="shared" si="31"/>
        <v>25</v>
      </c>
      <c r="BX72" s="2">
        <f t="shared" si="32"/>
        <v>0</v>
      </c>
      <c r="BY72" s="2">
        <f t="shared" si="33"/>
        <v>0</v>
      </c>
      <c r="BZ72" s="2">
        <f t="shared" si="34"/>
        <v>0</v>
      </c>
      <c r="CA72" s="2">
        <f t="shared" si="35"/>
        <v>0</v>
      </c>
      <c r="CB72" s="2">
        <f t="shared" si="36"/>
        <v>0</v>
      </c>
      <c r="CC72" s="2">
        <f t="shared" si="37"/>
        <v>0</v>
      </c>
      <c r="CD72" s="2">
        <f t="shared" si="38"/>
        <v>0</v>
      </c>
      <c r="CE72" s="131" t="s">
        <v>64</v>
      </c>
      <c r="CG72" s="54">
        <v>0</v>
      </c>
      <c r="CH72" s="54">
        <v>0</v>
      </c>
      <c r="CI72" s="54">
        <v>0</v>
      </c>
      <c r="CJ72" s="54">
        <v>0</v>
      </c>
      <c r="CK72" s="54">
        <v>0</v>
      </c>
      <c r="CL72" s="55">
        <v>3</v>
      </c>
      <c r="CM72" s="55">
        <v>0</v>
      </c>
      <c r="CN72" s="55">
        <v>0</v>
      </c>
      <c r="CO72" s="54">
        <v>0</v>
      </c>
      <c r="CP72" s="54">
        <v>0</v>
      </c>
      <c r="CQ72" s="56">
        <f>SUM(CG72:CP72)</f>
        <v>3</v>
      </c>
    </row>
    <row r="73" spans="1:95" s="66" customFormat="1" ht="21.75" customHeight="1" x14ac:dyDescent="0.25">
      <c r="A73" s="45">
        <v>55</v>
      </c>
      <c r="B73" s="95" t="s">
        <v>136</v>
      </c>
      <c r="C73" s="8" t="s">
        <v>137</v>
      </c>
      <c r="D73" s="96">
        <v>45648</v>
      </c>
      <c r="E73" s="65">
        <v>0.35138888888888892</v>
      </c>
      <c r="F73" s="69">
        <v>1</v>
      </c>
      <c r="G73" s="69">
        <v>1</v>
      </c>
      <c r="H73" s="69">
        <v>1</v>
      </c>
      <c r="I73" s="99">
        <v>1</v>
      </c>
      <c r="J73" s="99">
        <v>1</v>
      </c>
      <c r="K73" s="65">
        <v>0.35069444444444442</v>
      </c>
      <c r="L73" s="65">
        <v>0.95277777777777783</v>
      </c>
      <c r="M73" s="65">
        <v>0.35138888888888892</v>
      </c>
      <c r="N73" s="65">
        <v>0.93958333333333333</v>
      </c>
      <c r="O73" s="65">
        <v>0.35138888888888892</v>
      </c>
      <c r="P73" s="65">
        <v>0.9375</v>
      </c>
      <c r="Q73" s="65">
        <v>0.35138888888888892</v>
      </c>
      <c r="R73" s="65">
        <v>0.9590277777777777</v>
      </c>
      <c r="S73" s="65">
        <v>0.35138888888888892</v>
      </c>
      <c r="T73" s="65">
        <v>0.93819444444444444</v>
      </c>
      <c r="U73" s="65">
        <v>0.35069444444444442</v>
      </c>
      <c r="V73" s="65">
        <v>0.93263888888888891</v>
      </c>
      <c r="W73" s="98">
        <v>0.57430555555555551</v>
      </c>
      <c r="X73" s="98">
        <v>0.94374999999999998</v>
      </c>
      <c r="Y73" s="65">
        <v>0.35138888888888892</v>
      </c>
      <c r="Z73" s="69">
        <v>1</v>
      </c>
      <c r="AA73" s="65">
        <v>0.34722222222222227</v>
      </c>
      <c r="AB73" s="69">
        <v>1</v>
      </c>
      <c r="AC73" s="65">
        <v>0.3444444444444445</v>
      </c>
      <c r="AD73" s="69">
        <v>1</v>
      </c>
      <c r="AE73" s="69">
        <v>1</v>
      </c>
      <c r="AF73" s="69">
        <v>1</v>
      </c>
      <c r="AG73" s="69">
        <v>1</v>
      </c>
      <c r="AH73" s="69">
        <v>1</v>
      </c>
      <c r="AI73" s="105"/>
      <c r="AJ73" s="45">
        <v>55</v>
      </c>
      <c r="AK73" s="134">
        <v>46219.349861111114</v>
      </c>
      <c r="AL73" s="134">
        <v>46219.938715277778</v>
      </c>
      <c r="AM73" s="158" t="s">
        <v>15</v>
      </c>
      <c r="AN73" s="158" t="s">
        <v>15</v>
      </c>
      <c r="AO73" s="134">
        <v>46221.349502314813</v>
      </c>
      <c r="AP73" s="134">
        <v>46221.94</v>
      </c>
      <c r="AQ73" s="134">
        <v>46222.350821759261</v>
      </c>
      <c r="AR73" s="134">
        <v>46222.958634259259</v>
      </c>
      <c r="AS73" s="134">
        <v>46223.349930555552</v>
      </c>
      <c r="AT73" s="134">
        <v>46223.930590277778</v>
      </c>
      <c r="AU73" s="134">
        <v>46224.3518287037</v>
      </c>
      <c r="AV73" s="134">
        <v>46224.936828703707</v>
      </c>
      <c r="AW73" s="134">
        <v>46225.351273148146</v>
      </c>
      <c r="AX73" s="134">
        <v>46225.936921296299</v>
      </c>
      <c r="AY73" s="134">
        <v>46226.332881944443</v>
      </c>
      <c r="AZ73" s="134">
        <v>46226.940011574072</v>
      </c>
      <c r="BA73" s="134">
        <v>46227.577951388892</v>
      </c>
      <c r="BB73" s="134">
        <v>46227.931689814817</v>
      </c>
      <c r="BC73" s="134">
        <v>46228.352025462962</v>
      </c>
      <c r="BD73" s="134">
        <v>46228.945057870369</v>
      </c>
      <c r="BE73" s="134">
        <v>46229.351469907408</v>
      </c>
      <c r="BF73" s="134">
        <v>46229.942824074074</v>
      </c>
      <c r="BG73" s="134">
        <v>46230.352280092593</v>
      </c>
      <c r="BH73" s="134">
        <v>46230.937465277777</v>
      </c>
      <c r="BI73" s="134">
        <v>46231.351342592592</v>
      </c>
      <c r="BJ73" s="134">
        <v>46231.938101851854</v>
      </c>
      <c r="BK73" s="134">
        <v>46232.351875</v>
      </c>
      <c r="BL73" s="159">
        <v>1</v>
      </c>
      <c r="BM73" s="135">
        <v>46233.351840277777</v>
      </c>
      <c r="BN73" s="134">
        <v>46233.959155092591</v>
      </c>
      <c r="BO73" s="158" t="s">
        <v>15</v>
      </c>
      <c r="BP73" s="158" t="s">
        <v>15</v>
      </c>
      <c r="BQ73" s="9">
        <f t="shared" si="25"/>
        <v>31</v>
      </c>
      <c r="BR73" s="68">
        <v>2</v>
      </c>
      <c r="BS73" s="1">
        <f t="shared" si="27"/>
        <v>29</v>
      </c>
      <c r="BT73" s="2">
        <f t="shared" si="28"/>
        <v>2</v>
      </c>
      <c r="BU73" s="2">
        <f t="shared" si="29"/>
        <v>0</v>
      </c>
      <c r="BV73" s="2">
        <f t="shared" si="30"/>
        <v>0</v>
      </c>
      <c r="BW73" s="2">
        <f t="shared" si="31"/>
        <v>0</v>
      </c>
      <c r="BX73" s="2">
        <f t="shared" si="32"/>
        <v>0</v>
      </c>
      <c r="BY73" s="2">
        <f t="shared" si="33"/>
        <v>0</v>
      </c>
      <c r="BZ73" s="2">
        <f t="shared" si="34"/>
        <v>0</v>
      </c>
      <c r="CA73" s="2">
        <f t="shared" si="35"/>
        <v>0</v>
      </c>
      <c r="CB73" s="2">
        <f t="shared" si="36"/>
        <v>0</v>
      </c>
      <c r="CC73" s="2">
        <f t="shared" si="37"/>
        <v>0</v>
      </c>
      <c r="CD73" s="2">
        <f t="shared" si="38"/>
        <v>0</v>
      </c>
      <c r="CE73" s="167"/>
      <c r="CG73" s="122">
        <v>0</v>
      </c>
      <c r="CH73" s="123">
        <v>0</v>
      </c>
      <c r="CI73" s="123">
        <v>30</v>
      </c>
      <c r="CJ73" s="123">
        <v>0</v>
      </c>
      <c r="CK73" s="123">
        <v>0</v>
      </c>
      <c r="CL73" s="122">
        <v>0</v>
      </c>
      <c r="CM73" s="123">
        <v>0</v>
      </c>
      <c r="CN73" s="123">
        <v>0</v>
      </c>
      <c r="CO73" s="123">
        <v>6</v>
      </c>
      <c r="CP73" s="123">
        <v>0</v>
      </c>
      <c r="CQ73" s="125">
        <f t="shared" si="26"/>
        <v>36</v>
      </c>
    </row>
    <row r="74" spans="1:95" s="47" customFormat="1" ht="21.75" customHeight="1" x14ac:dyDescent="0.25">
      <c r="A74" s="45">
        <v>56</v>
      </c>
      <c r="B74" s="11" t="s">
        <v>138</v>
      </c>
      <c r="C74" s="8" t="s">
        <v>139</v>
      </c>
      <c r="D74" s="85">
        <v>45653</v>
      </c>
      <c r="E74" s="65">
        <v>0.36180555555555555</v>
      </c>
      <c r="F74" s="65">
        <v>0.97361111111111109</v>
      </c>
      <c r="G74" s="65">
        <v>0.35416666666666669</v>
      </c>
      <c r="H74" s="65">
        <v>0.98888888888888893</v>
      </c>
      <c r="I74" s="98">
        <v>0.57430555555555551</v>
      </c>
      <c r="J74" s="98">
        <v>0.9375</v>
      </c>
      <c r="K74" s="65">
        <v>0.35069444444444442</v>
      </c>
      <c r="L74" s="65">
        <v>0.95138888888888884</v>
      </c>
      <c r="M74" s="65">
        <v>0.35347222222222219</v>
      </c>
      <c r="N74" s="65">
        <v>0.95833333333333337</v>
      </c>
      <c r="O74" s="65">
        <v>0.35138888888888892</v>
      </c>
      <c r="P74" s="65">
        <v>0.95972222222222225</v>
      </c>
      <c r="Q74" s="65">
        <v>0.3520833333333333</v>
      </c>
      <c r="R74" s="69">
        <v>1</v>
      </c>
      <c r="S74" s="65">
        <v>0.41666666666666669</v>
      </c>
      <c r="T74" s="65">
        <v>0.9868055555555556</v>
      </c>
      <c r="U74" s="65">
        <v>0.35416666666666669</v>
      </c>
      <c r="V74" s="65">
        <v>0.98402777777777783</v>
      </c>
      <c r="W74" s="91" t="s">
        <v>15</v>
      </c>
      <c r="X74" s="91" t="s">
        <v>15</v>
      </c>
      <c r="Y74" s="65">
        <v>0.35486111111111113</v>
      </c>
      <c r="Z74" s="65">
        <v>0.94444444444444453</v>
      </c>
      <c r="AA74" s="65">
        <v>0.35138888888888892</v>
      </c>
      <c r="AB74" s="65">
        <v>0.97430555555555554</v>
      </c>
      <c r="AC74" s="65">
        <v>0.35625000000000001</v>
      </c>
      <c r="AD74" s="65">
        <v>0.93194444444444446</v>
      </c>
      <c r="AE74" s="65">
        <v>0.35138888888888892</v>
      </c>
      <c r="AF74" s="65">
        <v>0.96250000000000002</v>
      </c>
      <c r="AG74" s="65">
        <v>0.35347222222222219</v>
      </c>
      <c r="AH74" s="65">
        <v>0.97499999999999998</v>
      </c>
      <c r="AI74" s="114"/>
      <c r="AJ74" s="45">
        <v>56</v>
      </c>
      <c r="AK74" s="134">
        <v>46219.349861111114</v>
      </c>
      <c r="AL74" s="134">
        <v>46219.987037037034</v>
      </c>
      <c r="AM74" s="134">
        <v>1</v>
      </c>
      <c r="AN74" s="134">
        <v>46220.94054398148</v>
      </c>
      <c r="AO74" s="134">
        <v>46221.354270833333</v>
      </c>
      <c r="AP74" s="134">
        <v>46221.968530092592</v>
      </c>
      <c r="AQ74" s="134">
        <v>46222.354641203703</v>
      </c>
      <c r="AR74" s="134">
        <v>46222.950532407405</v>
      </c>
      <c r="AS74" s="134">
        <v>46223.35355324074</v>
      </c>
      <c r="AT74" s="134">
        <v>46223.958229166667</v>
      </c>
      <c r="AU74" s="134">
        <v>46224.35324074074</v>
      </c>
      <c r="AV74" s="134">
        <v>46224.962037037039</v>
      </c>
      <c r="AW74" s="134">
        <v>46225.350092592591</v>
      </c>
      <c r="AX74" s="134">
        <v>46225.986261574071</v>
      </c>
      <c r="AY74" s="134">
        <v>46226.353750000002</v>
      </c>
      <c r="AZ74" s="134">
        <v>46226.962604166663</v>
      </c>
      <c r="BA74" s="158" t="s">
        <v>15</v>
      </c>
      <c r="BB74" s="158" t="s">
        <v>15</v>
      </c>
      <c r="BC74" s="134">
        <v>46228.353981481479</v>
      </c>
      <c r="BD74" s="134">
        <v>46228.958912037036</v>
      </c>
      <c r="BE74" s="134">
        <v>46229.352708333332</v>
      </c>
      <c r="BF74" s="134">
        <v>46229.944004629629</v>
      </c>
      <c r="BG74" s="134">
        <v>46230.355243055557</v>
      </c>
      <c r="BH74" s="134">
        <v>46230.986504629633</v>
      </c>
      <c r="BI74" s="134">
        <v>46231.353935185187</v>
      </c>
      <c r="BJ74" s="134">
        <v>46231.955428240741</v>
      </c>
      <c r="BK74" s="134">
        <v>46232.352870370371</v>
      </c>
      <c r="BL74" s="137">
        <v>46232.917083333334</v>
      </c>
      <c r="BM74" s="135">
        <v>46233.34814814815</v>
      </c>
      <c r="BN74" s="134">
        <v>46233.966458333336</v>
      </c>
      <c r="BO74" s="134">
        <v>46234.564004629632</v>
      </c>
      <c r="BP74" s="137">
        <v>46234.92454861111</v>
      </c>
      <c r="BQ74" s="9">
        <f t="shared" si="25"/>
        <v>31</v>
      </c>
      <c r="BR74" s="68">
        <v>3</v>
      </c>
      <c r="BS74" s="1">
        <f t="shared" si="27"/>
        <v>29</v>
      </c>
      <c r="BT74" s="2">
        <f t="shared" si="28"/>
        <v>2</v>
      </c>
      <c r="BU74" s="2">
        <f t="shared" si="29"/>
        <v>0</v>
      </c>
      <c r="BV74" s="2">
        <f t="shared" si="30"/>
        <v>0</v>
      </c>
      <c r="BW74" s="2">
        <f t="shared" si="31"/>
        <v>0</v>
      </c>
      <c r="BX74" s="2">
        <f t="shared" si="32"/>
        <v>0</v>
      </c>
      <c r="BY74" s="2">
        <f t="shared" si="33"/>
        <v>0</v>
      </c>
      <c r="BZ74" s="2">
        <f t="shared" si="34"/>
        <v>0</v>
      </c>
      <c r="CA74" s="2">
        <f t="shared" si="35"/>
        <v>0</v>
      </c>
      <c r="CB74" s="2">
        <f t="shared" si="36"/>
        <v>0</v>
      </c>
      <c r="CC74" s="2">
        <f t="shared" si="37"/>
        <v>0</v>
      </c>
      <c r="CD74" s="2">
        <f t="shared" si="38"/>
        <v>0</v>
      </c>
      <c r="CE74" s="131"/>
      <c r="CG74" s="122">
        <v>0</v>
      </c>
      <c r="CH74" s="123">
        <v>0</v>
      </c>
      <c r="CI74" s="123">
        <v>0</v>
      </c>
      <c r="CJ74" s="123">
        <v>0</v>
      </c>
      <c r="CK74" s="123">
        <v>0</v>
      </c>
      <c r="CL74" s="122">
        <v>6</v>
      </c>
      <c r="CM74" s="123">
        <v>0</v>
      </c>
      <c r="CN74" s="123">
        <v>0</v>
      </c>
      <c r="CO74" s="123">
        <v>0</v>
      </c>
      <c r="CP74" s="123">
        <v>0</v>
      </c>
      <c r="CQ74" s="125">
        <f t="shared" si="26"/>
        <v>6</v>
      </c>
    </row>
    <row r="75" spans="1:95" s="47" customFormat="1" ht="21.75" customHeight="1" x14ac:dyDescent="0.25">
      <c r="A75" s="45">
        <v>57</v>
      </c>
      <c r="B75" s="11" t="s">
        <v>140</v>
      </c>
      <c r="C75" s="8" t="s">
        <v>141</v>
      </c>
      <c r="D75" s="85">
        <v>45670</v>
      </c>
      <c r="E75" s="65">
        <v>0.32777777777777778</v>
      </c>
      <c r="F75" s="65">
        <v>0.97499999999999998</v>
      </c>
      <c r="G75" s="65">
        <v>0.32569444444444445</v>
      </c>
      <c r="H75" s="65">
        <v>0.32569444444444445</v>
      </c>
      <c r="I75" s="91" t="s">
        <v>15</v>
      </c>
      <c r="J75" s="91" t="s">
        <v>15</v>
      </c>
      <c r="K75" s="65">
        <v>0.33263888888888887</v>
      </c>
      <c r="L75" s="65">
        <v>0.96944444444444444</v>
      </c>
      <c r="M75" s="65">
        <v>0.32777777777777778</v>
      </c>
      <c r="N75" s="65">
        <v>0.96597222222222223</v>
      </c>
      <c r="O75" s="65">
        <v>0.33333333333333331</v>
      </c>
      <c r="P75" s="65">
        <v>0.96597222222222223</v>
      </c>
      <c r="Q75" s="65">
        <v>0.33611111111111108</v>
      </c>
      <c r="R75" s="69">
        <v>1</v>
      </c>
      <c r="S75" s="65">
        <v>0.33680555555555558</v>
      </c>
      <c r="T75" s="65">
        <v>0.98125000000000007</v>
      </c>
      <c r="U75" s="65">
        <v>0.33124999999999999</v>
      </c>
      <c r="V75" s="65">
        <v>0.98402777777777783</v>
      </c>
      <c r="W75" s="98">
        <v>0.58124999999999993</v>
      </c>
      <c r="X75" s="98">
        <v>0.96527777777777779</v>
      </c>
      <c r="Y75" s="65">
        <v>0.33958333333333335</v>
      </c>
      <c r="Z75" s="65">
        <v>0.96388888888888891</v>
      </c>
      <c r="AA75" s="65">
        <v>0.33333333333333331</v>
      </c>
      <c r="AB75" s="65">
        <v>0.97291666666666676</v>
      </c>
      <c r="AC75" s="65">
        <v>0.33888888888888885</v>
      </c>
      <c r="AD75" s="65">
        <v>0.96111111111111114</v>
      </c>
      <c r="AE75" s="65">
        <v>0.33263888888888887</v>
      </c>
      <c r="AF75" s="65">
        <v>0.95624999999999993</v>
      </c>
      <c r="AG75" s="65">
        <v>0.32847222222222222</v>
      </c>
      <c r="AH75" s="65">
        <v>0.97777777777777775</v>
      </c>
      <c r="AI75" s="114"/>
      <c r="AJ75" s="45">
        <v>57</v>
      </c>
      <c r="AK75" s="134">
        <v>46219.333020833335</v>
      </c>
      <c r="AL75" s="134">
        <v>46219.994305555556</v>
      </c>
      <c r="AM75" s="158" t="s">
        <v>15</v>
      </c>
      <c r="AN75" s="158" t="s">
        <v>15</v>
      </c>
      <c r="AO75" s="134" t="s">
        <v>174</v>
      </c>
      <c r="AP75" s="134">
        <v>46221.970196759263</v>
      </c>
      <c r="AQ75" s="134">
        <v>46222.334340277775</v>
      </c>
      <c r="AR75" s="134">
        <v>46222.959143518521</v>
      </c>
      <c r="AS75" s="134">
        <v>46223.328518518516</v>
      </c>
      <c r="AT75" s="134">
        <v>46223.966932870368</v>
      </c>
      <c r="AU75" s="134">
        <v>46224.330462962964</v>
      </c>
      <c r="AV75" s="134">
        <v>46224.96503472222</v>
      </c>
      <c r="AW75" s="134">
        <v>46225.333113425928</v>
      </c>
      <c r="AX75" s="134">
        <v>46225.973761574074</v>
      </c>
      <c r="AY75" s="134">
        <v>46226.344039351854</v>
      </c>
      <c r="AZ75" s="134">
        <v>46226.975671296299</v>
      </c>
      <c r="BA75" s="134">
        <v>46227.581203703703</v>
      </c>
      <c r="BB75" s="136">
        <v>1</v>
      </c>
      <c r="BC75" s="134">
        <v>46228.339571759258</v>
      </c>
      <c r="BD75" s="134">
        <v>46228.973287037035</v>
      </c>
      <c r="BE75" s="134">
        <v>46229.356909722221</v>
      </c>
      <c r="BF75" s="134">
        <v>46229.883819444447</v>
      </c>
      <c r="BG75" s="158" t="s">
        <v>15</v>
      </c>
      <c r="BH75" s="158" t="s">
        <v>15</v>
      </c>
      <c r="BI75" s="134">
        <v>46231.332060185188</v>
      </c>
      <c r="BJ75" s="134">
        <v>46231.96634259259</v>
      </c>
      <c r="BK75" s="134">
        <v>46232.348807870374</v>
      </c>
      <c r="BL75" s="137">
        <v>46232.978483796294</v>
      </c>
      <c r="BM75" s="135">
        <v>46233.343969907408</v>
      </c>
      <c r="BN75" s="134">
        <v>46233.987719907411</v>
      </c>
      <c r="BO75" s="158" t="s">
        <v>15</v>
      </c>
      <c r="BP75" s="158" t="s">
        <v>15</v>
      </c>
      <c r="BQ75" s="9">
        <f t="shared" si="25"/>
        <v>31</v>
      </c>
      <c r="BR75" s="68">
        <v>2</v>
      </c>
      <c r="BS75" s="1">
        <f t="shared" si="27"/>
        <v>26.5</v>
      </c>
      <c r="BT75" s="2">
        <f t="shared" si="28"/>
        <v>4</v>
      </c>
      <c r="BU75" s="2">
        <f t="shared" si="29"/>
        <v>0</v>
      </c>
      <c r="BV75" s="2">
        <f t="shared" si="30"/>
        <v>0</v>
      </c>
      <c r="BW75" s="2">
        <f t="shared" si="31"/>
        <v>0</v>
      </c>
      <c r="BX75" s="2">
        <f t="shared" si="32"/>
        <v>0</v>
      </c>
      <c r="BY75" s="2">
        <f t="shared" si="33"/>
        <v>0</v>
      </c>
      <c r="BZ75" s="2">
        <f t="shared" si="34"/>
        <v>0.5</v>
      </c>
      <c r="CA75" s="2">
        <f t="shared" si="35"/>
        <v>0</v>
      </c>
      <c r="CB75" s="2">
        <f t="shared" si="36"/>
        <v>0</v>
      </c>
      <c r="CC75" s="2">
        <f t="shared" si="37"/>
        <v>0</v>
      </c>
      <c r="CD75" s="2">
        <f t="shared" si="38"/>
        <v>0</v>
      </c>
      <c r="CE75" s="131"/>
      <c r="CG75" s="55">
        <v>0</v>
      </c>
      <c r="CH75" s="54">
        <v>0</v>
      </c>
      <c r="CI75" s="54">
        <v>0</v>
      </c>
      <c r="CJ75" s="54">
        <v>0</v>
      </c>
      <c r="CK75" s="54">
        <v>0</v>
      </c>
      <c r="CL75" s="54">
        <v>0</v>
      </c>
      <c r="CM75" s="54">
        <v>0</v>
      </c>
      <c r="CN75" s="54">
        <v>0</v>
      </c>
      <c r="CO75" s="54">
        <v>0</v>
      </c>
      <c r="CP75" s="54">
        <v>0</v>
      </c>
      <c r="CQ75" s="126">
        <f t="shared" si="26"/>
        <v>0</v>
      </c>
    </row>
    <row r="76" spans="1:95" s="47" customFormat="1" ht="21.75" customHeight="1" x14ac:dyDescent="0.25">
      <c r="A76" s="45">
        <v>58</v>
      </c>
      <c r="B76" s="11" t="s">
        <v>142</v>
      </c>
      <c r="C76" s="8" t="s">
        <v>143</v>
      </c>
      <c r="D76" s="85">
        <v>45670</v>
      </c>
      <c r="E76" s="65">
        <v>0.39652777777777781</v>
      </c>
      <c r="F76" s="65">
        <v>0.90277777777777779</v>
      </c>
      <c r="G76" s="65">
        <v>0.42152777777777778</v>
      </c>
      <c r="H76" s="65">
        <v>0.94027777777777777</v>
      </c>
      <c r="I76" s="98">
        <v>0.56944444444444442</v>
      </c>
      <c r="J76" s="98">
        <v>0.90555555555555556</v>
      </c>
      <c r="K76" s="65">
        <v>0.41180555555555554</v>
      </c>
      <c r="L76" s="65">
        <v>0.96250000000000002</v>
      </c>
      <c r="M76" s="65">
        <v>0.42291666666666666</v>
      </c>
      <c r="N76" s="65">
        <v>0.9472222222222223</v>
      </c>
      <c r="O76" s="65">
        <v>0.40138888888888885</v>
      </c>
      <c r="P76" s="65">
        <v>0.94791666666666663</v>
      </c>
      <c r="Q76" s="65">
        <v>0.4152777777777778</v>
      </c>
      <c r="R76" s="65">
        <v>0.9472222222222223</v>
      </c>
      <c r="S76" s="65">
        <v>0.4145833333333333</v>
      </c>
      <c r="T76" s="65">
        <v>0.94444444444444453</v>
      </c>
      <c r="U76" s="65">
        <v>0.41805555555555557</v>
      </c>
      <c r="V76" s="65">
        <v>0.9590277777777777</v>
      </c>
      <c r="W76" s="98">
        <v>0.56944444444444442</v>
      </c>
      <c r="X76" s="98">
        <v>0.92986111111111114</v>
      </c>
      <c r="Y76" s="65">
        <v>0.39930555555555558</v>
      </c>
      <c r="Z76" s="65">
        <v>0.96250000000000002</v>
      </c>
      <c r="AA76" s="65">
        <v>0.42152777777777778</v>
      </c>
      <c r="AB76" s="65">
        <v>0.94652777777777775</v>
      </c>
      <c r="AC76" s="65">
        <v>0.41388888888888892</v>
      </c>
      <c r="AD76" s="65">
        <v>0.94097222222222221</v>
      </c>
      <c r="AE76" s="65">
        <v>0.40069444444444446</v>
      </c>
      <c r="AF76" s="65">
        <v>0.9472222222222223</v>
      </c>
      <c r="AG76" s="65">
        <v>0.40486111111111112</v>
      </c>
      <c r="AH76" s="65">
        <v>0.94652777777777775</v>
      </c>
      <c r="AI76" s="106"/>
      <c r="AJ76" s="45">
        <v>58</v>
      </c>
      <c r="AK76" s="134">
        <v>46219.406041666669</v>
      </c>
      <c r="AL76" s="134">
        <v>46219.965891203705</v>
      </c>
      <c r="AM76" s="134">
        <v>46220.565717592595</v>
      </c>
      <c r="AN76" s="134">
        <v>46220.946168981478</v>
      </c>
      <c r="AO76" s="134">
        <v>46221.406608796293</v>
      </c>
      <c r="AP76" s="134">
        <v>46221.967974537038</v>
      </c>
      <c r="AQ76" s="134">
        <v>46221.406608796293</v>
      </c>
      <c r="AR76" s="134">
        <v>46222.950497685182</v>
      </c>
      <c r="AS76" s="134">
        <v>46223.428831018522</v>
      </c>
      <c r="AT76" s="134">
        <v>46223.945150462961</v>
      </c>
      <c r="AU76" s="134">
        <v>46224.40729166667</v>
      </c>
      <c r="AV76" s="134">
        <v>46224.942858796298</v>
      </c>
      <c r="AW76" s="134">
        <v>46225.410034722219</v>
      </c>
      <c r="AX76" s="134">
        <v>46225.944780092592</v>
      </c>
      <c r="AY76" s="134">
        <v>46226.351701388892</v>
      </c>
      <c r="AZ76" s="134">
        <v>46226.953946759262</v>
      </c>
      <c r="BA76" s="134">
        <v>46227.571469907409</v>
      </c>
      <c r="BB76" s="134">
        <v>46227.934895833336</v>
      </c>
      <c r="BC76" s="134">
        <v>46228.436562499999</v>
      </c>
      <c r="BD76" s="134">
        <v>46228.958460648151</v>
      </c>
      <c r="BE76" s="134">
        <v>46229.415717592594</v>
      </c>
      <c r="BF76" s="134">
        <v>46229.953877314816</v>
      </c>
      <c r="BG76" s="134">
        <v>46230.413483796299</v>
      </c>
      <c r="BH76" s="134">
        <v>1</v>
      </c>
      <c r="BI76" s="134">
        <v>1</v>
      </c>
      <c r="BJ76" s="136">
        <v>1</v>
      </c>
      <c r="BK76" s="138">
        <v>46232.418009259258</v>
      </c>
      <c r="BL76" s="137">
        <v>46232.962106481478</v>
      </c>
      <c r="BM76" s="135" t="s">
        <v>258</v>
      </c>
      <c r="BN76" s="138">
        <v>46233.97146990741</v>
      </c>
      <c r="BO76" s="134">
        <v>46234.577546296299</v>
      </c>
      <c r="BP76" s="137">
        <v>46234.941701388889</v>
      </c>
      <c r="BQ76" s="9">
        <f t="shared" si="25"/>
        <v>30.5</v>
      </c>
      <c r="BR76" s="68">
        <v>5</v>
      </c>
      <c r="BS76" s="1">
        <f t="shared" si="27"/>
        <v>30.5</v>
      </c>
      <c r="BT76" s="2">
        <f t="shared" si="28"/>
        <v>0</v>
      </c>
      <c r="BU76" s="2">
        <f t="shared" si="29"/>
        <v>0</v>
      </c>
      <c r="BV76" s="2">
        <f t="shared" si="30"/>
        <v>0</v>
      </c>
      <c r="BW76" s="2">
        <f t="shared" si="31"/>
        <v>0</v>
      </c>
      <c r="BX76" s="2">
        <f t="shared" si="32"/>
        <v>0</v>
      </c>
      <c r="BY76" s="2">
        <f t="shared" si="33"/>
        <v>0</v>
      </c>
      <c r="BZ76" s="2">
        <f t="shared" si="34"/>
        <v>0</v>
      </c>
      <c r="CA76" s="2">
        <f t="shared" si="35"/>
        <v>0</v>
      </c>
      <c r="CB76" s="2">
        <f t="shared" si="36"/>
        <v>0</v>
      </c>
      <c r="CC76" s="2">
        <f t="shared" si="37"/>
        <v>0</v>
      </c>
      <c r="CD76" s="2">
        <f t="shared" si="38"/>
        <v>0</v>
      </c>
      <c r="CE76" s="131"/>
      <c r="CG76" s="122">
        <v>0</v>
      </c>
      <c r="CH76" s="123">
        <v>0</v>
      </c>
      <c r="CI76" s="123">
        <v>0</v>
      </c>
      <c r="CJ76" s="123">
        <v>0</v>
      </c>
      <c r="CK76" s="123">
        <v>0</v>
      </c>
      <c r="CL76" s="123">
        <v>0</v>
      </c>
      <c r="CM76" s="123">
        <v>0</v>
      </c>
      <c r="CN76" s="123">
        <v>0</v>
      </c>
      <c r="CO76" s="123">
        <v>0</v>
      </c>
      <c r="CP76" s="123">
        <v>0</v>
      </c>
      <c r="CQ76" s="125">
        <f t="shared" si="26"/>
        <v>0</v>
      </c>
    </row>
    <row r="77" spans="1:95" s="47" customFormat="1" ht="21.75" customHeight="1" x14ac:dyDescent="0.25">
      <c r="A77" s="45">
        <v>59</v>
      </c>
      <c r="B77" s="11" t="s">
        <v>144</v>
      </c>
      <c r="C77" s="8" t="s">
        <v>145</v>
      </c>
      <c r="D77" s="85">
        <v>45670</v>
      </c>
      <c r="E77" s="65">
        <v>0.34097222222222223</v>
      </c>
      <c r="F77" s="65">
        <v>0.97361111111111109</v>
      </c>
      <c r="G77" s="65">
        <v>0.3444444444444445</v>
      </c>
      <c r="H77" s="65">
        <v>0.9916666666666667</v>
      </c>
      <c r="I77" s="91" t="s">
        <v>15</v>
      </c>
      <c r="J77" s="91" t="s">
        <v>15</v>
      </c>
      <c r="K77" s="65">
        <v>0.34166666666666662</v>
      </c>
      <c r="L77" s="65">
        <v>0.94930555555555562</v>
      </c>
      <c r="M77" s="65">
        <v>0.3520833333333333</v>
      </c>
      <c r="N77" s="65">
        <v>0.96736111111111101</v>
      </c>
      <c r="O77" s="65">
        <v>0.35347222222222219</v>
      </c>
      <c r="P77" s="65">
        <v>0.95972222222222225</v>
      </c>
      <c r="Q77" s="65">
        <v>0.34513888888888888</v>
      </c>
      <c r="R77" s="69">
        <v>1</v>
      </c>
      <c r="S77" s="65">
        <v>0.34097222222222223</v>
      </c>
      <c r="T77" s="65">
        <v>0.96111111111111114</v>
      </c>
      <c r="U77" s="65">
        <v>0.34375</v>
      </c>
      <c r="V77" s="65">
        <v>0.98402777777777783</v>
      </c>
      <c r="W77" s="98">
        <v>0.5805555555555556</v>
      </c>
      <c r="X77" s="98">
        <v>0.96527777777777779</v>
      </c>
      <c r="Y77" s="65">
        <v>0.34236111111111112</v>
      </c>
      <c r="Z77" s="65">
        <v>0.95208333333333339</v>
      </c>
      <c r="AA77" s="65">
        <v>0.34236111111111112</v>
      </c>
      <c r="AB77" s="65">
        <v>0.97430555555555554</v>
      </c>
      <c r="AC77" s="65">
        <v>0.3430555555555555</v>
      </c>
      <c r="AD77" s="65">
        <v>0.93194444444444446</v>
      </c>
      <c r="AE77" s="65">
        <v>0.3444444444444445</v>
      </c>
      <c r="AF77" s="65">
        <v>0.96250000000000002</v>
      </c>
      <c r="AG77" s="65">
        <v>0.34097222222222223</v>
      </c>
      <c r="AH77" s="65">
        <v>0.97499999999999998</v>
      </c>
      <c r="AI77" s="114"/>
      <c r="AJ77" s="45">
        <v>59</v>
      </c>
      <c r="AK77" s="134">
        <v>46219.343321759261</v>
      </c>
      <c r="AL77" s="134">
        <v>46219.992962962962</v>
      </c>
      <c r="AM77" s="158" t="s">
        <v>15</v>
      </c>
      <c r="AN77" s="158" t="s">
        <v>15</v>
      </c>
      <c r="AO77" s="134">
        <v>46221.345833333333</v>
      </c>
      <c r="AP77" s="134">
        <v>46221.973078703704</v>
      </c>
      <c r="AQ77" s="134">
        <v>46222.343425925923</v>
      </c>
      <c r="AR77" s="134">
        <v>46222.941851851851</v>
      </c>
      <c r="AS77" s="134">
        <v>46223.3434837963</v>
      </c>
      <c r="AT77" s="134">
        <v>46223.957650462966</v>
      </c>
      <c r="AU77" s="134">
        <v>46224.341504629629</v>
      </c>
      <c r="AV77" s="134">
        <v>46224.959560185183</v>
      </c>
      <c r="AW77" s="134">
        <v>46225.342280092591</v>
      </c>
      <c r="AX77" s="134">
        <v>46225.986666666664</v>
      </c>
      <c r="AY77" s="134">
        <v>46226.352731481478</v>
      </c>
      <c r="AZ77" s="134">
        <v>46226.962476851855</v>
      </c>
      <c r="BA77" s="134">
        <v>46227.580370370371</v>
      </c>
      <c r="BB77" s="134">
        <v>46227.925833333335</v>
      </c>
      <c r="BC77" s="134">
        <v>46228.342986111114</v>
      </c>
      <c r="BD77" s="134">
        <v>46228.961365740739</v>
      </c>
      <c r="BE77" s="134">
        <v>46229.341828703706</v>
      </c>
      <c r="BF77" s="134">
        <v>46229.9450462963</v>
      </c>
      <c r="BG77" s="134">
        <v>46230.340219907404</v>
      </c>
      <c r="BH77" s="134">
        <v>46230.974583333336</v>
      </c>
      <c r="BI77" s="134">
        <v>46231.341226851851</v>
      </c>
      <c r="BJ77" s="134">
        <v>46231.958819444444</v>
      </c>
      <c r="BK77" s="134">
        <v>46232.343368055554</v>
      </c>
      <c r="BL77" s="137">
        <v>46232.945798611108</v>
      </c>
      <c r="BM77" s="135">
        <v>46233.339687500003</v>
      </c>
      <c r="BN77" s="134">
        <v>46233.929988425924</v>
      </c>
      <c r="BO77" s="158" t="s">
        <v>15</v>
      </c>
      <c r="BP77" s="158" t="s">
        <v>15</v>
      </c>
      <c r="BQ77" s="9">
        <f t="shared" si="25"/>
        <v>31</v>
      </c>
      <c r="BR77" s="68">
        <v>2</v>
      </c>
      <c r="BS77" s="1">
        <f t="shared" si="27"/>
        <v>28</v>
      </c>
      <c r="BT77" s="2">
        <f t="shared" si="28"/>
        <v>3</v>
      </c>
      <c r="BU77" s="2">
        <f t="shared" si="29"/>
        <v>0</v>
      </c>
      <c r="BV77" s="2">
        <f t="shared" si="30"/>
        <v>0</v>
      </c>
      <c r="BW77" s="2">
        <f t="shared" si="31"/>
        <v>0</v>
      </c>
      <c r="BX77" s="2">
        <f t="shared" si="32"/>
        <v>0</v>
      </c>
      <c r="BY77" s="2">
        <f t="shared" si="33"/>
        <v>0</v>
      </c>
      <c r="BZ77" s="2">
        <f t="shared" si="34"/>
        <v>0</v>
      </c>
      <c r="CA77" s="2">
        <f t="shared" si="35"/>
        <v>0</v>
      </c>
      <c r="CB77" s="2">
        <f t="shared" si="36"/>
        <v>0</v>
      </c>
      <c r="CC77" s="2">
        <f t="shared" si="37"/>
        <v>0</v>
      </c>
      <c r="CD77" s="2">
        <f t="shared" si="38"/>
        <v>0</v>
      </c>
      <c r="CE77" s="131"/>
      <c r="CG77" s="55">
        <v>0</v>
      </c>
      <c r="CH77" s="54">
        <v>0</v>
      </c>
      <c r="CI77" s="54">
        <v>30</v>
      </c>
      <c r="CJ77" s="54">
        <v>0</v>
      </c>
      <c r="CK77" s="54">
        <v>0</v>
      </c>
      <c r="CL77" s="54">
        <v>0</v>
      </c>
      <c r="CM77" s="54">
        <v>0</v>
      </c>
      <c r="CN77" s="54">
        <v>0</v>
      </c>
      <c r="CO77" s="54">
        <v>0</v>
      </c>
      <c r="CP77" s="54">
        <v>0</v>
      </c>
      <c r="CQ77" s="126">
        <f t="shared" ref="CQ77:CQ110" si="41">SUM(CG77:CP77)</f>
        <v>30</v>
      </c>
    </row>
    <row r="78" spans="1:95" s="47" customFormat="1" ht="21.75" customHeight="1" x14ac:dyDescent="0.25">
      <c r="A78" s="45">
        <v>60</v>
      </c>
      <c r="B78" s="11" t="s">
        <v>146</v>
      </c>
      <c r="C78" s="8" t="s">
        <v>147</v>
      </c>
      <c r="D78" s="85">
        <v>45673</v>
      </c>
      <c r="E78" s="65">
        <v>0.35347222222222219</v>
      </c>
      <c r="F78" s="65">
        <v>0.95000000000000007</v>
      </c>
      <c r="G78" s="65">
        <v>0.3527777777777778</v>
      </c>
      <c r="H78" s="65">
        <v>0.97222222222222221</v>
      </c>
      <c r="I78" s="91" t="s">
        <v>15</v>
      </c>
      <c r="J78" s="91" t="s">
        <v>15</v>
      </c>
      <c r="K78" s="65">
        <v>0.3527777777777778</v>
      </c>
      <c r="L78" s="65">
        <v>0.97083333333333333</v>
      </c>
      <c r="M78" s="65">
        <v>0.3520833333333333</v>
      </c>
      <c r="N78" s="65">
        <v>0.95277777777777783</v>
      </c>
      <c r="O78" s="65">
        <v>0.35416666666666669</v>
      </c>
      <c r="P78" s="65">
        <v>0.95208333333333339</v>
      </c>
      <c r="Q78" s="65">
        <v>0.35347222222222219</v>
      </c>
      <c r="R78" s="65">
        <v>0.94791666666666663</v>
      </c>
      <c r="S78" s="65">
        <v>0.3520833333333333</v>
      </c>
      <c r="T78" s="65">
        <v>0.95208333333333339</v>
      </c>
      <c r="U78" s="65">
        <v>0.35000000000000003</v>
      </c>
      <c r="V78" s="65">
        <v>0.97638888888888886</v>
      </c>
      <c r="W78" s="98">
        <v>0.58124999999999993</v>
      </c>
      <c r="X78" s="98">
        <v>0.95763888888888893</v>
      </c>
      <c r="Y78" s="65">
        <v>0.35069444444444442</v>
      </c>
      <c r="Z78" s="65">
        <v>0.96666666666666667</v>
      </c>
      <c r="AA78" s="65">
        <v>0.34791666666666665</v>
      </c>
      <c r="AB78" s="65">
        <v>0.9555555555555556</v>
      </c>
      <c r="AC78" s="65">
        <v>0.35069444444444442</v>
      </c>
      <c r="AD78" s="65">
        <v>0.95138888888888884</v>
      </c>
      <c r="AE78" s="65">
        <v>0.3520833333333333</v>
      </c>
      <c r="AF78" s="65">
        <v>0.95208333333333339</v>
      </c>
      <c r="AG78" s="65">
        <v>0.3527777777777778</v>
      </c>
      <c r="AH78" s="65">
        <v>0.95624999999999993</v>
      </c>
      <c r="AI78" s="114"/>
      <c r="AJ78" s="45">
        <v>60</v>
      </c>
      <c r="AK78" s="134">
        <v>46219.353263888886</v>
      </c>
      <c r="AL78" s="134">
        <v>46219.978321759256</v>
      </c>
      <c r="AM78" s="158" t="s">
        <v>15</v>
      </c>
      <c r="AN78" s="158" t="s">
        <v>15</v>
      </c>
      <c r="AO78" s="134">
        <v>46221.352569444447</v>
      </c>
      <c r="AP78" s="134">
        <v>46221.973171296297</v>
      </c>
      <c r="AQ78" s="134">
        <v>46222.35255787037</v>
      </c>
      <c r="AR78" s="134">
        <v>46222.956516203703</v>
      </c>
      <c r="AS78" s="134">
        <v>46223.352418981478</v>
      </c>
      <c r="AT78" s="134">
        <v>46223.95789351852</v>
      </c>
      <c r="AU78" s="134">
        <v>46224.3516087963</v>
      </c>
      <c r="AV78" s="134">
        <v>46224.954386574071</v>
      </c>
      <c r="AW78" s="134">
        <v>46225.350810185184</v>
      </c>
      <c r="AX78" s="134">
        <v>46225.955671296295</v>
      </c>
      <c r="AY78" s="134">
        <v>46226.328113425923</v>
      </c>
      <c r="AZ78" s="134">
        <v>46226.975162037037</v>
      </c>
      <c r="BA78" s="134">
        <v>46227.580671296295</v>
      </c>
      <c r="BB78" s="134">
        <v>46227.959722222222</v>
      </c>
      <c r="BC78" s="134">
        <v>46228.351631944446</v>
      </c>
      <c r="BD78" s="134">
        <v>46228.968009259261</v>
      </c>
      <c r="BE78" s="134">
        <v>46229.35261574074</v>
      </c>
      <c r="BF78" s="134">
        <v>46229.956087962964</v>
      </c>
      <c r="BG78" s="134">
        <v>46230.35260416667</v>
      </c>
      <c r="BH78" s="134">
        <v>46230.950520833336</v>
      </c>
      <c r="BI78" s="134">
        <v>46231.35292824074</v>
      </c>
      <c r="BJ78" s="136">
        <v>1</v>
      </c>
      <c r="BK78" s="134">
        <v>46232.350659722222</v>
      </c>
      <c r="BL78" s="137">
        <v>46232.963865740741</v>
      </c>
      <c r="BM78" s="135">
        <v>46233.352418981478</v>
      </c>
      <c r="BN78" s="134">
        <v>46233.98028935185</v>
      </c>
      <c r="BO78" s="136">
        <v>1</v>
      </c>
      <c r="BP78" s="137">
        <v>46234.950057870374</v>
      </c>
      <c r="BQ78" s="9">
        <f t="shared" si="25"/>
        <v>31</v>
      </c>
      <c r="BR78" s="68">
        <v>3</v>
      </c>
      <c r="BS78" s="1">
        <f t="shared" si="27"/>
        <v>29</v>
      </c>
      <c r="BT78" s="2">
        <f t="shared" si="28"/>
        <v>2</v>
      </c>
      <c r="BU78" s="2">
        <f t="shared" si="29"/>
        <v>0</v>
      </c>
      <c r="BV78" s="2">
        <f t="shared" si="30"/>
        <v>0</v>
      </c>
      <c r="BW78" s="2">
        <f t="shared" si="31"/>
        <v>0</v>
      </c>
      <c r="BX78" s="2">
        <f t="shared" si="32"/>
        <v>0</v>
      </c>
      <c r="BY78" s="2">
        <f t="shared" si="33"/>
        <v>0</v>
      </c>
      <c r="BZ78" s="2">
        <f t="shared" si="34"/>
        <v>0</v>
      </c>
      <c r="CA78" s="2">
        <f t="shared" si="35"/>
        <v>0</v>
      </c>
      <c r="CB78" s="2">
        <f t="shared" si="36"/>
        <v>0</v>
      </c>
      <c r="CC78" s="2">
        <f t="shared" si="37"/>
        <v>0</v>
      </c>
      <c r="CD78" s="2">
        <f t="shared" si="38"/>
        <v>0</v>
      </c>
      <c r="CE78" s="131"/>
      <c r="CG78" s="122">
        <v>0</v>
      </c>
      <c r="CH78" s="123">
        <v>0</v>
      </c>
      <c r="CI78" s="123">
        <v>0</v>
      </c>
      <c r="CJ78" s="123">
        <v>0</v>
      </c>
      <c r="CK78" s="123">
        <v>0</v>
      </c>
      <c r="CL78" s="123">
        <v>1</v>
      </c>
      <c r="CM78" s="123">
        <v>0</v>
      </c>
      <c r="CN78" s="123">
        <v>0</v>
      </c>
      <c r="CO78" s="123">
        <v>0</v>
      </c>
      <c r="CP78" s="123">
        <v>0</v>
      </c>
      <c r="CQ78" s="125">
        <f t="shared" si="41"/>
        <v>1</v>
      </c>
    </row>
    <row r="79" spans="1:95" s="47" customFormat="1" ht="21.75" customHeight="1" x14ac:dyDescent="0.25">
      <c r="A79" s="45">
        <v>61</v>
      </c>
      <c r="B79" s="11" t="s">
        <v>148</v>
      </c>
      <c r="C79" s="8" t="s">
        <v>149</v>
      </c>
      <c r="D79" s="85">
        <v>45679</v>
      </c>
      <c r="E79" s="65">
        <v>0.3520833333333333</v>
      </c>
      <c r="F79" s="65">
        <v>0.94305555555555554</v>
      </c>
      <c r="G79" s="65">
        <v>0.3520833333333333</v>
      </c>
      <c r="H79" s="65">
        <v>0.96458333333333324</v>
      </c>
      <c r="I79" s="91" t="s">
        <v>15</v>
      </c>
      <c r="J79" s="91" t="s">
        <v>15</v>
      </c>
      <c r="K79" s="65">
        <v>0.3520833333333333</v>
      </c>
      <c r="L79" s="65">
        <v>0.96875</v>
      </c>
      <c r="M79" s="65">
        <v>0.3520833333333333</v>
      </c>
      <c r="N79" s="65">
        <v>0.95138888888888884</v>
      </c>
      <c r="O79" s="65">
        <v>0.3520833333333333</v>
      </c>
      <c r="P79" s="65">
        <v>0.94652777777777775</v>
      </c>
      <c r="Q79" s="65">
        <v>0.3527777777777778</v>
      </c>
      <c r="R79" s="65">
        <v>0.93958333333333333</v>
      </c>
      <c r="S79" s="65">
        <v>0.3527777777777778</v>
      </c>
      <c r="T79" s="65">
        <v>0.94652777777777775</v>
      </c>
      <c r="U79" s="65">
        <v>0.3527777777777778</v>
      </c>
      <c r="V79" s="65">
        <v>0.9770833333333333</v>
      </c>
      <c r="W79" s="98">
        <v>0.57777777777777783</v>
      </c>
      <c r="X79" s="98">
        <v>0.95694444444444438</v>
      </c>
      <c r="Y79" s="65">
        <v>0.3527777777777778</v>
      </c>
      <c r="Z79" s="65">
        <v>0.96458333333333324</v>
      </c>
      <c r="AA79" s="65">
        <v>0.34861111111111115</v>
      </c>
      <c r="AB79" s="65">
        <v>0.95138888888888884</v>
      </c>
      <c r="AC79" s="65">
        <v>0.3527777777777778</v>
      </c>
      <c r="AD79" s="65">
        <v>0.94374999999999998</v>
      </c>
      <c r="AE79" s="65">
        <v>0.3520833333333333</v>
      </c>
      <c r="AF79" s="65">
        <v>0.94513888888888886</v>
      </c>
      <c r="AG79" s="65">
        <v>0.3520833333333333</v>
      </c>
      <c r="AH79" s="65">
        <v>0.94861111111111107</v>
      </c>
      <c r="AI79" s="114"/>
      <c r="AJ79" s="45">
        <v>61</v>
      </c>
      <c r="AK79" s="134">
        <v>46219.352025462962</v>
      </c>
      <c r="AL79" s="134">
        <v>46219.969236111108</v>
      </c>
      <c r="AM79" s="158" t="s">
        <v>15</v>
      </c>
      <c r="AN79" s="158" t="s">
        <v>15</v>
      </c>
      <c r="AO79" s="134">
        <v>46221.3518287037</v>
      </c>
      <c r="AP79" s="134">
        <v>46221.970358796294</v>
      </c>
      <c r="AQ79" s="134">
        <v>46222.351944444446</v>
      </c>
      <c r="AR79" s="134">
        <v>46222.951388888891</v>
      </c>
      <c r="AS79" s="134">
        <v>46223.351875</v>
      </c>
      <c r="AT79" s="134">
        <v>46223.94740740741</v>
      </c>
      <c r="AU79" s="134">
        <v>46224.351956018516</v>
      </c>
      <c r="AV79" s="134">
        <v>46224.947337962964</v>
      </c>
      <c r="AW79" s="134">
        <v>46225.352731481478</v>
      </c>
      <c r="AX79" s="134">
        <v>46225.960868055554</v>
      </c>
      <c r="AY79" s="134">
        <v>46226.359016203707</v>
      </c>
      <c r="AZ79" s="134">
        <v>46226.966331018521</v>
      </c>
      <c r="BA79" s="134">
        <v>46227.57912037037</v>
      </c>
      <c r="BB79" s="134">
        <v>46227.95040509259</v>
      </c>
      <c r="BC79" s="134">
        <v>46228.3518287037</v>
      </c>
      <c r="BD79" s="134">
        <v>46228.971770833334</v>
      </c>
      <c r="BE79" s="134">
        <v>46229.352372685185</v>
      </c>
      <c r="BF79" s="134">
        <v>46229.953449074077</v>
      </c>
      <c r="BG79" s="134">
        <v>46230.351365740738</v>
      </c>
      <c r="BH79" s="134">
        <v>46230.986898148149</v>
      </c>
      <c r="BI79" s="134">
        <v>46231.352164351854</v>
      </c>
      <c r="BJ79" s="136">
        <v>1</v>
      </c>
      <c r="BK79" s="134">
        <v>46232.351631944446</v>
      </c>
      <c r="BL79" s="137">
        <v>46232.959537037037</v>
      </c>
      <c r="BM79" s="135">
        <v>46233.351631944446</v>
      </c>
      <c r="BN79" s="134">
        <v>46233.976585648146</v>
      </c>
      <c r="BO79" s="158" t="s">
        <v>15</v>
      </c>
      <c r="BP79" s="158" t="s">
        <v>15</v>
      </c>
      <c r="BQ79" s="9">
        <f t="shared" si="25"/>
        <v>31</v>
      </c>
      <c r="BR79" s="68">
        <v>2</v>
      </c>
      <c r="BS79" s="1">
        <f t="shared" si="27"/>
        <v>28</v>
      </c>
      <c r="BT79" s="2">
        <f t="shared" si="28"/>
        <v>3</v>
      </c>
      <c r="BU79" s="2">
        <f t="shared" si="29"/>
        <v>0</v>
      </c>
      <c r="BV79" s="2">
        <f t="shared" si="30"/>
        <v>0</v>
      </c>
      <c r="BW79" s="2">
        <f t="shared" si="31"/>
        <v>0</v>
      </c>
      <c r="BX79" s="2">
        <f t="shared" si="32"/>
        <v>0</v>
      </c>
      <c r="BY79" s="2">
        <f t="shared" si="33"/>
        <v>0</v>
      </c>
      <c r="BZ79" s="2">
        <f t="shared" si="34"/>
        <v>0</v>
      </c>
      <c r="CA79" s="2">
        <f t="shared" si="35"/>
        <v>0</v>
      </c>
      <c r="CB79" s="2">
        <f t="shared" si="36"/>
        <v>0</v>
      </c>
      <c r="CC79" s="2">
        <f t="shared" si="37"/>
        <v>0</v>
      </c>
      <c r="CD79" s="2">
        <f t="shared" si="38"/>
        <v>0</v>
      </c>
      <c r="CE79" s="131"/>
      <c r="CG79" s="55">
        <v>0</v>
      </c>
      <c r="CH79" s="54">
        <v>0</v>
      </c>
      <c r="CI79" s="54">
        <v>0</v>
      </c>
      <c r="CJ79" s="54">
        <v>0</v>
      </c>
      <c r="CK79" s="54">
        <v>0</v>
      </c>
      <c r="CL79" s="54">
        <v>0</v>
      </c>
      <c r="CM79" s="54">
        <v>0</v>
      </c>
      <c r="CN79" s="54">
        <v>0</v>
      </c>
      <c r="CO79" s="54">
        <v>0</v>
      </c>
      <c r="CP79" s="54">
        <v>0</v>
      </c>
      <c r="CQ79" s="126">
        <f t="shared" si="41"/>
        <v>0</v>
      </c>
    </row>
    <row r="80" spans="1:95" s="47" customFormat="1" ht="21.75" customHeight="1" x14ac:dyDescent="0.25">
      <c r="A80" s="45">
        <v>62</v>
      </c>
      <c r="B80" s="11" t="s">
        <v>150</v>
      </c>
      <c r="C80" s="8" t="s">
        <v>151</v>
      </c>
      <c r="D80" s="85">
        <v>45679</v>
      </c>
      <c r="E80" s="65">
        <v>0.35416666666666669</v>
      </c>
      <c r="F80" s="65">
        <v>0.9770833333333333</v>
      </c>
      <c r="G80" s="65">
        <v>0.35416666666666669</v>
      </c>
      <c r="H80" s="65">
        <v>0.97083333333333333</v>
      </c>
      <c r="I80" s="98">
        <v>0.58124999999999993</v>
      </c>
      <c r="J80" s="98">
        <v>0.93541666666666667</v>
      </c>
      <c r="K80" s="65">
        <v>0.35416666666666669</v>
      </c>
      <c r="L80" s="65">
        <v>0.95624999999999993</v>
      </c>
      <c r="M80" s="65">
        <v>0.35347222222222219</v>
      </c>
      <c r="N80" s="65">
        <v>0.93472222222222223</v>
      </c>
      <c r="O80" s="65">
        <v>0.35347222222222219</v>
      </c>
      <c r="P80" s="65">
        <v>0.9604166666666667</v>
      </c>
      <c r="Q80" s="65">
        <v>0.35347222222222219</v>
      </c>
      <c r="R80" s="69">
        <v>1</v>
      </c>
      <c r="S80" s="65">
        <v>0.35486111111111113</v>
      </c>
      <c r="T80" s="65">
        <v>1.3888888888888889E-3</v>
      </c>
      <c r="U80" s="65">
        <v>0.35416666666666669</v>
      </c>
      <c r="V80" s="65">
        <v>0.98611111111111116</v>
      </c>
      <c r="W80" s="91" t="s">
        <v>15</v>
      </c>
      <c r="X80" s="91" t="s">
        <v>15</v>
      </c>
      <c r="Y80" s="65">
        <v>0.35486111111111113</v>
      </c>
      <c r="Z80" s="65">
        <v>0.95208333333333339</v>
      </c>
      <c r="AA80" s="65">
        <v>0.35000000000000003</v>
      </c>
      <c r="AB80" s="65">
        <v>0.95347222222222217</v>
      </c>
      <c r="AC80" s="65">
        <v>0.35416666666666669</v>
      </c>
      <c r="AD80" s="65">
        <v>0.93611111111111101</v>
      </c>
      <c r="AE80" s="65">
        <v>0.3520833333333333</v>
      </c>
      <c r="AF80" s="65">
        <v>0.95694444444444438</v>
      </c>
      <c r="AG80" s="65">
        <v>0.35347222222222219</v>
      </c>
      <c r="AH80" s="65">
        <v>0.97430555555555554</v>
      </c>
      <c r="AI80" s="114"/>
      <c r="AJ80" s="45">
        <v>62</v>
      </c>
      <c r="AK80" s="134">
        <v>46219.353692129633</v>
      </c>
      <c r="AL80" s="134">
        <v>46219.992488425924</v>
      </c>
      <c r="AM80" s="134">
        <v>46220.580578703702</v>
      </c>
      <c r="AN80" s="134">
        <v>46220.940682870372</v>
      </c>
      <c r="AO80" s="134">
        <v>46221.354791666665</v>
      </c>
      <c r="AP80" s="134">
        <v>46221.972685185188</v>
      </c>
      <c r="AQ80" s="134">
        <v>46222.35359953704</v>
      </c>
      <c r="AR80" s="134">
        <v>46222.942604166667</v>
      </c>
      <c r="AS80" s="134">
        <v>46223.353900462964</v>
      </c>
      <c r="AT80" s="134">
        <v>46223.956226851849</v>
      </c>
      <c r="AU80" s="134">
        <v>46224.354317129626</v>
      </c>
      <c r="AV80" s="134">
        <v>46224.964120370372</v>
      </c>
      <c r="AW80" s="134">
        <v>46225.354131944441</v>
      </c>
      <c r="AX80" s="134">
        <v>46225.98741898148</v>
      </c>
      <c r="AY80" s="134">
        <v>46226.356076388889</v>
      </c>
      <c r="AZ80" s="134">
        <v>46226.962766203702</v>
      </c>
      <c r="BA80" s="158" t="s">
        <v>15</v>
      </c>
      <c r="BB80" s="158" t="s">
        <v>15</v>
      </c>
      <c r="BC80" s="134">
        <v>46228.353206018517</v>
      </c>
      <c r="BD80" s="134">
        <v>46228.963761574072</v>
      </c>
      <c r="BE80" s="134">
        <v>46229.354074074072</v>
      </c>
      <c r="BF80" s="134">
        <v>46229.942627314813</v>
      </c>
      <c r="BG80" s="134">
        <v>46230.354467592595</v>
      </c>
      <c r="BH80" s="134">
        <v>46230.987476851849</v>
      </c>
      <c r="BI80" s="134">
        <v>46231.354409722226</v>
      </c>
      <c r="BJ80" s="134">
        <v>46231.957106481481</v>
      </c>
      <c r="BK80" s="134">
        <v>46232.353344907409</v>
      </c>
      <c r="BL80" s="137">
        <v>46232.973657407405</v>
      </c>
      <c r="BM80" s="135">
        <v>46233.35659722222</v>
      </c>
      <c r="BN80" s="134">
        <v>46233.968506944446</v>
      </c>
      <c r="BO80" s="134">
        <v>46234.580972222226</v>
      </c>
      <c r="BP80" s="137">
        <v>46234.934236111112</v>
      </c>
      <c r="BQ80" s="9">
        <f t="shared" si="25"/>
        <v>31</v>
      </c>
      <c r="BR80" s="68">
        <v>3</v>
      </c>
      <c r="BS80" s="1">
        <f t="shared" si="27"/>
        <v>29</v>
      </c>
      <c r="BT80" s="2">
        <f t="shared" si="28"/>
        <v>2</v>
      </c>
      <c r="BU80" s="2">
        <f t="shared" si="29"/>
        <v>0</v>
      </c>
      <c r="BV80" s="2">
        <f t="shared" si="30"/>
        <v>0</v>
      </c>
      <c r="BW80" s="2">
        <f t="shared" si="31"/>
        <v>0</v>
      </c>
      <c r="BX80" s="2">
        <f t="shared" si="32"/>
        <v>0</v>
      </c>
      <c r="BY80" s="2">
        <f t="shared" si="33"/>
        <v>0</v>
      </c>
      <c r="BZ80" s="2">
        <f t="shared" si="34"/>
        <v>0</v>
      </c>
      <c r="CA80" s="2">
        <f t="shared" si="35"/>
        <v>0</v>
      </c>
      <c r="CB80" s="2">
        <f t="shared" si="36"/>
        <v>0</v>
      </c>
      <c r="CC80" s="2">
        <f t="shared" si="37"/>
        <v>0</v>
      </c>
      <c r="CD80" s="2">
        <f t="shared" si="38"/>
        <v>0</v>
      </c>
      <c r="CE80" s="131"/>
      <c r="CG80" s="122">
        <v>0</v>
      </c>
      <c r="CH80" s="123">
        <v>0</v>
      </c>
      <c r="CI80" s="123">
        <v>0</v>
      </c>
      <c r="CJ80" s="123">
        <v>0</v>
      </c>
      <c r="CK80" s="123">
        <v>0</v>
      </c>
      <c r="CL80" s="123">
        <v>0</v>
      </c>
      <c r="CM80" s="123">
        <v>0</v>
      </c>
      <c r="CN80" s="123">
        <v>0</v>
      </c>
      <c r="CO80" s="123">
        <v>0</v>
      </c>
      <c r="CP80" s="123">
        <v>0</v>
      </c>
      <c r="CQ80" s="125">
        <f t="shared" si="41"/>
        <v>0</v>
      </c>
    </row>
    <row r="81" spans="1:95" s="47" customFormat="1" ht="21.75" customHeight="1" x14ac:dyDescent="0.25">
      <c r="A81" s="45">
        <v>63</v>
      </c>
      <c r="B81" s="11" t="s">
        <v>152</v>
      </c>
      <c r="C81" s="8" t="s">
        <v>235</v>
      </c>
      <c r="D81" s="85">
        <v>45679</v>
      </c>
      <c r="E81" s="65">
        <v>0.33819444444444446</v>
      </c>
      <c r="F81" s="65">
        <v>0.94166666666666676</v>
      </c>
      <c r="G81" s="65">
        <v>0.33888888888888885</v>
      </c>
      <c r="H81" s="65">
        <v>0.96458333333333324</v>
      </c>
      <c r="I81" s="98">
        <v>0.58124999999999993</v>
      </c>
      <c r="J81" s="98">
        <v>0.94930555555555562</v>
      </c>
      <c r="K81" s="65">
        <v>0.33819444444444446</v>
      </c>
      <c r="L81" s="65">
        <v>0.96250000000000002</v>
      </c>
      <c r="M81" s="65">
        <v>0.33819444444444446</v>
      </c>
      <c r="N81" s="65">
        <v>0.9472222222222223</v>
      </c>
      <c r="O81" s="65">
        <v>0.33819444444444446</v>
      </c>
      <c r="P81" s="65">
        <v>0.94861111111111107</v>
      </c>
      <c r="Q81" s="65">
        <v>0.33819444444444446</v>
      </c>
      <c r="R81" s="65">
        <v>0.94791666666666663</v>
      </c>
      <c r="S81" s="65">
        <v>0.33888888888888885</v>
      </c>
      <c r="T81" s="65">
        <v>0.94513888888888886</v>
      </c>
      <c r="U81" s="65">
        <v>0.34375</v>
      </c>
      <c r="V81" s="65">
        <v>0.97430555555555554</v>
      </c>
      <c r="W81" s="91" t="s">
        <v>15</v>
      </c>
      <c r="X81" s="91" t="s">
        <v>15</v>
      </c>
      <c r="Y81" s="65">
        <v>0.34027777777777773</v>
      </c>
      <c r="Z81" s="65">
        <v>0.96319444444444446</v>
      </c>
      <c r="AA81" s="65">
        <v>0.3354166666666667</v>
      </c>
      <c r="AB81" s="65">
        <v>0.9472222222222223</v>
      </c>
      <c r="AC81" s="65">
        <v>0.33680555555555558</v>
      </c>
      <c r="AD81" s="65">
        <v>0.94791666666666663</v>
      </c>
      <c r="AE81" s="65">
        <v>0.33680555555555558</v>
      </c>
      <c r="AF81" s="65">
        <v>0.95277777777777783</v>
      </c>
      <c r="AG81" s="65">
        <v>0.33958333333333335</v>
      </c>
      <c r="AH81" s="65">
        <v>0.94861111111111107</v>
      </c>
      <c r="AI81" s="114"/>
      <c r="AJ81" s="45">
        <v>63</v>
      </c>
      <c r="AK81" s="134">
        <v>46219.337037037039</v>
      </c>
      <c r="AL81" s="134">
        <v>46219.970011574071</v>
      </c>
      <c r="AM81" s="134">
        <v>46220.582789351851</v>
      </c>
      <c r="AN81" s="134">
        <v>46220.953784722224</v>
      </c>
      <c r="AO81" s="134">
        <v>46221.33935185185</v>
      </c>
      <c r="AP81" s="134">
        <v>46221.972708333335</v>
      </c>
      <c r="AQ81" s="134">
        <v>46222.338020833333</v>
      </c>
      <c r="AR81" s="134">
        <v>46222.951469907406</v>
      </c>
      <c r="AS81" s="134">
        <v>46223.338101851848</v>
      </c>
      <c r="AT81" s="134">
        <v>46223.957511574074</v>
      </c>
      <c r="AU81" s="134">
        <v>46224.333344907405</v>
      </c>
      <c r="AV81" s="134">
        <v>46224.953229166669</v>
      </c>
      <c r="AW81" s="134">
        <v>46225.335069444445</v>
      </c>
      <c r="AX81" s="134">
        <v>46225.948425925926</v>
      </c>
      <c r="AY81" s="134">
        <v>46226.35527777778</v>
      </c>
      <c r="AZ81" s="134">
        <v>46226.969259259262</v>
      </c>
      <c r="BA81" s="158" t="s">
        <v>15</v>
      </c>
      <c r="BB81" s="158" t="s">
        <v>15</v>
      </c>
      <c r="BC81" s="134">
        <v>46228.352222222224</v>
      </c>
      <c r="BD81" s="134">
        <v>46228.968692129631</v>
      </c>
      <c r="BE81" s="134">
        <v>46229.352731481478</v>
      </c>
      <c r="BF81" s="134">
        <v>46229.952766203707</v>
      </c>
      <c r="BG81" s="134">
        <v>46230.352546296293</v>
      </c>
      <c r="BH81" s="134">
        <v>46230.982314814813</v>
      </c>
      <c r="BI81" s="134">
        <v>46231.353333333333</v>
      </c>
      <c r="BJ81" s="136">
        <v>1</v>
      </c>
      <c r="BK81" s="134">
        <v>46232.352916666663</v>
      </c>
      <c r="BL81" s="137">
        <v>46232.963229166664</v>
      </c>
      <c r="BM81" s="135">
        <v>46233.352511574078</v>
      </c>
      <c r="BN81" s="134">
        <v>46233.979212962964</v>
      </c>
      <c r="BO81" s="134">
        <v>46234.579618055555</v>
      </c>
      <c r="BP81" s="137">
        <v>46234.949444444443</v>
      </c>
      <c r="BQ81" s="9">
        <f t="shared" si="25"/>
        <v>31</v>
      </c>
      <c r="BR81" s="68">
        <v>3</v>
      </c>
      <c r="BS81" s="1">
        <f t="shared" si="27"/>
        <v>29</v>
      </c>
      <c r="BT81" s="2">
        <f t="shared" si="28"/>
        <v>2</v>
      </c>
      <c r="BU81" s="2">
        <f t="shared" si="29"/>
        <v>0</v>
      </c>
      <c r="BV81" s="2">
        <f t="shared" si="30"/>
        <v>0</v>
      </c>
      <c r="BW81" s="2">
        <f t="shared" si="31"/>
        <v>0</v>
      </c>
      <c r="BX81" s="2">
        <f t="shared" si="32"/>
        <v>0</v>
      </c>
      <c r="BY81" s="2">
        <f t="shared" si="33"/>
        <v>0</v>
      </c>
      <c r="BZ81" s="2">
        <f t="shared" si="34"/>
        <v>0</v>
      </c>
      <c r="CA81" s="2">
        <f t="shared" si="35"/>
        <v>0</v>
      </c>
      <c r="CB81" s="2">
        <f t="shared" si="36"/>
        <v>0</v>
      </c>
      <c r="CC81" s="2">
        <f t="shared" si="37"/>
        <v>0</v>
      </c>
      <c r="CD81" s="2">
        <f t="shared" si="38"/>
        <v>0</v>
      </c>
      <c r="CE81" s="131"/>
      <c r="CG81" s="55">
        <v>0</v>
      </c>
      <c r="CH81" s="54">
        <v>0</v>
      </c>
      <c r="CI81" s="54">
        <v>0</v>
      </c>
      <c r="CJ81" s="54">
        <v>0</v>
      </c>
      <c r="CK81" s="54">
        <v>0</v>
      </c>
      <c r="CL81" s="55">
        <v>14</v>
      </c>
      <c r="CM81" s="55">
        <v>1</v>
      </c>
      <c r="CN81" s="54">
        <v>0</v>
      </c>
      <c r="CO81" s="54">
        <v>0</v>
      </c>
      <c r="CP81" s="54">
        <v>0</v>
      </c>
      <c r="CQ81" s="126">
        <f t="shared" si="41"/>
        <v>15</v>
      </c>
    </row>
    <row r="82" spans="1:95" s="47" customFormat="1" ht="21.75" customHeight="1" x14ac:dyDescent="0.25">
      <c r="A82" s="45">
        <v>64</v>
      </c>
      <c r="B82" s="11" t="s">
        <v>153</v>
      </c>
      <c r="C82" s="8" t="s">
        <v>154</v>
      </c>
      <c r="D82" s="85">
        <v>45812</v>
      </c>
      <c r="E82" s="65">
        <v>0.3520833333333333</v>
      </c>
      <c r="F82" s="65">
        <v>0.91249999999999998</v>
      </c>
      <c r="G82" s="65">
        <v>0.3527777777777778</v>
      </c>
      <c r="H82" s="65">
        <v>0.92222222222222217</v>
      </c>
      <c r="I82" s="98">
        <v>0.57986111111111105</v>
      </c>
      <c r="J82" s="98">
        <v>0.87847222222222221</v>
      </c>
      <c r="K82" s="65">
        <v>0.35138888888888892</v>
      </c>
      <c r="L82" s="65">
        <v>0.93541666666666667</v>
      </c>
      <c r="M82" s="74" t="s">
        <v>174</v>
      </c>
      <c r="N82" s="74" t="s">
        <v>174</v>
      </c>
      <c r="O82" s="65">
        <v>0.3520833333333333</v>
      </c>
      <c r="P82" s="65">
        <v>0.89930555555555547</v>
      </c>
      <c r="Q82" s="65">
        <v>0.35138888888888892</v>
      </c>
      <c r="R82" s="65">
        <v>0.89722222222222225</v>
      </c>
      <c r="S82" s="65">
        <v>0.35138888888888892</v>
      </c>
      <c r="T82" s="65">
        <v>0.93819444444444444</v>
      </c>
      <c r="U82" s="65">
        <v>0.34652777777777777</v>
      </c>
      <c r="V82" s="65">
        <v>0.98055555555555562</v>
      </c>
      <c r="W82" s="91" t="s">
        <v>15</v>
      </c>
      <c r="X82" s="91" t="s">
        <v>15</v>
      </c>
      <c r="Y82" s="65">
        <v>0.34652777777777777</v>
      </c>
      <c r="Z82" s="65">
        <v>0.93958333333333333</v>
      </c>
      <c r="AA82" s="65">
        <v>0.34583333333333338</v>
      </c>
      <c r="AB82" s="65">
        <v>0.91180555555555554</v>
      </c>
      <c r="AC82" s="65">
        <v>0.34861111111111115</v>
      </c>
      <c r="AD82" s="65">
        <v>0.90347222222222223</v>
      </c>
      <c r="AE82" s="65">
        <v>0.34861111111111115</v>
      </c>
      <c r="AF82" s="65">
        <v>0.91249999999999998</v>
      </c>
      <c r="AG82" s="65">
        <v>0.34861111111111115</v>
      </c>
      <c r="AH82" s="65">
        <v>0.92222222222222217</v>
      </c>
      <c r="AI82" s="114"/>
      <c r="AJ82" s="45">
        <v>64</v>
      </c>
      <c r="AK82" s="134">
        <v>46219.349537037036</v>
      </c>
      <c r="AL82" s="134">
        <v>46219.946759259263</v>
      </c>
      <c r="AM82" s="134">
        <v>46220.577314814815</v>
      </c>
      <c r="AN82" s="134">
        <v>46220.898136574076</v>
      </c>
      <c r="AO82" s="134">
        <v>46221.349143518521</v>
      </c>
      <c r="AP82" s="134">
        <v>46221.971168981479</v>
      </c>
      <c r="AQ82" s="134">
        <v>46222.35015046296</v>
      </c>
      <c r="AR82" s="134">
        <v>46222.914085648146</v>
      </c>
      <c r="AS82" s="134">
        <v>46223.350474537037</v>
      </c>
      <c r="AT82" s="134">
        <v>46223.952905092592</v>
      </c>
      <c r="AU82" s="134">
        <v>46224.350416666668</v>
      </c>
      <c r="AV82" s="134">
        <v>46224.934131944443</v>
      </c>
      <c r="AW82" s="134">
        <v>46225.350972222222</v>
      </c>
      <c r="AX82" s="134">
        <v>46225.968576388892</v>
      </c>
      <c r="AY82" s="134">
        <v>46226.351493055554</v>
      </c>
      <c r="AZ82" s="134">
        <v>46226.932928240742</v>
      </c>
      <c r="BA82" s="158" t="s">
        <v>15</v>
      </c>
      <c r="BB82" s="158" t="s">
        <v>15</v>
      </c>
      <c r="BC82" s="134">
        <v>46228.349641203706</v>
      </c>
      <c r="BD82" s="136">
        <v>1</v>
      </c>
      <c r="BE82" s="134">
        <v>46229.351527777777</v>
      </c>
      <c r="BF82" s="134">
        <v>46229.898136574076</v>
      </c>
      <c r="BG82" s="134">
        <v>46230.350451388891</v>
      </c>
      <c r="BH82" s="134">
        <v>46230.987372685187</v>
      </c>
      <c r="BI82" s="134">
        <v>46231.35255787037</v>
      </c>
      <c r="BJ82" s="134">
        <v>46231.935416666667</v>
      </c>
      <c r="BK82" s="134">
        <v>46232.352256944447</v>
      </c>
      <c r="BL82" s="137">
        <v>46232.95653935185</v>
      </c>
      <c r="BM82" s="139">
        <v>46233.348564814813</v>
      </c>
      <c r="BN82" s="134">
        <v>46233.923125000001</v>
      </c>
      <c r="BO82" s="134">
        <v>46234.578182870369</v>
      </c>
      <c r="BP82" s="137">
        <v>46234.895381944443</v>
      </c>
      <c r="BQ82" s="9">
        <f t="shared" si="25"/>
        <v>31</v>
      </c>
      <c r="BR82" s="68">
        <v>3</v>
      </c>
      <c r="BS82" s="1">
        <f t="shared" si="27"/>
        <v>28</v>
      </c>
      <c r="BT82" s="2">
        <f t="shared" si="28"/>
        <v>2</v>
      </c>
      <c r="BU82" s="2">
        <f t="shared" si="29"/>
        <v>0</v>
      </c>
      <c r="BV82" s="2">
        <f t="shared" si="30"/>
        <v>0</v>
      </c>
      <c r="BW82" s="2">
        <f t="shared" si="31"/>
        <v>0</v>
      </c>
      <c r="BX82" s="2">
        <f t="shared" si="32"/>
        <v>0</v>
      </c>
      <c r="BY82" s="2">
        <f t="shared" si="33"/>
        <v>0</v>
      </c>
      <c r="BZ82" s="2">
        <f t="shared" si="34"/>
        <v>1</v>
      </c>
      <c r="CA82" s="2">
        <f t="shared" si="35"/>
        <v>0</v>
      </c>
      <c r="CB82" s="2">
        <f t="shared" si="36"/>
        <v>0</v>
      </c>
      <c r="CC82" s="2">
        <f t="shared" si="37"/>
        <v>0</v>
      </c>
      <c r="CD82" s="2">
        <f t="shared" si="38"/>
        <v>0</v>
      </c>
      <c r="CE82" s="131"/>
      <c r="CG82" s="122">
        <v>0</v>
      </c>
      <c r="CH82" s="123">
        <v>0</v>
      </c>
      <c r="CI82" s="123">
        <v>0</v>
      </c>
      <c r="CJ82" s="123">
        <v>0</v>
      </c>
      <c r="CK82" s="123">
        <v>0</v>
      </c>
      <c r="CL82" s="123">
        <v>2</v>
      </c>
      <c r="CM82" s="123">
        <v>0</v>
      </c>
      <c r="CN82" s="122">
        <v>1</v>
      </c>
      <c r="CO82" s="123">
        <v>0</v>
      </c>
      <c r="CP82" s="123">
        <v>0</v>
      </c>
      <c r="CQ82" s="125">
        <f t="shared" si="41"/>
        <v>3</v>
      </c>
    </row>
    <row r="83" spans="1:95" s="47" customFormat="1" ht="21.75" customHeight="1" x14ac:dyDescent="0.25">
      <c r="A83" s="45">
        <v>65</v>
      </c>
      <c r="B83" s="11" t="s">
        <v>155</v>
      </c>
      <c r="C83" s="8" t="s">
        <v>156</v>
      </c>
      <c r="D83" s="85">
        <v>45826</v>
      </c>
      <c r="E83" s="65">
        <v>0.35416666666666669</v>
      </c>
      <c r="F83" s="69">
        <v>1</v>
      </c>
      <c r="G83" s="65">
        <v>0.3611111111111111</v>
      </c>
      <c r="H83" s="65">
        <v>0.9555555555555556</v>
      </c>
      <c r="I83" s="98">
        <v>0.58333333333333337</v>
      </c>
      <c r="J83" s="98">
        <v>0.94374999999999998</v>
      </c>
      <c r="K83" s="65">
        <v>0.35625000000000001</v>
      </c>
      <c r="L83" s="65">
        <v>0.9604166666666667</v>
      </c>
      <c r="M83" s="65">
        <v>0.35416666666666669</v>
      </c>
      <c r="N83" s="65">
        <v>0.95208333333333339</v>
      </c>
      <c r="O83" s="65">
        <v>0.35555555555555557</v>
      </c>
      <c r="P83" s="65">
        <v>0.95277777777777783</v>
      </c>
      <c r="Q83" s="65">
        <v>0.35625000000000001</v>
      </c>
      <c r="R83" s="65">
        <v>0.96944444444444444</v>
      </c>
      <c r="S83" s="65">
        <v>0.35972222222222222</v>
      </c>
      <c r="T83" s="65">
        <v>0.96527777777777779</v>
      </c>
      <c r="U83" s="65">
        <v>0.3520833333333333</v>
      </c>
      <c r="V83" s="65">
        <v>0.97361111111111109</v>
      </c>
      <c r="W83" s="98">
        <v>0.65763888888888888</v>
      </c>
      <c r="X83" s="98">
        <v>0.94861111111111107</v>
      </c>
      <c r="Y83" s="65">
        <v>0.35625000000000001</v>
      </c>
      <c r="Z83" s="69">
        <v>1</v>
      </c>
      <c r="AA83" s="65">
        <v>0.3576388888888889</v>
      </c>
      <c r="AB83" s="69">
        <v>1</v>
      </c>
      <c r="AC83" s="65">
        <v>0.35416666666666669</v>
      </c>
      <c r="AD83" s="65">
        <v>0.93611111111111101</v>
      </c>
      <c r="AE83" s="65">
        <v>0.35486111111111113</v>
      </c>
      <c r="AF83" s="65">
        <v>0.94791666666666663</v>
      </c>
      <c r="AG83" s="65">
        <v>0.35694444444444445</v>
      </c>
      <c r="AH83" s="65">
        <v>0.97152777777777777</v>
      </c>
      <c r="AI83" s="114"/>
      <c r="AJ83" s="45">
        <v>65</v>
      </c>
      <c r="AK83" s="134">
        <v>46219.353726851848</v>
      </c>
      <c r="AL83" s="134">
        <v>46219.962881944448</v>
      </c>
      <c r="AM83" s="134">
        <v>46220.581967592596</v>
      </c>
      <c r="AN83" s="136">
        <v>1</v>
      </c>
      <c r="AO83" s="134">
        <v>46221.35491898148</v>
      </c>
      <c r="AP83" s="134">
        <v>46221.938993055555</v>
      </c>
      <c r="AQ83" s="134">
        <v>46222.363738425927</v>
      </c>
      <c r="AR83" s="134">
        <v>46222.960069444445</v>
      </c>
      <c r="AS83" s="134">
        <v>46223.35428240741</v>
      </c>
      <c r="AT83" s="136">
        <v>1</v>
      </c>
      <c r="AU83" s="134">
        <v>46224.35423611111</v>
      </c>
      <c r="AV83" s="134">
        <v>46224.959675925929</v>
      </c>
      <c r="AW83" s="134">
        <v>46225.355219907404</v>
      </c>
      <c r="AX83" s="134">
        <v>46225.971701388888</v>
      </c>
      <c r="AY83" s="134">
        <v>46226.351585648146</v>
      </c>
      <c r="AZ83" s="134">
        <v>1</v>
      </c>
      <c r="BA83" s="134">
        <v>46227.633993055555</v>
      </c>
      <c r="BB83" s="134">
        <v>1</v>
      </c>
      <c r="BC83" s="134">
        <v>46228.353356481479</v>
      </c>
      <c r="BD83" s="136">
        <v>1</v>
      </c>
      <c r="BE83" s="134">
        <v>46229.356226851851</v>
      </c>
      <c r="BF83" s="134">
        <v>1</v>
      </c>
      <c r="BG83" s="134">
        <v>46230.354502314818</v>
      </c>
      <c r="BH83" s="134">
        <v>1</v>
      </c>
      <c r="BI83" s="134">
        <v>46231.382152777776</v>
      </c>
      <c r="BJ83" s="134">
        <v>46231.941030092596</v>
      </c>
      <c r="BK83" s="134">
        <v>46232.345763888887</v>
      </c>
      <c r="BL83" s="159">
        <v>1</v>
      </c>
      <c r="BM83" s="137">
        <v>46233.35664351852</v>
      </c>
      <c r="BN83" s="134">
        <v>46233.937291666669</v>
      </c>
      <c r="BO83" s="134">
        <v>46234.565254629626</v>
      </c>
      <c r="BP83" s="137">
        <v>1</v>
      </c>
      <c r="BQ83" s="9">
        <f t="shared" si="25"/>
        <v>31</v>
      </c>
      <c r="BR83" s="68">
        <v>5</v>
      </c>
      <c r="BS83" s="1">
        <f t="shared" si="27"/>
        <v>31</v>
      </c>
      <c r="BT83" s="2">
        <f t="shared" si="28"/>
        <v>0</v>
      </c>
      <c r="BU83" s="2">
        <f t="shared" si="29"/>
        <v>0</v>
      </c>
      <c r="BV83" s="2">
        <f t="shared" si="30"/>
        <v>0</v>
      </c>
      <c r="BW83" s="2">
        <f t="shared" si="31"/>
        <v>0</v>
      </c>
      <c r="BX83" s="2">
        <f t="shared" si="32"/>
        <v>0</v>
      </c>
      <c r="BY83" s="2">
        <f t="shared" si="33"/>
        <v>0</v>
      </c>
      <c r="BZ83" s="2">
        <f t="shared" si="34"/>
        <v>0</v>
      </c>
      <c r="CA83" s="2">
        <f t="shared" si="35"/>
        <v>0</v>
      </c>
      <c r="CB83" s="2">
        <f t="shared" si="36"/>
        <v>0</v>
      </c>
      <c r="CC83" s="2">
        <f t="shared" si="37"/>
        <v>0</v>
      </c>
      <c r="CD83" s="2">
        <f t="shared" si="38"/>
        <v>0</v>
      </c>
      <c r="CE83" s="131"/>
      <c r="CG83" s="55">
        <v>0</v>
      </c>
      <c r="CH83" s="54">
        <v>0</v>
      </c>
      <c r="CI83" s="54">
        <v>0</v>
      </c>
      <c r="CJ83" s="54">
        <v>0</v>
      </c>
      <c r="CK83" s="54">
        <v>0</v>
      </c>
      <c r="CL83" s="54">
        <v>0</v>
      </c>
      <c r="CM83" s="54">
        <v>0</v>
      </c>
      <c r="CN83" s="54">
        <v>0</v>
      </c>
      <c r="CO83" s="54">
        <v>0</v>
      </c>
      <c r="CP83" s="54">
        <v>0</v>
      </c>
      <c r="CQ83" s="126">
        <f t="shared" si="41"/>
        <v>0</v>
      </c>
    </row>
    <row r="84" spans="1:95" s="47" customFormat="1" ht="21.75" customHeight="1" x14ac:dyDescent="0.25">
      <c r="A84" s="45">
        <v>66</v>
      </c>
      <c r="B84" s="11" t="s">
        <v>157</v>
      </c>
      <c r="C84" s="8" t="s">
        <v>236</v>
      </c>
      <c r="D84" s="85">
        <v>45841</v>
      </c>
      <c r="E84" s="65">
        <v>0.35138888888888892</v>
      </c>
      <c r="F84" s="65">
        <v>0.97569444444444453</v>
      </c>
      <c r="G84" s="65">
        <v>0.35138888888888892</v>
      </c>
      <c r="H84" s="65">
        <v>0.97083333333333333</v>
      </c>
      <c r="I84" s="98">
        <v>0.57986111111111105</v>
      </c>
      <c r="J84" s="98">
        <v>0.93819444444444444</v>
      </c>
      <c r="K84" s="65">
        <v>0.35000000000000003</v>
      </c>
      <c r="L84" s="65">
        <v>0.95624999999999993</v>
      </c>
      <c r="M84" s="65">
        <v>0.35069444444444442</v>
      </c>
      <c r="N84" s="65">
        <v>0.95972222222222225</v>
      </c>
      <c r="O84" s="65">
        <v>0.3527777777777778</v>
      </c>
      <c r="P84" s="65">
        <v>0.9604166666666667</v>
      </c>
      <c r="Q84" s="65">
        <v>0.35138888888888892</v>
      </c>
      <c r="R84" s="65">
        <v>0.97083333333333333</v>
      </c>
      <c r="S84" s="65">
        <v>0.35138888888888892</v>
      </c>
      <c r="T84" s="65">
        <v>3.472222222222222E-3</v>
      </c>
      <c r="U84" s="65">
        <v>0.35069444444444442</v>
      </c>
      <c r="V84" s="65">
        <v>0.98611111111111116</v>
      </c>
      <c r="W84" s="91" t="s">
        <v>15</v>
      </c>
      <c r="X84" s="91" t="s">
        <v>15</v>
      </c>
      <c r="Y84" s="65">
        <v>0.3520833333333333</v>
      </c>
      <c r="Z84" s="69">
        <v>1</v>
      </c>
      <c r="AA84" s="74" t="s">
        <v>174</v>
      </c>
      <c r="AB84" s="74" t="s">
        <v>174</v>
      </c>
      <c r="AC84" s="65">
        <v>0.35000000000000003</v>
      </c>
      <c r="AD84" s="65">
        <v>0.93888888888888899</v>
      </c>
      <c r="AE84" s="65">
        <v>0.35000000000000003</v>
      </c>
      <c r="AF84" s="65">
        <v>0.95694444444444438</v>
      </c>
      <c r="AG84" s="65">
        <v>0.35069444444444442</v>
      </c>
      <c r="AH84" s="65">
        <v>0.97499999999999998</v>
      </c>
      <c r="AI84" s="114"/>
      <c r="AJ84" s="45">
        <v>66</v>
      </c>
      <c r="AK84" s="134">
        <v>46219.350844907407</v>
      </c>
      <c r="AL84" s="134">
        <v>46219.993425925924</v>
      </c>
      <c r="AM84" s="134">
        <v>46220.578842592593</v>
      </c>
      <c r="AN84" s="134">
        <v>46220.940613425926</v>
      </c>
      <c r="AO84" s="134">
        <v>46221.350497685184</v>
      </c>
      <c r="AP84" s="134">
        <v>46221.973495370374</v>
      </c>
      <c r="AQ84" s="134">
        <v>46222.34946759259</v>
      </c>
      <c r="AR84" s="136">
        <v>1</v>
      </c>
      <c r="AS84" s="134">
        <v>46223.350324074076</v>
      </c>
      <c r="AT84" s="134">
        <v>46223.956261574072</v>
      </c>
      <c r="AU84" s="134">
        <v>46224.350578703707</v>
      </c>
      <c r="AV84" s="134">
        <v>46224.964583333334</v>
      </c>
      <c r="AW84" s="134">
        <v>46225.351226851853</v>
      </c>
      <c r="AX84" s="134">
        <v>46225.987766203703</v>
      </c>
      <c r="AY84" s="134">
        <v>46226.355405092596</v>
      </c>
      <c r="AZ84" s="134">
        <v>46226.963564814818</v>
      </c>
      <c r="BA84" s="158" t="s">
        <v>15</v>
      </c>
      <c r="BB84" s="158" t="s">
        <v>15</v>
      </c>
      <c r="BC84" s="134">
        <v>46228.351469907408</v>
      </c>
      <c r="BD84" s="134">
        <v>46228.960428240738</v>
      </c>
      <c r="BE84" s="134" t="s">
        <v>15</v>
      </c>
      <c r="BF84" s="134" t="s">
        <v>15</v>
      </c>
      <c r="BG84" s="134">
        <v>46230.35083333333</v>
      </c>
      <c r="BH84" s="134">
        <v>46230.987546296295</v>
      </c>
      <c r="BI84" s="134">
        <v>46231.351539351854</v>
      </c>
      <c r="BJ84" s="134">
        <v>46231.960150462961</v>
      </c>
      <c r="BK84" s="134">
        <v>46232.351261574076</v>
      </c>
      <c r="BL84" s="137">
        <v>46232.973819444444</v>
      </c>
      <c r="BM84" s="137">
        <v>46233.351724537039</v>
      </c>
      <c r="BN84" s="134">
        <v>46233.968240740738</v>
      </c>
      <c r="BO84" s="134">
        <v>46234.579687500001</v>
      </c>
      <c r="BP84" s="137">
        <v>46234.937858796293</v>
      </c>
      <c r="BQ84" s="9">
        <f t="shared" si="25"/>
        <v>31</v>
      </c>
      <c r="BR84" s="68">
        <v>3</v>
      </c>
      <c r="BS84" s="1">
        <f t="shared" si="27"/>
        <v>27</v>
      </c>
      <c r="BT84" s="2">
        <f t="shared" si="28"/>
        <v>3</v>
      </c>
      <c r="BU84" s="2">
        <f t="shared" si="29"/>
        <v>0</v>
      </c>
      <c r="BV84" s="2">
        <f t="shared" si="30"/>
        <v>0</v>
      </c>
      <c r="BW84" s="2">
        <f t="shared" si="31"/>
        <v>0</v>
      </c>
      <c r="BX84" s="2">
        <f t="shared" si="32"/>
        <v>0</v>
      </c>
      <c r="BY84" s="2">
        <f t="shared" si="33"/>
        <v>0</v>
      </c>
      <c r="BZ84" s="2">
        <f t="shared" si="34"/>
        <v>1</v>
      </c>
      <c r="CA84" s="2">
        <f t="shared" si="35"/>
        <v>0</v>
      </c>
      <c r="CB84" s="2">
        <f t="shared" si="36"/>
        <v>0</v>
      </c>
      <c r="CC84" s="2">
        <f t="shared" si="37"/>
        <v>0</v>
      </c>
      <c r="CD84" s="2">
        <f t="shared" si="38"/>
        <v>0</v>
      </c>
      <c r="CE84" s="131"/>
      <c r="CG84" s="122">
        <v>0</v>
      </c>
      <c r="CH84" s="123">
        <v>0</v>
      </c>
      <c r="CI84" s="123">
        <v>0</v>
      </c>
      <c r="CJ84" s="123">
        <v>0</v>
      </c>
      <c r="CK84" s="123">
        <v>0</v>
      </c>
      <c r="CL84" s="123">
        <v>2</v>
      </c>
      <c r="CM84" s="123">
        <v>0</v>
      </c>
      <c r="CN84" s="123">
        <v>0</v>
      </c>
      <c r="CO84" s="123">
        <v>0</v>
      </c>
      <c r="CP84" s="123">
        <v>0</v>
      </c>
      <c r="CQ84" s="125">
        <f t="shared" si="41"/>
        <v>2</v>
      </c>
    </row>
    <row r="85" spans="1:95" s="47" customFormat="1" ht="21.75" customHeight="1" x14ac:dyDescent="0.25">
      <c r="A85" s="45">
        <v>67</v>
      </c>
      <c r="B85" s="11" t="s">
        <v>158</v>
      </c>
      <c r="C85" s="8" t="s">
        <v>159</v>
      </c>
      <c r="D85" s="85">
        <v>45841</v>
      </c>
      <c r="E85" s="65">
        <v>0.35347222222222219</v>
      </c>
      <c r="F85" s="65">
        <v>0.94444444444444453</v>
      </c>
      <c r="G85" s="65">
        <v>0.35486111111111113</v>
      </c>
      <c r="H85" s="65">
        <v>0.96388888888888891</v>
      </c>
      <c r="I85" s="98">
        <v>0.5805555555555556</v>
      </c>
      <c r="J85" s="98">
        <v>0.9472222222222223</v>
      </c>
      <c r="K85" s="65">
        <v>0.35416666666666669</v>
      </c>
      <c r="L85" s="69">
        <v>1</v>
      </c>
      <c r="M85" s="65">
        <v>0.35416666666666669</v>
      </c>
      <c r="N85" s="65">
        <v>0.94374999999999998</v>
      </c>
      <c r="O85" s="65">
        <v>0.35486111111111113</v>
      </c>
      <c r="P85" s="65">
        <v>0.94374999999999998</v>
      </c>
      <c r="Q85" s="65">
        <v>0.35486111111111113</v>
      </c>
      <c r="R85" s="65">
        <v>0.94027777777777777</v>
      </c>
      <c r="S85" s="65">
        <v>0.35416666666666669</v>
      </c>
      <c r="T85" s="65">
        <v>0.94444444444444453</v>
      </c>
      <c r="U85" s="65">
        <v>0.35138888888888892</v>
      </c>
      <c r="V85" s="65">
        <v>0.96944444444444444</v>
      </c>
      <c r="W85" s="91" t="s">
        <v>15</v>
      </c>
      <c r="X85" s="91" t="s">
        <v>15</v>
      </c>
      <c r="Y85" s="65">
        <v>0.3527777777777778</v>
      </c>
      <c r="Z85" s="65">
        <v>0.96111111111111114</v>
      </c>
      <c r="AA85" s="65">
        <v>0.34930555555555554</v>
      </c>
      <c r="AB85" s="65">
        <v>0.94513888888888886</v>
      </c>
      <c r="AC85" s="65">
        <v>0.35416666666666669</v>
      </c>
      <c r="AD85" s="65">
        <v>0.94374999999999998</v>
      </c>
      <c r="AE85" s="65">
        <v>0.3527777777777778</v>
      </c>
      <c r="AF85" s="65">
        <v>0.94513888888888886</v>
      </c>
      <c r="AG85" s="65">
        <v>0.3520833333333333</v>
      </c>
      <c r="AH85" s="69">
        <v>1</v>
      </c>
      <c r="AI85" s="114"/>
      <c r="AJ85" s="45">
        <v>67</v>
      </c>
      <c r="AK85" s="134">
        <v>46219.351446759261</v>
      </c>
      <c r="AL85" s="134">
        <v>46219.967835648145</v>
      </c>
      <c r="AM85" s="134">
        <v>46220.581469907411</v>
      </c>
      <c r="AN85" s="134">
        <v>46220.950659722221</v>
      </c>
      <c r="AO85" s="134">
        <v>46221.353171296294</v>
      </c>
      <c r="AP85" s="134">
        <v>46221.965266203704</v>
      </c>
      <c r="AQ85" s="134">
        <v>46222.353136574071</v>
      </c>
      <c r="AR85" s="134">
        <v>46222.950370370374</v>
      </c>
      <c r="AS85" s="134">
        <v>46223.35255787037</v>
      </c>
      <c r="AT85" s="134">
        <v>46223.946898148148</v>
      </c>
      <c r="AU85" s="134">
        <v>46224.35224537037</v>
      </c>
      <c r="AV85" s="134">
        <v>46224.947858796295</v>
      </c>
      <c r="AW85" s="134">
        <v>46225.351469907408</v>
      </c>
      <c r="AX85" s="134">
        <v>46225.946377314816</v>
      </c>
      <c r="AY85" s="134">
        <v>46226.353900462964</v>
      </c>
      <c r="AZ85" s="134">
        <v>46226.965266203704</v>
      </c>
      <c r="BA85" s="158" t="s">
        <v>15</v>
      </c>
      <c r="BB85" s="158" t="s">
        <v>15</v>
      </c>
      <c r="BC85" s="134">
        <v>46228.352893518517</v>
      </c>
      <c r="BD85" s="134">
        <v>46228.966053240743</v>
      </c>
      <c r="BE85" s="134">
        <v>46229.352766203701</v>
      </c>
      <c r="BF85" s="134">
        <v>46229.945474537039</v>
      </c>
      <c r="BG85" s="134">
        <v>46230.352754629632</v>
      </c>
      <c r="BH85" s="134">
        <v>46230.986979166664</v>
      </c>
      <c r="BI85" s="134">
        <v>46231.353518518517</v>
      </c>
      <c r="BJ85" s="136">
        <v>1</v>
      </c>
      <c r="BK85" s="134">
        <v>46232.352349537039</v>
      </c>
      <c r="BL85" s="137">
        <v>46232.958136574074</v>
      </c>
      <c r="BM85" s="137">
        <v>46233.351689814815</v>
      </c>
      <c r="BN85" s="134">
        <v>46233.972905092596</v>
      </c>
      <c r="BO85" s="134">
        <v>46234.579965277779</v>
      </c>
      <c r="BP85" s="137">
        <v>46234.945277777777</v>
      </c>
      <c r="BQ85" s="9">
        <f t="shared" si="25"/>
        <v>31</v>
      </c>
      <c r="BR85" s="68">
        <v>3</v>
      </c>
      <c r="BS85" s="1">
        <f t="shared" si="27"/>
        <v>29</v>
      </c>
      <c r="BT85" s="2">
        <f t="shared" si="28"/>
        <v>2</v>
      </c>
      <c r="BU85" s="2">
        <f t="shared" si="29"/>
        <v>0</v>
      </c>
      <c r="BV85" s="2">
        <f t="shared" si="30"/>
        <v>0</v>
      </c>
      <c r="BW85" s="2">
        <f t="shared" si="31"/>
        <v>0</v>
      </c>
      <c r="BX85" s="2">
        <f t="shared" si="32"/>
        <v>0</v>
      </c>
      <c r="BY85" s="2">
        <f t="shared" si="33"/>
        <v>0</v>
      </c>
      <c r="BZ85" s="2">
        <f t="shared" si="34"/>
        <v>0</v>
      </c>
      <c r="CA85" s="2">
        <f t="shared" si="35"/>
        <v>0</v>
      </c>
      <c r="CB85" s="2">
        <f t="shared" si="36"/>
        <v>0</v>
      </c>
      <c r="CC85" s="2">
        <f t="shared" si="37"/>
        <v>0</v>
      </c>
      <c r="CD85" s="2">
        <f t="shared" si="38"/>
        <v>0</v>
      </c>
      <c r="CE85" s="131"/>
      <c r="CG85" s="55">
        <v>0</v>
      </c>
      <c r="CH85" s="54">
        <v>0</v>
      </c>
      <c r="CI85" s="54">
        <v>0</v>
      </c>
      <c r="CJ85" s="54">
        <v>0</v>
      </c>
      <c r="CK85" s="54">
        <v>0</v>
      </c>
      <c r="CL85" s="55">
        <v>1</v>
      </c>
      <c r="CM85" s="54">
        <v>0</v>
      </c>
      <c r="CN85" s="54">
        <v>0</v>
      </c>
      <c r="CO85" s="54">
        <v>0</v>
      </c>
      <c r="CP85" s="54">
        <v>0</v>
      </c>
      <c r="CQ85" s="126">
        <f t="shared" si="41"/>
        <v>1</v>
      </c>
    </row>
    <row r="86" spans="1:95" s="47" customFormat="1" ht="21.75" customHeight="1" x14ac:dyDescent="0.25">
      <c r="A86" s="45">
        <v>68</v>
      </c>
      <c r="B86" s="11" t="s">
        <v>160</v>
      </c>
      <c r="C86" s="8" t="s">
        <v>161</v>
      </c>
      <c r="D86" s="85">
        <v>45912</v>
      </c>
      <c r="E86" s="65">
        <v>0.35625000000000001</v>
      </c>
      <c r="F86" s="65">
        <v>0.9784722222222223</v>
      </c>
      <c r="G86" s="65">
        <v>0.3659722222222222</v>
      </c>
      <c r="H86" s="65">
        <v>0.99861111111111101</v>
      </c>
      <c r="I86" s="98">
        <v>0.58194444444444449</v>
      </c>
      <c r="J86" s="98">
        <v>0.97152777777777777</v>
      </c>
      <c r="K86" s="65">
        <v>0.36319444444444443</v>
      </c>
      <c r="L86" s="65">
        <v>0.9868055555555556</v>
      </c>
      <c r="M86" s="65">
        <v>0.3576388888888889</v>
      </c>
      <c r="N86" s="65">
        <v>0.97013888888888899</v>
      </c>
      <c r="O86" s="65">
        <v>0.36180555555555555</v>
      </c>
      <c r="P86" s="65">
        <v>0.96875</v>
      </c>
      <c r="Q86" s="69">
        <v>1</v>
      </c>
      <c r="R86" s="69">
        <v>1</v>
      </c>
      <c r="S86" s="65">
        <v>0.35486111111111113</v>
      </c>
      <c r="T86" s="65">
        <v>9.0277777777777787E-3</v>
      </c>
      <c r="U86" s="65">
        <v>0.35347222222222219</v>
      </c>
      <c r="V86" s="65">
        <v>0.98611111111111116</v>
      </c>
      <c r="W86" s="91" t="s">
        <v>15</v>
      </c>
      <c r="X86" s="91" t="s">
        <v>15</v>
      </c>
      <c r="Y86" s="65">
        <v>0.35347222222222219</v>
      </c>
      <c r="Z86" s="65">
        <v>0.97638888888888886</v>
      </c>
      <c r="AA86" s="65">
        <v>0.35069444444444442</v>
      </c>
      <c r="AB86" s="65">
        <v>0.97499999999999998</v>
      </c>
      <c r="AC86" s="65">
        <v>0.34861111111111115</v>
      </c>
      <c r="AD86" s="65">
        <v>0.9868055555555556</v>
      </c>
      <c r="AE86" s="65">
        <v>0.34652777777777777</v>
      </c>
      <c r="AF86" s="65">
        <v>0.96527777777777779</v>
      </c>
      <c r="AG86" s="65">
        <v>0.40625</v>
      </c>
      <c r="AH86" s="65">
        <v>0.97986111111111107</v>
      </c>
      <c r="AI86" s="114"/>
      <c r="AJ86" s="45">
        <v>68</v>
      </c>
      <c r="AK86" s="134">
        <v>46219.348368055558</v>
      </c>
      <c r="AL86" s="134">
        <v>46219.994270833333</v>
      </c>
      <c r="AM86" s="134">
        <v>46220.581354166665</v>
      </c>
      <c r="AN86" s="134">
        <v>46220.96402777778</v>
      </c>
      <c r="AO86" s="134">
        <v>46221.351284722223</v>
      </c>
      <c r="AP86" s="134">
        <v>46221.989699074074</v>
      </c>
      <c r="AQ86" s="134">
        <v>46222.35328703704</v>
      </c>
      <c r="AR86" s="134">
        <v>46222.960115740738</v>
      </c>
      <c r="AS86" s="134">
        <v>46223.359166666669</v>
      </c>
      <c r="AT86" s="134">
        <v>46223.967175925929</v>
      </c>
      <c r="AU86" s="134">
        <v>46224.354780092595</v>
      </c>
      <c r="AV86" s="134">
        <v>46224.967905092592</v>
      </c>
      <c r="AW86" s="134">
        <v>46225.348298611112</v>
      </c>
      <c r="AX86" s="134">
        <v>46225.993761574071</v>
      </c>
      <c r="AY86" s="134">
        <v>46226.35324074074</v>
      </c>
      <c r="AZ86" s="134">
        <v>46226.989548611113</v>
      </c>
      <c r="BA86" s="158" t="s">
        <v>15</v>
      </c>
      <c r="BB86" s="158" t="s">
        <v>15</v>
      </c>
      <c r="BC86" s="134">
        <v>46228.35119212963</v>
      </c>
      <c r="BD86" s="134">
        <v>46228.981006944443</v>
      </c>
      <c r="BE86" s="134">
        <v>46229.355428240742</v>
      </c>
      <c r="BF86" s="134">
        <v>46229.963043981479</v>
      </c>
      <c r="BG86" s="134">
        <v>46230.354849537034</v>
      </c>
      <c r="BH86" s="134">
        <v>46230.989652777775</v>
      </c>
      <c r="BI86" s="134">
        <v>46231.355011574073</v>
      </c>
      <c r="BJ86" s="134">
        <v>46231.966145833336</v>
      </c>
      <c r="BK86" s="134">
        <v>46232.359097222223</v>
      </c>
      <c r="BL86" s="137">
        <v>46232.980208333334</v>
      </c>
      <c r="BM86" s="137">
        <v>46233.344594907408</v>
      </c>
      <c r="BN86" s="134">
        <v>46233.988391203704</v>
      </c>
      <c r="BO86" s="134">
        <v>46234.580497685187</v>
      </c>
      <c r="BP86" s="137">
        <v>46234.961550925924</v>
      </c>
      <c r="BQ86" s="9">
        <f t="shared" si="25"/>
        <v>31</v>
      </c>
      <c r="BR86" s="68">
        <v>3</v>
      </c>
      <c r="BS86" s="1">
        <f t="shared" si="27"/>
        <v>29</v>
      </c>
      <c r="BT86" s="2">
        <f t="shared" si="28"/>
        <v>2</v>
      </c>
      <c r="BU86" s="2">
        <f t="shared" si="29"/>
        <v>0</v>
      </c>
      <c r="BV86" s="2">
        <f t="shared" si="30"/>
        <v>0</v>
      </c>
      <c r="BW86" s="2">
        <f t="shared" si="31"/>
        <v>0</v>
      </c>
      <c r="BX86" s="2">
        <f t="shared" si="32"/>
        <v>0</v>
      </c>
      <c r="BY86" s="2">
        <f t="shared" si="33"/>
        <v>0</v>
      </c>
      <c r="BZ86" s="2">
        <f t="shared" si="34"/>
        <v>0</v>
      </c>
      <c r="CA86" s="2">
        <f t="shared" si="35"/>
        <v>0</v>
      </c>
      <c r="CB86" s="2">
        <f t="shared" si="36"/>
        <v>0</v>
      </c>
      <c r="CC86" s="2">
        <f t="shared" si="37"/>
        <v>0</v>
      </c>
      <c r="CD86" s="2">
        <f t="shared" si="38"/>
        <v>0</v>
      </c>
      <c r="CE86" s="131"/>
      <c r="CG86" s="122">
        <v>0</v>
      </c>
      <c r="CH86" s="123">
        <v>0</v>
      </c>
      <c r="CI86" s="123">
        <v>0</v>
      </c>
      <c r="CJ86" s="123">
        <v>0</v>
      </c>
      <c r="CK86" s="123">
        <v>0</v>
      </c>
      <c r="CL86" s="123">
        <v>3</v>
      </c>
      <c r="CM86" s="123">
        <v>0</v>
      </c>
      <c r="CN86" s="123">
        <v>0</v>
      </c>
      <c r="CO86" s="123">
        <v>0</v>
      </c>
      <c r="CP86" s="123">
        <v>0</v>
      </c>
      <c r="CQ86" s="125">
        <f t="shared" si="41"/>
        <v>3</v>
      </c>
    </row>
    <row r="87" spans="1:95" s="47" customFormat="1" ht="21.75" customHeight="1" x14ac:dyDescent="0.25">
      <c r="A87" s="45">
        <v>69</v>
      </c>
      <c r="B87" s="11" t="s">
        <v>162</v>
      </c>
      <c r="C87" s="8" t="s">
        <v>163</v>
      </c>
      <c r="D87" s="85">
        <v>45882</v>
      </c>
      <c r="E87" s="65">
        <v>0.34861111111111115</v>
      </c>
      <c r="F87" s="65">
        <v>0.95416666666666661</v>
      </c>
      <c r="G87" s="65">
        <v>0.34652777777777777</v>
      </c>
      <c r="H87" s="65">
        <v>0.91666666666666663</v>
      </c>
      <c r="I87" s="91" t="s">
        <v>15</v>
      </c>
      <c r="J87" s="91" t="s">
        <v>15</v>
      </c>
      <c r="K87" s="65">
        <v>0.3520833333333333</v>
      </c>
      <c r="L87" s="65">
        <v>0.94236111111111109</v>
      </c>
      <c r="M87" s="65">
        <v>0.35069444444444442</v>
      </c>
      <c r="N87" s="65">
        <v>0.92986111111111114</v>
      </c>
      <c r="O87" s="65">
        <v>0.3527777777777778</v>
      </c>
      <c r="P87" s="65">
        <v>0.94027777777777777</v>
      </c>
      <c r="Q87" s="65">
        <v>0.3527777777777778</v>
      </c>
      <c r="R87" s="65">
        <v>0.91388888888888886</v>
      </c>
      <c r="S87" s="65">
        <v>0.34722222222222227</v>
      </c>
      <c r="T87" s="65">
        <v>0.98402777777777783</v>
      </c>
      <c r="U87" s="65">
        <v>0.34722222222222227</v>
      </c>
      <c r="V87" s="65">
        <v>0.96875</v>
      </c>
      <c r="W87" s="98">
        <v>0.57152777777777775</v>
      </c>
      <c r="X87" s="98">
        <v>0.91805555555555562</v>
      </c>
      <c r="Y87" s="65">
        <v>0.34652777777777777</v>
      </c>
      <c r="Z87" s="65">
        <v>0.93958333333333333</v>
      </c>
      <c r="AA87" s="65">
        <v>0.3430555555555555</v>
      </c>
      <c r="AB87" s="65">
        <v>0.92013888888888884</v>
      </c>
      <c r="AC87" s="65">
        <v>0.34652777777777777</v>
      </c>
      <c r="AD87" s="65">
        <v>0.92152777777777783</v>
      </c>
      <c r="AE87" s="65">
        <v>0.34513888888888888</v>
      </c>
      <c r="AF87" s="65">
        <v>0.91319444444444453</v>
      </c>
      <c r="AG87" s="65">
        <v>0.34930555555555554</v>
      </c>
      <c r="AH87" s="65">
        <v>0.92152777777777783</v>
      </c>
      <c r="AI87" s="114"/>
      <c r="AJ87" s="45">
        <v>69</v>
      </c>
      <c r="AK87" s="134">
        <v>46219.349814814814</v>
      </c>
      <c r="AL87" s="134">
        <v>46219.941342592596</v>
      </c>
      <c r="AM87" s="158" t="s">
        <v>15</v>
      </c>
      <c r="AN87" s="158" t="s">
        <v>15</v>
      </c>
      <c r="AO87" s="134">
        <v>46221.351921296293</v>
      </c>
      <c r="AP87" s="134">
        <v>46221.932002314818</v>
      </c>
      <c r="AQ87" s="134">
        <v>46222.349351851852</v>
      </c>
      <c r="AR87" s="134">
        <v>46222.930567129632</v>
      </c>
      <c r="AS87" s="134">
        <v>46223.349849537037</v>
      </c>
      <c r="AT87" s="134">
        <v>46223.953136574077</v>
      </c>
      <c r="AU87" s="134">
        <v>46224.351076388892</v>
      </c>
      <c r="AV87" s="134">
        <v>46224.914918981478</v>
      </c>
      <c r="AW87" s="134">
        <v>46225.350347222222</v>
      </c>
      <c r="AX87" s="134">
        <v>46225.924016203702</v>
      </c>
      <c r="AY87" s="158" t="s">
        <v>15</v>
      </c>
      <c r="AZ87" s="158" t="s">
        <v>15</v>
      </c>
      <c r="BA87" s="134">
        <v>46227.572696759256</v>
      </c>
      <c r="BB87" s="134">
        <v>46227.887986111113</v>
      </c>
      <c r="BC87" s="134">
        <v>46228.353252314817</v>
      </c>
      <c r="BD87" s="134">
        <v>46228.931296296294</v>
      </c>
      <c r="BE87" s="134">
        <v>46229.350312499999</v>
      </c>
      <c r="BF87" s="134">
        <v>46229.900995370372</v>
      </c>
      <c r="BG87" s="134">
        <v>46230.345775462964</v>
      </c>
      <c r="BH87" s="134">
        <v>46230.915081018517</v>
      </c>
      <c r="BI87" s="134">
        <v>46231.348460648151</v>
      </c>
      <c r="BJ87" s="134">
        <v>46231.920439814814</v>
      </c>
      <c r="BK87" s="134">
        <v>46232.351458333331</v>
      </c>
      <c r="BL87" s="137">
        <v>46232.908067129632</v>
      </c>
      <c r="BM87" s="137">
        <v>46233.344976851855</v>
      </c>
      <c r="BN87" s="134">
        <v>46233.921284722222</v>
      </c>
      <c r="BO87" s="158" t="s">
        <v>15</v>
      </c>
      <c r="BP87" s="158" t="s">
        <v>15</v>
      </c>
      <c r="BQ87" s="9">
        <f t="shared" si="25"/>
        <v>31</v>
      </c>
      <c r="BR87" s="68">
        <v>3</v>
      </c>
      <c r="BS87" s="1">
        <f t="shared" si="27"/>
        <v>27</v>
      </c>
      <c r="BT87" s="2">
        <f t="shared" si="28"/>
        <v>4</v>
      </c>
      <c r="BU87" s="2">
        <f t="shared" si="29"/>
        <v>0</v>
      </c>
      <c r="BV87" s="2">
        <f t="shared" si="30"/>
        <v>0</v>
      </c>
      <c r="BW87" s="2">
        <f t="shared" si="31"/>
        <v>0</v>
      </c>
      <c r="BX87" s="2">
        <f t="shared" si="32"/>
        <v>0</v>
      </c>
      <c r="BY87" s="2">
        <f t="shared" si="33"/>
        <v>0</v>
      </c>
      <c r="BZ87" s="2">
        <f t="shared" si="34"/>
        <v>0</v>
      </c>
      <c r="CA87" s="2">
        <f t="shared" si="35"/>
        <v>0</v>
      </c>
      <c r="CB87" s="2">
        <f t="shared" si="36"/>
        <v>0</v>
      </c>
      <c r="CC87" s="2">
        <f t="shared" si="37"/>
        <v>0</v>
      </c>
      <c r="CD87" s="2">
        <f t="shared" si="38"/>
        <v>0</v>
      </c>
      <c r="CE87" s="131"/>
      <c r="CG87" s="55">
        <v>0</v>
      </c>
      <c r="CH87" s="54">
        <v>0</v>
      </c>
      <c r="CI87" s="54">
        <v>0</v>
      </c>
      <c r="CJ87" s="54">
        <v>0</v>
      </c>
      <c r="CK87" s="54">
        <v>0</v>
      </c>
      <c r="CL87" s="55">
        <v>13</v>
      </c>
      <c r="CM87" s="54">
        <v>0</v>
      </c>
      <c r="CN87" s="54">
        <v>0</v>
      </c>
      <c r="CO87" s="54">
        <v>0</v>
      </c>
      <c r="CP87" s="54">
        <v>0</v>
      </c>
      <c r="CQ87" s="126">
        <f t="shared" si="41"/>
        <v>13</v>
      </c>
    </row>
    <row r="88" spans="1:95" s="47" customFormat="1" ht="22.5" customHeight="1" x14ac:dyDescent="0.25">
      <c r="A88" s="45">
        <v>70</v>
      </c>
      <c r="B88" s="11" t="s">
        <v>164</v>
      </c>
      <c r="C88" s="130" t="s">
        <v>237</v>
      </c>
      <c r="D88" s="85">
        <v>45935</v>
      </c>
      <c r="E88" s="65">
        <v>0.34791666666666665</v>
      </c>
      <c r="F88" s="65">
        <v>0.95416666666666661</v>
      </c>
      <c r="G88" s="65">
        <v>0.34722222222222227</v>
      </c>
      <c r="H88" s="65">
        <v>0.97083333333333333</v>
      </c>
      <c r="I88" s="98">
        <v>0.57916666666666672</v>
      </c>
      <c r="J88" s="98">
        <v>0.94374999999999998</v>
      </c>
      <c r="K88" s="65">
        <v>0.34861111111111115</v>
      </c>
      <c r="L88" s="65">
        <v>0.96944444444444444</v>
      </c>
      <c r="M88" s="65">
        <v>0.34722222222222227</v>
      </c>
      <c r="N88" s="69">
        <v>1</v>
      </c>
      <c r="O88" s="65">
        <v>0.3354166666666667</v>
      </c>
      <c r="P88" s="69">
        <v>1</v>
      </c>
      <c r="Q88" s="65">
        <v>0.34652777777777777</v>
      </c>
      <c r="R88" s="65">
        <v>0.94374999999999998</v>
      </c>
      <c r="S88" s="65">
        <v>0.35625000000000001</v>
      </c>
      <c r="T88" s="65">
        <v>0.95486111111111116</v>
      </c>
      <c r="U88" s="65">
        <v>0.34861111111111115</v>
      </c>
      <c r="V88" s="65">
        <v>0.9770833333333333</v>
      </c>
      <c r="W88" s="91" t="s">
        <v>15</v>
      </c>
      <c r="X88" s="91" t="s">
        <v>15</v>
      </c>
      <c r="Y88" s="65">
        <v>0.35138888888888892</v>
      </c>
      <c r="Z88" s="65">
        <v>0.96666666666666667</v>
      </c>
      <c r="AA88" s="65">
        <v>0.34583333333333338</v>
      </c>
      <c r="AB88" s="65">
        <v>0.95000000000000007</v>
      </c>
      <c r="AC88" s="65">
        <v>0.34791666666666665</v>
      </c>
      <c r="AD88" s="65">
        <v>0.95277777777777783</v>
      </c>
      <c r="AE88" s="65">
        <v>0.34513888888888888</v>
      </c>
      <c r="AF88" s="65">
        <v>0.94444444444444453</v>
      </c>
      <c r="AG88" s="65">
        <v>0.34722222222222227</v>
      </c>
      <c r="AH88" s="65">
        <v>0.95138888888888884</v>
      </c>
      <c r="AI88" s="106"/>
      <c r="AJ88" s="45">
        <v>70</v>
      </c>
      <c r="AK88" s="134">
        <v>46219.34884259259</v>
      </c>
      <c r="AL88" s="134">
        <v>46219.974687499998</v>
      </c>
      <c r="AM88" s="134">
        <v>46220.578553240739</v>
      </c>
      <c r="AN88" s="134">
        <v>46220.949918981481</v>
      </c>
      <c r="AO88" s="134">
        <v>46221.352037037039</v>
      </c>
      <c r="AP88" s="134">
        <v>46221.972314814811</v>
      </c>
      <c r="AQ88" s="134">
        <v>46222.348449074074</v>
      </c>
      <c r="AR88" s="134">
        <v>46222.944456018522</v>
      </c>
      <c r="AS88" s="134">
        <v>46223.345578703702</v>
      </c>
      <c r="AT88" s="134">
        <v>46223.95144675926</v>
      </c>
      <c r="AU88" s="134">
        <v>46224.347442129627</v>
      </c>
      <c r="AV88" s="134">
        <v>46224.944502314815</v>
      </c>
      <c r="AW88" s="134">
        <v>46225.347916666666</v>
      </c>
      <c r="AX88" s="134">
        <v>46225.984039351853</v>
      </c>
      <c r="AY88" s="134">
        <v>46226.340127314812</v>
      </c>
      <c r="AZ88" s="134">
        <v>46226.962708333333</v>
      </c>
      <c r="BA88" s="158" t="s">
        <v>15</v>
      </c>
      <c r="BB88" s="158" t="s">
        <v>15</v>
      </c>
      <c r="BC88" s="134">
        <v>46228.348437499997</v>
      </c>
      <c r="BD88" s="134">
        <v>46228.967083333337</v>
      </c>
      <c r="BE88" s="134">
        <v>46229.350057870368</v>
      </c>
      <c r="BF88" s="134">
        <v>46229.944872685184</v>
      </c>
      <c r="BG88" s="134">
        <v>46230.347326388888</v>
      </c>
      <c r="BH88" s="136">
        <v>1</v>
      </c>
      <c r="BI88" s="134">
        <v>46231.005856481483</v>
      </c>
      <c r="BJ88" s="136">
        <v>1</v>
      </c>
      <c r="BK88" s="134">
        <v>46232.346817129626</v>
      </c>
      <c r="BL88" s="137">
        <v>46232.94866898148</v>
      </c>
      <c r="BM88" s="137">
        <v>46233.346504629626</v>
      </c>
      <c r="BN88" s="134">
        <v>46233.971585648149</v>
      </c>
      <c r="BO88" s="134">
        <v>46234.563379629632</v>
      </c>
      <c r="BP88" s="137">
        <v>46234.943761574075</v>
      </c>
      <c r="BQ88" s="9">
        <f t="shared" si="25"/>
        <v>31</v>
      </c>
      <c r="BR88" s="68">
        <v>3</v>
      </c>
      <c r="BS88" s="1">
        <f t="shared" si="27"/>
        <v>29</v>
      </c>
      <c r="BT88" s="2">
        <f t="shared" si="28"/>
        <v>2</v>
      </c>
      <c r="BU88" s="2">
        <f t="shared" si="29"/>
        <v>0</v>
      </c>
      <c r="BV88" s="2">
        <f t="shared" si="30"/>
        <v>0</v>
      </c>
      <c r="BW88" s="2">
        <f t="shared" si="31"/>
        <v>0</v>
      </c>
      <c r="BX88" s="2">
        <f t="shared" si="32"/>
        <v>0</v>
      </c>
      <c r="BY88" s="2">
        <f t="shared" si="33"/>
        <v>0</v>
      </c>
      <c r="BZ88" s="2">
        <f t="shared" si="34"/>
        <v>0</v>
      </c>
      <c r="CA88" s="2">
        <f t="shared" si="35"/>
        <v>0</v>
      </c>
      <c r="CB88" s="2">
        <f t="shared" si="36"/>
        <v>0</v>
      </c>
      <c r="CC88" s="2">
        <f t="shared" si="37"/>
        <v>0</v>
      </c>
      <c r="CD88" s="2">
        <f t="shared" si="38"/>
        <v>0</v>
      </c>
      <c r="CE88" s="131"/>
      <c r="CG88" s="122">
        <v>0</v>
      </c>
      <c r="CH88" s="123">
        <v>0</v>
      </c>
      <c r="CI88" s="123">
        <v>0</v>
      </c>
      <c r="CJ88" s="123">
        <v>0</v>
      </c>
      <c r="CK88" s="123">
        <v>0</v>
      </c>
      <c r="CL88" s="122">
        <v>1</v>
      </c>
      <c r="CM88" s="123">
        <v>0</v>
      </c>
      <c r="CN88" s="123">
        <v>0</v>
      </c>
      <c r="CO88" s="123">
        <v>0</v>
      </c>
      <c r="CP88" s="123">
        <v>0</v>
      </c>
      <c r="CQ88" s="125">
        <f t="shared" si="41"/>
        <v>1</v>
      </c>
    </row>
    <row r="89" spans="1:95" s="47" customFormat="1" ht="21.75" customHeight="1" x14ac:dyDescent="0.25">
      <c r="A89" s="45">
        <v>71</v>
      </c>
      <c r="B89" s="11" t="s">
        <v>165</v>
      </c>
      <c r="C89" s="180" t="s">
        <v>166</v>
      </c>
      <c r="D89" s="85">
        <v>45929</v>
      </c>
      <c r="E89" s="65">
        <v>0.35416666666666669</v>
      </c>
      <c r="F89" s="69">
        <v>1</v>
      </c>
      <c r="G89" s="65">
        <v>0.3527777777777778</v>
      </c>
      <c r="H89" s="65">
        <v>0.96180555555555547</v>
      </c>
      <c r="I89" s="98">
        <v>0.56458333333333333</v>
      </c>
      <c r="J89" s="98">
        <v>0.94097222222222221</v>
      </c>
      <c r="K89" s="65">
        <v>0.35138888888888892</v>
      </c>
      <c r="L89" s="65">
        <v>0.95833333333333337</v>
      </c>
      <c r="M89" s="65">
        <v>0.35416666666666669</v>
      </c>
      <c r="N89" s="65">
        <v>0.96111111111111114</v>
      </c>
      <c r="O89" s="65">
        <v>0.35138888888888892</v>
      </c>
      <c r="P89" s="65">
        <v>0.95486111111111116</v>
      </c>
      <c r="Q89" s="65">
        <v>0.35347222222222219</v>
      </c>
      <c r="R89" s="65">
        <v>0.96875</v>
      </c>
      <c r="S89" s="65">
        <v>0.3527777777777778</v>
      </c>
      <c r="T89" s="65">
        <v>0.9291666666666667</v>
      </c>
      <c r="U89" s="65">
        <v>0.35138888888888892</v>
      </c>
      <c r="V89" s="65">
        <v>0.95833333333333337</v>
      </c>
      <c r="W89" s="91" t="s">
        <v>15</v>
      </c>
      <c r="X89" s="91" t="s">
        <v>15</v>
      </c>
      <c r="Y89" s="65">
        <v>0.35416666666666669</v>
      </c>
      <c r="Z89" s="65">
        <v>0.95763888888888893</v>
      </c>
      <c r="AA89" s="65">
        <v>0.34930555555555554</v>
      </c>
      <c r="AB89" s="69">
        <v>1</v>
      </c>
      <c r="AC89" s="65">
        <v>0.35347222222222219</v>
      </c>
      <c r="AD89" s="65">
        <v>0.94097222222222221</v>
      </c>
      <c r="AE89" s="65">
        <v>0.35416666666666669</v>
      </c>
      <c r="AF89" s="65">
        <v>0.9590277777777777</v>
      </c>
      <c r="AG89" s="65">
        <v>0.34930555555555554</v>
      </c>
      <c r="AH89" s="65">
        <v>0.93819444444444444</v>
      </c>
      <c r="AI89" s="114"/>
      <c r="AJ89" s="45">
        <v>71</v>
      </c>
      <c r="AK89" s="134">
        <v>46219.353148148148</v>
      </c>
      <c r="AL89" s="134">
        <v>46219.990393518521</v>
      </c>
      <c r="AM89" s="134">
        <v>46220.579351851855</v>
      </c>
      <c r="AN89" s="134">
        <v>46220.917002314818</v>
      </c>
      <c r="AO89" s="134">
        <v>46221.353229166663</v>
      </c>
      <c r="AP89" s="134">
        <v>46221.959953703707</v>
      </c>
      <c r="AQ89" s="134">
        <v>46222.354421296295</v>
      </c>
      <c r="AR89" s="134">
        <v>46222.941493055558</v>
      </c>
      <c r="AS89" s="134">
        <v>46223.353854166664</v>
      </c>
      <c r="AT89" s="134">
        <v>46223.956770833334</v>
      </c>
      <c r="AU89" s="134">
        <v>46224.349374999998</v>
      </c>
      <c r="AV89" s="134">
        <v>46224.959432870368</v>
      </c>
      <c r="AW89" s="134">
        <v>46225.352465277778</v>
      </c>
      <c r="AX89" s="134">
        <v>46225.962534722225</v>
      </c>
      <c r="AY89" s="134">
        <v>46226.346064814818</v>
      </c>
      <c r="AZ89" s="134">
        <v>46226.959282407406</v>
      </c>
      <c r="BA89" s="158" t="s">
        <v>15</v>
      </c>
      <c r="BB89" s="158" t="s">
        <v>15</v>
      </c>
      <c r="BC89" s="134">
        <v>46228.355891203704</v>
      </c>
      <c r="BD89" s="134">
        <v>46228.959166666667</v>
      </c>
      <c r="BE89" s="134">
        <v>46229.352129629631</v>
      </c>
      <c r="BF89" s="134">
        <v>46229.942407407405</v>
      </c>
      <c r="BG89" s="134">
        <v>46230.352511574078</v>
      </c>
      <c r="BH89" s="134">
        <v>46230.989328703705</v>
      </c>
      <c r="BI89" s="134">
        <v>46231.353043981479</v>
      </c>
      <c r="BJ89" s="134">
        <v>46231.958564814813</v>
      </c>
      <c r="BK89" s="134">
        <v>46232.348715277774</v>
      </c>
      <c r="BL89" s="159">
        <v>1</v>
      </c>
      <c r="BM89" s="137">
        <v>46233.354837962965</v>
      </c>
      <c r="BN89" s="134">
        <v>46233.958379629628</v>
      </c>
      <c r="BO89" s="134">
        <v>46234.562384259261</v>
      </c>
      <c r="BP89" s="137">
        <v>46234.917511574073</v>
      </c>
      <c r="BQ89" s="9">
        <f t="shared" si="25"/>
        <v>31</v>
      </c>
      <c r="BR89" s="68">
        <v>3</v>
      </c>
      <c r="BS89" s="1">
        <f t="shared" si="27"/>
        <v>29</v>
      </c>
      <c r="BT89" s="2">
        <f t="shared" si="28"/>
        <v>2</v>
      </c>
      <c r="BU89" s="2">
        <f t="shared" si="29"/>
        <v>0</v>
      </c>
      <c r="BV89" s="2">
        <f t="shared" si="30"/>
        <v>0</v>
      </c>
      <c r="BW89" s="2">
        <f t="shared" si="31"/>
        <v>0</v>
      </c>
      <c r="BX89" s="2">
        <f t="shared" si="32"/>
        <v>0</v>
      </c>
      <c r="BY89" s="2">
        <f t="shared" si="33"/>
        <v>0</v>
      </c>
      <c r="BZ89" s="2">
        <f t="shared" si="34"/>
        <v>0</v>
      </c>
      <c r="CA89" s="2">
        <f t="shared" si="35"/>
        <v>0</v>
      </c>
      <c r="CB89" s="2">
        <f t="shared" si="36"/>
        <v>0</v>
      </c>
      <c r="CC89" s="2">
        <f t="shared" si="37"/>
        <v>0</v>
      </c>
      <c r="CD89" s="2">
        <f t="shared" si="38"/>
        <v>0</v>
      </c>
      <c r="CE89" s="131"/>
      <c r="CG89" s="55">
        <v>0</v>
      </c>
      <c r="CH89" s="54">
        <v>0</v>
      </c>
      <c r="CI89" s="54">
        <v>0</v>
      </c>
      <c r="CJ89" s="54">
        <v>0</v>
      </c>
      <c r="CK89" s="54">
        <v>0</v>
      </c>
      <c r="CL89" s="54">
        <v>0</v>
      </c>
      <c r="CM89" s="54">
        <v>0</v>
      </c>
      <c r="CN89" s="54">
        <v>0</v>
      </c>
      <c r="CO89" s="54">
        <v>0</v>
      </c>
      <c r="CP89" s="54">
        <v>0</v>
      </c>
      <c r="CQ89" s="126">
        <f t="shared" si="41"/>
        <v>0</v>
      </c>
    </row>
    <row r="90" spans="1:95" s="47" customFormat="1" ht="21.75" customHeight="1" x14ac:dyDescent="0.25">
      <c r="A90" s="45">
        <v>72</v>
      </c>
      <c r="B90" s="11" t="s">
        <v>167</v>
      </c>
      <c r="C90" s="130" t="s">
        <v>168</v>
      </c>
      <c r="D90" s="85">
        <v>45944</v>
      </c>
      <c r="E90" s="65">
        <v>0.34652777777777777</v>
      </c>
      <c r="F90" s="65">
        <v>0.95833333333333337</v>
      </c>
      <c r="G90" s="65">
        <v>0.3444444444444445</v>
      </c>
      <c r="H90" s="65">
        <v>0.91875000000000007</v>
      </c>
      <c r="I90" s="91" t="s">
        <v>15</v>
      </c>
      <c r="J90" s="91" t="s">
        <v>15</v>
      </c>
      <c r="K90" s="65">
        <v>0.34375</v>
      </c>
      <c r="L90" s="65">
        <v>0.94027777777777777</v>
      </c>
      <c r="M90" s="65">
        <v>0.34375</v>
      </c>
      <c r="N90" s="65">
        <v>0.94652777777777775</v>
      </c>
      <c r="O90" s="65">
        <v>0.34722222222222227</v>
      </c>
      <c r="P90" s="65">
        <v>0.90694444444444444</v>
      </c>
      <c r="Q90" s="65">
        <v>0.35138888888888892</v>
      </c>
      <c r="R90" s="65">
        <v>0.91249999999999998</v>
      </c>
      <c r="S90" s="65">
        <v>0.35069444444444442</v>
      </c>
      <c r="T90" s="65">
        <v>0.99097222222222225</v>
      </c>
      <c r="U90" s="65">
        <v>0.34930555555555554</v>
      </c>
      <c r="V90" s="65">
        <v>0.98472222222222217</v>
      </c>
      <c r="W90" s="98">
        <v>0.57986111111111105</v>
      </c>
      <c r="X90" s="98">
        <v>0.93611111111111101</v>
      </c>
      <c r="Y90" s="65">
        <v>0.34513888888888888</v>
      </c>
      <c r="Z90" s="65">
        <v>0.93333333333333324</v>
      </c>
      <c r="AA90" s="65">
        <v>0.3444444444444445</v>
      </c>
      <c r="AB90" s="65">
        <v>0.94236111111111109</v>
      </c>
      <c r="AC90" s="65">
        <v>0.34861111111111115</v>
      </c>
      <c r="AD90" s="65">
        <v>0.93333333333333324</v>
      </c>
      <c r="AE90" s="65">
        <v>0.34722222222222227</v>
      </c>
      <c r="AF90" s="65">
        <v>0.93055555555555547</v>
      </c>
      <c r="AG90" s="65">
        <v>0.34791666666666665</v>
      </c>
      <c r="AH90" s="65">
        <v>0.93263888888888891</v>
      </c>
      <c r="AI90" s="114"/>
      <c r="AJ90" s="45">
        <v>72</v>
      </c>
      <c r="AK90" s="134">
        <v>46219.347303240742</v>
      </c>
      <c r="AL90" s="134">
        <v>46219.965081018519</v>
      </c>
      <c r="AM90" s="158" t="s">
        <v>15</v>
      </c>
      <c r="AN90" s="158" t="s">
        <v>15</v>
      </c>
      <c r="AO90" s="134">
        <v>46221.348240740743</v>
      </c>
      <c r="AP90" s="134">
        <v>46221.945706018516</v>
      </c>
      <c r="AQ90" s="134">
        <v>46222.343923611108</v>
      </c>
      <c r="AR90" s="134">
        <v>46222.932071759256</v>
      </c>
      <c r="AS90" s="134">
        <v>46223.346990740742</v>
      </c>
      <c r="AT90" s="134">
        <v>46223.952511574076</v>
      </c>
      <c r="AU90" s="134">
        <v>46224.344108796293</v>
      </c>
      <c r="AV90" s="134">
        <v>46224.925381944442</v>
      </c>
      <c r="AW90" s="134">
        <v>46225.346412037034</v>
      </c>
      <c r="AX90" s="134">
        <v>46225.928368055553</v>
      </c>
      <c r="AY90" s="134">
        <v>46226.350694444445</v>
      </c>
      <c r="AZ90" s="134">
        <v>46226.922291666669</v>
      </c>
      <c r="BA90" s="134">
        <v>46227.560555555552</v>
      </c>
      <c r="BB90" s="134">
        <v>46227.902974537035</v>
      </c>
      <c r="BC90" s="134">
        <v>46228.347199074073</v>
      </c>
      <c r="BD90" s="134">
        <v>46228.940648148149</v>
      </c>
      <c r="BE90" s="134">
        <v>46229.342418981483</v>
      </c>
      <c r="BF90" s="134">
        <v>46229.935393518521</v>
      </c>
      <c r="BG90" s="134">
        <v>46230.348912037036</v>
      </c>
      <c r="BH90" s="134">
        <v>46230.916759259257</v>
      </c>
      <c r="BI90" s="134">
        <v>46231.346064814818</v>
      </c>
      <c r="BJ90" s="134">
        <v>46231.920358796298</v>
      </c>
      <c r="BK90" s="134">
        <v>46232.350532407407</v>
      </c>
      <c r="BL90" s="137">
        <v>46232.925486111111</v>
      </c>
      <c r="BM90" s="137">
        <v>46233.346087962964</v>
      </c>
      <c r="BN90" s="134">
        <v>46233.954756944448</v>
      </c>
      <c r="BO90" s="158" t="s">
        <v>15</v>
      </c>
      <c r="BP90" s="158" t="s">
        <v>15</v>
      </c>
      <c r="BQ90" s="9">
        <f t="shared" si="25"/>
        <v>31</v>
      </c>
      <c r="BR90" s="68">
        <v>2</v>
      </c>
      <c r="BS90" s="1">
        <f t="shared" si="27"/>
        <v>28</v>
      </c>
      <c r="BT90" s="2">
        <f t="shared" si="28"/>
        <v>3</v>
      </c>
      <c r="BU90" s="2">
        <f t="shared" si="29"/>
        <v>0</v>
      </c>
      <c r="BV90" s="2">
        <f t="shared" si="30"/>
        <v>0</v>
      </c>
      <c r="BW90" s="2">
        <f t="shared" si="31"/>
        <v>0</v>
      </c>
      <c r="BX90" s="2">
        <f t="shared" si="32"/>
        <v>0</v>
      </c>
      <c r="BY90" s="2">
        <f t="shared" si="33"/>
        <v>0</v>
      </c>
      <c r="BZ90" s="2">
        <f t="shared" si="34"/>
        <v>0</v>
      </c>
      <c r="CA90" s="2">
        <f t="shared" si="35"/>
        <v>0</v>
      </c>
      <c r="CB90" s="2">
        <f t="shared" si="36"/>
        <v>0</v>
      </c>
      <c r="CC90" s="2">
        <f t="shared" si="37"/>
        <v>0</v>
      </c>
      <c r="CD90" s="2">
        <f t="shared" si="38"/>
        <v>0</v>
      </c>
      <c r="CE90" s="131"/>
      <c r="CG90" s="122">
        <v>0</v>
      </c>
      <c r="CH90" s="123">
        <v>0</v>
      </c>
      <c r="CI90" s="123">
        <v>0</v>
      </c>
      <c r="CJ90" s="123">
        <v>0</v>
      </c>
      <c r="CK90" s="123">
        <v>0</v>
      </c>
      <c r="CL90" s="123">
        <v>2</v>
      </c>
      <c r="CM90" s="123">
        <v>0</v>
      </c>
      <c r="CN90" s="123">
        <v>0</v>
      </c>
      <c r="CO90" s="123">
        <v>0</v>
      </c>
      <c r="CP90" s="123">
        <v>0</v>
      </c>
      <c r="CQ90" s="125">
        <f t="shared" si="41"/>
        <v>2</v>
      </c>
    </row>
    <row r="91" spans="1:95" s="47" customFormat="1" ht="21.75" customHeight="1" x14ac:dyDescent="0.25">
      <c r="A91" s="45">
        <v>73</v>
      </c>
      <c r="B91" s="48" t="s">
        <v>171</v>
      </c>
      <c r="C91" s="181" t="s">
        <v>172</v>
      </c>
      <c r="D91" s="85">
        <v>45956</v>
      </c>
      <c r="E91" s="65">
        <v>0.35416666666666669</v>
      </c>
      <c r="F91" s="65">
        <v>0.95208333333333339</v>
      </c>
      <c r="G91" s="65">
        <v>0.35347222222222219</v>
      </c>
      <c r="H91" s="69">
        <v>1</v>
      </c>
      <c r="I91" s="98">
        <v>0.58124999999999993</v>
      </c>
      <c r="J91" s="98">
        <v>0.94374999999999998</v>
      </c>
      <c r="K91" s="65">
        <v>0.35347222222222219</v>
      </c>
      <c r="L91" s="65">
        <v>0.96597222222222223</v>
      </c>
      <c r="M91" s="65">
        <v>0.35486111111111113</v>
      </c>
      <c r="N91" s="65">
        <v>0.95277777777777783</v>
      </c>
      <c r="O91" s="65">
        <v>0.35347222222222219</v>
      </c>
      <c r="P91" s="65">
        <v>0.95000000000000007</v>
      </c>
      <c r="Q91" s="65">
        <v>0.35416666666666669</v>
      </c>
      <c r="R91" s="65">
        <v>0.94236111111111109</v>
      </c>
      <c r="S91" s="65">
        <v>0.35486111111111113</v>
      </c>
      <c r="T91" s="69">
        <v>1</v>
      </c>
      <c r="U91" s="65">
        <v>0.36458333333333331</v>
      </c>
      <c r="V91" s="69">
        <v>1</v>
      </c>
      <c r="W91" s="91" t="s">
        <v>15</v>
      </c>
      <c r="X91" s="91" t="s">
        <v>15</v>
      </c>
      <c r="Y91" s="65">
        <v>0.3520833333333333</v>
      </c>
      <c r="Z91" s="65">
        <v>0.96597222222222223</v>
      </c>
      <c r="AA91" s="65">
        <v>0.34861111111111115</v>
      </c>
      <c r="AB91" s="65">
        <v>0.94791666666666663</v>
      </c>
      <c r="AC91" s="65">
        <v>0.3527777777777778</v>
      </c>
      <c r="AD91" s="65">
        <v>0.95138888888888884</v>
      </c>
      <c r="AE91" s="65">
        <v>0.3520833333333333</v>
      </c>
      <c r="AF91" s="65">
        <v>0.94444444444444453</v>
      </c>
      <c r="AG91" s="65">
        <v>0.3527777777777778</v>
      </c>
      <c r="AH91" s="65">
        <v>0.94930555555555562</v>
      </c>
      <c r="AI91" s="106"/>
      <c r="AJ91" s="45">
        <v>73</v>
      </c>
      <c r="AK91" s="134">
        <v>46219.354212962964</v>
      </c>
      <c r="AL91" s="134">
        <v>46219.973506944443</v>
      </c>
      <c r="AM91" s="134">
        <v>46220.580891203703</v>
      </c>
      <c r="AN91" s="134">
        <v>46220.949166666665</v>
      </c>
      <c r="AO91" s="134">
        <v>46221.354201388887</v>
      </c>
      <c r="AP91" s="136">
        <v>1</v>
      </c>
      <c r="AQ91" s="134">
        <v>46222.353055555555</v>
      </c>
      <c r="AR91" s="134">
        <v>46222.945717592593</v>
      </c>
      <c r="AS91" s="134">
        <v>46223.354155092595</v>
      </c>
      <c r="AT91" s="134">
        <v>46223.954282407409</v>
      </c>
      <c r="AU91" s="134">
        <v>46224.356064814812</v>
      </c>
      <c r="AV91" s="134">
        <v>46224.944050925929</v>
      </c>
      <c r="AW91" s="134">
        <v>46225.353252314817</v>
      </c>
      <c r="AX91" s="134">
        <v>46225.946597222224</v>
      </c>
      <c r="AY91" s="134">
        <v>46226.358252314814</v>
      </c>
      <c r="AZ91" s="134">
        <v>46226.972731481481</v>
      </c>
      <c r="BA91" s="158" t="s">
        <v>15</v>
      </c>
      <c r="BB91" s="158" t="s">
        <v>15</v>
      </c>
      <c r="BC91" s="134">
        <v>46228.352893518517</v>
      </c>
      <c r="BD91" s="134">
        <v>46228.966956018521</v>
      </c>
      <c r="BE91" s="134">
        <v>46229.354050925926</v>
      </c>
      <c r="BF91" s="134">
        <v>46229.942523148151</v>
      </c>
      <c r="BG91" s="134">
        <v>46230.352743055555</v>
      </c>
      <c r="BH91" s="136">
        <v>1</v>
      </c>
      <c r="BI91" s="134">
        <v>46231.005023148151</v>
      </c>
      <c r="BJ91" s="134">
        <v>46231.945821759262</v>
      </c>
      <c r="BK91" s="134">
        <v>46232.353055555555</v>
      </c>
      <c r="BL91" s="137">
        <v>46232.947881944441</v>
      </c>
      <c r="BM91" s="137">
        <v>46233.354270833333</v>
      </c>
      <c r="BN91" s="134">
        <v>46233.971689814818</v>
      </c>
      <c r="BO91" s="134">
        <v>46234.580428240741</v>
      </c>
      <c r="BP91" s="137">
        <v>46234.941504629627</v>
      </c>
      <c r="BQ91" s="9">
        <f t="shared" si="25"/>
        <v>31</v>
      </c>
      <c r="BR91" s="68">
        <v>3</v>
      </c>
      <c r="BS91" s="1">
        <f t="shared" si="27"/>
        <v>29</v>
      </c>
      <c r="BT91" s="2">
        <f t="shared" si="28"/>
        <v>2</v>
      </c>
      <c r="BU91" s="2">
        <f t="shared" si="29"/>
        <v>0</v>
      </c>
      <c r="BV91" s="2">
        <f t="shared" si="30"/>
        <v>0</v>
      </c>
      <c r="BW91" s="2">
        <f t="shared" si="31"/>
        <v>0</v>
      </c>
      <c r="BX91" s="2">
        <f t="shared" si="32"/>
        <v>0</v>
      </c>
      <c r="BY91" s="2">
        <f t="shared" si="33"/>
        <v>0</v>
      </c>
      <c r="BZ91" s="2">
        <f t="shared" si="34"/>
        <v>0</v>
      </c>
      <c r="CA91" s="2">
        <f t="shared" si="35"/>
        <v>0</v>
      </c>
      <c r="CB91" s="2">
        <f t="shared" si="36"/>
        <v>0</v>
      </c>
      <c r="CC91" s="2">
        <f t="shared" si="37"/>
        <v>0</v>
      </c>
      <c r="CD91" s="2">
        <f t="shared" si="38"/>
        <v>0</v>
      </c>
      <c r="CE91" s="131"/>
      <c r="CG91" s="55">
        <v>0</v>
      </c>
      <c r="CH91" s="54">
        <v>0</v>
      </c>
      <c r="CI91" s="54">
        <v>0</v>
      </c>
      <c r="CJ91" s="54">
        <v>0</v>
      </c>
      <c r="CK91" s="54">
        <v>0</v>
      </c>
      <c r="CL91" s="54">
        <v>0</v>
      </c>
      <c r="CM91" s="54">
        <v>0</v>
      </c>
      <c r="CN91" s="54">
        <v>0</v>
      </c>
      <c r="CO91" s="54">
        <v>0</v>
      </c>
      <c r="CP91" s="54">
        <v>0</v>
      </c>
      <c r="CQ91" s="126">
        <f t="shared" si="41"/>
        <v>0</v>
      </c>
    </row>
    <row r="92" spans="1:95" s="47" customFormat="1" ht="21.75" customHeight="1" x14ac:dyDescent="0.25">
      <c r="A92" s="45">
        <v>74</v>
      </c>
      <c r="B92" s="45" t="s">
        <v>184</v>
      </c>
      <c r="C92" s="176" t="s">
        <v>185</v>
      </c>
      <c r="D92" s="85">
        <v>45971</v>
      </c>
      <c r="E92" s="65">
        <v>0.35138888888888892</v>
      </c>
      <c r="F92" s="65">
        <v>0.35138888888888892</v>
      </c>
      <c r="G92" s="65">
        <v>0.56180555555555556</v>
      </c>
      <c r="H92" s="65">
        <v>0.56180555555555556</v>
      </c>
      <c r="I92" s="98">
        <v>0.58333333333333337</v>
      </c>
      <c r="J92" s="98">
        <v>0.93819444444444444</v>
      </c>
      <c r="K92" s="65">
        <v>0.35138888888888892</v>
      </c>
      <c r="L92" s="65">
        <v>0.95833333333333337</v>
      </c>
      <c r="M92" s="65">
        <v>0.35138888888888892</v>
      </c>
      <c r="N92" s="65">
        <v>0.93819444444444444</v>
      </c>
      <c r="O92" s="65">
        <v>0.35138888888888892</v>
      </c>
      <c r="P92" s="65">
        <v>0.94166666666666676</v>
      </c>
      <c r="Q92" s="65">
        <v>0.3520833333333333</v>
      </c>
      <c r="R92" s="65">
        <v>0.94097222222222221</v>
      </c>
      <c r="S92" s="65">
        <v>0.3520833333333333</v>
      </c>
      <c r="T92" s="65">
        <v>0.93819444444444444</v>
      </c>
      <c r="U92" s="65">
        <v>0.35138888888888892</v>
      </c>
      <c r="V92" s="65">
        <v>0.95972222222222225</v>
      </c>
      <c r="W92" s="98">
        <v>0.56180555555555556</v>
      </c>
      <c r="X92" s="99">
        <v>1</v>
      </c>
      <c r="Y92" s="65">
        <v>0.3520833333333333</v>
      </c>
      <c r="Z92" s="65">
        <v>0.3520833333333333</v>
      </c>
      <c r="AA92" s="65">
        <v>0.34861111111111115</v>
      </c>
      <c r="AB92" s="65">
        <v>0.9555555555555556</v>
      </c>
      <c r="AC92" s="65">
        <v>0.33263888888888887</v>
      </c>
      <c r="AD92" s="65">
        <v>0.95833333333333337</v>
      </c>
      <c r="AE92" s="65">
        <v>0.35069444444444442</v>
      </c>
      <c r="AF92" s="65">
        <v>0.9375</v>
      </c>
      <c r="AG92" s="65">
        <v>0.35069444444444442</v>
      </c>
      <c r="AH92" s="65">
        <v>0.9375</v>
      </c>
      <c r="AI92" s="114"/>
      <c r="AJ92" s="45">
        <v>74</v>
      </c>
      <c r="AK92" s="134">
        <v>46219.352083333331</v>
      </c>
      <c r="AL92" s="134">
        <v>46219.95957175926</v>
      </c>
      <c r="AM92" s="134">
        <v>46220.572650462964</v>
      </c>
      <c r="AN92" s="136">
        <v>1</v>
      </c>
      <c r="AO92" s="134">
        <v>46221.343645833331</v>
      </c>
      <c r="AP92" s="134">
        <v>46221.958483796298</v>
      </c>
      <c r="AQ92" s="134">
        <v>46222.351886574077</v>
      </c>
      <c r="AR92" s="134">
        <v>46222.958912037036</v>
      </c>
      <c r="AS92" s="134">
        <v>46223.3515625</v>
      </c>
      <c r="AT92" s="134">
        <v>46223.937534722223</v>
      </c>
      <c r="AU92" s="134">
        <v>46224.351122685184</v>
      </c>
      <c r="AV92" s="134">
        <v>46224.937581018516</v>
      </c>
      <c r="AW92" s="134">
        <v>46225.351087962961</v>
      </c>
      <c r="AX92" s="134">
        <v>46225.9375462963</v>
      </c>
      <c r="AY92" s="134">
        <v>46226.004490740743</v>
      </c>
      <c r="AZ92" s="134">
        <v>46226.941921296297</v>
      </c>
      <c r="BA92" s="158" t="s">
        <v>15</v>
      </c>
      <c r="BB92" s="158" t="s">
        <v>15</v>
      </c>
      <c r="BC92" s="134">
        <v>46228.351782407408</v>
      </c>
      <c r="BD92" s="136">
        <v>1</v>
      </c>
      <c r="BE92" s="134">
        <v>46229.352858796294</v>
      </c>
      <c r="BF92" s="134">
        <v>46229.942523148151</v>
      </c>
      <c r="BG92" s="134">
        <v>46230.35119212963</v>
      </c>
      <c r="BH92" s="134">
        <v>46230.939629629633</v>
      </c>
      <c r="BI92" s="134">
        <v>46231.351921296293</v>
      </c>
      <c r="BJ92" s="134">
        <v>46231.939791666664</v>
      </c>
      <c r="BK92" s="134">
        <v>46232.351921296293</v>
      </c>
      <c r="BL92" s="137">
        <v>46232.939583333333</v>
      </c>
      <c r="BM92" s="137">
        <v>46233.349675925929</v>
      </c>
      <c r="BN92" s="136">
        <v>1</v>
      </c>
      <c r="BO92" s="134">
        <v>46234.563206018516</v>
      </c>
      <c r="BP92" s="137">
        <v>46234.940960648149</v>
      </c>
      <c r="BQ92" s="9">
        <f t="shared" si="25"/>
        <v>31</v>
      </c>
      <c r="BR92" s="68">
        <v>4</v>
      </c>
      <c r="BS92" s="1">
        <f t="shared" si="27"/>
        <v>30</v>
      </c>
      <c r="BT92" s="2">
        <f t="shared" si="28"/>
        <v>1</v>
      </c>
      <c r="BU92" s="2">
        <f t="shared" si="29"/>
        <v>0</v>
      </c>
      <c r="BV92" s="2">
        <f t="shared" si="30"/>
        <v>0</v>
      </c>
      <c r="BW92" s="2">
        <f t="shared" si="31"/>
        <v>0</v>
      </c>
      <c r="BX92" s="2">
        <f t="shared" si="32"/>
        <v>0</v>
      </c>
      <c r="BY92" s="2">
        <f t="shared" si="33"/>
        <v>0</v>
      </c>
      <c r="BZ92" s="2">
        <f t="shared" si="34"/>
        <v>0</v>
      </c>
      <c r="CA92" s="2">
        <f t="shared" si="35"/>
        <v>0</v>
      </c>
      <c r="CB92" s="2">
        <f t="shared" si="36"/>
        <v>0</v>
      </c>
      <c r="CC92" s="2">
        <f t="shared" si="37"/>
        <v>0</v>
      </c>
      <c r="CD92" s="2">
        <f t="shared" si="38"/>
        <v>0</v>
      </c>
      <c r="CE92" s="131"/>
      <c r="CG92" s="122">
        <v>0</v>
      </c>
      <c r="CH92" s="123">
        <v>0</v>
      </c>
      <c r="CI92" s="123">
        <v>0</v>
      </c>
      <c r="CJ92" s="123">
        <v>0</v>
      </c>
      <c r="CK92" s="123">
        <v>0</v>
      </c>
      <c r="CL92" s="123">
        <v>0</v>
      </c>
      <c r="CM92" s="123">
        <v>0</v>
      </c>
      <c r="CN92" s="123">
        <v>0</v>
      </c>
      <c r="CO92" s="123">
        <v>0</v>
      </c>
      <c r="CP92" s="123">
        <v>0</v>
      </c>
      <c r="CQ92" s="125">
        <f t="shared" si="41"/>
        <v>0</v>
      </c>
    </row>
    <row r="93" spans="1:95" s="47" customFormat="1" ht="21.75" customHeight="1" x14ac:dyDescent="0.25">
      <c r="A93" s="45">
        <v>75</v>
      </c>
      <c r="B93" s="45" t="s">
        <v>186</v>
      </c>
      <c r="C93" s="176" t="s">
        <v>187</v>
      </c>
      <c r="D93" s="85">
        <v>45987</v>
      </c>
      <c r="E93" s="65">
        <v>0.3527777777777778</v>
      </c>
      <c r="F93" s="65">
        <v>0.9506944444444444</v>
      </c>
      <c r="G93" s="65">
        <v>0.34861111111111115</v>
      </c>
      <c r="H93" s="65">
        <v>0.92986111111111114</v>
      </c>
      <c r="I93" s="98">
        <v>0.57916666666666672</v>
      </c>
      <c r="J93" s="98">
        <v>0.91319444444444453</v>
      </c>
      <c r="K93" s="65">
        <v>0.34930555555555554</v>
      </c>
      <c r="L93" s="65">
        <v>0.92222222222222217</v>
      </c>
      <c r="M93" s="65">
        <v>0.34791666666666665</v>
      </c>
      <c r="N93" s="65">
        <v>0.94513888888888886</v>
      </c>
      <c r="O93" s="65">
        <v>0.35347222222222219</v>
      </c>
      <c r="P93" s="65">
        <v>0.89374999999999993</v>
      </c>
      <c r="Q93" s="65">
        <v>0.34652777777777777</v>
      </c>
      <c r="R93" s="65">
        <v>0.88958333333333339</v>
      </c>
      <c r="S93" s="65">
        <v>0.35069444444444442</v>
      </c>
      <c r="T93" s="65">
        <v>0.98958333333333337</v>
      </c>
      <c r="U93" s="65">
        <v>0.34722222222222227</v>
      </c>
      <c r="V93" s="65">
        <v>0.96875</v>
      </c>
      <c r="W93" s="91" t="s">
        <v>15</v>
      </c>
      <c r="X93" s="91" t="s">
        <v>15</v>
      </c>
      <c r="Y93" s="65">
        <v>0.35000000000000003</v>
      </c>
      <c r="Z93" s="65">
        <v>0.92847222222222225</v>
      </c>
      <c r="AA93" s="65">
        <v>0.34513888888888888</v>
      </c>
      <c r="AB93" s="65">
        <v>0.97361111111111109</v>
      </c>
      <c r="AC93" s="65">
        <v>0.34861111111111115</v>
      </c>
      <c r="AD93" s="65">
        <v>0.93125000000000002</v>
      </c>
      <c r="AE93" s="65">
        <v>0.35069444444444442</v>
      </c>
      <c r="AF93" s="65">
        <v>0.96250000000000002</v>
      </c>
      <c r="AG93" s="65">
        <v>0.34652777777777777</v>
      </c>
      <c r="AH93" s="65">
        <v>0.97499999999999998</v>
      </c>
      <c r="AI93" s="114"/>
      <c r="AJ93" s="45">
        <v>75</v>
      </c>
      <c r="AK93" s="134">
        <v>46219.352152777778</v>
      </c>
      <c r="AL93" s="134">
        <v>46219.992881944447</v>
      </c>
      <c r="AM93" s="134">
        <v>46220.573321759257</v>
      </c>
      <c r="AN93" s="136">
        <v>1</v>
      </c>
      <c r="AO93" s="134">
        <v>46221.355092592596</v>
      </c>
      <c r="AP93" s="134">
        <v>46221.967268518521</v>
      </c>
      <c r="AQ93" s="134">
        <v>46222.351203703707</v>
      </c>
      <c r="AR93" s="134">
        <v>46222.942013888889</v>
      </c>
      <c r="AS93" s="134">
        <v>46223.351111111115</v>
      </c>
      <c r="AT93" s="134">
        <v>46223.95689814815</v>
      </c>
      <c r="AU93" s="134">
        <v>46224.352465277778</v>
      </c>
      <c r="AV93" s="134">
        <v>46224.963888888888</v>
      </c>
      <c r="AW93" s="134">
        <v>46225.349780092591</v>
      </c>
      <c r="AX93" s="134">
        <v>46225.892118055555</v>
      </c>
      <c r="AY93" s="134">
        <v>46226.344456018516</v>
      </c>
      <c r="AZ93" s="134">
        <v>46226.97246527778</v>
      </c>
      <c r="BA93" s="158" t="s">
        <v>15</v>
      </c>
      <c r="BB93" s="158" t="s">
        <v>15</v>
      </c>
      <c r="BC93" s="134">
        <v>46228.349849537037</v>
      </c>
      <c r="BD93" s="134">
        <v>46228.959120370368</v>
      </c>
      <c r="BE93" s="134">
        <v>46229.352442129632</v>
      </c>
      <c r="BF93" s="134">
        <v>46229.944120370368</v>
      </c>
      <c r="BG93" s="134">
        <v>46230.354247685187</v>
      </c>
      <c r="BH93" s="134">
        <v>46230.98165509259</v>
      </c>
      <c r="BI93" s="134">
        <v>46231.353206018517</v>
      </c>
      <c r="BJ93" s="136">
        <v>1</v>
      </c>
      <c r="BK93" s="134">
        <v>46232.348298611112</v>
      </c>
      <c r="BL93" s="137">
        <v>46232.973032407404</v>
      </c>
      <c r="BM93" s="137">
        <v>46233.350266203706</v>
      </c>
      <c r="BN93" s="134">
        <v>46233.978530092594</v>
      </c>
      <c r="BO93" s="134">
        <v>46234.581400462965</v>
      </c>
      <c r="BP93" s="137">
        <v>46234.922048611108</v>
      </c>
      <c r="BQ93" s="9">
        <f t="shared" si="25"/>
        <v>31</v>
      </c>
      <c r="BR93" s="68">
        <v>3</v>
      </c>
      <c r="BS93" s="1">
        <f t="shared" si="27"/>
        <v>29</v>
      </c>
      <c r="BT93" s="2">
        <f t="shared" si="28"/>
        <v>2</v>
      </c>
      <c r="BU93" s="2">
        <f t="shared" si="29"/>
        <v>0</v>
      </c>
      <c r="BV93" s="2">
        <f t="shared" si="30"/>
        <v>0</v>
      </c>
      <c r="BW93" s="2">
        <f t="shared" si="31"/>
        <v>0</v>
      </c>
      <c r="BX93" s="2">
        <f t="shared" si="32"/>
        <v>0</v>
      </c>
      <c r="BY93" s="2">
        <f t="shared" si="33"/>
        <v>0</v>
      </c>
      <c r="BZ93" s="2">
        <f t="shared" si="34"/>
        <v>0</v>
      </c>
      <c r="CA93" s="2">
        <f t="shared" si="35"/>
        <v>0</v>
      </c>
      <c r="CB93" s="2">
        <f t="shared" si="36"/>
        <v>0</v>
      </c>
      <c r="CC93" s="2">
        <f t="shared" si="37"/>
        <v>0</v>
      </c>
      <c r="CD93" s="2">
        <f t="shared" si="38"/>
        <v>0</v>
      </c>
      <c r="CE93" s="131"/>
      <c r="CG93" s="55">
        <v>0</v>
      </c>
      <c r="CH93" s="54">
        <v>0</v>
      </c>
      <c r="CI93" s="54">
        <v>0</v>
      </c>
      <c r="CJ93" s="54">
        <v>0</v>
      </c>
      <c r="CK93" s="54">
        <v>0</v>
      </c>
      <c r="CL93" s="54">
        <v>0</v>
      </c>
      <c r="CM93" s="54">
        <v>0</v>
      </c>
      <c r="CN93" s="54">
        <v>0</v>
      </c>
      <c r="CO93" s="54">
        <v>0</v>
      </c>
      <c r="CP93" s="54">
        <v>0</v>
      </c>
      <c r="CQ93" s="126">
        <f t="shared" si="41"/>
        <v>0</v>
      </c>
    </row>
    <row r="94" spans="1:95" s="47" customFormat="1" ht="21.75" customHeight="1" x14ac:dyDescent="0.25">
      <c r="A94" s="45">
        <v>76</v>
      </c>
      <c r="B94" s="45" t="s">
        <v>188</v>
      </c>
      <c r="C94" s="176" t="s">
        <v>189</v>
      </c>
      <c r="D94" s="85"/>
      <c r="E94" s="65">
        <v>0.35069444444444442</v>
      </c>
      <c r="F94" s="69">
        <v>1</v>
      </c>
      <c r="G94" s="65">
        <v>0.33194444444444443</v>
      </c>
      <c r="H94" s="69">
        <v>1</v>
      </c>
      <c r="I94" s="98">
        <v>0.58194444444444449</v>
      </c>
      <c r="J94" s="99">
        <v>1</v>
      </c>
      <c r="K94" s="65">
        <v>0.3444444444444445</v>
      </c>
      <c r="L94" s="69">
        <v>1</v>
      </c>
      <c r="M94" s="65">
        <v>0.33263888888888887</v>
      </c>
      <c r="N94" s="69">
        <v>1</v>
      </c>
      <c r="O94" s="65">
        <v>0.33958333333333335</v>
      </c>
      <c r="P94" s="69">
        <v>1</v>
      </c>
      <c r="Q94" s="65">
        <v>0.33263888888888887</v>
      </c>
      <c r="R94" s="69">
        <v>1</v>
      </c>
      <c r="S94" s="65">
        <v>0.34027777777777773</v>
      </c>
      <c r="T94" s="69">
        <v>1</v>
      </c>
      <c r="U94" s="65">
        <v>0.33333333333333331</v>
      </c>
      <c r="V94" s="69">
        <v>1</v>
      </c>
      <c r="W94" s="98">
        <v>0.58194444444444449</v>
      </c>
      <c r="X94" s="99">
        <v>1</v>
      </c>
      <c r="Y94" s="65">
        <v>0.33749999999999997</v>
      </c>
      <c r="Z94" s="69">
        <v>1</v>
      </c>
      <c r="AA94" s="65">
        <v>0.33402777777777781</v>
      </c>
      <c r="AB94" s="65">
        <v>0.3430555555555555</v>
      </c>
      <c r="AC94" s="65">
        <v>0.33194444444444443</v>
      </c>
      <c r="AD94" s="69">
        <v>1</v>
      </c>
      <c r="AE94" s="65">
        <v>0.3520833333333333</v>
      </c>
      <c r="AF94" s="69">
        <v>1</v>
      </c>
      <c r="AG94" s="65">
        <v>0.33263888888888887</v>
      </c>
      <c r="AH94" s="69">
        <v>1</v>
      </c>
      <c r="AI94" s="106"/>
      <c r="AJ94" s="45">
        <v>76</v>
      </c>
      <c r="AK94" s="134">
        <v>46219.33798611111</v>
      </c>
      <c r="AL94" s="136">
        <v>1</v>
      </c>
      <c r="AM94" s="134">
        <v>46220.582060185188</v>
      </c>
      <c r="AN94" s="136">
        <v>1</v>
      </c>
      <c r="AO94" s="134">
        <v>46221.339050925926</v>
      </c>
      <c r="AP94" s="134">
        <v>46221.965416666666</v>
      </c>
      <c r="AQ94" s="134">
        <v>46222.34233796296</v>
      </c>
      <c r="AR94" s="136">
        <v>1</v>
      </c>
      <c r="AS94" s="134">
        <v>46223.363159722219</v>
      </c>
      <c r="AT94" s="136">
        <v>1</v>
      </c>
      <c r="AU94" s="134">
        <v>46224.333449074074</v>
      </c>
      <c r="AV94" s="136">
        <v>1</v>
      </c>
      <c r="AW94" s="134">
        <v>46225.333229166667</v>
      </c>
      <c r="AX94" s="136">
        <v>1</v>
      </c>
      <c r="AY94" s="134">
        <v>46226.356319444443</v>
      </c>
      <c r="AZ94" s="136">
        <v>1</v>
      </c>
      <c r="BA94" s="134">
        <v>46227.582002314812</v>
      </c>
      <c r="BB94" s="134">
        <v>1</v>
      </c>
      <c r="BC94" s="134">
        <v>46228.330474537041</v>
      </c>
      <c r="BD94" s="136">
        <v>1</v>
      </c>
      <c r="BE94" s="134">
        <v>46229.33761574074</v>
      </c>
      <c r="BF94" s="136">
        <v>1</v>
      </c>
      <c r="BG94" s="134">
        <v>46230.332175925927</v>
      </c>
      <c r="BH94" s="136">
        <v>1</v>
      </c>
      <c r="BI94" s="134">
        <v>46231.329837962963</v>
      </c>
      <c r="BJ94" s="136">
        <v>1</v>
      </c>
      <c r="BK94" s="134">
        <v>46232.334201388891</v>
      </c>
      <c r="BL94" s="159">
        <v>1</v>
      </c>
      <c r="BM94" s="137">
        <v>46233.337847222225</v>
      </c>
      <c r="BN94" s="136">
        <v>1</v>
      </c>
      <c r="BO94" s="134">
        <v>46234.58090277778</v>
      </c>
      <c r="BP94" s="137">
        <v>1</v>
      </c>
      <c r="BQ94" s="9">
        <f t="shared" si="25"/>
        <v>31</v>
      </c>
      <c r="BR94" s="68">
        <v>5</v>
      </c>
      <c r="BS94" s="1">
        <f t="shared" si="27"/>
        <v>31</v>
      </c>
      <c r="BT94" s="2">
        <f t="shared" si="28"/>
        <v>0</v>
      </c>
      <c r="BU94" s="2">
        <f t="shared" si="29"/>
        <v>0</v>
      </c>
      <c r="BV94" s="2">
        <f t="shared" si="30"/>
        <v>0</v>
      </c>
      <c r="BW94" s="2">
        <f t="shared" si="31"/>
        <v>0</v>
      </c>
      <c r="BX94" s="2">
        <f t="shared" si="32"/>
        <v>0</v>
      </c>
      <c r="BY94" s="2">
        <f t="shared" si="33"/>
        <v>0</v>
      </c>
      <c r="BZ94" s="2">
        <f t="shared" si="34"/>
        <v>0</v>
      </c>
      <c r="CA94" s="2">
        <f t="shared" si="35"/>
        <v>0</v>
      </c>
      <c r="CB94" s="2">
        <f t="shared" si="36"/>
        <v>0</v>
      </c>
      <c r="CC94" s="2">
        <f t="shared" si="37"/>
        <v>0</v>
      </c>
      <c r="CD94" s="2">
        <f t="shared" si="38"/>
        <v>0</v>
      </c>
      <c r="CE94" s="131"/>
      <c r="CG94" s="122">
        <v>0</v>
      </c>
      <c r="CH94" s="123">
        <v>0</v>
      </c>
      <c r="CI94" s="123">
        <v>0</v>
      </c>
      <c r="CJ94" s="123">
        <v>0</v>
      </c>
      <c r="CK94" s="123">
        <v>0</v>
      </c>
      <c r="CL94" s="123">
        <v>0</v>
      </c>
      <c r="CM94" s="123">
        <v>0</v>
      </c>
      <c r="CN94" s="123">
        <v>0</v>
      </c>
      <c r="CO94" s="123">
        <v>0</v>
      </c>
      <c r="CP94" s="123">
        <v>0</v>
      </c>
      <c r="CQ94" s="125">
        <f t="shared" si="41"/>
        <v>0</v>
      </c>
    </row>
    <row r="95" spans="1:95" s="47" customFormat="1" ht="21.75" customHeight="1" x14ac:dyDescent="0.25">
      <c r="A95" s="45">
        <v>77</v>
      </c>
      <c r="B95" s="45" t="s">
        <v>190</v>
      </c>
      <c r="C95" s="176" t="s">
        <v>191</v>
      </c>
      <c r="D95" s="85">
        <v>45973</v>
      </c>
      <c r="E95" s="65">
        <v>0.35625000000000001</v>
      </c>
      <c r="F95" s="65">
        <v>0.95833333333333337</v>
      </c>
      <c r="G95" s="65">
        <v>0.35486111111111113</v>
      </c>
      <c r="H95" s="65">
        <v>0.96319444444444446</v>
      </c>
      <c r="I95" s="98">
        <v>0.58263888888888882</v>
      </c>
      <c r="J95" s="98">
        <v>0.95138888888888884</v>
      </c>
      <c r="K95" s="65">
        <v>0.35486111111111113</v>
      </c>
      <c r="L95" s="65">
        <v>0.95833333333333337</v>
      </c>
      <c r="M95" s="65">
        <v>0.3611111111111111</v>
      </c>
      <c r="N95" s="65">
        <v>0.95833333333333337</v>
      </c>
      <c r="O95" s="65">
        <v>0.35972222222222222</v>
      </c>
      <c r="P95" s="65">
        <v>0.97916666666666663</v>
      </c>
      <c r="Q95" s="65">
        <v>0.3527777777777778</v>
      </c>
      <c r="R95" s="65">
        <v>0.94930555555555562</v>
      </c>
      <c r="S95" s="65">
        <v>0.35486111111111113</v>
      </c>
      <c r="T95" s="65">
        <v>0.9472222222222223</v>
      </c>
      <c r="U95" s="65">
        <v>0.35694444444444445</v>
      </c>
      <c r="V95" s="65">
        <v>0.9604166666666667</v>
      </c>
      <c r="W95" s="91" t="s">
        <v>15</v>
      </c>
      <c r="X95" s="91" t="s">
        <v>15</v>
      </c>
      <c r="Y95" s="65">
        <v>0.3576388888888889</v>
      </c>
      <c r="Z95" s="65">
        <v>0.96597222222222223</v>
      </c>
      <c r="AA95" s="65">
        <v>0.3520833333333333</v>
      </c>
      <c r="AB95" s="65">
        <v>0.95000000000000007</v>
      </c>
      <c r="AC95" s="65">
        <v>0.3527777777777778</v>
      </c>
      <c r="AD95" s="65">
        <v>0.96527777777777779</v>
      </c>
      <c r="AE95" s="65">
        <v>0.35486111111111113</v>
      </c>
      <c r="AF95" s="65">
        <v>0.94930555555555562</v>
      </c>
      <c r="AG95" s="65">
        <v>0.35347222222222219</v>
      </c>
      <c r="AH95" s="65">
        <v>0.95833333333333337</v>
      </c>
      <c r="AI95" s="106"/>
      <c r="AJ95" s="45">
        <v>77</v>
      </c>
      <c r="AK95" s="134">
        <v>46219.351956018516</v>
      </c>
      <c r="AL95" s="134">
        <v>46219.992627314816</v>
      </c>
      <c r="AM95" s="134">
        <v>46220.580196759256</v>
      </c>
      <c r="AN95" s="134">
        <v>46220.966273148151</v>
      </c>
      <c r="AO95" s="134">
        <v>46221.354444444441</v>
      </c>
      <c r="AP95" s="136">
        <v>1</v>
      </c>
      <c r="AQ95" s="134">
        <v>46222.355324074073</v>
      </c>
      <c r="AR95" s="136">
        <v>1</v>
      </c>
      <c r="AS95" s="134">
        <v>46223.350601851853</v>
      </c>
      <c r="AT95" s="134">
        <v>46223.974641203706</v>
      </c>
      <c r="AU95" s="134">
        <v>46224.353807870371</v>
      </c>
      <c r="AV95" s="134">
        <v>46224.965370370373</v>
      </c>
      <c r="AW95" s="134">
        <v>46225.350416666668</v>
      </c>
      <c r="AX95" s="134">
        <v>46225.967083333337</v>
      </c>
      <c r="AY95" s="134">
        <v>46226.354085648149</v>
      </c>
      <c r="AZ95" s="134">
        <v>46226.965289351851</v>
      </c>
      <c r="BA95" s="134">
        <v>46227.587106481478</v>
      </c>
      <c r="BB95" s="134">
        <v>46227.724791666667</v>
      </c>
      <c r="BC95" s="134">
        <v>46228.356805555559</v>
      </c>
      <c r="BD95" s="134">
        <v>46228.979398148149</v>
      </c>
      <c r="BE95" s="134">
        <v>46229.353136574071</v>
      </c>
      <c r="BF95" s="134">
        <v>46229.958402777775</v>
      </c>
      <c r="BG95" s="134">
        <v>46230.354386574072</v>
      </c>
      <c r="BH95" s="134">
        <v>46230.962777777779</v>
      </c>
      <c r="BI95" s="134">
        <v>46231.353252314817</v>
      </c>
      <c r="BJ95" s="134">
        <v>46231.952708333331</v>
      </c>
      <c r="BK95" s="134">
        <v>46232.354224537034</v>
      </c>
      <c r="BL95" s="137">
        <v>46232.950520833336</v>
      </c>
      <c r="BM95" s="137">
        <v>46233.351064814815</v>
      </c>
      <c r="BN95" s="134">
        <v>46233.988275462965</v>
      </c>
      <c r="BO95" s="134">
        <v>46234.580763888887</v>
      </c>
      <c r="BP95" s="137">
        <v>46234.960914351854</v>
      </c>
      <c r="BQ95" s="9">
        <f t="shared" si="25"/>
        <v>31</v>
      </c>
      <c r="BR95" s="68">
        <v>4</v>
      </c>
      <c r="BS95" s="1">
        <f t="shared" si="27"/>
        <v>30</v>
      </c>
      <c r="BT95" s="2">
        <f t="shared" si="28"/>
        <v>1</v>
      </c>
      <c r="BU95" s="2">
        <f t="shared" si="29"/>
        <v>0</v>
      </c>
      <c r="BV95" s="2">
        <f t="shared" si="30"/>
        <v>0</v>
      </c>
      <c r="BW95" s="2">
        <f t="shared" si="31"/>
        <v>0</v>
      </c>
      <c r="BX95" s="2">
        <f t="shared" si="32"/>
        <v>0</v>
      </c>
      <c r="BY95" s="2">
        <f t="shared" si="33"/>
        <v>0</v>
      </c>
      <c r="BZ95" s="2">
        <f t="shared" si="34"/>
        <v>0</v>
      </c>
      <c r="CA95" s="2">
        <f t="shared" si="35"/>
        <v>0</v>
      </c>
      <c r="CB95" s="2">
        <f t="shared" si="36"/>
        <v>0</v>
      </c>
      <c r="CC95" s="2">
        <f t="shared" si="37"/>
        <v>0</v>
      </c>
      <c r="CD95" s="2">
        <f t="shared" si="38"/>
        <v>0</v>
      </c>
      <c r="CE95" s="131"/>
      <c r="CG95" s="55">
        <v>0</v>
      </c>
      <c r="CH95" s="54">
        <v>0</v>
      </c>
      <c r="CI95" s="54">
        <v>0</v>
      </c>
      <c r="CJ95" s="54">
        <v>0</v>
      </c>
      <c r="CK95" s="54">
        <v>0</v>
      </c>
      <c r="CL95" s="54">
        <v>1</v>
      </c>
      <c r="CM95" s="54">
        <v>0</v>
      </c>
      <c r="CN95" s="54">
        <v>0</v>
      </c>
      <c r="CO95" s="54">
        <v>0</v>
      </c>
      <c r="CP95" s="54">
        <v>0</v>
      </c>
      <c r="CQ95" s="126">
        <f t="shared" si="41"/>
        <v>1</v>
      </c>
    </row>
    <row r="96" spans="1:95" s="47" customFormat="1" ht="19.5" customHeight="1" x14ac:dyDescent="0.25">
      <c r="A96" s="45">
        <v>78</v>
      </c>
      <c r="B96" s="45" t="s">
        <v>196</v>
      </c>
      <c r="C96" s="176" t="s">
        <v>197</v>
      </c>
      <c r="D96" s="85">
        <v>45995</v>
      </c>
      <c r="E96" s="65">
        <v>0.35347222222222219</v>
      </c>
      <c r="F96" s="65">
        <v>0.9604166666666667</v>
      </c>
      <c r="G96" s="65">
        <v>0.35555555555555557</v>
      </c>
      <c r="H96" s="69">
        <v>1</v>
      </c>
      <c r="I96" s="98">
        <v>0.57847222222222217</v>
      </c>
      <c r="J96" s="98">
        <v>0.9555555555555556</v>
      </c>
      <c r="K96" s="65">
        <v>0.3527777777777778</v>
      </c>
      <c r="L96" s="65">
        <v>0.97430555555555554</v>
      </c>
      <c r="M96" s="65">
        <v>0.35486111111111113</v>
      </c>
      <c r="N96" s="65">
        <v>0.95833333333333337</v>
      </c>
      <c r="O96" s="65">
        <v>0.35347222222222219</v>
      </c>
      <c r="P96" s="65">
        <v>0.95624999999999993</v>
      </c>
      <c r="Q96" s="65">
        <v>0.35694444444444445</v>
      </c>
      <c r="R96" s="65">
        <v>0.95416666666666661</v>
      </c>
      <c r="S96" s="65">
        <v>0.35694444444444445</v>
      </c>
      <c r="T96" s="65">
        <v>0.95624999999999993</v>
      </c>
      <c r="U96" s="65">
        <v>0.35069444444444442</v>
      </c>
      <c r="V96" s="65">
        <v>0.97777777777777775</v>
      </c>
      <c r="W96" s="91" t="s">
        <v>15</v>
      </c>
      <c r="X96" s="91" t="s">
        <v>15</v>
      </c>
      <c r="Y96" s="65">
        <v>0.35694444444444445</v>
      </c>
      <c r="Z96" s="65">
        <v>0.96944444444444444</v>
      </c>
      <c r="AA96" s="65">
        <v>0.34722222222222227</v>
      </c>
      <c r="AB96" s="65">
        <v>0.95486111111111116</v>
      </c>
      <c r="AC96" s="65">
        <v>0.35138888888888892</v>
      </c>
      <c r="AD96" s="69">
        <v>1</v>
      </c>
      <c r="AE96" s="65">
        <v>0.35486111111111113</v>
      </c>
      <c r="AF96" s="65">
        <v>0.9506944444444444</v>
      </c>
      <c r="AG96" s="65">
        <v>0.35347222222222219</v>
      </c>
      <c r="AH96" s="65">
        <v>0.96666666666666667</v>
      </c>
      <c r="AI96" s="106"/>
      <c r="AJ96" s="45">
        <v>78</v>
      </c>
      <c r="AK96" s="134">
        <v>46219.350659722222</v>
      </c>
      <c r="AL96" s="134">
        <v>46219.988912037035</v>
      </c>
      <c r="AM96" s="134">
        <v>46220.5784375</v>
      </c>
      <c r="AN96" s="134">
        <v>1</v>
      </c>
      <c r="AO96" s="134">
        <v>46221.354259259257</v>
      </c>
      <c r="AP96" s="134">
        <v>46221.990347222221</v>
      </c>
      <c r="AQ96" s="134">
        <v>46222.353981481479</v>
      </c>
      <c r="AR96" s="134">
        <v>1</v>
      </c>
      <c r="AS96" s="134">
        <v>46223.354178240741</v>
      </c>
      <c r="AT96" s="134">
        <v>1</v>
      </c>
      <c r="AU96" s="160" t="s">
        <v>16</v>
      </c>
      <c r="AV96" s="160" t="s">
        <v>16</v>
      </c>
      <c r="AW96" s="134">
        <v>46225.359259259261</v>
      </c>
      <c r="AX96" s="134">
        <v>46225.95653935185</v>
      </c>
      <c r="AY96" s="134">
        <v>46226.337465277778</v>
      </c>
      <c r="AZ96" s="134">
        <v>46226.976319444446</v>
      </c>
      <c r="BA96" s="158" t="s">
        <v>15</v>
      </c>
      <c r="BB96" s="158" t="s">
        <v>15</v>
      </c>
      <c r="BC96" s="134">
        <v>46228.353101851855</v>
      </c>
      <c r="BD96" s="134">
        <v>1</v>
      </c>
      <c r="BE96" s="134">
        <v>46229.359942129631</v>
      </c>
      <c r="BF96" s="134">
        <v>1</v>
      </c>
      <c r="BG96" s="134">
        <v>46230.352650462963</v>
      </c>
      <c r="BH96" s="134">
        <v>1</v>
      </c>
      <c r="BI96" s="134">
        <v>46231.35361111111</v>
      </c>
      <c r="BJ96" s="134">
        <v>46231.005381944444</v>
      </c>
      <c r="BK96" s="134">
        <v>46232.352870370371</v>
      </c>
      <c r="BL96" s="137">
        <v>46232.953217592592</v>
      </c>
      <c r="BM96" s="135">
        <v>46233.354120370372</v>
      </c>
      <c r="BN96" s="136">
        <v>1</v>
      </c>
      <c r="BO96" s="134">
        <v>46234.581678240742</v>
      </c>
      <c r="BP96" s="137">
        <v>1</v>
      </c>
      <c r="BQ96" s="9">
        <f t="shared" si="25"/>
        <v>31</v>
      </c>
      <c r="BR96" s="68">
        <v>3</v>
      </c>
      <c r="BS96" s="1">
        <f t="shared" si="27"/>
        <v>28</v>
      </c>
      <c r="BT96" s="2">
        <f t="shared" si="28"/>
        <v>2</v>
      </c>
      <c r="BU96" s="2">
        <f t="shared" si="29"/>
        <v>1</v>
      </c>
      <c r="BV96" s="2">
        <f t="shared" si="30"/>
        <v>0</v>
      </c>
      <c r="BW96" s="2">
        <f t="shared" si="31"/>
        <v>0</v>
      </c>
      <c r="BX96" s="2">
        <f t="shared" si="32"/>
        <v>0</v>
      </c>
      <c r="BY96" s="2">
        <f t="shared" si="33"/>
        <v>0</v>
      </c>
      <c r="BZ96" s="2">
        <f t="shared" si="34"/>
        <v>0</v>
      </c>
      <c r="CA96" s="2">
        <f t="shared" si="35"/>
        <v>0</v>
      </c>
      <c r="CB96" s="2">
        <f t="shared" si="36"/>
        <v>0</v>
      </c>
      <c r="CC96" s="2">
        <f t="shared" si="37"/>
        <v>0</v>
      </c>
      <c r="CD96" s="2">
        <f t="shared" si="38"/>
        <v>0</v>
      </c>
      <c r="CE96" s="131"/>
      <c r="CG96" s="122">
        <v>0</v>
      </c>
      <c r="CH96" s="122">
        <v>0</v>
      </c>
      <c r="CI96" s="122">
        <v>0</v>
      </c>
      <c r="CJ96" s="122">
        <v>0</v>
      </c>
      <c r="CK96" s="122">
        <v>0</v>
      </c>
      <c r="CL96" s="122">
        <v>2</v>
      </c>
      <c r="CM96" s="122">
        <v>0</v>
      </c>
      <c r="CN96" s="122">
        <v>0</v>
      </c>
      <c r="CO96" s="122">
        <v>0</v>
      </c>
      <c r="CP96" s="122">
        <v>0</v>
      </c>
      <c r="CQ96" s="125">
        <f t="shared" si="41"/>
        <v>2</v>
      </c>
    </row>
    <row r="97" spans="1:95" s="47" customFormat="1" ht="21.75" customHeight="1" x14ac:dyDescent="0.25">
      <c r="A97" s="45">
        <v>79</v>
      </c>
      <c r="B97" s="45" t="s">
        <v>198</v>
      </c>
      <c r="C97" s="176" t="s">
        <v>199</v>
      </c>
      <c r="D97" s="85">
        <v>46004</v>
      </c>
      <c r="E97" s="65">
        <v>0.35347222222222219</v>
      </c>
      <c r="F97" s="65">
        <v>0.95347222222222217</v>
      </c>
      <c r="G97" s="65">
        <v>0.35902777777777778</v>
      </c>
      <c r="H97" s="69">
        <v>1</v>
      </c>
      <c r="I97" s="98">
        <v>0.58333333333333337</v>
      </c>
      <c r="J97" s="98">
        <v>0.95486111111111116</v>
      </c>
      <c r="K97" s="65">
        <v>0.35416666666666669</v>
      </c>
      <c r="L97" s="69">
        <v>1</v>
      </c>
      <c r="M97" s="65">
        <v>0.35416666666666669</v>
      </c>
      <c r="N97" s="65">
        <v>0.95833333333333337</v>
      </c>
      <c r="O97" s="65">
        <v>0.35833333333333334</v>
      </c>
      <c r="P97" s="69">
        <v>1</v>
      </c>
      <c r="Q97" s="65">
        <v>0.35486111111111113</v>
      </c>
      <c r="R97" s="65">
        <v>0.95277777777777783</v>
      </c>
      <c r="S97" s="65">
        <v>0.95624999999999993</v>
      </c>
      <c r="T97" s="69">
        <v>1</v>
      </c>
      <c r="U97" s="65">
        <v>0.35138888888888892</v>
      </c>
      <c r="V97" s="65">
        <v>0.9784722222222223</v>
      </c>
      <c r="W97" s="91" t="s">
        <v>15</v>
      </c>
      <c r="X97" s="91" t="s">
        <v>15</v>
      </c>
      <c r="Y97" s="65">
        <v>0.3527777777777778</v>
      </c>
      <c r="Z97" s="69">
        <v>1</v>
      </c>
      <c r="AA97" s="65">
        <v>0.34722222222222227</v>
      </c>
      <c r="AB97" s="65">
        <v>0.95277777777777783</v>
      </c>
      <c r="AC97" s="65">
        <v>0.3527777777777778</v>
      </c>
      <c r="AD97" s="65">
        <v>0.95138888888888884</v>
      </c>
      <c r="AE97" s="65">
        <v>0.3520833333333333</v>
      </c>
      <c r="AF97" s="65">
        <v>0.94444444444444453</v>
      </c>
      <c r="AG97" s="65">
        <v>0.3520833333333333</v>
      </c>
      <c r="AH97" s="69">
        <v>1</v>
      </c>
      <c r="AI97" s="106"/>
      <c r="AJ97" s="45">
        <v>79</v>
      </c>
      <c r="AK97" s="134">
        <v>46219.35423611111</v>
      </c>
      <c r="AL97" s="134">
        <v>46219.975775462961</v>
      </c>
      <c r="AM97" s="134">
        <v>46220.579814814817</v>
      </c>
      <c r="AN97" s="134">
        <v>1</v>
      </c>
      <c r="AO97" s="134">
        <v>46221.35423611111</v>
      </c>
      <c r="AP97" s="134">
        <v>1</v>
      </c>
      <c r="AQ97" s="134">
        <v>46222.353310185186</v>
      </c>
      <c r="AR97" s="134">
        <v>46222.958240740743</v>
      </c>
      <c r="AS97" s="134">
        <v>46223.354629629626</v>
      </c>
      <c r="AT97" s="134">
        <v>1</v>
      </c>
      <c r="AU97" s="134">
        <v>46224.353877314818</v>
      </c>
      <c r="AV97" s="134">
        <v>1</v>
      </c>
      <c r="AW97" s="160" t="s">
        <v>16</v>
      </c>
      <c r="AX97" s="160" t="s">
        <v>16</v>
      </c>
      <c r="AY97" s="160" t="s">
        <v>16</v>
      </c>
      <c r="AZ97" s="160" t="s">
        <v>16</v>
      </c>
      <c r="BA97" s="158" t="s">
        <v>15</v>
      </c>
      <c r="BB97" s="158" t="s">
        <v>15</v>
      </c>
      <c r="BC97" s="134">
        <v>46228.353587962964</v>
      </c>
      <c r="BD97" s="134">
        <v>1</v>
      </c>
      <c r="BE97" s="134">
        <v>46229.354097222225</v>
      </c>
      <c r="BF97" s="134">
        <v>1</v>
      </c>
      <c r="BG97" s="134">
        <v>46230.352129629631</v>
      </c>
      <c r="BH97" s="134">
        <v>46230.999675925923</v>
      </c>
      <c r="BI97" s="134">
        <v>46231.352673611109</v>
      </c>
      <c r="BJ97" s="134">
        <v>46231.948831018519</v>
      </c>
      <c r="BK97" s="134">
        <v>46232.352650462963</v>
      </c>
      <c r="BL97" s="137">
        <v>1</v>
      </c>
      <c r="BM97" s="137">
        <v>46233.354224537034</v>
      </c>
      <c r="BN97" s="134">
        <v>46233.970972222225</v>
      </c>
      <c r="BO97" s="134">
        <v>46234.58011574074</v>
      </c>
      <c r="BP97" s="137">
        <v>46234.950069444443</v>
      </c>
      <c r="BQ97" s="9">
        <f t="shared" si="25"/>
        <v>31</v>
      </c>
      <c r="BR97" s="68">
        <v>3</v>
      </c>
      <c r="BS97" s="1">
        <f t="shared" si="27"/>
        <v>27</v>
      </c>
      <c r="BT97" s="2">
        <f t="shared" si="28"/>
        <v>2</v>
      </c>
      <c r="BU97" s="2">
        <f t="shared" si="29"/>
        <v>2</v>
      </c>
      <c r="BV97" s="2">
        <f t="shared" si="30"/>
        <v>0</v>
      </c>
      <c r="BW97" s="2">
        <f t="shared" si="31"/>
        <v>0</v>
      </c>
      <c r="BX97" s="2">
        <f t="shared" si="32"/>
        <v>0</v>
      </c>
      <c r="BY97" s="2">
        <f t="shared" si="33"/>
        <v>0</v>
      </c>
      <c r="BZ97" s="2">
        <f t="shared" si="34"/>
        <v>0</v>
      </c>
      <c r="CA97" s="2">
        <f t="shared" si="35"/>
        <v>0</v>
      </c>
      <c r="CB97" s="2">
        <f t="shared" si="36"/>
        <v>0</v>
      </c>
      <c r="CC97" s="2">
        <f t="shared" si="37"/>
        <v>0</v>
      </c>
      <c r="CD97" s="2">
        <f t="shared" si="38"/>
        <v>0</v>
      </c>
      <c r="CE97" s="131"/>
      <c r="CG97" s="70">
        <v>0</v>
      </c>
      <c r="CH97" s="70">
        <v>0</v>
      </c>
      <c r="CI97" s="70">
        <v>0</v>
      </c>
      <c r="CJ97" s="70">
        <v>0</v>
      </c>
      <c r="CK97" s="70">
        <v>0</v>
      </c>
      <c r="CL97" s="70">
        <v>3</v>
      </c>
      <c r="CM97" s="70">
        <v>0</v>
      </c>
      <c r="CN97" s="70">
        <v>0</v>
      </c>
      <c r="CO97" s="70">
        <v>0</v>
      </c>
      <c r="CP97" s="70">
        <v>0</v>
      </c>
      <c r="CQ97" s="127">
        <f t="shared" si="41"/>
        <v>3</v>
      </c>
    </row>
    <row r="98" spans="1:95" s="47" customFormat="1" ht="21.75" customHeight="1" x14ac:dyDescent="0.25">
      <c r="A98" s="45">
        <v>80</v>
      </c>
      <c r="B98" s="45" t="s">
        <v>201</v>
      </c>
      <c r="C98" s="176" t="s">
        <v>203</v>
      </c>
      <c r="D98" s="85">
        <v>46007</v>
      </c>
      <c r="E98" s="65">
        <v>0.34652777777777777</v>
      </c>
      <c r="F98" s="65">
        <v>0.97291666666666676</v>
      </c>
      <c r="G98" s="65">
        <v>0.35138888888888892</v>
      </c>
      <c r="H98" s="65">
        <v>0.98958333333333337</v>
      </c>
      <c r="I98" s="98">
        <v>0.57847222222222217</v>
      </c>
      <c r="J98" s="98">
        <v>0.93472222222222223</v>
      </c>
      <c r="K98" s="65">
        <v>0.34930555555555554</v>
      </c>
      <c r="L98" s="65">
        <v>0.95138888888888884</v>
      </c>
      <c r="M98" s="65">
        <v>0.35416666666666669</v>
      </c>
      <c r="N98" s="65">
        <v>0.95833333333333337</v>
      </c>
      <c r="O98" s="65">
        <v>0.3520833333333333</v>
      </c>
      <c r="P98" s="65">
        <v>0.9604166666666667</v>
      </c>
      <c r="Q98" s="65">
        <v>0.35416666666666669</v>
      </c>
      <c r="R98" s="65">
        <v>0.97291666666666676</v>
      </c>
      <c r="S98" s="65">
        <v>0.34583333333333338</v>
      </c>
      <c r="T98" s="65">
        <v>2.7777777777777779E-3</v>
      </c>
      <c r="U98" s="65">
        <v>0.3520833333333333</v>
      </c>
      <c r="V98" s="65">
        <v>0.98472222222222217</v>
      </c>
      <c r="W98" s="91" t="s">
        <v>15</v>
      </c>
      <c r="X98" s="91" t="s">
        <v>15</v>
      </c>
      <c r="Y98" s="65">
        <v>0.35347222222222219</v>
      </c>
      <c r="Z98" s="65">
        <v>0.95138888888888884</v>
      </c>
      <c r="AA98" s="65">
        <v>0.34722222222222227</v>
      </c>
      <c r="AB98" s="65">
        <v>0.97361111111111109</v>
      </c>
      <c r="AC98" s="65">
        <v>0.34652777777777777</v>
      </c>
      <c r="AD98" s="65">
        <v>0.93263888888888891</v>
      </c>
      <c r="AE98" s="65">
        <v>0.34513888888888888</v>
      </c>
      <c r="AF98" s="65">
        <v>0.96319444444444446</v>
      </c>
      <c r="AG98" s="65">
        <v>0.34652777777777777</v>
      </c>
      <c r="AH98" s="69">
        <v>1</v>
      </c>
      <c r="AI98" s="114"/>
      <c r="AJ98" s="45">
        <v>80</v>
      </c>
      <c r="AK98" s="134">
        <v>46219.345833333333</v>
      </c>
      <c r="AL98" s="134">
        <v>46219.992349537039</v>
      </c>
      <c r="AM98" s="134">
        <v>46220.578750000001</v>
      </c>
      <c r="AN98" s="134">
        <v>46220.941203703704</v>
      </c>
      <c r="AO98" s="134">
        <v>46221.351435185185</v>
      </c>
      <c r="AP98" s="134">
        <v>1</v>
      </c>
      <c r="AQ98" s="134">
        <v>46222.354502314818</v>
      </c>
      <c r="AR98" s="134">
        <v>46222.943159722221</v>
      </c>
      <c r="AS98" s="134">
        <v>46223.345335648148</v>
      </c>
      <c r="AT98" s="134">
        <v>1</v>
      </c>
      <c r="AU98" s="134">
        <v>46224.348333333335</v>
      </c>
      <c r="AV98" s="134">
        <v>46224.963067129633</v>
      </c>
      <c r="AW98" s="134">
        <v>46225.348530092589</v>
      </c>
      <c r="AX98" s="134">
        <v>46225.987326388888</v>
      </c>
      <c r="AY98" s="134">
        <v>46226.338935185187</v>
      </c>
      <c r="AZ98" s="134">
        <v>46226.961828703701</v>
      </c>
      <c r="BA98" s="158" t="s">
        <v>15</v>
      </c>
      <c r="BB98" s="158" t="s">
        <v>15</v>
      </c>
      <c r="BC98" s="134">
        <v>46228.345451388886</v>
      </c>
      <c r="BD98" s="134">
        <v>46228.961898148147</v>
      </c>
      <c r="BE98" s="134">
        <v>46229.352488425924</v>
      </c>
      <c r="BF98" s="134">
        <v>46229.943807870368</v>
      </c>
      <c r="BG98" s="134">
        <v>46230.350289351853</v>
      </c>
      <c r="BH98" s="134">
        <v>46230.98847222222</v>
      </c>
      <c r="BI98" s="134">
        <v>46231.350486111114</v>
      </c>
      <c r="BJ98" s="134">
        <v>46231.95884259259</v>
      </c>
      <c r="BK98" s="134">
        <v>46232.352986111109</v>
      </c>
      <c r="BL98" s="137">
        <v>46232.972766203704</v>
      </c>
      <c r="BM98" s="137">
        <v>46233.346377314818</v>
      </c>
      <c r="BN98" s="134">
        <v>46233.968761574077</v>
      </c>
      <c r="BO98" s="134">
        <v>46234.576284722221</v>
      </c>
      <c r="BP98" s="137">
        <v>46234.922627314816</v>
      </c>
      <c r="BQ98" s="9">
        <f t="shared" si="25"/>
        <v>31</v>
      </c>
      <c r="BR98" s="68">
        <v>3</v>
      </c>
      <c r="BS98" s="1">
        <f t="shared" si="27"/>
        <v>29</v>
      </c>
      <c r="BT98" s="2">
        <f t="shared" si="28"/>
        <v>2</v>
      </c>
      <c r="BU98" s="2">
        <f t="shared" si="29"/>
        <v>0</v>
      </c>
      <c r="BV98" s="2">
        <f t="shared" si="30"/>
        <v>0</v>
      </c>
      <c r="BW98" s="2">
        <f t="shared" si="31"/>
        <v>0</v>
      </c>
      <c r="BX98" s="2">
        <f t="shared" si="32"/>
        <v>0</v>
      </c>
      <c r="BY98" s="2">
        <f t="shared" si="33"/>
        <v>0</v>
      </c>
      <c r="BZ98" s="2">
        <f t="shared" si="34"/>
        <v>0</v>
      </c>
      <c r="CA98" s="2">
        <f t="shared" si="35"/>
        <v>0</v>
      </c>
      <c r="CB98" s="2">
        <f t="shared" si="36"/>
        <v>0</v>
      </c>
      <c r="CC98" s="2">
        <f t="shared" si="37"/>
        <v>0</v>
      </c>
      <c r="CD98" s="2">
        <f t="shared" si="38"/>
        <v>0</v>
      </c>
      <c r="CE98" s="131"/>
      <c r="CG98" s="122">
        <v>0</v>
      </c>
      <c r="CH98" s="122">
        <v>0</v>
      </c>
      <c r="CI98" s="122">
        <v>0</v>
      </c>
      <c r="CJ98" s="122">
        <v>0</v>
      </c>
      <c r="CK98" s="122">
        <v>0</v>
      </c>
      <c r="CL98" s="122">
        <v>1</v>
      </c>
      <c r="CM98" s="122">
        <v>0</v>
      </c>
      <c r="CN98" s="122">
        <v>0</v>
      </c>
      <c r="CO98" s="122">
        <v>0</v>
      </c>
      <c r="CP98" s="122">
        <v>0</v>
      </c>
      <c r="CQ98" s="125">
        <f t="shared" si="41"/>
        <v>1</v>
      </c>
    </row>
    <row r="99" spans="1:95" s="47" customFormat="1" ht="22.5" customHeight="1" x14ac:dyDescent="0.25">
      <c r="A99" s="45">
        <v>81</v>
      </c>
      <c r="B99" s="45" t="s">
        <v>202</v>
      </c>
      <c r="C99" s="176" t="s">
        <v>204</v>
      </c>
      <c r="D99" s="85">
        <v>46007</v>
      </c>
      <c r="E99" s="65">
        <v>0.35347222222222219</v>
      </c>
      <c r="F99" s="65">
        <v>0.95972222222222225</v>
      </c>
      <c r="G99" s="65">
        <v>0.35416666666666669</v>
      </c>
      <c r="H99" s="69">
        <v>1</v>
      </c>
      <c r="I99" s="91" t="s">
        <v>15</v>
      </c>
      <c r="J99" s="91" t="s">
        <v>15</v>
      </c>
      <c r="K99" s="65">
        <v>0.35416666666666669</v>
      </c>
      <c r="L99" s="65">
        <v>0.97152777777777777</v>
      </c>
      <c r="M99" s="65">
        <v>0.35416666666666669</v>
      </c>
      <c r="N99" s="69">
        <v>1</v>
      </c>
      <c r="O99" s="65">
        <v>0.35416666666666669</v>
      </c>
      <c r="P99" s="65">
        <v>0.95208333333333339</v>
      </c>
      <c r="Q99" s="65">
        <v>0.35416666666666669</v>
      </c>
      <c r="R99" s="65">
        <v>0.95138888888888884</v>
      </c>
      <c r="S99" s="65">
        <v>0.35486111111111113</v>
      </c>
      <c r="T99" s="65">
        <v>0.95624999999999993</v>
      </c>
      <c r="U99" s="65">
        <v>0.35138888888888892</v>
      </c>
      <c r="V99" s="65">
        <v>0.97430555555555554</v>
      </c>
      <c r="W99" s="98">
        <v>0.57916666666666672</v>
      </c>
      <c r="X99" s="98">
        <v>0.95833333333333337</v>
      </c>
      <c r="Y99" s="65">
        <v>0.3520833333333333</v>
      </c>
      <c r="Z99" s="65">
        <v>0.97013888888888899</v>
      </c>
      <c r="AA99" s="65">
        <v>0.34791666666666665</v>
      </c>
      <c r="AB99" s="65">
        <v>0.95416666666666661</v>
      </c>
      <c r="AC99" s="65">
        <v>0.35347222222222219</v>
      </c>
      <c r="AD99" s="65">
        <v>0.95763888888888893</v>
      </c>
      <c r="AE99" s="65">
        <v>0.3527777777777778</v>
      </c>
      <c r="AF99" s="65">
        <v>0.9506944444444444</v>
      </c>
      <c r="AG99" s="65">
        <v>0.3520833333333333</v>
      </c>
      <c r="AH99" s="65">
        <v>0.96666666666666667</v>
      </c>
      <c r="AI99" s="114"/>
      <c r="AJ99" s="45">
        <v>81</v>
      </c>
      <c r="AK99" s="134">
        <v>46219.354398148149</v>
      </c>
      <c r="AL99" s="134">
        <v>46219.98877314815</v>
      </c>
      <c r="AM99" s="158" t="s">
        <v>15</v>
      </c>
      <c r="AN99" s="158" t="s">
        <v>15</v>
      </c>
      <c r="AO99" s="134">
        <v>46221.354421296295</v>
      </c>
      <c r="AP99" s="134">
        <v>46221.99009259259</v>
      </c>
      <c r="AQ99" s="134">
        <v>46222.353182870371</v>
      </c>
      <c r="AR99" s="134">
        <v>46222.957048611112</v>
      </c>
      <c r="AS99" s="134">
        <v>46223.354247685187</v>
      </c>
      <c r="AT99" s="134">
        <v>46223.955717592595</v>
      </c>
      <c r="AU99" s="134">
        <v>46224.353807870371</v>
      </c>
      <c r="AV99" s="134">
        <v>46224.95107638889</v>
      </c>
      <c r="AW99" s="134">
        <v>46225.352037037039</v>
      </c>
      <c r="AX99" s="134">
        <v>1</v>
      </c>
      <c r="AY99" s="134">
        <v>46226.38</v>
      </c>
      <c r="AZ99" s="134">
        <v>46226.972604166665</v>
      </c>
      <c r="BA99" s="134">
        <v>46227.57880787037</v>
      </c>
      <c r="BB99" s="134">
        <v>46227.947488425925</v>
      </c>
      <c r="BC99" s="134">
        <v>46228.353414351855</v>
      </c>
      <c r="BD99" s="134">
        <v>46228.974039351851</v>
      </c>
      <c r="BE99" s="134">
        <v>46229.35434027778</v>
      </c>
      <c r="BF99" s="134">
        <v>46229.945821759262</v>
      </c>
      <c r="BG99" s="134">
        <v>46230.351134259261</v>
      </c>
      <c r="BH99" s="134">
        <v>46230.98678240741</v>
      </c>
      <c r="BI99" s="134">
        <v>46231.352766203701</v>
      </c>
      <c r="BJ99" s="134">
        <v>46231.950358796297</v>
      </c>
      <c r="BK99" s="134">
        <v>46232.352731481478</v>
      </c>
      <c r="BL99" s="137">
        <v>1</v>
      </c>
      <c r="BM99" s="137">
        <v>46233.354155092595</v>
      </c>
      <c r="BN99" s="134">
        <v>46233.967962962961</v>
      </c>
      <c r="BO99" s="158" t="s">
        <v>15</v>
      </c>
      <c r="BP99" s="158" t="s">
        <v>15</v>
      </c>
      <c r="BQ99" s="9">
        <f t="shared" si="25"/>
        <v>31</v>
      </c>
      <c r="BR99" s="68">
        <v>2</v>
      </c>
      <c r="BS99" s="1">
        <f t="shared" si="27"/>
        <v>28</v>
      </c>
      <c r="BT99" s="2">
        <f t="shared" si="28"/>
        <v>3</v>
      </c>
      <c r="BU99" s="2">
        <f t="shared" si="29"/>
        <v>0</v>
      </c>
      <c r="BV99" s="2">
        <f t="shared" si="30"/>
        <v>0</v>
      </c>
      <c r="BW99" s="2">
        <f t="shared" si="31"/>
        <v>0</v>
      </c>
      <c r="BX99" s="2">
        <f t="shared" si="32"/>
        <v>0</v>
      </c>
      <c r="BY99" s="2">
        <f t="shared" si="33"/>
        <v>0</v>
      </c>
      <c r="BZ99" s="2">
        <f t="shared" si="34"/>
        <v>0</v>
      </c>
      <c r="CA99" s="2">
        <f t="shared" si="35"/>
        <v>0</v>
      </c>
      <c r="CB99" s="2">
        <f t="shared" si="36"/>
        <v>0</v>
      </c>
      <c r="CC99" s="2">
        <f t="shared" si="37"/>
        <v>0</v>
      </c>
      <c r="CD99" s="2">
        <f t="shared" si="38"/>
        <v>0</v>
      </c>
      <c r="CE99" s="131"/>
      <c r="CG99" s="70">
        <v>0</v>
      </c>
      <c r="CH99" s="70">
        <v>0</v>
      </c>
      <c r="CI99" s="70">
        <v>0</v>
      </c>
      <c r="CJ99" s="70">
        <v>0</v>
      </c>
      <c r="CK99" s="70">
        <v>0</v>
      </c>
      <c r="CL99" s="70">
        <v>0</v>
      </c>
      <c r="CM99" s="70">
        <v>0</v>
      </c>
      <c r="CN99" s="70">
        <v>0</v>
      </c>
      <c r="CO99" s="70">
        <v>0</v>
      </c>
      <c r="CP99" s="70">
        <v>0</v>
      </c>
      <c r="CQ99" s="127">
        <f t="shared" si="41"/>
        <v>0</v>
      </c>
    </row>
    <row r="100" spans="1:95" s="47" customFormat="1" ht="22.5" customHeight="1" x14ac:dyDescent="0.25">
      <c r="A100" s="45">
        <v>82</v>
      </c>
      <c r="B100" s="45" t="s">
        <v>205</v>
      </c>
      <c r="C100" s="176" t="s">
        <v>206</v>
      </c>
      <c r="D100" s="85">
        <v>46008</v>
      </c>
      <c r="E100" s="65">
        <v>0.3527777777777778</v>
      </c>
      <c r="F100" s="65">
        <v>0.94791666666666663</v>
      </c>
      <c r="G100" s="65">
        <v>0.35347222222222219</v>
      </c>
      <c r="H100" s="65">
        <v>0.9590277777777777</v>
      </c>
      <c r="I100" s="91" t="s">
        <v>15</v>
      </c>
      <c r="J100" s="91" t="s">
        <v>15</v>
      </c>
      <c r="K100" s="65">
        <v>0.35347222222222219</v>
      </c>
      <c r="L100" s="65">
        <v>0.9604166666666667</v>
      </c>
      <c r="M100" s="65">
        <v>0.3527777777777778</v>
      </c>
      <c r="N100" s="65">
        <v>0.93888888888888899</v>
      </c>
      <c r="O100" s="65">
        <v>0.35138888888888892</v>
      </c>
      <c r="P100" s="65">
        <v>0.9375</v>
      </c>
      <c r="Q100" s="65">
        <v>0.3527777777777778</v>
      </c>
      <c r="R100" s="65">
        <v>0.96388888888888891</v>
      </c>
      <c r="S100" s="65">
        <v>0.35347222222222219</v>
      </c>
      <c r="T100" s="65">
        <v>0.96805555555555556</v>
      </c>
      <c r="U100" s="65">
        <v>0.3527777777777778</v>
      </c>
      <c r="V100" s="65">
        <v>0.98333333333333339</v>
      </c>
      <c r="W100" s="98">
        <v>0.57291666666666663</v>
      </c>
      <c r="X100" s="98">
        <v>0.9590277777777777</v>
      </c>
      <c r="Y100" s="65">
        <v>0.3527777777777778</v>
      </c>
      <c r="Z100" s="65">
        <v>0.9590277777777777</v>
      </c>
      <c r="AA100" s="65">
        <v>0.34513888888888888</v>
      </c>
      <c r="AB100" s="65">
        <v>0.93888888888888899</v>
      </c>
      <c r="AC100" s="65">
        <v>0.3527777777777778</v>
      </c>
      <c r="AD100" s="65">
        <v>0.93819444444444444</v>
      </c>
      <c r="AE100" s="65">
        <v>0.35138888888888892</v>
      </c>
      <c r="AF100" s="65">
        <v>0.9375</v>
      </c>
      <c r="AG100" s="65">
        <v>0.3520833333333333</v>
      </c>
      <c r="AH100" s="65">
        <v>0.95833333333333337</v>
      </c>
      <c r="AI100" s="114"/>
      <c r="AJ100" s="45">
        <v>82</v>
      </c>
      <c r="AK100" s="134">
        <v>46219.353032407409</v>
      </c>
      <c r="AL100" s="134">
        <v>46219.969386574077</v>
      </c>
      <c r="AM100" s="158" t="s">
        <v>15</v>
      </c>
      <c r="AN100" s="158" t="s">
        <v>15</v>
      </c>
      <c r="AO100" s="134">
        <v>46221.352488425924</v>
      </c>
      <c r="AP100" s="134">
        <v>46221.95008101852</v>
      </c>
      <c r="AQ100" s="134">
        <v>46222.353402777779</v>
      </c>
      <c r="AR100" s="134">
        <v>46222.938136574077</v>
      </c>
      <c r="AS100" s="134">
        <v>46223.352986111109</v>
      </c>
      <c r="AT100" s="134">
        <v>46223.945069444446</v>
      </c>
      <c r="AU100" s="134">
        <v>46224.350868055553</v>
      </c>
      <c r="AV100" s="134">
        <v>46224.959745370368</v>
      </c>
      <c r="AW100" s="134">
        <v>46225.352581018517</v>
      </c>
      <c r="AX100" s="134">
        <v>46225.944652777776</v>
      </c>
      <c r="AY100" s="134">
        <v>46226.354490740741</v>
      </c>
      <c r="AZ100" s="134">
        <v>46226.963020833333</v>
      </c>
      <c r="BA100" s="134">
        <v>46227.581006944441</v>
      </c>
      <c r="BB100" s="134">
        <v>46227.937777777777</v>
      </c>
      <c r="BC100" s="134">
        <v>46228.353148148148</v>
      </c>
      <c r="BD100" s="134">
        <v>46228.95884259259</v>
      </c>
      <c r="BE100" s="134">
        <v>46229.353125000001</v>
      </c>
      <c r="BF100" s="134">
        <v>46229.937835648147</v>
      </c>
      <c r="BG100" s="134">
        <v>46230.353715277779</v>
      </c>
      <c r="BH100" s="134">
        <v>46230.963900462964</v>
      </c>
      <c r="BI100" s="134">
        <v>46231.353252314817</v>
      </c>
      <c r="BJ100" s="134">
        <v>46231.942187499997</v>
      </c>
      <c r="BK100" s="134">
        <v>46232.35361111111</v>
      </c>
      <c r="BL100" s="137">
        <v>46232.9609837963</v>
      </c>
      <c r="BM100" s="137">
        <v>46233.352812500001</v>
      </c>
      <c r="BN100" s="134">
        <v>46233.949386574073</v>
      </c>
      <c r="BO100" s="158" t="s">
        <v>15</v>
      </c>
      <c r="BP100" s="158" t="s">
        <v>15</v>
      </c>
      <c r="BQ100" s="9">
        <f t="shared" si="25"/>
        <v>31</v>
      </c>
      <c r="BR100" s="68">
        <v>2</v>
      </c>
      <c r="BS100" s="1">
        <f t="shared" si="27"/>
        <v>28</v>
      </c>
      <c r="BT100" s="2">
        <f t="shared" si="28"/>
        <v>3</v>
      </c>
      <c r="BU100" s="2">
        <f t="shared" si="29"/>
        <v>0</v>
      </c>
      <c r="BV100" s="2">
        <f t="shared" si="30"/>
        <v>0</v>
      </c>
      <c r="BW100" s="2">
        <f t="shared" si="31"/>
        <v>0</v>
      </c>
      <c r="BX100" s="2">
        <f t="shared" si="32"/>
        <v>0</v>
      </c>
      <c r="BY100" s="2">
        <f t="shared" si="33"/>
        <v>0</v>
      </c>
      <c r="BZ100" s="2">
        <f t="shared" si="34"/>
        <v>0</v>
      </c>
      <c r="CA100" s="2">
        <f t="shared" si="35"/>
        <v>0</v>
      </c>
      <c r="CB100" s="2">
        <f t="shared" si="36"/>
        <v>0</v>
      </c>
      <c r="CC100" s="2">
        <f t="shared" si="37"/>
        <v>0</v>
      </c>
      <c r="CD100" s="2">
        <f t="shared" si="38"/>
        <v>0</v>
      </c>
      <c r="CE100" s="131"/>
      <c r="CG100" s="122">
        <v>0</v>
      </c>
      <c r="CH100" s="122">
        <v>0</v>
      </c>
      <c r="CI100" s="122">
        <v>0</v>
      </c>
      <c r="CJ100" s="122">
        <v>0</v>
      </c>
      <c r="CK100" s="122">
        <v>0</v>
      </c>
      <c r="CL100" s="122">
        <v>12</v>
      </c>
      <c r="CM100" s="122">
        <v>0</v>
      </c>
      <c r="CN100" s="122">
        <v>0</v>
      </c>
      <c r="CO100" s="122">
        <v>0</v>
      </c>
      <c r="CP100" s="122">
        <v>0</v>
      </c>
      <c r="CQ100" s="125">
        <f t="shared" si="41"/>
        <v>12</v>
      </c>
    </row>
    <row r="101" spans="1:95" s="47" customFormat="1" ht="22.5" customHeight="1" x14ac:dyDescent="0.25">
      <c r="A101" s="45">
        <v>83</v>
      </c>
      <c r="B101" s="45" t="s">
        <v>207</v>
      </c>
      <c r="C101" s="176" t="s">
        <v>208</v>
      </c>
      <c r="D101" s="85">
        <v>46018</v>
      </c>
      <c r="E101" s="65">
        <v>0.3520833333333333</v>
      </c>
      <c r="F101" s="65">
        <v>0.95000000000000007</v>
      </c>
      <c r="G101" s="65">
        <v>0.3520833333333333</v>
      </c>
      <c r="H101" s="65">
        <v>0.97083333333333333</v>
      </c>
      <c r="I101" s="98">
        <v>0.57916666666666672</v>
      </c>
      <c r="J101" s="98">
        <v>0.94930555555555562</v>
      </c>
      <c r="K101" s="65">
        <v>0.3520833333333333</v>
      </c>
      <c r="L101" s="65">
        <v>0.97361111111111109</v>
      </c>
      <c r="M101" s="65">
        <v>0.3520833333333333</v>
      </c>
      <c r="N101" s="65">
        <v>0.95138888888888884</v>
      </c>
      <c r="O101" s="65">
        <v>0.3527777777777778</v>
      </c>
      <c r="P101" s="65">
        <v>0.95000000000000007</v>
      </c>
      <c r="Q101" s="65">
        <v>0.3527777777777778</v>
      </c>
      <c r="R101" s="65">
        <v>0.94652777777777775</v>
      </c>
      <c r="S101" s="65">
        <v>0.3527777777777778</v>
      </c>
      <c r="T101" s="65">
        <v>0.95208333333333339</v>
      </c>
      <c r="U101" s="65">
        <v>0.34791666666666665</v>
      </c>
      <c r="V101" s="65">
        <v>0.97638888888888886</v>
      </c>
      <c r="W101" s="98">
        <v>0.57777777777777783</v>
      </c>
      <c r="X101" s="98">
        <v>0.95624999999999993</v>
      </c>
      <c r="Y101" s="65">
        <v>0.3520833333333333</v>
      </c>
      <c r="Z101" s="65">
        <v>0.96666666666666667</v>
      </c>
      <c r="AA101" s="65">
        <v>0.34861111111111115</v>
      </c>
      <c r="AB101" s="65">
        <v>0.9555555555555556</v>
      </c>
      <c r="AC101" s="65">
        <v>0.3520833333333333</v>
      </c>
      <c r="AD101" s="65">
        <v>0.94930555555555562</v>
      </c>
      <c r="AE101" s="65">
        <v>0.35138888888888892</v>
      </c>
      <c r="AF101" s="65">
        <v>0.9506944444444444</v>
      </c>
      <c r="AG101" s="65">
        <v>0.3520833333333333</v>
      </c>
      <c r="AH101" s="65">
        <v>0.95277777777777783</v>
      </c>
      <c r="AI101" s="114"/>
      <c r="AJ101" s="45">
        <v>83</v>
      </c>
      <c r="AK101" s="134">
        <v>46219.349745370368</v>
      </c>
      <c r="AL101" s="134">
        <v>46219.978217592594</v>
      </c>
      <c r="AM101" s="158" t="s">
        <v>15</v>
      </c>
      <c r="AN101" s="158" t="s">
        <v>15</v>
      </c>
      <c r="AO101" s="134">
        <v>46221.351875</v>
      </c>
      <c r="AP101" s="134">
        <v>46221.972326388888</v>
      </c>
      <c r="AQ101" s="134">
        <v>46222.351053240738</v>
      </c>
      <c r="AR101" s="134">
        <v>46222.956446759257</v>
      </c>
      <c r="AS101" s="134">
        <v>46223.349618055552</v>
      </c>
      <c r="AT101" s="134">
        <v>46223.95721064815</v>
      </c>
      <c r="AU101" s="134">
        <v>46224.351724537039</v>
      </c>
      <c r="AV101" s="134">
        <v>46224.954317129632</v>
      </c>
      <c r="AW101" s="134">
        <v>46225.351944444446</v>
      </c>
      <c r="AX101" s="134">
        <v>46225.95521990741</v>
      </c>
      <c r="AY101" s="134">
        <v>46226.33084490741</v>
      </c>
      <c r="AZ101" s="134">
        <v>46226.975023148145</v>
      </c>
      <c r="BA101" s="134">
        <v>46227.561712962961</v>
      </c>
      <c r="BB101" s="134">
        <v>46227.959641203706</v>
      </c>
      <c r="BC101" s="134">
        <v>46228.351909722223</v>
      </c>
      <c r="BD101" s="134">
        <v>46228.968240740738</v>
      </c>
      <c r="BE101" s="134">
        <v>46229.351747685185</v>
      </c>
      <c r="BF101" s="134">
        <v>46229.956203703703</v>
      </c>
      <c r="BG101" s="134">
        <v>46230.351435185185</v>
      </c>
      <c r="BH101" s="134">
        <v>46230.950196759259</v>
      </c>
      <c r="BI101" s="134">
        <v>46231.351712962962</v>
      </c>
      <c r="BJ101" s="134">
        <v>1</v>
      </c>
      <c r="BK101" s="134">
        <v>46232.326597222222</v>
      </c>
      <c r="BL101" s="137">
        <v>46232.963136574072</v>
      </c>
      <c r="BM101" s="137">
        <v>46233.326631944445</v>
      </c>
      <c r="BN101" s="134">
        <v>46233.978773148148</v>
      </c>
      <c r="BO101" s="158" t="s">
        <v>15</v>
      </c>
      <c r="BP101" s="158" t="s">
        <v>15</v>
      </c>
      <c r="BQ101" s="9">
        <f t="shared" si="25"/>
        <v>31</v>
      </c>
      <c r="BR101" s="68">
        <v>3</v>
      </c>
      <c r="BS101" s="1">
        <f t="shared" si="27"/>
        <v>29</v>
      </c>
      <c r="BT101" s="2">
        <f t="shared" si="28"/>
        <v>2</v>
      </c>
      <c r="BU101" s="2">
        <f t="shared" si="29"/>
        <v>0</v>
      </c>
      <c r="BV101" s="2">
        <f t="shared" si="30"/>
        <v>0</v>
      </c>
      <c r="BW101" s="2">
        <f t="shared" si="31"/>
        <v>0</v>
      </c>
      <c r="BX101" s="2">
        <f t="shared" si="32"/>
        <v>0</v>
      </c>
      <c r="BY101" s="2">
        <f t="shared" si="33"/>
        <v>0</v>
      </c>
      <c r="BZ101" s="2">
        <f t="shared" si="34"/>
        <v>0</v>
      </c>
      <c r="CA101" s="2">
        <f t="shared" si="35"/>
        <v>0</v>
      </c>
      <c r="CB101" s="2">
        <f t="shared" si="36"/>
        <v>0</v>
      </c>
      <c r="CC101" s="2">
        <f t="shared" si="37"/>
        <v>0</v>
      </c>
      <c r="CD101" s="2">
        <f t="shared" si="38"/>
        <v>0</v>
      </c>
      <c r="CE101" s="131"/>
      <c r="CG101" s="70">
        <v>0</v>
      </c>
      <c r="CH101" s="70">
        <v>0</v>
      </c>
      <c r="CI101" s="70">
        <v>0</v>
      </c>
      <c r="CJ101" s="70">
        <v>0</v>
      </c>
      <c r="CK101" s="70">
        <v>0</v>
      </c>
      <c r="CL101" s="70">
        <v>0</v>
      </c>
      <c r="CM101" s="70">
        <v>0</v>
      </c>
      <c r="CN101" s="70">
        <v>0</v>
      </c>
      <c r="CO101" s="70">
        <v>0</v>
      </c>
      <c r="CP101" s="70">
        <v>0</v>
      </c>
      <c r="CQ101" s="127">
        <f t="shared" si="41"/>
        <v>0</v>
      </c>
    </row>
    <row r="102" spans="1:95" s="47" customFormat="1" ht="22.5" customHeight="1" x14ac:dyDescent="0.25">
      <c r="A102" s="45">
        <v>84</v>
      </c>
      <c r="B102" s="45" t="s">
        <v>209</v>
      </c>
      <c r="C102" s="176" t="s">
        <v>211</v>
      </c>
      <c r="D102" s="85">
        <v>46022</v>
      </c>
      <c r="E102" s="65">
        <v>0.34513888888888888</v>
      </c>
      <c r="F102" s="65">
        <v>0.97361111111111109</v>
      </c>
      <c r="G102" s="65">
        <v>0.3444444444444445</v>
      </c>
      <c r="H102" s="65">
        <v>0.99236111111111114</v>
      </c>
      <c r="I102" s="98">
        <v>0.58194444444444449</v>
      </c>
      <c r="J102" s="98">
        <v>0.93402777777777779</v>
      </c>
      <c r="K102" s="65">
        <v>0.3430555555555555</v>
      </c>
      <c r="L102" s="65">
        <v>0.9506944444444444</v>
      </c>
      <c r="M102" s="65">
        <v>0.3444444444444445</v>
      </c>
      <c r="N102" s="65">
        <v>0.9590277777777777</v>
      </c>
      <c r="O102" s="65">
        <v>0.3430555555555555</v>
      </c>
      <c r="P102" s="65">
        <v>0.96111111111111114</v>
      </c>
      <c r="Q102" s="65">
        <v>0.34375</v>
      </c>
      <c r="R102" s="65">
        <v>0.97291666666666676</v>
      </c>
      <c r="S102" s="65">
        <v>0.3430555555555555</v>
      </c>
      <c r="T102" s="65">
        <v>2.7777777777777779E-3</v>
      </c>
      <c r="U102" s="65">
        <v>0.34791666666666665</v>
      </c>
      <c r="V102" s="65">
        <v>0.98402777777777783</v>
      </c>
      <c r="W102" s="91" t="s">
        <v>15</v>
      </c>
      <c r="X102" s="91" t="s">
        <v>15</v>
      </c>
      <c r="Y102" s="65">
        <v>0.3430555555555555</v>
      </c>
      <c r="Z102" s="65">
        <v>0.95486111111111116</v>
      </c>
      <c r="AA102" s="65">
        <v>0.34166666666666662</v>
      </c>
      <c r="AB102" s="65">
        <v>0.97430555555555554</v>
      </c>
      <c r="AC102" s="65">
        <v>0.3430555555555555</v>
      </c>
      <c r="AD102" s="65">
        <v>0.93680555555555556</v>
      </c>
      <c r="AE102" s="65">
        <v>0.34375</v>
      </c>
      <c r="AF102" s="65">
        <v>0.96250000000000002</v>
      </c>
      <c r="AG102" s="65">
        <v>0.3430555555555555</v>
      </c>
      <c r="AH102" s="65">
        <v>0.97499999999999998</v>
      </c>
      <c r="AI102" s="114"/>
      <c r="AJ102" s="45">
        <v>84</v>
      </c>
      <c r="AK102" s="134">
        <v>46219.343819444446</v>
      </c>
      <c r="AL102" s="134">
        <v>46219.992696759262</v>
      </c>
      <c r="AM102" s="134">
        <v>46220.581655092596</v>
      </c>
      <c r="AN102" s="134">
        <v>46220.941944444443</v>
      </c>
      <c r="AO102" s="134">
        <v>46221.346574074072</v>
      </c>
      <c r="AP102" s="134">
        <v>46221.967870370368</v>
      </c>
      <c r="AQ102" s="134">
        <v>46222.343888888892</v>
      </c>
      <c r="AR102" s="134">
        <v>46222.94195601852</v>
      </c>
      <c r="AS102" s="134">
        <v>46223.344328703701</v>
      </c>
      <c r="AT102" s="134">
        <v>46223.958877314813</v>
      </c>
      <c r="AU102" s="134">
        <v>46224.346215277779</v>
      </c>
      <c r="AV102" s="134">
        <v>46224.963252314818</v>
      </c>
      <c r="AW102" s="134">
        <v>46225.344502314816</v>
      </c>
      <c r="AX102" s="134">
        <v>46225.986967592595</v>
      </c>
      <c r="AY102" s="134">
        <v>46226.354039351849</v>
      </c>
      <c r="AZ102" s="134">
        <v>46226.962650462963</v>
      </c>
      <c r="BA102" s="158" t="s">
        <v>15</v>
      </c>
      <c r="BB102" s="158" t="s">
        <v>15</v>
      </c>
      <c r="BC102" s="134">
        <v>46228.344282407408</v>
      </c>
      <c r="BD102" s="134">
        <v>46228.959467592591</v>
      </c>
      <c r="BE102" s="134">
        <v>46229.343680555554</v>
      </c>
      <c r="BF102" s="134">
        <v>46229.944861111115</v>
      </c>
      <c r="BG102" s="134">
        <v>46230.345601851855</v>
      </c>
      <c r="BH102" s="134">
        <v>46230.982233796298</v>
      </c>
      <c r="BI102" s="134">
        <v>46231.352141203701</v>
      </c>
      <c r="BJ102" s="134">
        <v>46231.958692129629</v>
      </c>
      <c r="BK102" s="134">
        <v>46232.342291666668</v>
      </c>
      <c r="BL102" s="137">
        <v>46232.972997685189</v>
      </c>
      <c r="BM102" s="137">
        <v>46233.342164351852</v>
      </c>
      <c r="BN102" s="134">
        <v>46233.979733796295</v>
      </c>
      <c r="BO102" s="134">
        <v>46234.582511574074</v>
      </c>
      <c r="BP102" s="137">
        <v>46234.922743055555</v>
      </c>
      <c r="BQ102" s="9">
        <f t="shared" si="25"/>
        <v>31</v>
      </c>
      <c r="BR102" s="68">
        <v>3</v>
      </c>
      <c r="BS102" s="1">
        <f t="shared" si="27"/>
        <v>29</v>
      </c>
      <c r="BT102" s="2">
        <f t="shared" si="28"/>
        <v>2</v>
      </c>
      <c r="BU102" s="2">
        <f t="shared" si="29"/>
        <v>0</v>
      </c>
      <c r="BV102" s="2">
        <f t="shared" si="30"/>
        <v>0</v>
      </c>
      <c r="BW102" s="2">
        <f t="shared" si="31"/>
        <v>0</v>
      </c>
      <c r="BX102" s="2">
        <f t="shared" si="32"/>
        <v>0</v>
      </c>
      <c r="BY102" s="2">
        <f t="shared" si="33"/>
        <v>0</v>
      </c>
      <c r="BZ102" s="2">
        <f t="shared" si="34"/>
        <v>0</v>
      </c>
      <c r="CA102" s="2">
        <f t="shared" si="35"/>
        <v>0</v>
      </c>
      <c r="CB102" s="2">
        <f t="shared" si="36"/>
        <v>0</v>
      </c>
      <c r="CC102" s="2">
        <f t="shared" si="37"/>
        <v>0</v>
      </c>
      <c r="CD102" s="2">
        <f t="shared" si="38"/>
        <v>0</v>
      </c>
      <c r="CE102" s="131"/>
      <c r="CG102" s="122">
        <v>0</v>
      </c>
      <c r="CH102" s="122">
        <v>0</v>
      </c>
      <c r="CI102" s="122">
        <v>0</v>
      </c>
      <c r="CJ102" s="122">
        <v>0</v>
      </c>
      <c r="CK102" s="122">
        <v>0</v>
      </c>
      <c r="CL102" s="122">
        <v>0</v>
      </c>
      <c r="CM102" s="122">
        <v>0</v>
      </c>
      <c r="CN102" s="122">
        <v>0</v>
      </c>
      <c r="CO102" s="122">
        <v>0</v>
      </c>
      <c r="CP102" s="122">
        <v>0</v>
      </c>
      <c r="CQ102" s="125">
        <f t="shared" si="41"/>
        <v>0</v>
      </c>
    </row>
    <row r="103" spans="1:95" s="47" customFormat="1" ht="22.5" customHeight="1" x14ac:dyDescent="0.25">
      <c r="A103" s="45">
        <v>85</v>
      </c>
      <c r="B103" s="45" t="s">
        <v>210</v>
      </c>
      <c r="C103" s="176" t="s">
        <v>212</v>
      </c>
      <c r="D103" s="85">
        <v>46022</v>
      </c>
      <c r="E103" s="65">
        <v>0.3430555555555555</v>
      </c>
      <c r="F103" s="65">
        <v>0.97361111111111109</v>
      </c>
      <c r="G103" s="65">
        <v>0.33402777777777781</v>
      </c>
      <c r="H103" s="65">
        <v>0.9916666666666667</v>
      </c>
      <c r="I103" s="91" t="s">
        <v>15</v>
      </c>
      <c r="J103" s="91" t="s">
        <v>15</v>
      </c>
      <c r="K103" s="65">
        <v>0.34375</v>
      </c>
      <c r="L103" s="65">
        <v>0.95138888888888884</v>
      </c>
      <c r="M103" s="65">
        <v>0.33749999999999997</v>
      </c>
      <c r="N103" s="65">
        <v>0.9590277777777777</v>
      </c>
      <c r="O103" s="65">
        <v>0.33611111111111108</v>
      </c>
      <c r="P103" s="65">
        <v>0.96111111111111114</v>
      </c>
      <c r="Q103" s="65">
        <v>0.34236111111111112</v>
      </c>
      <c r="R103" s="65">
        <v>0.97291666666666676</v>
      </c>
      <c r="S103" s="65">
        <v>0.34166666666666662</v>
      </c>
      <c r="T103" s="65">
        <v>2.7777777777777779E-3</v>
      </c>
      <c r="U103" s="65">
        <v>0.3430555555555555</v>
      </c>
      <c r="V103" s="65">
        <v>0.98402777777777783</v>
      </c>
      <c r="W103" s="98">
        <v>0.58263888888888882</v>
      </c>
      <c r="X103" s="98">
        <v>0.96527777777777779</v>
      </c>
      <c r="Y103" s="65">
        <v>0.34513888888888888</v>
      </c>
      <c r="Z103" s="65">
        <v>0.9458333333333333</v>
      </c>
      <c r="AA103" s="65">
        <v>0.33888888888888885</v>
      </c>
      <c r="AB103" s="65">
        <v>0.97430555555555554</v>
      </c>
      <c r="AC103" s="65">
        <v>0.34583333333333338</v>
      </c>
      <c r="AD103" s="65">
        <v>0.9375</v>
      </c>
      <c r="AE103" s="65">
        <v>0.3430555555555555</v>
      </c>
      <c r="AF103" s="65">
        <v>0.96319444444444446</v>
      </c>
      <c r="AG103" s="65">
        <v>0.34513888888888888</v>
      </c>
      <c r="AH103" s="65">
        <v>0.97569444444444453</v>
      </c>
      <c r="AI103" s="114"/>
      <c r="AJ103" s="45">
        <v>85</v>
      </c>
      <c r="AK103" s="134">
        <v>46219.337685185186</v>
      </c>
      <c r="AL103" s="134">
        <v>46219.993206018517</v>
      </c>
      <c r="AM103" s="158" t="s">
        <v>15</v>
      </c>
      <c r="AN103" s="158" t="s">
        <v>15</v>
      </c>
      <c r="AO103" s="134">
        <v>46221.346087962964</v>
      </c>
      <c r="AP103" s="134">
        <v>46221.968506944446</v>
      </c>
      <c r="AQ103" s="134">
        <v>46222.342777777776</v>
      </c>
      <c r="AR103" s="134">
        <v>46222.944699074076</v>
      </c>
      <c r="AS103" s="134">
        <v>46223.34511574074</v>
      </c>
      <c r="AT103" s="134">
        <v>46223.959120370368</v>
      </c>
      <c r="AU103" s="134">
        <v>46224.344421296293</v>
      </c>
      <c r="AV103" s="134">
        <v>46224.964131944442</v>
      </c>
      <c r="AW103" s="134">
        <v>46225.342951388891</v>
      </c>
      <c r="AX103" s="134">
        <v>46225.987870370373</v>
      </c>
      <c r="AY103" s="134">
        <v>46226.340127314812</v>
      </c>
      <c r="AZ103" s="134">
        <v>46226.962939814817</v>
      </c>
      <c r="BA103" s="134">
        <v>46227.58222222222</v>
      </c>
      <c r="BB103" s="134">
        <v>46227.926296296297</v>
      </c>
      <c r="BC103" s="134">
        <v>46228.341412037036</v>
      </c>
      <c r="BD103" s="134">
        <v>46228.959201388891</v>
      </c>
      <c r="BE103" s="134">
        <v>46229.340370370373</v>
      </c>
      <c r="BF103" s="134">
        <v>46229.94494212963</v>
      </c>
      <c r="BG103" s="134">
        <v>46230.341365740744</v>
      </c>
      <c r="BH103" s="134">
        <v>46230.988009259258</v>
      </c>
      <c r="BI103" s="134">
        <v>46231.342870370368</v>
      </c>
      <c r="BJ103" s="134">
        <v>46231.958437499998</v>
      </c>
      <c r="BK103" s="134">
        <v>46232.346296296295</v>
      </c>
      <c r="BL103" s="137">
        <v>46232.973634259259</v>
      </c>
      <c r="BM103" s="137">
        <v>46233.343194444446</v>
      </c>
      <c r="BN103" s="134">
        <v>46233.978460648148</v>
      </c>
      <c r="BO103" s="158" t="s">
        <v>15</v>
      </c>
      <c r="BP103" s="158" t="s">
        <v>15</v>
      </c>
      <c r="BQ103" s="9">
        <f t="shared" si="25"/>
        <v>31</v>
      </c>
      <c r="BR103" s="68">
        <v>2</v>
      </c>
      <c r="BS103" s="1">
        <f t="shared" si="27"/>
        <v>28</v>
      </c>
      <c r="BT103" s="2">
        <f t="shared" si="28"/>
        <v>3</v>
      </c>
      <c r="BU103" s="2">
        <f t="shared" si="29"/>
        <v>0</v>
      </c>
      <c r="BV103" s="2">
        <f t="shared" si="30"/>
        <v>0</v>
      </c>
      <c r="BW103" s="2">
        <f t="shared" si="31"/>
        <v>0</v>
      </c>
      <c r="BX103" s="2">
        <f t="shared" si="32"/>
        <v>0</v>
      </c>
      <c r="BY103" s="2">
        <f t="shared" si="33"/>
        <v>0</v>
      </c>
      <c r="BZ103" s="2">
        <f t="shared" si="34"/>
        <v>0</v>
      </c>
      <c r="CA103" s="2">
        <f t="shared" si="35"/>
        <v>0</v>
      </c>
      <c r="CB103" s="2">
        <f t="shared" si="36"/>
        <v>0</v>
      </c>
      <c r="CC103" s="2">
        <f t="shared" si="37"/>
        <v>0</v>
      </c>
      <c r="CD103" s="2">
        <f t="shared" si="38"/>
        <v>0</v>
      </c>
      <c r="CE103" s="131"/>
      <c r="CG103" s="55">
        <v>0</v>
      </c>
      <c r="CH103" s="54">
        <v>0</v>
      </c>
      <c r="CI103" s="54">
        <v>0</v>
      </c>
      <c r="CJ103" s="54">
        <v>0</v>
      </c>
      <c r="CK103" s="54">
        <v>0</v>
      </c>
      <c r="CL103" s="54">
        <v>2</v>
      </c>
      <c r="CM103" s="54">
        <v>0</v>
      </c>
      <c r="CN103" s="54">
        <v>0</v>
      </c>
      <c r="CO103" s="54">
        <v>0</v>
      </c>
      <c r="CP103" s="54">
        <v>0</v>
      </c>
      <c r="CQ103" s="126">
        <f t="shared" si="41"/>
        <v>2</v>
      </c>
    </row>
    <row r="104" spans="1:95" s="47" customFormat="1" ht="22.5" customHeight="1" x14ac:dyDescent="0.25">
      <c r="A104" s="45">
        <v>86</v>
      </c>
      <c r="B104" s="45" t="s">
        <v>213</v>
      </c>
      <c r="C104" s="176" t="s">
        <v>214</v>
      </c>
      <c r="D104" s="85">
        <v>46038</v>
      </c>
      <c r="E104" s="65">
        <v>0.35833333333333334</v>
      </c>
      <c r="F104" s="65">
        <v>0.95486111111111116</v>
      </c>
      <c r="G104" s="65">
        <v>0.35694444444444445</v>
      </c>
      <c r="H104" s="65">
        <v>0.97916666666666663</v>
      </c>
      <c r="I104" s="91" t="s">
        <v>15</v>
      </c>
      <c r="J104" s="91" t="s">
        <v>15</v>
      </c>
      <c r="K104" s="65">
        <v>0.35555555555555557</v>
      </c>
      <c r="L104" s="65">
        <v>0.96805555555555556</v>
      </c>
      <c r="M104" s="65">
        <v>0.35833333333333334</v>
      </c>
      <c r="N104" s="65">
        <v>0.95486111111111116</v>
      </c>
      <c r="O104" s="65">
        <v>0.35555555555555557</v>
      </c>
      <c r="P104" s="65">
        <v>0.95486111111111116</v>
      </c>
      <c r="Q104" s="65">
        <v>0.3576388888888889</v>
      </c>
      <c r="R104" s="65">
        <v>0.95138888888888884</v>
      </c>
      <c r="S104" s="65">
        <v>0.35694444444444445</v>
      </c>
      <c r="T104" s="69">
        <v>1</v>
      </c>
      <c r="U104" s="65">
        <v>0.35416666666666669</v>
      </c>
      <c r="V104" s="65">
        <v>0.97222222222222221</v>
      </c>
      <c r="W104" s="91" t="s">
        <v>15</v>
      </c>
      <c r="X104" s="91" t="s">
        <v>15</v>
      </c>
      <c r="Y104" s="65">
        <v>0.35486111111111113</v>
      </c>
      <c r="Z104" s="65">
        <v>0.96666666666666667</v>
      </c>
      <c r="AA104" s="65">
        <v>0.35000000000000003</v>
      </c>
      <c r="AB104" s="69">
        <v>1</v>
      </c>
      <c r="AC104" s="74" t="s">
        <v>174</v>
      </c>
      <c r="AD104" s="74" t="s">
        <v>174</v>
      </c>
      <c r="AE104" s="74" t="s">
        <v>174</v>
      </c>
      <c r="AF104" s="74" t="s">
        <v>174</v>
      </c>
      <c r="AG104" s="74" t="s">
        <v>174</v>
      </c>
      <c r="AH104" s="74" t="s">
        <v>174</v>
      </c>
      <c r="AI104" s="106"/>
      <c r="AJ104" s="45">
        <v>86</v>
      </c>
      <c r="AK104" s="134" t="s">
        <v>174</v>
      </c>
      <c r="AL104" s="134" t="s">
        <v>174</v>
      </c>
      <c r="AM104" s="134">
        <v>46220.586458333331</v>
      </c>
      <c r="AN104" s="134">
        <v>46220.947939814818</v>
      </c>
      <c r="AO104" s="134" t="s">
        <v>174</v>
      </c>
      <c r="AP104" s="134" t="s">
        <v>174</v>
      </c>
      <c r="AQ104" s="134">
        <v>46222.360891203702</v>
      </c>
      <c r="AR104" s="134">
        <v>46222.947395833333</v>
      </c>
      <c r="AS104" s="158" t="s">
        <v>15</v>
      </c>
      <c r="AT104" s="158" t="s">
        <v>15</v>
      </c>
      <c r="AU104" s="134">
        <v>46224.35832175926</v>
      </c>
      <c r="AV104" s="134">
        <v>46224.946851851855</v>
      </c>
      <c r="AW104" s="134">
        <v>46225.352384259262</v>
      </c>
      <c r="AX104" s="134">
        <v>46225.942233796297</v>
      </c>
      <c r="AY104" s="134">
        <v>46226.350462962961</v>
      </c>
      <c r="AZ104" s="134">
        <v>46226.967905092592</v>
      </c>
      <c r="BA104" s="134">
        <v>46227.589004629626</v>
      </c>
      <c r="BB104" s="134">
        <v>46227.943564814814</v>
      </c>
      <c r="BC104" s="160" t="s">
        <v>16</v>
      </c>
      <c r="BD104" s="160" t="s">
        <v>16</v>
      </c>
      <c r="BE104" s="134">
        <v>46229.357083333336</v>
      </c>
      <c r="BF104" s="134">
        <v>46229.945636574077</v>
      </c>
      <c r="BG104" s="134">
        <v>46230.353506944448</v>
      </c>
      <c r="BH104" s="134">
        <v>46230.953483796293</v>
      </c>
      <c r="BI104" s="134">
        <v>46231.355428240742</v>
      </c>
      <c r="BJ104" s="134">
        <v>46231.948275462964</v>
      </c>
      <c r="BK104" s="134">
        <v>46232.352939814817</v>
      </c>
      <c r="BL104" s="137">
        <v>46232.949594907404</v>
      </c>
      <c r="BM104" s="137">
        <v>46233.354317129626</v>
      </c>
      <c r="BN104" s="134">
        <v>46233.969687500001</v>
      </c>
      <c r="BO104" s="134">
        <v>46234.575740740744</v>
      </c>
      <c r="BP104" s="137">
        <v>1</v>
      </c>
      <c r="BQ104" s="9">
        <f t="shared" si="25"/>
        <v>31</v>
      </c>
      <c r="BR104" s="68">
        <v>3</v>
      </c>
      <c r="BS104" s="1">
        <f t="shared" si="27"/>
        <v>22</v>
      </c>
      <c r="BT104" s="2">
        <f t="shared" si="28"/>
        <v>3</v>
      </c>
      <c r="BU104" s="2">
        <f t="shared" si="29"/>
        <v>1</v>
      </c>
      <c r="BV104" s="2">
        <f t="shared" si="30"/>
        <v>0</v>
      </c>
      <c r="BW104" s="2">
        <f t="shared" si="31"/>
        <v>0</v>
      </c>
      <c r="BX104" s="2">
        <f t="shared" si="32"/>
        <v>0</v>
      </c>
      <c r="BY104" s="2">
        <f t="shared" si="33"/>
        <v>0</v>
      </c>
      <c r="BZ104" s="2">
        <f t="shared" si="34"/>
        <v>5</v>
      </c>
      <c r="CA104" s="2">
        <f t="shared" si="35"/>
        <v>0</v>
      </c>
      <c r="CB104" s="2">
        <f t="shared" si="36"/>
        <v>0</v>
      </c>
      <c r="CC104" s="2">
        <f t="shared" si="37"/>
        <v>0</v>
      </c>
      <c r="CD104" s="2">
        <f t="shared" si="38"/>
        <v>0</v>
      </c>
      <c r="CE104" s="131"/>
      <c r="CG104" s="128">
        <v>0</v>
      </c>
      <c r="CH104" s="129">
        <v>0</v>
      </c>
      <c r="CI104" s="129">
        <v>0</v>
      </c>
      <c r="CJ104" s="129">
        <v>0</v>
      </c>
      <c r="CK104" s="129">
        <v>0</v>
      </c>
      <c r="CL104" s="129">
        <v>1</v>
      </c>
      <c r="CM104" s="129">
        <v>0</v>
      </c>
      <c r="CN104" s="129">
        <v>0</v>
      </c>
      <c r="CO104" s="129">
        <v>0</v>
      </c>
      <c r="CP104" s="129">
        <v>0</v>
      </c>
      <c r="CQ104" s="125">
        <f t="shared" si="41"/>
        <v>1</v>
      </c>
    </row>
    <row r="105" spans="1:95" s="47" customFormat="1" ht="22.5" customHeight="1" x14ac:dyDescent="0.25">
      <c r="A105" s="45">
        <v>87</v>
      </c>
      <c r="B105" s="45" t="s">
        <v>216</v>
      </c>
      <c r="C105" s="176" t="s">
        <v>218</v>
      </c>
      <c r="D105" s="85">
        <v>46051</v>
      </c>
      <c r="E105" s="65">
        <v>0.35347222222222219</v>
      </c>
      <c r="F105" s="69">
        <v>1</v>
      </c>
      <c r="G105" s="65">
        <v>0.35625000000000001</v>
      </c>
      <c r="H105" s="65">
        <v>0.98958333333333337</v>
      </c>
      <c r="I105" s="91" t="s">
        <v>15</v>
      </c>
      <c r="J105" s="91" t="s">
        <v>15</v>
      </c>
      <c r="K105" s="65">
        <v>0.3527777777777778</v>
      </c>
      <c r="L105" s="65">
        <v>0.96250000000000002</v>
      </c>
      <c r="M105" s="65">
        <v>0.3520833333333333</v>
      </c>
      <c r="N105" s="65">
        <v>0.95833333333333337</v>
      </c>
      <c r="O105" s="65">
        <v>0.35486111111111113</v>
      </c>
      <c r="P105" s="65">
        <v>0.94513888888888886</v>
      </c>
      <c r="Q105" s="65">
        <v>0.35416666666666669</v>
      </c>
      <c r="R105" s="65">
        <v>0.95416666666666661</v>
      </c>
      <c r="S105" s="65">
        <v>0.35347222222222219</v>
      </c>
      <c r="T105" s="65">
        <v>0.97986111111111107</v>
      </c>
      <c r="U105" s="65">
        <v>0.35138888888888892</v>
      </c>
      <c r="V105" s="65">
        <v>0.97916666666666663</v>
      </c>
      <c r="W105" s="98">
        <v>0.56111111111111112</v>
      </c>
      <c r="X105" s="98">
        <v>0.94652777777777775</v>
      </c>
      <c r="Y105" s="65">
        <v>0.33124999999999999</v>
      </c>
      <c r="Z105" s="65">
        <v>0.92083333333333339</v>
      </c>
      <c r="AA105" s="65">
        <v>0.32777777777777778</v>
      </c>
      <c r="AB105" s="65">
        <v>0.94861111111111107</v>
      </c>
      <c r="AC105" s="65">
        <v>0.33124999999999999</v>
      </c>
      <c r="AD105" s="65">
        <v>0.91666666666666663</v>
      </c>
      <c r="AE105" s="65">
        <v>0.33124999999999999</v>
      </c>
      <c r="AF105" s="65">
        <v>0.92361111111111116</v>
      </c>
      <c r="AG105" s="65">
        <v>0.3298611111111111</v>
      </c>
      <c r="AH105" s="65">
        <v>0.92361111111111116</v>
      </c>
      <c r="AI105" s="114"/>
      <c r="AJ105" s="45">
        <v>87</v>
      </c>
      <c r="AK105" s="134">
        <v>46219.333124999997</v>
      </c>
      <c r="AL105" s="134">
        <v>46219.98641203704</v>
      </c>
      <c r="AM105" s="158" t="s">
        <v>15</v>
      </c>
      <c r="AN105" s="158" t="s">
        <v>15</v>
      </c>
      <c r="AO105" s="134">
        <v>46221.353483796294</v>
      </c>
      <c r="AP105" s="134">
        <v>46221.962453703702</v>
      </c>
      <c r="AQ105" s="134">
        <v>46222.351284722223</v>
      </c>
      <c r="AR105" s="134">
        <v>46222.947546296295</v>
      </c>
      <c r="AS105" s="134">
        <v>46223.350671296299</v>
      </c>
      <c r="AT105" s="134">
        <v>46223.956145833334</v>
      </c>
      <c r="AU105" s="134">
        <v>46224.352164351854</v>
      </c>
      <c r="AV105" s="134">
        <v>46224.96234953704</v>
      </c>
      <c r="AW105" s="134">
        <v>46225.354907407411</v>
      </c>
      <c r="AX105" s="134">
        <v>46225.984247685185</v>
      </c>
      <c r="AY105" s="134">
        <v>46226.351620370369</v>
      </c>
      <c r="AZ105" s="134">
        <v>46226.958657407406</v>
      </c>
      <c r="BA105" s="134">
        <v>46227.578009259261</v>
      </c>
      <c r="BB105" s="134">
        <v>1</v>
      </c>
      <c r="BC105" s="134">
        <v>46228.334722222222</v>
      </c>
      <c r="BD105" s="134">
        <v>1</v>
      </c>
      <c r="BE105" s="134">
        <v>46229.353483796294</v>
      </c>
      <c r="BF105" s="134">
        <v>46229.942060185182</v>
      </c>
      <c r="BG105" s="134">
        <v>46230.350324074076</v>
      </c>
      <c r="BH105" s="134">
        <v>46230.984259259261</v>
      </c>
      <c r="BI105" s="134">
        <v>46231.350185185183</v>
      </c>
      <c r="BJ105" s="134">
        <v>46231.95684027778</v>
      </c>
      <c r="BK105" s="134">
        <v>46232.352870370371</v>
      </c>
      <c r="BL105" s="137">
        <v>46232.964375000003</v>
      </c>
      <c r="BM105" s="137">
        <v>46233.352673611109</v>
      </c>
      <c r="BN105" s="134">
        <v>46233.972291666665</v>
      </c>
      <c r="BO105" s="158" t="s">
        <v>15</v>
      </c>
      <c r="BP105" s="158" t="s">
        <v>15</v>
      </c>
      <c r="BQ105" s="9">
        <f t="shared" si="25"/>
        <v>31</v>
      </c>
      <c r="BR105" s="68">
        <v>2</v>
      </c>
      <c r="BS105" s="1">
        <f t="shared" si="27"/>
        <v>28</v>
      </c>
      <c r="BT105" s="2">
        <f t="shared" si="28"/>
        <v>3</v>
      </c>
      <c r="BU105" s="2">
        <f t="shared" si="29"/>
        <v>0</v>
      </c>
      <c r="BV105" s="2">
        <f t="shared" si="30"/>
        <v>0</v>
      </c>
      <c r="BW105" s="2">
        <f t="shared" si="31"/>
        <v>0</v>
      </c>
      <c r="BX105" s="2">
        <f t="shared" si="32"/>
        <v>0</v>
      </c>
      <c r="BY105" s="2">
        <f t="shared" si="33"/>
        <v>0</v>
      </c>
      <c r="BZ105" s="2">
        <f t="shared" si="34"/>
        <v>0</v>
      </c>
      <c r="CA105" s="2">
        <f t="shared" si="35"/>
        <v>0</v>
      </c>
      <c r="CB105" s="2">
        <f t="shared" si="36"/>
        <v>0</v>
      </c>
      <c r="CC105" s="2">
        <f t="shared" si="37"/>
        <v>0</v>
      </c>
      <c r="CD105" s="2">
        <f t="shared" si="38"/>
        <v>0</v>
      </c>
      <c r="CE105" s="131"/>
      <c r="CG105" s="55">
        <v>0</v>
      </c>
      <c r="CH105" s="54">
        <v>0</v>
      </c>
      <c r="CI105" s="54">
        <v>0</v>
      </c>
      <c r="CJ105" s="54">
        <v>0</v>
      </c>
      <c r="CK105" s="54">
        <v>0</v>
      </c>
      <c r="CL105" s="54">
        <v>2</v>
      </c>
      <c r="CM105" s="54">
        <v>0</v>
      </c>
      <c r="CN105" s="54">
        <v>1</v>
      </c>
      <c r="CO105" s="54">
        <v>0</v>
      </c>
      <c r="CP105" s="54">
        <v>0</v>
      </c>
      <c r="CQ105" s="126">
        <f t="shared" si="41"/>
        <v>3</v>
      </c>
    </row>
    <row r="106" spans="1:95" s="47" customFormat="1" ht="22.5" customHeight="1" x14ac:dyDescent="0.25">
      <c r="A106" s="45">
        <v>88</v>
      </c>
      <c r="B106" s="45" t="s">
        <v>220</v>
      </c>
      <c r="C106" s="176" t="s">
        <v>221</v>
      </c>
      <c r="D106" s="85">
        <v>46065</v>
      </c>
      <c r="E106" s="65">
        <v>0.34652777777777777</v>
      </c>
      <c r="F106" s="65">
        <v>0.95000000000000007</v>
      </c>
      <c r="G106" s="65">
        <v>0.34722222222222227</v>
      </c>
      <c r="H106" s="65">
        <v>0.9604166666666667</v>
      </c>
      <c r="I106" s="98">
        <v>0.5805555555555556</v>
      </c>
      <c r="J106" s="98">
        <v>0.94027777777777777</v>
      </c>
      <c r="K106" s="65">
        <v>0.34652777777777777</v>
      </c>
      <c r="L106" s="65">
        <v>0.95972222222222225</v>
      </c>
      <c r="M106" s="65">
        <v>0.34861111111111115</v>
      </c>
      <c r="N106" s="65">
        <v>0.94236111111111109</v>
      </c>
      <c r="O106" s="65">
        <v>0.35069444444444442</v>
      </c>
      <c r="P106" s="65">
        <v>0.95208333333333339</v>
      </c>
      <c r="Q106" s="65">
        <v>0.34722222222222227</v>
      </c>
      <c r="R106" s="65">
        <v>0.94652777777777775</v>
      </c>
      <c r="S106" s="65">
        <v>0.34652777777777777</v>
      </c>
      <c r="T106" s="65">
        <v>0.94861111111111107</v>
      </c>
      <c r="U106" s="65">
        <v>0.34375</v>
      </c>
      <c r="V106" s="65">
        <v>0.97291666666666676</v>
      </c>
      <c r="W106" s="91" t="s">
        <v>15</v>
      </c>
      <c r="X106" s="91" t="s">
        <v>15</v>
      </c>
      <c r="Y106" s="65">
        <v>0.34097222222222223</v>
      </c>
      <c r="Z106" s="65">
        <v>0.94513888888888886</v>
      </c>
      <c r="AA106" s="65">
        <v>0.34375</v>
      </c>
      <c r="AB106" s="65">
        <v>0.94444444444444453</v>
      </c>
      <c r="AC106" s="65">
        <v>0.34513888888888888</v>
      </c>
      <c r="AD106" s="65">
        <v>0.94236111111111109</v>
      </c>
      <c r="AE106" s="65">
        <v>0.34513888888888888</v>
      </c>
      <c r="AF106" s="65">
        <v>0.94791666666666663</v>
      </c>
      <c r="AG106" s="65">
        <v>0.34513888888888888</v>
      </c>
      <c r="AH106" s="65">
        <v>0.9506944444444444</v>
      </c>
      <c r="AI106" s="114"/>
      <c r="AJ106" s="45">
        <v>88</v>
      </c>
      <c r="AK106" s="134">
        <v>46219.349270833336</v>
      </c>
      <c r="AL106" s="134">
        <v>46219.968472222223</v>
      </c>
      <c r="AM106" s="158" t="s">
        <v>15</v>
      </c>
      <c r="AN106" s="158" t="s">
        <v>15</v>
      </c>
      <c r="AO106" s="134">
        <v>46221.345752314817</v>
      </c>
      <c r="AP106" s="134">
        <v>46221.964594907404</v>
      </c>
      <c r="AQ106" s="134">
        <v>46222.346238425926</v>
      </c>
      <c r="AR106" s="134">
        <v>46222.941053240742</v>
      </c>
      <c r="AS106" s="134">
        <v>46223.347592592596</v>
      </c>
      <c r="AT106" s="134">
        <v>46223.954629629632</v>
      </c>
      <c r="AU106" s="134">
        <v>46224.342777777776</v>
      </c>
      <c r="AV106" s="134">
        <v>46224.961956018517</v>
      </c>
      <c r="AW106" s="134">
        <v>46225.344375000001</v>
      </c>
      <c r="AX106" s="134">
        <v>46225.960960648146</v>
      </c>
      <c r="AY106" s="134">
        <v>46226.344456018516</v>
      </c>
      <c r="AZ106" s="134">
        <v>46226.960578703707</v>
      </c>
      <c r="BA106" s="134">
        <v>46227.578506944446</v>
      </c>
      <c r="BB106" s="134">
        <v>46227.93849537037</v>
      </c>
      <c r="BC106" s="134">
        <v>46228.346585648149</v>
      </c>
      <c r="BD106" s="134">
        <v>46228.95952546296</v>
      </c>
      <c r="BE106" s="134">
        <v>46229.345833333333</v>
      </c>
      <c r="BF106" s="134">
        <v>46229.941296296296</v>
      </c>
      <c r="BG106" s="134">
        <v>46230.345868055556</v>
      </c>
      <c r="BH106" s="134">
        <v>46230.986701388887</v>
      </c>
      <c r="BI106" s="134">
        <v>46231.338090277779</v>
      </c>
      <c r="BJ106" s="134">
        <v>1</v>
      </c>
      <c r="BK106" s="134">
        <v>46232.340162037035</v>
      </c>
      <c r="BL106" s="137">
        <v>46232.964270833334</v>
      </c>
      <c r="BM106" s="137">
        <v>46233.347696759258</v>
      </c>
      <c r="BN106" s="134">
        <v>46233.962511574071</v>
      </c>
      <c r="BO106" s="158" t="s">
        <v>15</v>
      </c>
      <c r="BP106" s="158" t="s">
        <v>15</v>
      </c>
      <c r="BQ106" s="9">
        <f t="shared" si="25"/>
        <v>31</v>
      </c>
      <c r="BR106" s="68">
        <v>2</v>
      </c>
      <c r="BS106" s="1">
        <f t="shared" si="27"/>
        <v>28</v>
      </c>
      <c r="BT106" s="2">
        <f t="shared" si="28"/>
        <v>3</v>
      </c>
      <c r="BU106" s="2">
        <f t="shared" si="29"/>
        <v>0</v>
      </c>
      <c r="BV106" s="2">
        <f t="shared" si="30"/>
        <v>0</v>
      </c>
      <c r="BW106" s="2">
        <f t="shared" si="31"/>
        <v>0</v>
      </c>
      <c r="BX106" s="2">
        <f t="shared" si="32"/>
        <v>0</v>
      </c>
      <c r="BY106" s="2">
        <f t="shared" si="33"/>
        <v>0</v>
      </c>
      <c r="BZ106" s="2">
        <f t="shared" si="34"/>
        <v>0</v>
      </c>
      <c r="CA106" s="2">
        <f t="shared" si="35"/>
        <v>0</v>
      </c>
      <c r="CB106" s="2">
        <f t="shared" si="36"/>
        <v>0</v>
      </c>
      <c r="CC106" s="2">
        <f t="shared" si="37"/>
        <v>0</v>
      </c>
      <c r="CD106" s="2">
        <f t="shared" si="38"/>
        <v>0</v>
      </c>
      <c r="CE106" s="131"/>
      <c r="CG106" s="128">
        <v>0</v>
      </c>
      <c r="CH106" s="129">
        <v>0</v>
      </c>
      <c r="CI106" s="129">
        <v>0</v>
      </c>
      <c r="CJ106" s="129">
        <v>0</v>
      </c>
      <c r="CK106" s="129">
        <v>0</v>
      </c>
      <c r="CL106" s="129">
        <v>1</v>
      </c>
      <c r="CM106" s="129">
        <v>0</v>
      </c>
      <c r="CN106" s="129">
        <v>0</v>
      </c>
      <c r="CO106" s="129">
        <v>0</v>
      </c>
      <c r="CP106" s="129">
        <v>0</v>
      </c>
      <c r="CQ106" s="125">
        <f t="shared" si="41"/>
        <v>1</v>
      </c>
    </row>
    <row r="107" spans="1:95" s="47" customFormat="1" ht="22.5" customHeight="1" x14ac:dyDescent="0.25">
      <c r="A107" s="45">
        <v>89</v>
      </c>
      <c r="B107" s="45" t="s">
        <v>224</v>
      </c>
      <c r="C107" s="176" t="s">
        <v>226</v>
      </c>
      <c r="D107" s="85">
        <v>46069</v>
      </c>
      <c r="E107" s="65">
        <v>0.34930555555555554</v>
      </c>
      <c r="F107" s="65">
        <v>0.91249999999999998</v>
      </c>
      <c r="G107" s="65">
        <v>0.35347222222222219</v>
      </c>
      <c r="H107" s="65">
        <v>0.92222222222222217</v>
      </c>
      <c r="I107" s="91" t="s">
        <v>15</v>
      </c>
      <c r="J107" s="91" t="s">
        <v>15</v>
      </c>
      <c r="K107" s="65">
        <v>0.35347222222222219</v>
      </c>
      <c r="L107" s="65">
        <v>0.93611111111111101</v>
      </c>
      <c r="M107" s="65">
        <v>0.35138888888888892</v>
      </c>
      <c r="N107" s="65">
        <v>0.90902777777777777</v>
      </c>
      <c r="O107" s="65">
        <v>0.35069444444444442</v>
      </c>
      <c r="P107" s="65">
        <v>0.90069444444444446</v>
      </c>
      <c r="Q107" s="65">
        <v>0.35000000000000003</v>
      </c>
      <c r="R107" s="65">
        <v>0.89722222222222225</v>
      </c>
      <c r="S107" s="65">
        <v>0.35138888888888892</v>
      </c>
      <c r="T107" s="65">
        <v>0.99097222222222225</v>
      </c>
      <c r="U107" s="65">
        <v>0.34166666666666662</v>
      </c>
      <c r="V107" s="65">
        <v>0.98125000000000007</v>
      </c>
      <c r="W107" s="98">
        <v>0.56388888888888888</v>
      </c>
      <c r="X107" s="98">
        <v>0.93333333333333324</v>
      </c>
      <c r="Y107" s="65">
        <v>0.34930555555555554</v>
      </c>
      <c r="Z107" s="65">
        <v>0.93958333333333333</v>
      </c>
      <c r="AA107" s="65">
        <v>0.34791666666666665</v>
      </c>
      <c r="AB107" s="65">
        <v>0.91180555555555554</v>
      </c>
      <c r="AC107" s="65">
        <v>0.3527777777777778</v>
      </c>
      <c r="AD107" s="65">
        <v>0.90208333333333324</v>
      </c>
      <c r="AE107" s="65">
        <v>0.35138888888888892</v>
      </c>
      <c r="AF107" s="65">
        <v>0.91249999999999998</v>
      </c>
      <c r="AG107" s="65">
        <v>0.3430555555555555</v>
      </c>
      <c r="AH107" s="65">
        <v>0.92152777777777783</v>
      </c>
      <c r="AI107" s="114"/>
      <c r="AJ107" s="45">
        <v>89</v>
      </c>
      <c r="AK107" s="134">
        <v>46219.348171296297</v>
      </c>
      <c r="AL107" s="134">
        <v>46219.946469907409</v>
      </c>
      <c r="AM107" s="134">
        <v>46220.563738425924</v>
      </c>
      <c r="AN107" s="134">
        <v>46220.953912037039</v>
      </c>
      <c r="AO107" s="134">
        <v>46221.35261574074</v>
      </c>
      <c r="AP107" s="134">
        <v>46221.971539351849</v>
      </c>
      <c r="AQ107" s="134">
        <v>46222.352349537039</v>
      </c>
      <c r="AR107" s="134">
        <v>46222.908738425926</v>
      </c>
      <c r="AS107" s="134">
        <v>46223.350081018521</v>
      </c>
      <c r="AT107" s="134">
        <v>46223.952592592592</v>
      </c>
      <c r="AU107" s="134">
        <v>46224.35125</v>
      </c>
      <c r="AV107" s="134">
        <v>46224.934212962966</v>
      </c>
      <c r="AW107" s="134">
        <v>46225.350023148145</v>
      </c>
      <c r="AX107" s="134">
        <v>46225.961805555555</v>
      </c>
      <c r="AY107" s="134">
        <v>46226.356319444443</v>
      </c>
      <c r="AZ107" s="134">
        <v>46226.934305555558</v>
      </c>
      <c r="BA107" s="134">
        <v>46227.563506944447</v>
      </c>
      <c r="BB107" s="134">
        <v>46227.903182870374</v>
      </c>
      <c r="BC107" s="134">
        <v>46228.355208333334</v>
      </c>
      <c r="BD107" s="134">
        <v>1</v>
      </c>
      <c r="BE107" s="134">
        <v>46229.35423611111</v>
      </c>
      <c r="BF107" s="134">
        <v>46229.898368055554</v>
      </c>
      <c r="BG107" s="134">
        <v>46230.346412037034</v>
      </c>
      <c r="BH107" s="134">
        <v>46230.988229166665</v>
      </c>
      <c r="BI107" s="134">
        <v>46231.346539351849</v>
      </c>
      <c r="BJ107" s="134">
        <v>46231.939768518518</v>
      </c>
      <c r="BK107" s="134">
        <v>46232.351805555554</v>
      </c>
      <c r="BL107" s="137">
        <v>46232.956157407411</v>
      </c>
      <c r="BM107" s="137">
        <v>46233.34983796296</v>
      </c>
      <c r="BN107" s="134">
        <v>46233.923055555555</v>
      </c>
      <c r="BO107" s="158" t="s">
        <v>15</v>
      </c>
      <c r="BP107" s="158" t="s">
        <v>15</v>
      </c>
      <c r="BQ107" s="9">
        <f t="shared" si="25"/>
        <v>31</v>
      </c>
      <c r="BR107" s="68">
        <v>3</v>
      </c>
      <c r="BS107" s="1">
        <f t="shared" si="27"/>
        <v>29</v>
      </c>
      <c r="BT107" s="2">
        <f t="shared" si="28"/>
        <v>2</v>
      </c>
      <c r="BU107" s="2">
        <f t="shared" si="29"/>
        <v>0</v>
      </c>
      <c r="BV107" s="2">
        <f t="shared" si="30"/>
        <v>0</v>
      </c>
      <c r="BW107" s="2">
        <f t="shared" si="31"/>
        <v>0</v>
      </c>
      <c r="BX107" s="2">
        <f t="shared" si="32"/>
        <v>0</v>
      </c>
      <c r="BY107" s="2">
        <f t="shared" si="33"/>
        <v>0</v>
      </c>
      <c r="BZ107" s="2">
        <f t="shared" si="34"/>
        <v>0</v>
      </c>
      <c r="CA107" s="2">
        <f t="shared" si="35"/>
        <v>0</v>
      </c>
      <c r="CB107" s="2">
        <f t="shared" si="36"/>
        <v>0</v>
      </c>
      <c r="CC107" s="2">
        <f t="shared" si="37"/>
        <v>0</v>
      </c>
      <c r="CD107" s="2">
        <f t="shared" si="38"/>
        <v>0</v>
      </c>
      <c r="CE107" s="131"/>
      <c r="CG107" s="55">
        <v>0</v>
      </c>
      <c r="CH107" s="54">
        <v>0</v>
      </c>
      <c r="CI107" s="54">
        <v>0</v>
      </c>
      <c r="CJ107" s="54">
        <v>0</v>
      </c>
      <c r="CK107" s="54">
        <v>0</v>
      </c>
      <c r="CL107" s="54">
        <v>0</v>
      </c>
      <c r="CM107" s="54">
        <v>0</v>
      </c>
      <c r="CN107" s="54">
        <v>0</v>
      </c>
      <c r="CO107" s="54">
        <v>0</v>
      </c>
      <c r="CP107" s="54">
        <v>0</v>
      </c>
      <c r="CQ107" s="126">
        <f t="shared" si="41"/>
        <v>0</v>
      </c>
    </row>
    <row r="108" spans="1:95" s="47" customFormat="1" ht="22.5" customHeight="1" x14ac:dyDescent="0.25">
      <c r="A108" s="45">
        <v>90</v>
      </c>
      <c r="B108" s="45" t="s">
        <v>222</v>
      </c>
      <c r="C108" s="176" t="s">
        <v>227</v>
      </c>
      <c r="D108" s="85">
        <v>46068</v>
      </c>
      <c r="E108" s="65">
        <v>0.34513888888888888</v>
      </c>
      <c r="F108" s="65">
        <v>0.97361111111111109</v>
      </c>
      <c r="G108" s="65">
        <v>0.34375</v>
      </c>
      <c r="H108" s="65">
        <v>0.99236111111111114</v>
      </c>
      <c r="I108" s="98">
        <v>0.58263888888888882</v>
      </c>
      <c r="J108" s="98">
        <v>0.93611111111111101</v>
      </c>
      <c r="K108" s="65">
        <v>0.34652777777777777</v>
      </c>
      <c r="L108" s="65">
        <v>0.95000000000000007</v>
      </c>
      <c r="M108" s="65">
        <v>0.34791666666666665</v>
      </c>
      <c r="N108" s="69">
        <v>1</v>
      </c>
      <c r="O108" s="65">
        <v>0.35416666666666669</v>
      </c>
      <c r="P108" s="65">
        <v>0.35416666666666669</v>
      </c>
      <c r="Q108" s="65">
        <v>0.34166666666666662</v>
      </c>
      <c r="R108" s="69">
        <v>1</v>
      </c>
      <c r="S108" s="65">
        <v>0.34722222222222227</v>
      </c>
      <c r="T108" s="65">
        <v>2.0833333333333333E-3</v>
      </c>
      <c r="U108" s="65">
        <v>0.34236111111111112</v>
      </c>
      <c r="V108" s="65">
        <v>0.98402777777777783</v>
      </c>
      <c r="W108" s="91" t="s">
        <v>15</v>
      </c>
      <c r="X108" s="91" t="s">
        <v>15</v>
      </c>
      <c r="Y108" s="65">
        <v>0.34166666666666662</v>
      </c>
      <c r="Z108" s="65">
        <v>0.9458333333333333</v>
      </c>
      <c r="AA108" s="65">
        <v>0.34791666666666665</v>
      </c>
      <c r="AB108" s="65">
        <v>0.97430555555555554</v>
      </c>
      <c r="AC108" s="65">
        <v>0.34375</v>
      </c>
      <c r="AD108" s="69">
        <v>1</v>
      </c>
      <c r="AE108" s="65">
        <v>0.34375</v>
      </c>
      <c r="AF108" s="65">
        <v>0.96250000000000002</v>
      </c>
      <c r="AG108" s="65">
        <v>0.34513888888888888</v>
      </c>
      <c r="AH108" s="65">
        <v>0.97499999999999998</v>
      </c>
      <c r="AI108" s="114"/>
      <c r="AJ108" s="45">
        <v>90</v>
      </c>
      <c r="AK108" s="134">
        <v>46219.347083333334</v>
      </c>
      <c r="AL108" s="134">
        <v>46219.993738425925</v>
      </c>
      <c r="AM108" s="134">
        <v>46220.582337962966</v>
      </c>
      <c r="AN108" s="134">
        <v>46220.942349537036</v>
      </c>
      <c r="AO108" s="134">
        <v>46221.345682870371</v>
      </c>
      <c r="AP108" s="134">
        <v>46221.971724537034</v>
      </c>
      <c r="AQ108" s="134">
        <v>46222.346099537041</v>
      </c>
      <c r="AR108" s="134">
        <v>46222.944745370369</v>
      </c>
      <c r="AS108" s="134">
        <v>46223.345694444448</v>
      </c>
      <c r="AT108" s="134">
        <v>46223.961493055554</v>
      </c>
      <c r="AU108" s="134">
        <v>46224.341805555552</v>
      </c>
      <c r="AV108" s="134">
        <v>1</v>
      </c>
      <c r="AW108" s="134">
        <v>46225.344155092593</v>
      </c>
      <c r="AX108" s="134">
        <v>46225.987638888888</v>
      </c>
      <c r="AY108" s="134">
        <v>46226.343425925923</v>
      </c>
      <c r="AZ108" s="134">
        <v>46226.963333333333</v>
      </c>
      <c r="BA108" s="158" t="s">
        <v>15</v>
      </c>
      <c r="BB108" s="158" t="s">
        <v>15</v>
      </c>
      <c r="BC108" s="134">
        <v>46228.343865740739</v>
      </c>
      <c r="BD108" s="134">
        <v>46228.959837962961</v>
      </c>
      <c r="BE108" s="134">
        <v>46229.345266203702</v>
      </c>
      <c r="BF108" s="134">
        <v>46229.944085648145</v>
      </c>
      <c r="BG108" s="134">
        <v>46230.344525462962</v>
      </c>
      <c r="BH108" s="134">
        <v>46230.988437499997</v>
      </c>
      <c r="BI108" s="134">
        <v>46231.343773148146</v>
      </c>
      <c r="BJ108" s="134">
        <v>46231.965856481482</v>
      </c>
      <c r="BK108" s="134">
        <v>46232.341979166667</v>
      </c>
      <c r="BL108" s="137">
        <v>46232.97314814815</v>
      </c>
      <c r="BM108" s="137">
        <v>46233.337916666664</v>
      </c>
      <c r="BN108" s="134">
        <v>46233.977384259262</v>
      </c>
      <c r="BO108" s="134">
        <v>46234.582743055558</v>
      </c>
      <c r="BP108" s="137">
        <v>46234.923483796294</v>
      </c>
      <c r="BQ108" s="9">
        <f t="shared" si="25"/>
        <v>31</v>
      </c>
      <c r="BR108" s="68">
        <v>3</v>
      </c>
      <c r="BS108" s="1">
        <f t="shared" si="27"/>
        <v>29</v>
      </c>
      <c r="BT108" s="2">
        <f t="shared" si="28"/>
        <v>2</v>
      </c>
      <c r="BU108" s="2">
        <f t="shared" si="29"/>
        <v>0</v>
      </c>
      <c r="BV108" s="2">
        <f t="shared" si="30"/>
        <v>0</v>
      </c>
      <c r="BW108" s="2">
        <f t="shared" si="31"/>
        <v>0</v>
      </c>
      <c r="BX108" s="2">
        <f t="shared" si="32"/>
        <v>0</v>
      </c>
      <c r="BY108" s="2">
        <f t="shared" si="33"/>
        <v>0</v>
      </c>
      <c r="BZ108" s="2">
        <f t="shared" si="34"/>
        <v>0</v>
      </c>
      <c r="CA108" s="2">
        <f t="shared" si="35"/>
        <v>0</v>
      </c>
      <c r="CB108" s="2">
        <f t="shared" si="36"/>
        <v>0</v>
      </c>
      <c r="CC108" s="2">
        <f t="shared" si="37"/>
        <v>0</v>
      </c>
      <c r="CD108" s="2">
        <f t="shared" si="38"/>
        <v>0</v>
      </c>
      <c r="CE108" s="131"/>
      <c r="CG108" s="128">
        <v>0</v>
      </c>
      <c r="CH108" s="129">
        <v>0</v>
      </c>
      <c r="CI108" s="129">
        <v>0</v>
      </c>
      <c r="CJ108" s="129">
        <v>0</v>
      </c>
      <c r="CK108" s="129">
        <v>0</v>
      </c>
      <c r="CL108" s="129">
        <v>0</v>
      </c>
      <c r="CM108" s="129">
        <v>0</v>
      </c>
      <c r="CN108" s="129">
        <v>0</v>
      </c>
      <c r="CO108" s="129">
        <v>0</v>
      </c>
      <c r="CP108" s="129">
        <v>0</v>
      </c>
      <c r="CQ108" s="125">
        <f t="shared" si="41"/>
        <v>0</v>
      </c>
    </row>
    <row r="109" spans="1:95" s="47" customFormat="1" ht="22.5" customHeight="1" x14ac:dyDescent="0.25">
      <c r="A109" s="45">
        <v>91</v>
      </c>
      <c r="B109" s="45" t="s">
        <v>223</v>
      </c>
      <c r="C109" s="176" t="s">
        <v>228</v>
      </c>
      <c r="D109" s="85">
        <v>46069</v>
      </c>
      <c r="E109" s="65">
        <v>0.3520833333333333</v>
      </c>
      <c r="F109" s="65">
        <v>0.92291666666666661</v>
      </c>
      <c r="G109" s="65">
        <v>0.35138888888888892</v>
      </c>
      <c r="H109" s="65">
        <v>0.93055555555555547</v>
      </c>
      <c r="I109" s="98">
        <v>0.58402777777777781</v>
      </c>
      <c r="J109" s="98">
        <v>0.89583333333333337</v>
      </c>
      <c r="K109" s="65">
        <v>0.3520833333333333</v>
      </c>
      <c r="L109" s="65">
        <v>0.93055555555555547</v>
      </c>
      <c r="M109" s="65">
        <v>0.35347222222222219</v>
      </c>
      <c r="N109" s="65">
        <v>0.91736111111111107</v>
      </c>
      <c r="O109" s="65">
        <v>0.35069444444444442</v>
      </c>
      <c r="P109" s="65">
        <v>0.91736111111111107</v>
      </c>
      <c r="Q109" s="65">
        <v>0.35138888888888892</v>
      </c>
      <c r="R109" s="65">
        <v>0.90555555555555556</v>
      </c>
      <c r="S109" s="65">
        <v>0.35138888888888892</v>
      </c>
      <c r="T109" s="65">
        <v>0.93958333333333333</v>
      </c>
      <c r="U109" s="65">
        <v>0.34930555555555554</v>
      </c>
      <c r="V109" s="65">
        <v>0.9819444444444444</v>
      </c>
      <c r="W109" s="91" t="s">
        <v>15</v>
      </c>
      <c r="X109" s="91" t="s">
        <v>15</v>
      </c>
      <c r="Y109" s="65">
        <v>0.35138888888888892</v>
      </c>
      <c r="Z109" s="65">
        <v>0.93680555555555556</v>
      </c>
      <c r="AA109" s="65">
        <v>0.34722222222222227</v>
      </c>
      <c r="AB109" s="65">
        <v>0.91319444444444453</v>
      </c>
      <c r="AC109" s="65">
        <v>0.3520833333333333</v>
      </c>
      <c r="AD109" s="65">
        <v>0.91319444444444453</v>
      </c>
      <c r="AE109" s="65">
        <v>0.35138888888888892</v>
      </c>
      <c r="AF109" s="65">
        <v>0.92083333333333339</v>
      </c>
      <c r="AG109" s="65">
        <v>0.35416666666666669</v>
      </c>
      <c r="AH109" s="65">
        <v>0.93194444444444446</v>
      </c>
      <c r="AI109" s="114"/>
      <c r="AJ109" s="45">
        <v>91</v>
      </c>
      <c r="AK109" s="134">
        <v>46219.352881944447</v>
      </c>
      <c r="AL109" s="134">
        <v>46219.939131944448</v>
      </c>
      <c r="AM109" s="134">
        <v>46220.582870370374</v>
      </c>
      <c r="AN109" s="134">
        <v>46220.90996527778</v>
      </c>
      <c r="AO109" s="134">
        <v>46221.35255787037</v>
      </c>
      <c r="AP109" s="134">
        <v>46221.967106481483</v>
      </c>
      <c r="AQ109" s="134">
        <v>46222.351388888892</v>
      </c>
      <c r="AR109" s="134">
        <v>46222.918055555558</v>
      </c>
      <c r="AS109" s="134">
        <v>46223.352233796293</v>
      </c>
      <c r="AT109" s="134">
        <v>46223.953136574077</v>
      </c>
      <c r="AU109" s="134">
        <v>46224.351759259262</v>
      </c>
      <c r="AV109" s="134">
        <v>46224.963472222225</v>
      </c>
      <c r="AW109" s="134">
        <v>46225.350532407407</v>
      </c>
      <c r="AX109" s="134">
        <v>46225.939791666664</v>
      </c>
      <c r="AY109" s="134">
        <v>46226.3515162037</v>
      </c>
      <c r="AZ109" s="134">
        <v>46226.942557870374</v>
      </c>
      <c r="BA109" s="134">
        <v>46227.581666666665</v>
      </c>
      <c r="BB109" s="134">
        <v>46227.907951388886</v>
      </c>
      <c r="BC109" s="134">
        <v>46228.351388888892</v>
      </c>
      <c r="BD109" s="134">
        <v>46228.930277777778</v>
      </c>
      <c r="BE109" s="134">
        <v>46229.352789351855</v>
      </c>
      <c r="BF109" s="134">
        <v>46229.910208333335</v>
      </c>
      <c r="BG109" s="134">
        <v>46230.344525462962</v>
      </c>
      <c r="BH109" s="134">
        <v>46230.988159722219</v>
      </c>
      <c r="BI109" s="134">
        <v>46231.354872685188</v>
      </c>
      <c r="BJ109" s="134">
        <v>46231.932141203702</v>
      </c>
      <c r="BK109" s="134">
        <v>46232.348043981481</v>
      </c>
      <c r="BL109" s="137">
        <v>46232.956747685188</v>
      </c>
      <c r="BM109" s="137">
        <v>46233.3516087963</v>
      </c>
      <c r="BN109" s="134">
        <v>46233.930092592593</v>
      </c>
      <c r="BO109" s="158" t="s">
        <v>15</v>
      </c>
      <c r="BP109" s="158" t="s">
        <v>15</v>
      </c>
      <c r="BQ109" s="9">
        <f t="shared" ref="BQ109:BQ113" si="42">BS109+BT109+BV109+CA109+BY109+BZ109+CD109+BU109</f>
        <v>31</v>
      </c>
      <c r="BR109" s="68">
        <v>3</v>
      </c>
      <c r="BS109" s="1">
        <f t="shared" ref="BS109:BS113" si="43">COUNT(E109:AH109)/2+COUNT(AK109:BP109)/2</f>
        <v>29</v>
      </c>
      <c r="BT109" s="2">
        <f t="shared" ref="BT109:BT113" si="44">COUNTIF(E109:BP109,"OFF")/2</f>
        <v>2</v>
      </c>
      <c r="BU109" s="2">
        <f t="shared" ref="BU109:BU113" si="45">COUNTIF(E109:BP109,"MC")/2</f>
        <v>0</v>
      </c>
      <c r="BV109" s="2">
        <f t="shared" ref="BV109:BV113" si="46">COUNTIF(E109:BP109,"EL")/2</f>
        <v>0</v>
      </c>
      <c r="BW109" s="2">
        <f t="shared" ref="BW109:BW113" si="47">COUNTIF(E109:BP109,"AL")/2</f>
        <v>0</v>
      </c>
      <c r="BX109" s="2">
        <f t="shared" ref="BX109:BX113" si="48">COUNTIF(E109:BP109,"SUS")/2</f>
        <v>0</v>
      </c>
      <c r="BY109" s="2">
        <f t="shared" ref="BY109:BY113" si="49">COUNTIF(E109:BP109,"FL")/2</f>
        <v>0</v>
      </c>
      <c r="BZ109" s="2">
        <f t="shared" ref="BZ109:BZ113" si="50">COUNTIF(E109:BP109,"SICK")/2</f>
        <v>0</v>
      </c>
      <c r="CA109" s="2">
        <f t="shared" ref="CA109:CA113" si="51">COUNTIF(E109:BP109,"HD")/2</f>
        <v>0</v>
      </c>
      <c r="CB109" s="2">
        <f t="shared" ref="CB109:CB113" si="52">COUNTIF(E109:BP109,"AB")/2</f>
        <v>0</v>
      </c>
      <c r="CC109" s="2">
        <f t="shared" ref="CC109:CC113" si="53">COUNTIF(E109:BP109,"NL")/2</f>
        <v>0</v>
      </c>
      <c r="CD109" s="2">
        <f t="shared" ref="CD109:CD113" si="54">COUNTIF(E109:BP109,"SP")/2</f>
        <v>0</v>
      </c>
      <c r="CE109" s="131"/>
      <c r="CG109" s="55">
        <v>0</v>
      </c>
      <c r="CH109" s="54">
        <v>0</v>
      </c>
      <c r="CI109" s="54">
        <v>0</v>
      </c>
      <c r="CJ109" s="54">
        <v>0</v>
      </c>
      <c r="CK109" s="54">
        <v>0</v>
      </c>
      <c r="CL109" s="54">
        <v>0</v>
      </c>
      <c r="CM109" s="54">
        <v>0</v>
      </c>
      <c r="CN109" s="54">
        <v>0</v>
      </c>
      <c r="CO109" s="54">
        <v>0</v>
      </c>
      <c r="CP109" s="54">
        <v>0</v>
      </c>
      <c r="CQ109" s="126">
        <f t="shared" si="41"/>
        <v>0</v>
      </c>
    </row>
    <row r="110" spans="1:95" s="47" customFormat="1" ht="22.5" customHeight="1" x14ac:dyDescent="0.25">
      <c r="A110" s="45">
        <v>92</v>
      </c>
      <c r="B110" s="45" t="s">
        <v>243</v>
      </c>
      <c r="C110" s="176" t="s">
        <v>244</v>
      </c>
      <c r="D110" s="85"/>
      <c r="E110" s="65">
        <v>0.32777777777777778</v>
      </c>
      <c r="F110" s="65">
        <v>0.96458333333333324</v>
      </c>
      <c r="G110" s="65">
        <v>0.32569444444444445</v>
      </c>
      <c r="H110" s="65">
        <v>0.96875</v>
      </c>
      <c r="I110" s="98">
        <v>0.58402777777777781</v>
      </c>
      <c r="J110" s="98">
        <v>0.92638888888888893</v>
      </c>
      <c r="K110" s="65">
        <v>0.3527777777777778</v>
      </c>
      <c r="L110" s="65">
        <v>0.94236111111111109</v>
      </c>
      <c r="M110" s="65">
        <v>0.35555555555555557</v>
      </c>
      <c r="N110" s="65">
        <v>0.95763888888888893</v>
      </c>
      <c r="O110" s="65">
        <v>0.35486111111111113</v>
      </c>
      <c r="P110" s="65">
        <v>0.96597222222222223</v>
      </c>
      <c r="Q110" s="65">
        <v>0.35555555555555557</v>
      </c>
      <c r="R110" s="65">
        <v>0.93680555555555556</v>
      </c>
      <c r="S110" s="65">
        <v>0.33402777777777781</v>
      </c>
      <c r="T110" s="65">
        <v>0.95694444444444438</v>
      </c>
      <c r="U110" s="65">
        <v>0.35138888888888892</v>
      </c>
      <c r="V110" s="65">
        <v>0.97361111111111109</v>
      </c>
      <c r="W110" s="91" t="s">
        <v>15</v>
      </c>
      <c r="X110" s="91" t="s">
        <v>15</v>
      </c>
      <c r="Y110" s="65">
        <v>0.35555555555555557</v>
      </c>
      <c r="Z110" s="65">
        <v>0.95277777777777783</v>
      </c>
      <c r="AA110" s="65">
        <v>0.35069444444444442</v>
      </c>
      <c r="AB110" s="65">
        <v>0.95833333333333337</v>
      </c>
      <c r="AC110" s="65">
        <v>0.35416666666666669</v>
      </c>
      <c r="AD110" s="65">
        <v>0.95416666666666661</v>
      </c>
      <c r="AE110" s="65">
        <v>0.35486111111111113</v>
      </c>
      <c r="AF110" s="65">
        <v>0.95763888888888893</v>
      </c>
      <c r="AG110" s="65">
        <v>0.35347222222222219</v>
      </c>
      <c r="AH110" s="65">
        <v>0.9458333333333333</v>
      </c>
      <c r="AI110" s="114"/>
      <c r="AJ110" s="45">
        <v>92</v>
      </c>
      <c r="AK110" s="134">
        <v>46219.354629629626</v>
      </c>
      <c r="AL110" s="134">
        <v>46219.958252314813</v>
      </c>
      <c r="AM110" s="134">
        <v>46220.563287037039</v>
      </c>
      <c r="AN110" s="134">
        <v>46220.917731481481</v>
      </c>
      <c r="AO110" s="134">
        <v>46221.354837962965</v>
      </c>
      <c r="AP110" s="134">
        <v>46221.960636574076</v>
      </c>
      <c r="AQ110" s="134">
        <v>46222.354803240742</v>
      </c>
      <c r="AR110" s="134">
        <v>46222.948136574072</v>
      </c>
      <c r="AS110" s="134">
        <v>46223.355127314811</v>
      </c>
      <c r="AT110" s="134">
        <v>46223.957442129627</v>
      </c>
      <c r="AU110" s="134">
        <v>46224.355671296296</v>
      </c>
      <c r="AV110" s="134">
        <v>46224.958611111113</v>
      </c>
      <c r="AW110" s="134">
        <v>46225.355312500003</v>
      </c>
      <c r="AX110" s="134">
        <v>46225.962465277778</v>
      </c>
      <c r="AY110" s="134">
        <v>46226.354039351849</v>
      </c>
      <c r="AZ110" s="134">
        <v>46226.963750000003</v>
      </c>
      <c r="BA110" s="158" t="s">
        <v>15</v>
      </c>
      <c r="BB110" s="158" t="s">
        <v>15</v>
      </c>
      <c r="BC110" s="134">
        <v>46228.356956018521</v>
      </c>
      <c r="BD110" s="134">
        <v>46228.960601851853</v>
      </c>
      <c r="BE110" s="134">
        <v>46229.356446759259</v>
      </c>
      <c r="BF110" s="134">
        <v>46229.950185185182</v>
      </c>
      <c r="BG110" s="134">
        <v>46230.353449074071</v>
      </c>
      <c r="BH110" s="134">
        <v>46230.988379629627</v>
      </c>
      <c r="BI110" s="134">
        <v>46231.353738425925</v>
      </c>
      <c r="BJ110" s="134">
        <v>46231.958310185182</v>
      </c>
      <c r="BK110" s="134">
        <v>46232.351157407407</v>
      </c>
      <c r="BL110" s="137">
        <v>46232.963865740741</v>
      </c>
      <c r="BM110" s="137">
        <v>46233.353518518517</v>
      </c>
      <c r="BN110" s="136">
        <v>1</v>
      </c>
      <c r="BO110" s="134">
        <v>46234.576157407406</v>
      </c>
      <c r="BP110" s="137">
        <v>46234.951261574075</v>
      </c>
      <c r="BQ110" s="9">
        <f t="shared" si="42"/>
        <v>31</v>
      </c>
      <c r="BR110" s="68">
        <v>3</v>
      </c>
      <c r="BS110" s="1">
        <f t="shared" si="43"/>
        <v>29</v>
      </c>
      <c r="BT110" s="2">
        <f t="shared" si="44"/>
        <v>2</v>
      </c>
      <c r="BU110" s="2">
        <f t="shared" si="45"/>
        <v>0</v>
      </c>
      <c r="BV110" s="2">
        <f t="shared" si="46"/>
        <v>0</v>
      </c>
      <c r="BW110" s="2">
        <f t="shared" si="47"/>
        <v>0</v>
      </c>
      <c r="BX110" s="2">
        <f t="shared" si="48"/>
        <v>0</v>
      </c>
      <c r="BY110" s="2">
        <f t="shared" si="49"/>
        <v>0</v>
      </c>
      <c r="BZ110" s="2">
        <f t="shared" si="50"/>
        <v>0</v>
      </c>
      <c r="CA110" s="2">
        <f t="shared" si="51"/>
        <v>0</v>
      </c>
      <c r="CB110" s="2">
        <f t="shared" si="52"/>
        <v>0</v>
      </c>
      <c r="CC110" s="2">
        <f t="shared" si="53"/>
        <v>0</v>
      </c>
      <c r="CD110" s="2">
        <f t="shared" si="54"/>
        <v>0</v>
      </c>
      <c r="CE110" s="131"/>
      <c r="CG110" s="122">
        <v>0</v>
      </c>
      <c r="CH110" s="123">
        <v>0</v>
      </c>
      <c r="CI110" s="123">
        <v>0</v>
      </c>
      <c r="CJ110" s="123">
        <v>0</v>
      </c>
      <c r="CK110" s="123">
        <v>0</v>
      </c>
      <c r="CL110" s="123">
        <v>0</v>
      </c>
      <c r="CM110" s="123">
        <v>0</v>
      </c>
      <c r="CN110" s="123">
        <v>0</v>
      </c>
      <c r="CO110" s="123">
        <v>0</v>
      </c>
      <c r="CP110" s="123">
        <v>0</v>
      </c>
      <c r="CQ110" s="125">
        <f t="shared" si="41"/>
        <v>0</v>
      </c>
    </row>
    <row r="111" spans="1:95" s="47" customFormat="1" ht="22.5" customHeight="1" x14ac:dyDescent="0.25">
      <c r="A111" s="45">
        <v>93</v>
      </c>
      <c r="B111" s="140" t="s">
        <v>259</v>
      </c>
      <c r="C111" s="176" t="s">
        <v>263</v>
      </c>
      <c r="D111" s="85"/>
      <c r="E111" s="182" t="s">
        <v>264</v>
      </c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  <c r="AA111" s="183"/>
      <c r="AB111" s="183"/>
      <c r="AC111" s="183"/>
      <c r="AD111" s="183"/>
      <c r="AE111" s="183"/>
      <c r="AF111" s="183"/>
      <c r="AG111" s="183"/>
      <c r="AH111" s="184"/>
      <c r="AI111" s="114"/>
      <c r="AJ111" s="45">
        <v>93</v>
      </c>
      <c r="AK111" s="185"/>
      <c r="AL111" s="186"/>
      <c r="AM111" s="186"/>
      <c r="AN111" s="186"/>
      <c r="AO111" s="186"/>
      <c r="AP111" s="186"/>
      <c r="AQ111" s="186"/>
      <c r="AR111" s="186"/>
      <c r="AS111" s="12">
        <v>1</v>
      </c>
      <c r="AT111" s="134">
        <v>46223.943148148152</v>
      </c>
      <c r="AU111" s="134">
        <v>46224.348425925928</v>
      </c>
      <c r="AV111" s="134">
        <v>46224.936620370368</v>
      </c>
      <c r="AW111" s="134">
        <v>46225.34946759259</v>
      </c>
      <c r="AX111" s="134">
        <v>46225.955277777779</v>
      </c>
      <c r="AY111" s="134">
        <v>46226.350462962961</v>
      </c>
      <c r="AZ111" s="134">
        <v>46226.939953703702</v>
      </c>
      <c r="BA111" s="134">
        <v>46227.580729166664</v>
      </c>
      <c r="BB111" s="134">
        <v>46227.953553240739</v>
      </c>
      <c r="BC111" s="134">
        <v>46228.345231481479</v>
      </c>
      <c r="BD111" s="134">
        <v>46228.954016203701</v>
      </c>
      <c r="BE111" s="134">
        <v>46229.352581018517</v>
      </c>
      <c r="BF111" s="134">
        <v>46229.941481481481</v>
      </c>
      <c r="BG111" s="134">
        <v>46230.34983796296</v>
      </c>
      <c r="BH111" s="134">
        <v>46230.935428240744</v>
      </c>
      <c r="BI111" s="134">
        <v>46231.350787037038</v>
      </c>
      <c r="BJ111" s="134">
        <v>46231.956793981481</v>
      </c>
      <c r="BK111" s="134">
        <v>46232.347129629627</v>
      </c>
      <c r="BL111" s="137">
        <v>46232.941157407404</v>
      </c>
      <c r="BM111" s="137">
        <v>46233.348217592589</v>
      </c>
      <c r="BN111" s="134">
        <v>46233.977048611108</v>
      </c>
      <c r="BO111" s="158" t="s">
        <v>15</v>
      </c>
      <c r="BP111" s="158" t="s">
        <v>15</v>
      </c>
      <c r="BQ111" s="9">
        <f t="shared" si="42"/>
        <v>12</v>
      </c>
      <c r="BR111" s="68">
        <v>1</v>
      </c>
      <c r="BS111" s="1">
        <f t="shared" si="43"/>
        <v>11</v>
      </c>
      <c r="BT111" s="2">
        <f t="shared" si="44"/>
        <v>1</v>
      </c>
      <c r="BU111" s="2">
        <f t="shared" si="45"/>
        <v>0</v>
      </c>
      <c r="BV111" s="2">
        <f t="shared" si="46"/>
        <v>0</v>
      </c>
      <c r="BW111" s="2">
        <f t="shared" si="47"/>
        <v>0</v>
      </c>
      <c r="BX111" s="2">
        <f t="shared" si="48"/>
        <v>0</v>
      </c>
      <c r="BY111" s="2">
        <f t="shared" si="49"/>
        <v>0</v>
      </c>
      <c r="BZ111" s="2">
        <f t="shared" si="50"/>
        <v>0</v>
      </c>
      <c r="CA111" s="2">
        <f t="shared" si="51"/>
        <v>0</v>
      </c>
      <c r="CB111" s="2">
        <f t="shared" si="52"/>
        <v>0</v>
      </c>
      <c r="CC111" s="2">
        <f t="shared" si="53"/>
        <v>0</v>
      </c>
      <c r="CD111" s="2">
        <f t="shared" si="54"/>
        <v>0</v>
      </c>
      <c r="CE111" s="168" t="s">
        <v>264</v>
      </c>
      <c r="CG111" s="122">
        <v>0</v>
      </c>
      <c r="CH111" s="123">
        <v>0</v>
      </c>
      <c r="CI111" s="123">
        <v>0</v>
      </c>
      <c r="CJ111" s="123">
        <v>0</v>
      </c>
      <c r="CK111" s="123">
        <v>0</v>
      </c>
      <c r="CL111" s="123">
        <v>0</v>
      </c>
      <c r="CM111" s="123">
        <v>0</v>
      </c>
      <c r="CN111" s="123">
        <v>0</v>
      </c>
      <c r="CO111" s="123">
        <v>0</v>
      </c>
      <c r="CP111" s="123">
        <v>0</v>
      </c>
      <c r="CQ111" s="125">
        <f t="shared" ref="CQ111" si="55">SUM(CG111:CP111)</f>
        <v>0</v>
      </c>
    </row>
    <row r="112" spans="1:95" s="47" customFormat="1" ht="22.5" customHeight="1" x14ac:dyDescent="0.25">
      <c r="A112" s="45">
        <v>94</v>
      </c>
      <c r="B112" s="140" t="s">
        <v>259</v>
      </c>
      <c r="C112" s="176" t="s">
        <v>261</v>
      </c>
      <c r="D112" s="85">
        <v>46069</v>
      </c>
      <c r="E112" s="182" t="s">
        <v>265</v>
      </c>
      <c r="F112" s="183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  <c r="AA112" s="183"/>
      <c r="AB112" s="183"/>
      <c r="AC112" s="183"/>
      <c r="AD112" s="183"/>
      <c r="AE112" s="183"/>
      <c r="AF112" s="183"/>
      <c r="AG112" s="183"/>
      <c r="AH112" s="184"/>
      <c r="AI112" s="114"/>
      <c r="AJ112" s="45">
        <v>94</v>
      </c>
      <c r="AK112" s="185"/>
      <c r="AL112" s="186"/>
      <c r="AM112" s="186"/>
      <c r="AN112" s="186"/>
      <c r="AO112" s="186"/>
      <c r="AP112" s="186"/>
      <c r="AQ112" s="186"/>
      <c r="AR112" s="186"/>
      <c r="AS112" s="186"/>
      <c r="AT112" s="186"/>
      <c r="AU112" s="186"/>
      <c r="AV112" s="186"/>
      <c r="AW112" s="186"/>
      <c r="AX112" s="186"/>
      <c r="AY112" s="186"/>
      <c r="AZ112" s="186"/>
      <c r="BA112" s="186"/>
      <c r="BB112" s="187"/>
      <c r="BC112" s="134">
        <v>46228.346666666665</v>
      </c>
      <c r="BD112" s="134">
        <v>46228.959583333337</v>
      </c>
      <c r="BE112" s="134">
        <v>46229.352025462962</v>
      </c>
      <c r="BF112" s="134">
        <v>46229.94390046296</v>
      </c>
      <c r="BG112" s="134">
        <v>46230.347430555557</v>
      </c>
      <c r="BH112" s="134">
        <v>46230.986527777779</v>
      </c>
      <c r="BI112" s="134">
        <v>46231.347407407404</v>
      </c>
      <c r="BJ112" s="134">
        <v>46231.956909722219</v>
      </c>
      <c r="BK112" s="134">
        <v>46232.345891203702</v>
      </c>
      <c r="BL112" s="137">
        <v>46232.973217592589</v>
      </c>
      <c r="BM112" s="137">
        <v>46233.350532407407</v>
      </c>
      <c r="BN112" s="134">
        <v>46233.983229166668</v>
      </c>
      <c r="BO112" s="134">
        <v>46234.575567129628</v>
      </c>
      <c r="BP112" s="137">
        <v>1</v>
      </c>
      <c r="BQ112" s="9">
        <f t="shared" si="42"/>
        <v>7</v>
      </c>
      <c r="BR112" s="68">
        <v>3</v>
      </c>
      <c r="BS112" s="1">
        <f t="shared" si="43"/>
        <v>7</v>
      </c>
      <c r="BT112" s="2">
        <f t="shared" si="44"/>
        <v>0</v>
      </c>
      <c r="BU112" s="2">
        <f t="shared" si="45"/>
        <v>0</v>
      </c>
      <c r="BV112" s="2">
        <f t="shared" si="46"/>
        <v>0</v>
      </c>
      <c r="BW112" s="2">
        <f t="shared" si="47"/>
        <v>0</v>
      </c>
      <c r="BX112" s="2">
        <f t="shared" si="48"/>
        <v>0</v>
      </c>
      <c r="BY112" s="2">
        <f t="shared" si="49"/>
        <v>0</v>
      </c>
      <c r="BZ112" s="2">
        <f t="shared" si="50"/>
        <v>0</v>
      </c>
      <c r="CA112" s="2">
        <f t="shared" si="51"/>
        <v>0</v>
      </c>
      <c r="CB112" s="2">
        <f t="shared" si="52"/>
        <v>0</v>
      </c>
      <c r="CC112" s="2">
        <f t="shared" si="53"/>
        <v>0</v>
      </c>
      <c r="CD112" s="2">
        <f t="shared" si="54"/>
        <v>0</v>
      </c>
      <c r="CE112" s="168" t="s">
        <v>265</v>
      </c>
      <c r="CG112" s="55">
        <v>0</v>
      </c>
      <c r="CH112" s="54">
        <v>0</v>
      </c>
      <c r="CI112" s="54">
        <v>0</v>
      </c>
      <c r="CJ112" s="54">
        <v>0</v>
      </c>
      <c r="CK112" s="54">
        <v>0</v>
      </c>
      <c r="CL112" s="54">
        <v>0</v>
      </c>
      <c r="CM112" s="54">
        <v>0</v>
      </c>
      <c r="CN112" s="54">
        <v>0</v>
      </c>
      <c r="CO112" s="54">
        <v>0</v>
      </c>
      <c r="CP112" s="54">
        <v>0</v>
      </c>
      <c r="CQ112" s="126">
        <f t="shared" ref="CQ112:CQ113" si="56">SUM(CG112:CP112)</f>
        <v>0</v>
      </c>
    </row>
    <row r="113" spans="1:95" s="47" customFormat="1" ht="22.5" customHeight="1" x14ac:dyDescent="0.25">
      <c r="A113" s="45">
        <v>95</v>
      </c>
      <c r="B113" s="140" t="s">
        <v>260</v>
      </c>
      <c r="C113" s="176" t="s">
        <v>262</v>
      </c>
      <c r="D113" s="85"/>
      <c r="E113" s="182" t="s">
        <v>266</v>
      </c>
      <c r="F113" s="183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  <c r="AA113" s="183"/>
      <c r="AB113" s="183"/>
      <c r="AC113" s="183"/>
      <c r="AD113" s="183"/>
      <c r="AE113" s="183"/>
      <c r="AF113" s="183"/>
      <c r="AG113" s="183"/>
      <c r="AH113" s="184"/>
      <c r="AI113" s="114"/>
      <c r="AJ113" s="45">
        <v>95</v>
      </c>
      <c r="AK113" s="185"/>
      <c r="AL113" s="186"/>
      <c r="AM113" s="186"/>
      <c r="AN113" s="186"/>
      <c r="AO113" s="186"/>
      <c r="AP113" s="186"/>
      <c r="AQ113" s="186"/>
      <c r="AR113" s="186"/>
      <c r="AS113" s="186"/>
      <c r="AT113" s="186"/>
      <c r="AU113" s="186"/>
      <c r="AV113" s="186"/>
      <c r="AW113" s="186"/>
      <c r="AX113" s="186"/>
      <c r="AY113" s="186"/>
      <c r="AZ113" s="186"/>
      <c r="BA113" s="186"/>
      <c r="BB113" s="186"/>
      <c r="BC113" s="186"/>
      <c r="BD113" s="186"/>
      <c r="BE113" s="186"/>
      <c r="BF113" s="186"/>
      <c r="BG113" s="186"/>
      <c r="BH113" s="186"/>
      <c r="BI113" s="186"/>
      <c r="BJ113" s="186"/>
      <c r="BK113" s="186"/>
      <c r="BL113" s="187"/>
      <c r="BM113" s="134">
        <v>46233.34165509259</v>
      </c>
      <c r="BN113" s="134">
        <v>46233.973240740743</v>
      </c>
      <c r="BO113" s="134">
        <v>46234.568831018521</v>
      </c>
      <c r="BP113" s="137">
        <v>46234.945787037039</v>
      </c>
      <c r="BQ113" s="9">
        <f t="shared" si="42"/>
        <v>2</v>
      </c>
      <c r="BR113" s="68">
        <v>3</v>
      </c>
      <c r="BS113" s="1">
        <f t="shared" si="43"/>
        <v>2</v>
      </c>
      <c r="BT113" s="2">
        <f t="shared" si="44"/>
        <v>0</v>
      </c>
      <c r="BU113" s="2">
        <f t="shared" si="45"/>
        <v>0</v>
      </c>
      <c r="BV113" s="2">
        <f t="shared" si="46"/>
        <v>0</v>
      </c>
      <c r="BW113" s="2">
        <f t="shared" si="47"/>
        <v>0</v>
      </c>
      <c r="BX113" s="2">
        <f t="shared" si="48"/>
        <v>0</v>
      </c>
      <c r="BY113" s="2">
        <f t="shared" si="49"/>
        <v>0</v>
      </c>
      <c r="BZ113" s="2">
        <f t="shared" si="50"/>
        <v>0</v>
      </c>
      <c r="CA113" s="2">
        <f t="shared" si="51"/>
        <v>0</v>
      </c>
      <c r="CB113" s="2">
        <f t="shared" si="52"/>
        <v>0</v>
      </c>
      <c r="CC113" s="2">
        <f t="shared" si="53"/>
        <v>0</v>
      </c>
      <c r="CD113" s="2">
        <f t="shared" si="54"/>
        <v>0</v>
      </c>
      <c r="CE113" s="168" t="s">
        <v>266</v>
      </c>
      <c r="CG113" s="122">
        <v>0</v>
      </c>
      <c r="CH113" s="123">
        <v>0</v>
      </c>
      <c r="CI113" s="123">
        <v>0</v>
      </c>
      <c r="CJ113" s="123">
        <v>0</v>
      </c>
      <c r="CK113" s="123">
        <v>0</v>
      </c>
      <c r="CL113" s="123">
        <v>0</v>
      </c>
      <c r="CM113" s="123">
        <v>0</v>
      </c>
      <c r="CN113" s="123">
        <v>0</v>
      </c>
      <c r="CO113" s="123">
        <v>0</v>
      </c>
      <c r="CP113" s="123">
        <v>0</v>
      </c>
      <c r="CQ113" s="125">
        <f t="shared" si="56"/>
        <v>0</v>
      </c>
    </row>
    <row r="115" spans="1:95" x14ac:dyDescent="0.25">
      <c r="BR115" s="35" t="s">
        <v>72</v>
      </c>
      <c r="BS115" s="36"/>
      <c r="BT115" s="36"/>
      <c r="BU115" s="37" t="s">
        <v>16</v>
      </c>
      <c r="BV115" s="38"/>
      <c r="BW115" s="43" t="s">
        <v>73</v>
      </c>
      <c r="BX115" s="44"/>
      <c r="BY115" s="44"/>
      <c r="BZ115" s="41"/>
      <c r="CA115" s="42" t="s">
        <v>22</v>
      </c>
    </row>
    <row r="116" spans="1:95" ht="15.75" x14ac:dyDescent="0.25">
      <c r="I116" s="16"/>
      <c r="J116" s="17" t="s">
        <v>62</v>
      </c>
      <c r="K116" s="18"/>
      <c r="L116" s="17"/>
      <c r="M116" s="19"/>
      <c r="P116" s="19"/>
      <c r="Q116" s="20"/>
      <c r="R116" s="21"/>
      <c r="S116" s="21"/>
      <c r="T116" s="22" t="s">
        <v>63</v>
      </c>
      <c r="U116" s="22"/>
      <c r="V116" s="20"/>
      <c r="W116" s="20"/>
      <c r="X116" s="20"/>
      <c r="Y116" s="20"/>
      <c r="Z116" s="20" t="s">
        <v>64</v>
      </c>
      <c r="AA116" s="20"/>
      <c r="AB116" s="20"/>
      <c r="AC116" s="20"/>
      <c r="AD116" s="22" t="s">
        <v>65</v>
      </c>
      <c r="AE116" s="20"/>
      <c r="BR116" s="35" t="s">
        <v>74</v>
      </c>
      <c r="BS116" s="36"/>
      <c r="BT116" s="36"/>
      <c r="BU116" s="37" t="s">
        <v>17</v>
      </c>
      <c r="BV116" s="38"/>
      <c r="BW116" s="43" t="s">
        <v>75</v>
      </c>
      <c r="BX116" s="44"/>
      <c r="BY116" s="44"/>
      <c r="BZ116" s="41"/>
      <c r="CA116" s="42" t="s">
        <v>23</v>
      </c>
    </row>
    <row r="117" spans="1:95" ht="17.25" x14ac:dyDescent="0.25">
      <c r="I117" s="23"/>
      <c r="J117" s="19"/>
      <c r="K117" s="19"/>
      <c r="L117" s="19"/>
      <c r="M117" s="19"/>
      <c r="P117" s="19"/>
      <c r="Q117" s="19"/>
      <c r="R117" s="24"/>
      <c r="S117" s="24"/>
      <c r="T117" s="24"/>
      <c r="U117" s="19"/>
      <c r="V117" s="19"/>
      <c r="W117" s="19"/>
      <c r="X117" s="25"/>
      <c r="Y117" s="25"/>
      <c r="Z117" s="25"/>
      <c r="AA117" s="25"/>
      <c r="AB117" s="25"/>
      <c r="AC117" s="25"/>
      <c r="AD117" s="26"/>
      <c r="AE117" s="26"/>
      <c r="BR117" s="35" t="s">
        <v>76</v>
      </c>
      <c r="BS117" s="36"/>
      <c r="BT117" s="36"/>
      <c r="BU117" s="37" t="s">
        <v>18</v>
      </c>
      <c r="BV117" s="38"/>
      <c r="BW117" s="39" t="s">
        <v>77</v>
      </c>
      <c r="BX117" s="40"/>
      <c r="BY117" s="40"/>
      <c r="BZ117" s="41"/>
      <c r="CA117" s="42" t="s">
        <v>24</v>
      </c>
    </row>
    <row r="118" spans="1:95" ht="17.25" x14ac:dyDescent="0.25">
      <c r="I118" s="23"/>
      <c r="J118" s="27"/>
      <c r="K118" s="19"/>
      <c r="L118" s="27"/>
      <c r="M118" s="19"/>
      <c r="P118" s="19"/>
      <c r="Q118" s="27" t="s">
        <v>64</v>
      </c>
      <c r="R118" s="28"/>
      <c r="S118" s="28"/>
      <c r="T118" s="24"/>
      <c r="U118" s="19"/>
      <c r="V118" s="27"/>
      <c r="W118" s="27"/>
      <c r="X118" s="20"/>
      <c r="Y118" s="19"/>
      <c r="Z118" s="19"/>
      <c r="AA118" s="19"/>
      <c r="AB118" s="19"/>
      <c r="AC118" s="19"/>
      <c r="AD118" s="29"/>
      <c r="AE118" s="29"/>
      <c r="BR118" s="35" t="s">
        <v>78</v>
      </c>
      <c r="BS118" s="36"/>
      <c r="BT118" s="36"/>
      <c r="BU118" s="37" t="s">
        <v>19</v>
      </c>
      <c r="BV118" s="38"/>
      <c r="BW118" s="39" t="s">
        <v>79</v>
      </c>
      <c r="BX118" s="40"/>
      <c r="BY118" s="40"/>
      <c r="BZ118" s="41"/>
      <c r="CA118" s="42" t="s">
        <v>25</v>
      </c>
    </row>
    <row r="119" spans="1:95" ht="17.25" x14ac:dyDescent="0.25">
      <c r="I119" s="30"/>
      <c r="J119" s="27"/>
      <c r="K119" s="19"/>
      <c r="L119" s="27"/>
      <c r="M119" s="19"/>
      <c r="P119" s="19"/>
      <c r="Q119" s="27"/>
      <c r="R119" s="28"/>
      <c r="S119" s="28"/>
      <c r="T119" s="24"/>
      <c r="U119" s="20"/>
      <c r="V119" s="27"/>
      <c r="W119" s="27"/>
      <c r="X119" s="20"/>
      <c r="Y119" s="19"/>
      <c r="Z119" s="19"/>
      <c r="AA119" s="19"/>
      <c r="AB119" s="19"/>
      <c r="AC119" s="19"/>
      <c r="AD119" s="29"/>
      <c r="AE119" s="29"/>
      <c r="BR119" s="35" t="s">
        <v>80</v>
      </c>
      <c r="BS119" s="36"/>
      <c r="BT119" s="36"/>
      <c r="BU119" s="37" t="s">
        <v>20</v>
      </c>
      <c r="BV119" s="38"/>
      <c r="BW119" s="38"/>
      <c r="BX119" s="38"/>
      <c r="BY119" s="38"/>
      <c r="BZ119" s="38"/>
      <c r="CA119" s="38"/>
    </row>
    <row r="120" spans="1:95" ht="17.25" x14ac:dyDescent="0.25">
      <c r="I120" s="31"/>
      <c r="J120" s="32"/>
      <c r="K120" s="16"/>
      <c r="L120" s="31"/>
      <c r="M120" s="19"/>
      <c r="P120" s="19"/>
      <c r="Q120" s="27"/>
      <c r="R120" s="24"/>
      <c r="S120" s="28"/>
      <c r="T120" s="18" t="s">
        <v>67</v>
      </c>
      <c r="U120" s="19"/>
      <c r="V120" s="27"/>
      <c r="W120" s="20"/>
      <c r="X120" s="19"/>
      <c r="Y120" s="19"/>
      <c r="Z120" s="19"/>
      <c r="AA120" s="19"/>
      <c r="AB120" s="19"/>
      <c r="AC120" s="19"/>
      <c r="AD120" s="18" t="s">
        <v>68</v>
      </c>
      <c r="AE120" s="29"/>
    </row>
    <row r="121" spans="1:95" ht="17.25" x14ac:dyDescent="0.25">
      <c r="I121" s="31"/>
      <c r="J121" s="31" t="s">
        <v>69</v>
      </c>
      <c r="K121" s="30"/>
      <c r="L121" s="30"/>
      <c r="M121" s="19"/>
      <c r="P121" s="19"/>
      <c r="Q121" s="18"/>
      <c r="R121" s="33"/>
      <c r="S121" s="33"/>
      <c r="T121" s="18" t="s">
        <v>70</v>
      </c>
      <c r="U121" s="18"/>
      <c r="V121" s="18"/>
      <c r="W121" s="20"/>
      <c r="X121" s="18"/>
      <c r="Y121" s="19"/>
      <c r="Z121" s="19"/>
      <c r="AA121" s="19"/>
      <c r="AB121" s="19"/>
      <c r="AC121" s="19"/>
      <c r="AD121" s="18" t="s">
        <v>71</v>
      </c>
      <c r="AE121" s="29"/>
      <c r="AJ121" s="66"/>
    </row>
    <row r="122" spans="1:95" x14ac:dyDescent="0.25">
      <c r="AJ122" s="66"/>
    </row>
    <row r="123" spans="1:95" x14ac:dyDescent="0.25">
      <c r="AJ123" s="66"/>
    </row>
    <row r="124" spans="1:95" x14ac:dyDescent="0.25">
      <c r="AJ124" s="66"/>
    </row>
    <row r="127" spans="1:95" ht="15.75" x14ac:dyDescent="0.25">
      <c r="CG127" s="54">
        <v>0</v>
      </c>
      <c r="CH127" s="54">
        <v>0</v>
      </c>
      <c r="CI127" s="54">
        <v>0</v>
      </c>
      <c r="CJ127" s="54">
        <v>0</v>
      </c>
      <c r="CK127" s="54">
        <v>0</v>
      </c>
      <c r="CL127" s="54">
        <v>0</v>
      </c>
      <c r="CM127" s="54">
        <v>0</v>
      </c>
      <c r="CN127" s="54">
        <v>0</v>
      </c>
      <c r="CO127" s="54">
        <v>0</v>
      </c>
      <c r="CP127" s="54">
        <v>0</v>
      </c>
      <c r="CQ127" s="56">
        <f>SUM(CG127:CP127)</f>
        <v>0</v>
      </c>
    </row>
    <row r="128" spans="1:95" ht="15.75" x14ac:dyDescent="0.25">
      <c r="BT128" s="38"/>
      <c r="BU128" s="38"/>
      <c r="BV128" s="38"/>
      <c r="BW128" s="38"/>
      <c r="BX128" s="38"/>
      <c r="BY128" s="38"/>
      <c r="BZ128" s="38"/>
      <c r="CA128" s="38"/>
      <c r="CB128" s="38"/>
      <c r="CC128" s="38"/>
      <c r="CG128" s="54">
        <v>0</v>
      </c>
      <c r="CH128" s="54">
        <v>0</v>
      </c>
      <c r="CI128" s="54">
        <v>60</v>
      </c>
      <c r="CJ128" s="54">
        <v>0</v>
      </c>
      <c r="CK128" s="54">
        <v>0</v>
      </c>
      <c r="CL128" s="54">
        <v>0</v>
      </c>
      <c r="CM128" s="54">
        <v>0</v>
      </c>
      <c r="CN128" s="54">
        <v>0</v>
      </c>
      <c r="CO128" s="54">
        <v>11</v>
      </c>
      <c r="CP128" s="54">
        <v>0</v>
      </c>
      <c r="CQ128" s="56">
        <f>SUM(CG128:CP128)</f>
        <v>71</v>
      </c>
    </row>
    <row r="129" spans="1:95" ht="15.75" x14ac:dyDescent="0.25">
      <c r="CG129" s="54">
        <v>0</v>
      </c>
      <c r="CH129" s="54">
        <v>0</v>
      </c>
      <c r="CI129" s="54">
        <v>0</v>
      </c>
      <c r="CJ129" s="54">
        <v>0</v>
      </c>
      <c r="CK129" s="54">
        <v>0</v>
      </c>
      <c r="CL129" s="55">
        <v>7</v>
      </c>
      <c r="CM129" s="55">
        <v>0</v>
      </c>
      <c r="CN129" s="55">
        <v>0</v>
      </c>
      <c r="CO129" s="54">
        <v>0</v>
      </c>
      <c r="CP129" s="54">
        <v>0</v>
      </c>
      <c r="CQ129" s="56">
        <f>SUM(CG129:CP129)</f>
        <v>7</v>
      </c>
    </row>
    <row r="132" spans="1:95" ht="15.75" x14ac:dyDescent="0.25">
      <c r="CG132" s="54">
        <v>0</v>
      </c>
      <c r="CH132" s="54">
        <v>0</v>
      </c>
      <c r="CI132" s="54">
        <v>0</v>
      </c>
      <c r="CJ132" s="54">
        <v>0</v>
      </c>
      <c r="CK132" s="54">
        <v>0</v>
      </c>
      <c r="CL132" s="54">
        <v>0</v>
      </c>
      <c r="CM132" s="55">
        <v>0</v>
      </c>
      <c r="CN132" s="55">
        <v>0</v>
      </c>
      <c r="CO132" s="54">
        <v>0</v>
      </c>
      <c r="CP132" s="54">
        <v>0</v>
      </c>
      <c r="CQ132" s="56">
        <f t="shared" ref="CQ132:CQ137" si="57">SUM(CG132:CP132)</f>
        <v>0</v>
      </c>
    </row>
    <row r="133" spans="1:95" ht="15.75" x14ac:dyDescent="0.25">
      <c r="CG133" s="54">
        <v>0</v>
      </c>
      <c r="CH133" s="54">
        <v>0</v>
      </c>
      <c r="CI133" s="54">
        <v>0</v>
      </c>
      <c r="CJ133" s="54">
        <v>0</v>
      </c>
      <c r="CK133" s="54">
        <v>0</v>
      </c>
      <c r="CL133" s="54">
        <v>1</v>
      </c>
      <c r="CM133" s="54">
        <v>0</v>
      </c>
      <c r="CN133" s="54">
        <v>0</v>
      </c>
      <c r="CO133" s="54">
        <v>0</v>
      </c>
      <c r="CP133" s="54">
        <v>0</v>
      </c>
      <c r="CQ133" s="56">
        <f t="shared" si="57"/>
        <v>1</v>
      </c>
    </row>
    <row r="134" spans="1:95" ht="15.75" x14ac:dyDescent="0.25">
      <c r="CG134" s="54">
        <v>0</v>
      </c>
      <c r="CH134" s="54">
        <v>0</v>
      </c>
      <c r="CI134" s="54">
        <v>0</v>
      </c>
      <c r="CJ134" s="54">
        <v>0</v>
      </c>
      <c r="CK134" s="54">
        <v>1</v>
      </c>
      <c r="CL134" s="55">
        <v>7</v>
      </c>
      <c r="CM134" s="55">
        <v>1</v>
      </c>
      <c r="CN134" s="54">
        <v>0</v>
      </c>
      <c r="CO134" s="54">
        <v>0</v>
      </c>
      <c r="CP134" s="54">
        <v>0</v>
      </c>
      <c r="CQ134" s="56">
        <f t="shared" si="57"/>
        <v>9</v>
      </c>
    </row>
    <row r="135" spans="1:95" ht="15.75" x14ac:dyDescent="0.25">
      <c r="CG135" s="54">
        <v>0</v>
      </c>
      <c r="CH135" s="54">
        <v>0</v>
      </c>
      <c r="CI135" s="54">
        <v>0</v>
      </c>
      <c r="CJ135" s="54">
        <v>0</v>
      </c>
      <c r="CK135" s="54">
        <v>0</v>
      </c>
      <c r="CL135" s="55">
        <v>1</v>
      </c>
      <c r="CM135" s="54">
        <v>0</v>
      </c>
      <c r="CN135" s="54">
        <v>0</v>
      </c>
      <c r="CO135" s="54">
        <v>0</v>
      </c>
      <c r="CP135" s="54">
        <v>0</v>
      </c>
      <c r="CQ135" s="56">
        <f t="shared" si="57"/>
        <v>1</v>
      </c>
    </row>
    <row r="136" spans="1:95" ht="24.75" customHeight="1" x14ac:dyDescent="0.25"/>
    <row r="137" spans="1:95" ht="15.75" x14ac:dyDescent="0.25">
      <c r="AH137" s="117">
        <v>0.94930555555555551</v>
      </c>
      <c r="AI137" s="107"/>
      <c r="CG137" s="54">
        <v>0</v>
      </c>
      <c r="CH137" s="54">
        <v>0</v>
      </c>
      <c r="CI137" s="54">
        <v>0</v>
      </c>
      <c r="CJ137" s="54">
        <v>0</v>
      </c>
      <c r="CK137" s="54">
        <v>0</v>
      </c>
      <c r="CL137" s="54">
        <v>0</v>
      </c>
      <c r="CM137" s="54">
        <v>0</v>
      </c>
      <c r="CN137" s="54">
        <v>0</v>
      </c>
      <c r="CO137" s="54">
        <v>0</v>
      </c>
      <c r="CP137" s="54">
        <v>0</v>
      </c>
      <c r="CQ137" s="56">
        <f t="shared" si="57"/>
        <v>0</v>
      </c>
    </row>
    <row r="138" spans="1:95" ht="15.75" x14ac:dyDescent="0.25">
      <c r="A138" s="45">
        <v>27</v>
      </c>
      <c r="B138" s="11" t="s">
        <v>83</v>
      </c>
      <c r="C138" s="8" t="s">
        <v>84</v>
      </c>
      <c r="D138" s="85">
        <v>39855</v>
      </c>
      <c r="E138" s="65">
        <v>0.35486111111111113</v>
      </c>
      <c r="F138" s="65">
        <v>0.94097222222222221</v>
      </c>
      <c r="G138" s="65">
        <v>0.35069444444444442</v>
      </c>
      <c r="H138" s="65">
        <v>0.97222222222222221</v>
      </c>
      <c r="I138" s="91" t="s">
        <v>15</v>
      </c>
      <c r="J138" s="91" t="s">
        <v>15</v>
      </c>
      <c r="K138" s="65">
        <v>0.34861111111111115</v>
      </c>
      <c r="L138" s="65">
        <v>0.97013888888888899</v>
      </c>
      <c r="M138" s="65">
        <v>0.3576388888888889</v>
      </c>
      <c r="N138" s="65">
        <v>0.95138888888888884</v>
      </c>
      <c r="O138" s="65">
        <v>0.35347222222222219</v>
      </c>
      <c r="P138" s="65">
        <v>0.94513888888888886</v>
      </c>
      <c r="Q138" s="65">
        <v>0.34861111111111115</v>
      </c>
      <c r="R138" s="65">
        <v>0.93958333333333333</v>
      </c>
      <c r="S138" s="65">
        <v>0.3520833333333333</v>
      </c>
      <c r="T138" s="65">
        <v>0.94513888888888886</v>
      </c>
      <c r="U138" s="65">
        <v>0.35000000000000003</v>
      </c>
      <c r="V138" s="65">
        <v>0.97777777777777775</v>
      </c>
      <c r="W138" s="98">
        <v>0.57986111111111105</v>
      </c>
      <c r="X138" s="98">
        <v>0.95763888888888893</v>
      </c>
      <c r="Y138" s="65">
        <v>0.35069444444444442</v>
      </c>
      <c r="Z138" s="65">
        <v>0.96388888888888891</v>
      </c>
      <c r="AA138" s="65">
        <v>0.34722222222222227</v>
      </c>
      <c r="AB138" s="65">
        <v>0.95277777777777783</v>
      </c>
      <c r="AC138" s="65">
        <v>0.35000000000000003</v>
      </c>
      <c r="AD138" s="65">
        <v>0.94374999999999998</v>
      </c>
      <c r="AE138" s="65">
        <v>0.35000000000000003</v>
      </c>
      <c r="AF138" s="65">
        <v>0.94513888888888886</v>
      </c>
      <c r="AG138" s="65">
        <v>0.3527777777777778</v>
      </c>
      <c r="AH138" s="65">
        <v>0.95000000000000007</v>
      </c>
      <c r="AI138" s="114"/>
      <c r="AJ138" s="45">
        <v>26</v>
      </c>
      <c r="AK138" s="65"/>
      <c r="AL138" s="65"/>
      <c r="AM138" s="65"/>
      <c r="AN138" s="65"/>
      <c r="AO138" s="65"/>
      <c r="AP138" s="65"/>
      <c r="AQ138" s="91"/>
      <c r="AR138" s="100"/>
      <c r="AS138" s="65"/>
      <c r="AT138" s="65"/>
      <c r="AU138" s="65"/>
      <c r="AV138" s="65"/>
      <c r="AW138" s="65"/>
      <c r="AX138" s="65"/>
      <c r="AY138" s="65"/>
      <c r="AZ138" s="65"/>
      <c r="BA138" s="65"/>
      <c r="BB138" s="65"/>
      <c r="BC138" s="65"/>
      <c r="BD138" s="65"/>
      <c r="BE138" s="98"/>
      <c r="BF138" s="98"/>
      <c r="BG138" s="65"/>
      <c r="BH138" s="65"/>
      <c r="BI138" s="65"/>
      <c r="BJ138" s="65"/>
      <c r="BK138" s="65"/>
      <c r="BL138" s="65"/>
      <c r="BM138" s="65"/>
      <c r="BN138" s="65"/>
      <c r="BO138" s="65"/>
      <c r="BP138" s="65"/>
      <c r="BQ138" s="97">
        <f>BS138+BT138+BV138+CA138+BY138+BZ138+CD138+BU138</f>
        <v>15</v>
      </c>
      <c r="BR138" s="68"/>
      <c r="BS138" s="1">
        <f>COUNT(E138:AH138)/2+COUNT(AK138:BN138)/2</f>
        <v>14</v>
      </c>
      <c r="BT138" s="2">
        <f>COUNTIF(E138:BN138,"OFF")/2</f>
        <v>1</v>
      </c>
      <c r="BU138" s="2">
        <f>COUNTIF(E138:BN138,"MC")/2</f>
        <v>0</v>
      </c>
      <c r="BV138" s="2">
        <f>COUNTIF(E138:BN138,"EL")/2</f>
        <v>0</v>
      </c>
      <c r="BW138" s="2">
        <f>COUNTIF(E138:BN138,"AL")/2</f>
        <v>0</v>
      </c>
      <c r="BX138" s="2">
        <f>COUNTIF(E138:BN138,"SUS")/2</f>
        <v>0</v>
      </c>
      <c r="BY138" s="2">
        <f>COUNTIF(E138:BN138,"FL")/2</f>
        <v>0</v>
      </c>
      <c r="BZ138" s="2">
        <f>COUNTIF(E138:BN138,"SICK")/2</f>
        <v>0</v>
      </c>
      <c r="CA138" s="2">
        <f>COUNTIF(E138:BN138,"HD")/2</f>
        <v>0</v>
      </c>
      <c r="CB138" s="2">
        <f>COUNTIF(E138:BN138,"AB")/2</f>
        <v>0</v>
      </c>
      <c r="CC138" s="2">
        <f>COUNTIF(E138:BN138,"NL")/2</f>
        <v>0</v>
      </c>
      <c r="CD138" s="2">
        <f>COUNTIF(E138:BN138,"SP")/2</f>
        <v>0</v>
      </c>
      <c r="CE138" s="131"/>
      <c r="CG138" s="55">
        <v>0</v>
      </c>
      <c r="CH138" s="54">
        <v>0</v>
      </c>
      <c r="CI138" s="54">
        <v>0</v>
      </c>
      <c r="CJ138" s="54">
        <v>0</v>
      </c>
      <c r="CK138" s="54">
        <v>0</v>
      </c>
      <c r="CL138" s="55">
        <v>2</v>
      </c>
      <c r="CM138" s="54">
        <v>0</v>
      </c>
      <c r="CN138" s="54">
        <v>0</v>
      </c>
      <c r="CO138" s="54">
        <v>0</v>
      </c>
      <c r="CP138" s="54">
        <v>0</v>
      </c>
      <c r="CQ138" s="45">
        <f>SUM(CG138:CP138)</f>
        <v>2</v>
      </c>
    </row>
    <row r="140" spans="1:95" ht="21.75" customHeight="1" x14ac:dyDescent="0.25">
      <c r="A140" s="45">
        <v>46</v>
      </c>
      <c r="B140" s="11" t="s">
        <v>122</v>
      </c>
      <c r="C140" s="8" t="s">
        <v>123</v>
      </c>
      <c r="D140" s="85">
        <v>45401</v>
      </c>
      <c r="E140" s="65">
        <v>0.3527777777777778</v>
      </c>
      <c r="F140" s="65">
        <v>0.97430555555555554</v>
      </c>
      <c r="G140" s="65">
        <v>0.35416666666666669</v>
      </c>
      <c r="H140" s="65">
        <v>0.99236111111111114</v>
      </c>
      <c r="I140" s="91" t="s">
        <v>15</v>
      </c>
      <c r="J140" s="91" t="s">
        <v>15</v>
      </c>
      <c r="K140" s="65">
        <v>0.35416666666666669</v>
      </c>
      <c r="L140" s="65">
        <v>0.94930555555555562</v>
      </c>
      <c r="M140" s="65">
        <v>0.35486111111111113</v>
      </c>
      <c r="N140" s="65">
        <v>0.9590277777777777</v>
      </c>
      <c r="O140" s="65">
        <v>0.35000000000000003</v>
      </c>
      <c r="P140" s="65">
        <v>0.96111111111111114</v>
      </c>
      <c r="Q140" s="65">
        <v>0.35555555555555557</v>
      </c>
      <c r="R140" s="69">
        <v>1</v>
      </c>
      <c r="S140" s="65">
        <v>0.35416666666666669</v>
      </c>
      <c r="T140" s="65">
        <v>0.9868055555555556</v>
      </c>
      <c r="U140" s="65">
        <v>0.3527777777777778</v>
      </c>
      <c r="V140" s="65">
        <v>0.98263888888888884</v>
      </c>
      <c r="W140" s="98">
        <v>0.58263888888888882</v>
      </c>
      <c r="X140" s="98">
        <v>0.96319444444444446</v>
      </c>
      <c r="Y140" s="65">
        <v>0.35347222222222219</v>
      </c>
      <c r="Z140" s="65">
        <v>0.9458333333333333</v>
      </c>
      <c r="AA140" s="65">
        <v>0.34722222222222227</v>
      </c>
      <c r="AB140" s="65">
        <v>0.97291666666666676</v>
      </c>
      <c r="AC140" s="65">
        <v>0.35347222222222219</v>
      </c>
      <c r="AD140" s="65">
        <v>0.93055555555555547</v>
      </c>
      <c r="AE140" s="65">
        <v>0.3527777777777778</v>
      </c>
      <c r="AF140" s="65">
        <v>0.96250000000000002</v>
      </c>
      <c r="AG140" s="65">
        <v>0.35347222222222219</v>
      </c>
      <c r="AH140" s="65">
        <v>0.97499999999999998</v>
      </c>
      <c r="AI140" s="106"/>
      <c r="AJ140" s="45">
        <v>44</v>
      </c>
      <c r="AK140" s="65"/>
      <c r="AL140" s="65"/>
      <c r="AM140" s="65"/>
      <c r="AN140" s="65"/>
      <c r="AO140" s="65"/>
      <c r="AP140" s="65"/>
      <c r="AQ140" s="91"/>
      <c r="AR140" s="100"/>
      <c r="AS140" s="65"/>
      <c r="AT140" s="65"/>
      <c r="AU140" s="65"/>
      <c r="AV140" s="65"/>
      <c r="AW140" s="65"/>
      <c r="AX140" s="65"/>
      <c r="AY140" s="65"/>
      <c r="AZ140" s="65"/>
      <c r="BA140" s="65"/>
      <c r="BB140" s="65"/>
      <c r="BC140" s="65"/>
      <c r="BD140" s="65"/>
      <c r="BE140" s="98"/>
      <c r="BF140" s="98"/>
      <c r="BG140" s="65"/>
      <c r="BH140" s="65"/>
      <c r="BI140" s="65"/>
      <c r="BJ140" s="65"/>
      <c r="BK140" s="65"/>
      <c r="BL140" s="65"/>
      <c r="BM140" s="65"/>
      <c r="BN140" s="65"/>
      <c r="BO140" s="65"/>
      <c r="BP140" s="65"/>
      <c r="BQ140" s="97">
        <f>BS140+BT140+BV140+CA140+BY140+BZ140+CD140+BU140</f>
        <v>15</v>
      </c>
      <c r="BR140" s="68"/>
      <c r="BS140" s="1">
        <f>COUNT(E140:AH140)/2+COUNT(AK140:BN140)/2</f>
        <v>14</v>
      </c>
      <c r="BT140" s="2">
        <f>COUNTIF(E140:BN140,"OFF")/2</f>
        <v>1</v>
      </c>
      <c r="BU140" s="2">
        <f>COUNTIF(E140:BN140,"MC")/2</f>
        <v>0</v>
      </c>
      <c r="BV140" s="2">
        <f>COUNTIF(E140:BN140,"EL")/2</f>
        <v>0</v>
      </c>
      <c r="BW140" s="2">
        <f>COUNTIF(E140:BN140,"AL")/2</f>
        <v>0</v>
      </c>
      <c r="BX140" s="2">
        <f>COUNTIF(E140:BN140,"SUS")/2</f>
        <v>0</v>
      </c>
      <c r="BY140" s="2">
        <f>COUNTIF(E140:BN140,"FL")/2</f>
        <v>0</v>
      </c>
      <c r="BZ140" s="2">
        <f>COUNTIF(E140:BN140,"SICK")/2</f>
        <v>0</v>
      </c>
      <c r="CA140" s="2">
        <f>COUNTIF(E140:BN140,"HD")/2</f>
        <v>0</v>
      </c>
      <c r="CB140" s="2">
        <f>COUNTIF(E140:BN140,"AB")/2</f>
        <v>0</v>
      </c>
      <c r="CC140" s="2">
        <f>COUNTIF(E140:BN140,"NL")/2</f>
        <v>0</v>
      </c>
      <c r="CD140" s="2">
        <f>COUNTIF(E140:BN140,"SP")/2</f>
        <v>0</v>
      </c>
      <c r="CE140" s="131"/>
      <c r="CG140" s="122">
        <v>0</v>
      </c>
      <c r="CH140" s="123">
        <v>0</v>
      </c>
      <c r="CI140" s="123">
        <v>0</v>
      </c>
      <c r="CJ140" s="123">
        <v>0</v>
      </c>
      <c r="CK140" s="123">
        <v>0</v>
      </c>
      <c r="CL140" s="122">
        <v>1</v>
      </c>
      <c r="CM140" s="122">
        <v>1</v>
      </c>
      <c r="CN140" s="123">
        <v>0</v>
      </c>
      <c r="CO140" s="123">
        <v>0</v>
      </c>
      <c r="CP140" s="123">
        <v>0</v>
      </c>
      <c r="CQ140" s="125">
        <f>SUM(CG140:CP140)</f>
        <v>2</v>
      </c>
    </row>
    <row r="142" spans="1:95" ht="21.75" customHeight="1" x14ac:dyDescent="0.25">
      <c r="A142" s="45">
        <v>42</v>
      </c>
      <c r="B142" s="11" t="s">
        <v>116</v>
      </c>
      <c r="C142" s="8" t="s">
        <v>230</v>
      </c>
      <c r="D142" s="85">
        <v>45330</v>
      </c>
      <c r="E142" s="91" t="s">
        <v>15</v>
      </c>
      <c r="F142" s="91" t="s">
        <v>15</v>
      </c>
      <c r="G142" s="74">
        <v>0.35416666666666669</v>
      </c>
      <c r="H142" s="74">
        <v>0.96736111111111101</v>
      </c>
      <c r="I142" s="74">
        <v>0.3527777777777778</v>
      </c>
      <c r="J142" s="74">
        <v>0.9291666666666667</v>
      </c>
      <c r="K142" s="74">
        <v>0.35972222222222222</v>
      </c>
      <c r="L142" s="74">
        <v>0.9604166666666667</v>
      </c>
      <c r="M142" s="74">
        <v>0.35625000000000001</v>
      </c>
      <c r="N142" s="74">
        <v>0.94513888888888886</v>
      </c>
      <c r="O142" s="74">
        <v>0.3527777777777778</v>
      </c>
      <c r="P142" s="74">
        <v>0.96527777777777779</v>
      </c>
      <c r="Q142" s="74">
        <v>0.35000000000000003</v>
      </c>
      <c r="R142" s="74">
        <v>0.96944444444444444</v>
      </c>
      <c r="S142" s="74">
        <v>0.5805555555555556</v>
      </c>
      <c r="T142" s="74">
        <v>0.93194444444444446</v>
      </c>
      <c r="U142" s="74">
        <v>0.34930555555555554</v>
      </c>
      <c r="V142" s="74">
        <v>0.94027777777777777</v>
      </c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116"/>
      <c r="AI142" s="105"/>
      <c r="AJ142" s="120">
        <v>42</v>
      </c>
      <c r="AK142" s="74"/>
      <c r="AL142" s="74"/>
      <c r="AM142" s="76"/>
      <c r="AN142" s="76"/>
      <c r="AO142" s="74"/>
      <c r="AP142" s="74"/>
      <c r="AQ142" s="74"/>
      <c r="AR142" s="74"/>
      <c r="AS142" s="74"/>
      <c r="AT142" s="74"/>
      <c r="AU142" s="74"/>
      <c r="AV142" s="74"/>
      <c r="AW142" s="74"/>
      <c r="AX142" s="74"/>
      <c r="AY142" s="74"/>
      <c r="AZ142" s="74"/>
      <c r="BA142" s="74"/>
      <c r="BB142" s="74"/>
      <c r="BC142" s="74"/>
      <c r="BD142" s="74"/>
      <c r="BE142" s="74"/>
      <c r="BF142" s="74"/>
      <c r="BG142" s="74"/>
      <c r="BH142" s="74"/>
      <c r="BI142" s="74"/>
      <c r="BJ142" s="74"/>
      <c r="BK142" s="74"/>
      <c r="BL142" s="74"/>
      <c r="BM142" s="74"/>
      <c r="BN142" s="74"/>
      <c r="BO142" s="132"/>
      <c r="BP142" s="132"/>
      <c r="BQ142" s="9">
        <f t="shared" ref="BQ142:BQ146" si="58">BS142+BT142+BV142+BW142+CA142+BY142+BZ142+CD142</f>
        <v>9</v>
      </c>
      <c r="BR142" s="68"/>
      <c r="BS142" s="1">
        <f>COUNT(E142:AH142)/2+COUNT(AK142:BN142)/2</f>
        <v>8</v>
      </c>
      <c r="BT142" s="2">
        <f t="shared" ref="BT142:BT146" si="59">COUNTIF(E142:BN142,"OFF")/2</f>
        <v>1</v>
      </c>
      <c r="BU142" s="2">
        <f t="shared" ref="BU142:BU146" si="60">COUNTIF(E142:BN142,"MC")/2</f>
        <v>0</v>
      </c>
      <c r="BV142" s="2">
        <f t="shared" ref="BV142:BV146" si="61">COUNTIF(E142:BN142,"EL")/2</f>
        <v>0</v>
      </c>
      <c r="BW142" s="2">
        <f t="shared" ref="BW142:BW146" si="62">COUNTIF(E142:BN142,"AL")/2</f>
        <v>0</v>
      </c>
      <c r="BX142" s="2">
        <f t="shared" ref="BX142:BX146" si="63">COUNTIF(E142:BN142,"SUS")/2</f>
        <v>0</v>
      </c>
      <c r="BY142" s="2">
        <f t="shared" ref="BY142:BY146" si="64">COUNTIF(E142:BN142,"FL")/2</f>
        <v>0</v>
      </c>
      <c r="BZ142" s="2">
        <f t="shared" ref="BZ142:BZ146" si="65">COUNTIF(E142:BN142,"SICK")/2</f>
        <v>0</v>
      </c>
      <c r="CA142" s="2">
        <f t="shared" ref="CA142:CA146" si="66">COUNTIF(E142:BN142,"HD")/2</f>
        <v>0</v>
      </c>
      <c r="CB142" s="2">
        <f t="shared" ref="CB142:CB146" si="67">COUNTIF(E142:BN142,"AB")/2</f>
        <v>0</v>
      </c>
      <c r="CC142" s="2">
        <f t="shared" ref="CC142:CC146" si="68">COUNTIF(E142:BN142,"NL")/2</f>
        <v>0</v>
      </c>
      <c r="CD142" s="2">
        <f t="shared" ref="CD142:CD146" si="69">COUNTIF(E142:BN142,"SP")/2</f>
        <v>0</v>
      </c>
      <c r="CE142" s="131"/>
      <c r="CG142" s="54">
        <v>0</v>
      </c>
      <c r="CH142" s="54">
        <v>0</v>
      </c>
      <c r="CI142" s="54">
        <v>0</v>
      </c>
      <c r="CJ142" s="54">
        <v>0</v>
      </c>
      <c r="CK142" s="54">
        <v>0</v>
      </c>
      <c r="CL142" s="54">
        <v>0</v>
      </c>
      <c r="CM142" s="55">
        <v>0</v>
      </c>
      <c r="CN142" s="55">
        <v>0</v>
      </c>
      <c r="CO142" s="54">
        <v>0</v>
      </c>
      <c r="CP142" s="54">
        <v>0</v>
      </c>
      <c r="CQ142" s="56">
        <f>SUM(CG142:CP142)</f>
        <v>0</v>
      </c>
    </row>
    <row r="143" spans="1:95" ht="21.75" customHeight="1" x14ac:dyDescent="0.25">
      <c r="A143" s="45">
        <v>33</v>
      </c>
      <c r="B143" s="11" t="s">
        <v>99</v>
      </c>
      <c r="C143" s="8" t="s">
        <v>100</v>
      </c>
      <c r="D143" s="85">
        <v>44485</v>
      </c>
      <c r="E143" s="91" t="s">
        <v>15</v>
      </c>
      <c r="F143" s="91" t="s">
        <v>15</v>
      </c>
      <c r="G143" s="74">
        <v>0.3520833333333333</v>
      </c>
      <c r="H143" s="74">
        <v>0.95833333333333337</v>
      </c>
      <c r="I143" s="74">
        <v>0.3520833333333333</v>
      </c>
      <c r="J143" s="74">
        <v>0.93958333333333333</v>
      </c>
      <c r="K143" s="74">
        <v>0.35486111111111113</v>
      </c>
      <c r="L143" s="74">
        <v>0.95624999999999993</v>
      </c>
      <c r="M143" s="74">
        <v>0.35694444444444445</v>
      </c>
      <c r="N143" s="74">
        <v>0.94166666666666676</v>
      </c>
      <c r="O143" s="74">
        <v>0.36319444444444443</v>
      </c>
      <c r="P143" s="74">
        <v>0.95972222222222225</v>
      </c>
      <c r="Q143" s="74">
        <v>0.35347222222222219</v>
      </c>
      <c r="R143" s="74">
        <v>0.98541666666666661</v>
      </c>
      <c r="S143" s="92">
        <v>0.58402777777777781</v>
      </c>
      <c r="T143" s="92">
        <v>0.94444444444444453</v>
      </c>
      <c r="U143" s="74">
        <v>0.3520833333333333</v>
      </c>
      <c r="V143" s="74">
        <v>0.9555555555555556</v>
      </c>
      <c r="W143" s="74">
        <v>0.35416666666666669</v>
      </c>
      <c r="X143" s="74">
        <v>0.94374999999999998</v>
      </c>
      <c r="Y143" s="74">
        <v>0.3527777777777778</v>
      </c>
      <c r="Z143" s="74">
        <v>0.94166666666666676</v>
      </c>
      <c r="AA143" s="74">
        <v>0.35625000000000001</v>
      </c>
      <c r="AB143" s="74">
        <v>0.93958333333333333</v>
      </c>
      <c r="AC143" s="74">
        <v>0.3527777777777778</v>
      </c>
      <c r="AD143" s="74">
        <v>0.93888888888888899</v>
      </c>
      <c r="AE143" s="74">
        <v>0.35069444444444442</v>
      </c>
      <c r="AF143" s="74">
        <v>0.96180555555555547</v>
      </c>
      <c r="AG143" s="74">
        <v>0.58263888888888882</v>
      </c>
      <c r="AH143" s="116">
        <v>0.94027777777777777</v>
      </c>
      <c r="AI143" s="105"/>
      <c r="AJ143" s="120">
        <v>33</v>
      </c>
      <c r="AK143" s="76">
        <v>1</v>
      </c>
      <c r="AL143" s="76">
        <v>1</v>
      </c>
      <c r="AM143" s="76">
        <v>1</v>
      </c>
      <c r="AN143" s="76">
        <v>1</v>
      </c>
      <c r="AO143" s="74"/>
      <c r="AP143" s="74"/>
      <c r="AQ143" s="74"/>
      <c r="AR143" s="74"/>
      <c r="AS143" s="74"/>
      <c r="AT143" s="74"/>
      <c r="AU143" s="74"/>
      <c r="AV143" s="74"/>
      <c r="AW143" s="74"/>
      <c r="AX143" s="74"/>
      <c r="AY143" s="74"/>
      <c r="AZ143" s="74"/>
      <c r="BA143" s="74"/>
      <c r="BB143" s="74"/>
      <c r="BC143" s="74"/>
      <c r="BD143" s="74"/>
      <c r="BE143" s="74"/>
      <c r="BF143" s="74"/>
      <c r="BG143" s="74"/>
      <c r="BH143" s="74"/>
      <c r="BI143" s="74"/>
      <c r="BJ143" s="74"/>
      <c r="BK143" s="74"/>
      <c r="BL143" s="74"/>
      <c r="BM143" s="74"/>
      <c r="BN143" s="74"/>
      <c r="BO143" s="132"/>
      <c r="BP143" s="132"/>
      <c r="BQ143" s="9">
        <f t="shared" si="58"/>
        <v>17</v>
      </c>
      <c r="BR143" s="68"/>
      <c r="BS143" s="1">
        <f>COUNT(E143:AH143)/2+COUNT(AK143:BN143)/2</f>
        <v>16</v>
      </c>
      <c r="BT143" s="2">
        <f t="shared" si="59"/>
        <v>1</v>
      </c>
      <c r="BU143" s="2">
        <f t="shared" si="60"/>
        <v>0</v>
      </c>
      <c r="BV143" s="2">
        <f t="shared" si="61"/>
        <v>0</v>
      </c>
      <c r="BW143" s="2">
        <f t="shared" si="62"/>
        <v>0</v>
      </c>
      <c r="BX143" s="2">
        <f t="shared" si="63"/>
        <v>0</v>
      </c>
      <c r="BY143" s="2">
        <f t="shared" si="64"/>
        <v>0</v>
      </c>
      <c r="BZ143" s="2">
        <f t="shared" si="65"/>
        <v>0</v>
      </c>
      <c r="CA143" s="2">
        <f t="shared" si="66"/>
        <v>0</v>
      </c>
      <c r="CB143" s="2">
        <f t="shared" si="67"/>
        <v>0</v>
      </c>
      <c r="CC143" s="2">
        <f t="shared" si="68"/>
        <v>0</v>
      </c>
      <c r="CD143" s="2">
        <f t="shared" si="69"/>
        <v>0</v>
      </c>
      <c r="CE143" s="131"/>
      <c r="CG143" s="54">
        <v>0</v>
      </c>
      <c r="CH143" s="54">
        <v>0</v>
      </c>
      <c r="CI143" s="54">
        <v>0</v>
      </c>
      <c r="CJ143" s="54">
        <v>0</v>
      </c>
      <c r="CK143" s="54">
        <v>0</v>
      </c>
      <c r="CL143" s="54">
        <v>0</v>
      </c>
      <c r="CM143" s="55">
        <v>0</v>
      </c>
      <c r="CN143" s="55">
        <v>0</v>
      </c>
      <c r="CO143" s="54">
        <v>0</v>
      </c>
      <c r="CP143" s="54">
        <v>0</v>
      </c>
      <c r="CQ143" s="56">
        <f>SUM(CG143:CP143)</f>
        <v>0</v>
      </c>
    </row>
    <row r="144" spans="1:95" ht="21.75" customHeight="1" x14ac:dyDescent="0.25">
      <c r="A144" s="45">
        <v>39</v>
      </c>
      <c r="B144" s="11" t="s">
        <v>111</v>
      </c>
      <c r="C144" s="8" t="s">
        <v>179</v>
      </c>
      <c r="D144" s="85">
        <v>45148</v>
      </c>
      <c r="E144" s="91" t="s">
        <v>15</v>
      </c>
      <c r="F144" s="91" t="s">
        <v>15</v>
      </c>
      <c r="G144" s="74">
        <v>0.35486111111111113</v>
      </c>
      <c r="H144" s="74">
        <v>0.92291666666666661</v>
      </c>
      <c r="I144" s="74">
        <v>0.3576388888888889</v>
      </c>
      <c r="J144" s="74">
        <v>0.91249999999999998</v>
      </c>
      <c r="K144" s="74">
        <v>0.35555555555555557</v>
      </c>
      <c r="L144" s="74">
        <v>0.92986111111111114</v>
      </c>
      <c r="M144" s="74">
        <v>0.35694444444444445</v>
      </c>
      <c r="N144" s="76">
        <v>1</v>
      </c>
      <c r="O144" s="74">
        <v>0.35138888888888892</v>
      </c>
      <c r="P144" s="74">
        <v>0.94652777777777775</v>
      </c>
      <c r="Q144" s="74">
        <v>0.3527777777777778</v>
      </c>
      <c r="R144" s="74">
        <v>0.93888888888888899</v>
      </c>
      <c r="S144" s="92">
        <v>0.58124999999999993</v>
      </c>
      <c r="T144" s="92">
        <v>0.90069444444444446</v>
      </c>
      <c r="U144" s="74">
        <v>0.3520833333333333</v>
      </c>
      <c r="V144" s="74">
        <v>0.9277777777777777</v>
      </c>
      <c r="W144" s="74">
        <v>0.35069444444444442</v>
      </c>
      <c r="X144" s="74">
        <v>0.94444444444444453</v>
      </c>
      <c r="Y144" s="74">
        <v>0.35347222222222219</v>
      </c>
      <c r="Z144" s="74">
        <v>0.93402777777777779</v>
      </c>
      <c r="AA144" s="74">
        <v>0.35347222222222219</v>
      </c>
      <c r="AB144" s="76">
        <v>1</v>
      </c>
      <c r="AC144" s="74">
        <v>0.34861111111111115</v>
      </c>
      <c r="AD144" s="76">
        <v>1</v>
      </c>
      <c r="AE144" s="74">
        <v>0.35972222222222222</v>
      </c>
      <c r="AF144" s="76">
        <v>1</v>
      </c>
      <c r="AG144" s="91" t="s">
        <v>15</v>
      </c>
      <c r="AH144" s="100" t="s">
        <v>15</v>
      </c>
      <c r="AI144" s="121"/>
      <c r="AJ144" s="120">
        <v>39</v>
      </c>
      <c r="AK144" s="74"/>
      <c r="AL144" s="74"/>
      <c r="AM144" s="76"/>
      <c r="AN144" s="76"/>
      <c r="AO144" s="74"/>
      <c r="AP144" s="74"/>
      <c r="AQ144" s="74"/>
      <c r="AR144" s="74"/>
      <c r="AS144" s="74"/>
      <c r="AT144" s="76"/>
      <c r="AU144" s="74"/>
      <c r="AV144" s="76"/>
      <c r="AW144" s="74"/>
      <c r="AX144" s="74"/>
      <c r="AY144" s="74"/>
      <c r="AZ144" s="74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132"/>
      <c r="BP144" s="132"/>
      <c r="BQ144" s="9">
        <f t="shared" si="58"/>
        <v>15</v>
      </c>
      <c r="BR144" s="68"/>
      <c r="BS144" s="1">
        <f>COUNT(E144:AF144)/2+COUNT(AK144:BN144)/2</f>
        <v>13</v>
      </c>
      <c r="BT144" s="2">
        <f t="shared" si="59"/>
        <v>2</v>
      </c>
      <c r="BU144" s="2">
        <f t="shared" si="60"/>
        <v>0</v>
      </c>
      <c r="BV144" s="2">
        <f t="shared" si="61"/>
        <v>0</v>
      </c>
      <c r="BW144" s="2">
        <f t="shared" si="62"/>
        <v>0</v>
      </c>
      <c r="BX144" s="2">
        <f t="shared" si="63"/>
        <v>0</v>
      </c>
      <c r="BY144" s="2">
        <f t="shared" si="64"/>
        <v>0</v>
      </c>
      <c r="BZ144" s="2">
        <f t="shared" si="65"/>
        <v>0</v>
      </c>
      <c r="CA144" s="2">
        <f t="shared" si="66"/>
        <v>0</v>
      </c>
      <c r="CB144" s="2">
        <f t="shared" si="67"/>
        <v>0</v>
      </c>
      <c r="CC144" s="2">
        <f t="shared" si="68"/>
        <v>0</v>
      </c>
      <c r="CD144" s="2">
        <f t="shared" si="69"/>
        <v>0</v>
      </c>
      <c r="CE144" s="131"/>
      <c r="CG144" s="54">
        <v>0</v>
      </c>
      <c r="CH144" s="54">
        <v>0</v>
      </c>
      <c r="CI144" s="54">
        <v>0</v>
      </c>
      <c r="CJ144" s="54">
        <v>0</v>
      </c>
      <c r="CK144" s="54">
        <v>0</v>
      </c>
      <c r="CL144" s="55">
        <v>4</v>
      </c>
      <c r="CM144" s="55">
        <v>1</v>
      </c>
      <c r="CN144" s="54">
        <v>0</v>
      </c>
      <c r="CO144" s="54">
        <v>0</v>
      </c>
      <c r="CP144" s="54">
        <v>0</v>
      </c>
      <c r="CQ144" s="56">
        <f>SUM(CG144:CP144)</f>
        <v>5</v>
      </c>
    </row>
    <row r="145" spans="1:83" ht="21.75" customHeight="1" x14ac:dyDescent="0.25">
      <c r="A145" s="45">
        <v>43</v>
      </c>
      <c r="B145" s="11" t="s">
        <v>126</v>
      </c>
      <c r="C145" s="8" t="s">
        <v>177</v>
      </c>
      <c r="D145" s="85">
        <v>45447</v>
      </c>
      <c r="E145" s="91" t="s">
        <v>15</v>
      </c>
      <c r="F145" s="91" t="s">
        <v>15</v>
      </c>
      <c r="G145" s="74">
        <v>0.34791666666666665</v>
      </c>
      <c r="H145" s="74">
        <v>0.96805555555555556</v>
      </c>
      <c r="I145" s="74">
        <v>0.34652777777777777</v>
      </c>
      <c r="J145" s="74">
        <v>0.94791666666666663</v>
      </c>
      <c r="K145" s="74">
        <v>0.41736111111111113</v>
      </c>
      <c r="L145" s="74">
        <v>0.95624999999999993</v>
      </c>
      <c r="M145" s="76">
        <v>1</v>
      </c>
      <c r="N145" s="74">
        <v>0.95277777777777783</v>
      </c>
      <c r="O145" s="74">
        <v>0.3430555555555555</v>
      </c>
      <c r="P145" s="76">
        <v>1</v>
      </c>
      <c r="Q145" s="74">
        <v>0.34513888888888888</v>
      </c>
      <c r="R145" s="74">
        <v>0.96805555555555556</v>
      </c>
      <c r="S145" s="92">
        <v>0.57291666666666663</v>
      </c>
      <c r="T145" s="92">
        <v>0.95486111111111116</v>
      </c>
      <c r="U145" s="74">
        <v>0.34583333333333338</v>
      </c>
      <c r="V145" s="74">
        <v>0.95833333333333337</v>
      </c>
      <c r="W145" s="74">
        <v>0.34652777777777777</v>
      </c>
      <c r="X145" s="74">
        <v>0.9506944444444444</v>
      </c>
      <c r="Y145" s="74">
        <v>0.34652777777777777</v>
      </c>
      <c r="Z145" s="76">
        <v>1</v>
      </c>
      <c r="AA145" s="74">
        <v>0.34652777777777777</v>
      </c>
      <c r="AB145" s="74">
        <v>0.9555555555555556</v>
      </c>
      <c r="AC145" s="74">
        <v>0.34652777777777777</v>
      </c>
      <c r="AD145" s="76">
        <v>1</v>
      </c>
      <c r="AE145" s="74">
        <v>0.34583333333333338</v>
      </c>
      <c r="AF145" s="74">
        <v>0.96250000000000002</v>
      </c>
      <c r="AG145" s="91" t="s">
        <v>15</v>
      </c>
      <c r="AH145" s="100" t="s">
        <v>15</v>
      </c>
      <c r="AI145" s="121"/>
      <c r="AJ145" s="120">
        <v>49</v>
      </c>
      <c r="AK145" s="74">
        <v>0.34722222222222227</v>
      </c>
      <c r="AL145" s="74">
        <v>0.97013888888888899</v>
      </c>
      <c r="AM145" s="74">
        <v>0.34861111111111115</v>
      </c>
      <c r="AN145" s="74">
        <v>0.94791666666666663</v>
      </c>
      <c r="AO145" s="74">
        <v>0.34722222222222227</v>
      </c>
      <c r="AP145" s="74">
        <v>0.9506944444444444</v>
      </c>
      <c r="AQ145" s="74">
        <v>1</v>
      </c>
      <c r="AR145" s="74">
        <v>1</v>
      </c>
      <c r="AS145" s="74"/>
      <c r="AT145" s="74"/>
      <c r="AU145" s="74"/>
      <c r="AV145" s="76"/>
      <c r="AW145" s="74"/>
      <c r="AX145" s="76"/>
      <c r="AY145" s="74"/>
      <c r="AZ145" s="74"/>
      <c r="BA145" s="74"/>
      <c r="BB145" s="74"/>
      <c r="BC145" s="74"/>
      <c r="BD145" s="74"/>
      <c r="BE145" s="74"/>
      <c r="BF145" s="74"/>
      <c r="BG145" s="74"/>
      <c r="BH145" s="74"/>
      <c r="BI145" s="74"/>
      <c r="BJ145" s="74"/>
      <c r="BK145" s="74"/>
      <c r="BL145" s="74"/>
      <c r="BM145" s="74"/>
      <c r="BN145" s="74"/>
      <c r="BO145" s="132"/>
      <c r="BP145" s="132"/>
      <c r="BQ145" s="9">
        <f t="shared" si="58"/>
        <v>19</v>
      </c>
      <c r="BR145" s="68"/>
      <c r="BS145" s="1">
        <f>COUNT(E145:AF145)/2+COUNT(AK145:BN145)/2</f>
        <v>17</v>
      </c>
      <c r="BT145" s="2">
        <f t="shared" si="59"/>
        <v>2</v>
      </c>
      <c r="BU145" s="2">
        <f t="shared" si="60"/>
        <v>0</v>
      </c>
      <c r="BV145" s="2">
        <f t="shared" si="61"/>
        <v>0</v>
      </c>
      <c r="BW145" s="2">
        <f t="shared" si="62"/>
        <v>0</v>
      </c>
      <c r="BX145" s="2">
        <f t="shared" si="63"/>
        <v>0</v>
      </c>
      <c r="BY145" s="2">
        <f t="shared" si="64"/>
        <v>0</v>
      </c>
      <c r="BZ145" s="2">
        <f t="shared" si="65"/>
        <v>0</v>
      </c>
      <c r="CA145" s="2">
        <f t="shared" si="66"/>
        <v>0</v>
      </c>
      <c r="CB145" s="2">
        <f t="shared" si="67"/>
        <v>0</v>
      </c>
      <c r="CC145" s="2">
        <f t="shared" si="68"/>
        <v>0</v>
      </c>
      <c r="CD145" s="2">
        <f t="shared" si="69"/>
        <v>0</v>
      </c>
      <c r="CE145" s="131"/>
    </row>
    <row r="146" spans="1:83" ht="21.75" customHeight="1" x14ac:dyDescent="0.25">
      <c r="A146" s="45">
        <v>37</v>
      </c>
      <c r="B146" s="11" t="s">
        <v>108</v>
      </c>
      <c r="C146" s="8" t="s">
        <v>180</v>
      </c>
      <c r="D146" s="85">
        <v>44987</v>
      </c>
      <c r="E146" s="65">
        <v>0.3520833333333333</v>
      </c>
      <c r="F146" s="65">
        <v>0.92569444444444438</v>
      </c>
      <c r="G146" s="65">
        <v>0.3520833333333333</v>
      </c>
      <c r="H146" s="65">
        <v>0.96250000000000002</v>
      </c>
      <c r="I146" s="65">
        <v>0.3520833333333333</v>
      </c>
      <c r="J146" s="65">
        <v>0.92638888888888893</v>
      </c>
      <c r="K146" s="65">
        <v>0.3520833333333333</v>
      </c>
      <c r="L146" s="65">
        <v>0.94791666666666663</v>
      </c>
      <c r="M146" s="98">
        <v>0.57708333333333328</v>
      </c>
      <c r="N146" s="101">
        <v>0.87986111111111109</v>
      </c>
      <c r="O146" s="65">
        <v>0.3888888888888889</v>
      </c>
      <c r="P146" s="65">
        <v>0.95138888888888884</v>
      </c>
      <c r="Q146" s="65">
        <v>0.35347222222222219</v>
      </c>
      <c r="R146" s="65">
        <v>0.92222222222222217</v>
      </c>
      <c r="S146" s="65">
        <v>0.35138888888888892</v>
      </c>
      <c r="T146" s="65">
        <v>0.90277777777777779</v>
      </c>
      <c r="U146" s="65">
        <v>0.3527777777777778</v>
      </c>
      <c r="V146" s="65">
        <v>0.92569444444444438</v>
      </c>
      <c r="W146" s="65">
        <v>0.35138888888888892</v>
      </c>
      <c r="X146" s="65">
        <v>0.90694444444444444</v>
      </c>
      <c r="Y146" s="65">
        <v>0.35138888888888892</v>
      </c>
      <c r="Z146" s="65">
        <v>0.92708333333333337</v>
      </c>
      <c r="AA146" s="91" t="s">
        <v>15</v>
      </c>
      <c r="AB146" s="100" t="s">
        <v>15</v>
      </c>
      <c r="AC146" s="65">
        <v>0.3520833333333333</v>
      </c>
      <c r="AD146" s="65">
        <v>0.91805555555555562</v>
      </c>
      <c r="AE146" s="65">
        <v>0.3520833333333333</v>
      </c>
      <c r="AF146" s="65">
        <v>0.88958333333333339</v>
      </c>
      <c r="AG146" s="76" t="s">
        <v>23</v>
      </c>
      <c r="AH146" s="108" t="s">
        <v>23</v>
      </c>
      <c r="AI146" s="115"/>
      <c r="AJ146" s="119">
        <v>37</v>
      </c>
      <c r="AK146" s="74"/>
      <c r="AL146" s="74"/>
      <c r="AM146" s="74"/>
      <c r="AN146" s="74"/>
      <c r="AO146" s="74"/>
      <c r="AP146" s="74"/>
      <c r="AQ146" s="74"/>
      <c r="AR146" s="74"/>
      <c r="AS146" s="74"/>
      <c r="AT146" s="74"/>
      <c r="AU146" s="74"/>
      <c r="AV146" s="74"/>
      <c r="AW146" s="92"/>
      <c r="AX146" s="92"/>
      <c r="AY146" s="74"/>
      <c r="AZ146" s="74"/>
      <c r="BA146" s="74"/>
      <c r="BB146" s="74"/>
      <c r="BC146" s="74"/>
      <c r="BD146" s="74"/>
      <c r="BE146" s="74"/>
      <c r="BF146" s="74"/>
      <c r="BG146" s="91"/>
      <c r="BH146" s="91"/>
      <c r="BI146" s="74"/>
      <c r="BJ146" s="74"/>
      <c r="BK146" s="91"/>
      <c r="BL146" s="91"/>
      <c r="BM146" s="74"/>
      <c r="BN146" s="74"/>
      <c r="BO146" s="74"/>
      <c r="BP146" s="74"/>
      <c r="BQ146" s="97">
        <f t="shared" si="58"/>
        <v>14</v>
      </c>
      <c r="BR146" s="68"/>
      <c r="BS146" s="1">
        <f>COUNT(E146:AF146)/2+COUNT(AK146:BN146)/2</f>
        <v>13</v>
      </c>
      <c r="BT146" s="2">
        <f t="shared" si="59"/>
        <v>1</v>
      </c>
      <c r="BU146" s="2">
        <f t="shared" si="60"/>
        <v>0</v>
      </c>
      <c r="BV146" s="2">
        <f t="shared" si="61"/>
        <v>0</v>
      </c>
      <c r="BW146" s="2">
        <f t="shared" si="62"/>
        <v>0</v>
      </c>
      <c r="BX146" s="2">
        <f t="shared" si="63"/>
        <v>0</v>
      </c>
      <c r="BY146" s="2">
        <f t="shared" si="64"/>
        <v>0</v>
      </c>
      <c r="BZ146" s="2">
        <f t="shared" si="65"/>
        <v>0</v>
      </c>
      <c r="CA146" s="2">
        <f t="shared" si="66"/>
        <v>0</v>
      </c>
      <c r="CB146" s="2">
        <f t="shared" si="67"/>
        <v>1</v>
      </c>
      <c r="CC146" s="2">
        <f t="shared" si="68"/>
        <v>0</v>
      </c>
      <c r="CD146" s="2">
        <f t="shared" si="69"/>
        <v>0</v>
      </c>
      <c r="CE146" s="131"/>
    </row>
    <row r="147" spans="1:83" x14ac:dyDescent="0.25">
      <c r="AH147" s="58"/>
      <c r="AI147" s="58"/>
      <c r="AJ147"/>
      <c r="BI147" s="15"/>
      <c r="BJ147" s="15"/>
      <c r="BK147" s="15"/>
      <c r="BL147" s="15"/>
      <c r="BM147" s="15"/>
      <c r="BN147" s="15"/>
      <c r="BO147" s="15"/>
      <c r="BP147" s="15"/>
      <c r="BQ147"/>
    </row>
    <row r="148" spans="1:83" x14ac:dyDescent="0.25">
      <c r="AH148" s="58"/>
      <c r="AI148" s="58"/>
      <c r="AJ148"/>
      <c r="BI148" s="15"/>
      <c r="BJ148" s="15"/>
      <c r="BK148" s="15"/>
      <c r="BL148" s="15"/>
      <c r="BM148" s="15"/>
      <c r="BN148" s="15"/>
      <c r="BO148" s="15"/>
      <c r="BP148" s="15"/>
      <c r="BQ148"/>
    </row>
    <row r="149" spans="1:83" x14ac:dyDescent="0.25">
      <c r="AH149" s="58"/>
      <c r="AI149" s="58"/>
      <c r="AJ149"/>
      <c r="BI149" s="15"/>
      <c r="BJ149" s="15"/>
      <c r="BK149" s="15"/>
      <c r="BL149" s="15"/>
      <c r="BM149" s="15"/>
      <c r="BN149" s="15"/>
      <c r="BO149" s="15"/>
      <c r="BP149" s="15"/>
      <c r="BQ149"/>
    </row>
    <row r="150" spans="1:83" x14ac:dyDescent="0.25">
      <c r="AH150" s="58"/>
      <c r="AI150" s="58"/>
      <c r="AJ150"/>
      <c r="BI150" s="15"/>
      <c r="BJ150" s="15"/>
      <c r="BK150" s="15"/>
      <c r="BL150" s="15"/>
      <c r="BM150" s="15"/>
      <c r="BN150" s="15"/>
      <c r="BO150" s="15"/>
      <c r="BP150" s="15"/>
      <c r="BQ150"/>
    </row>
    <row r="151" spans="1:83" x14ac:dyDescent="0.25">
      <c r="AH151" s="58"/>
      <c r="AI151" s="58"/>
      <c r="AJ151"/>
      <c r="BI151" s="15"/>
      <c r="BJ151" s="15"/>
      <c r="BK151" s="15"/>
      <c r="BL151" s="15"/>
      <c r="BM151" s="15"/>
      <c r="BN151" s="15"/>
      <c r="BO151" s="15"/>
      <c r="BP151" s="15"/>
      <c r="BQ151"/>
    </row>
    <row r="152" spans="1:83" x14ac:dyDescent="0.25">
      <c r="AH152" s="58"/>
      <c r="AI152" s="58"/>
      <c r="AJ152"/>
      <c r="BI152" s="15"/>
      <c r="BJ152" s="15"/>
      <c r="BK152" s="15"/>
      <c r="BL152" s="15"/>
      <c r="BM152" s="15"/>
      <c r="BN152" s="15"/>
      <c r="BO152" s="15"/>
      <c r="BP152" s="15"/>
      <c r="BQ152"/>
    </row>
    <row r="153" spans="1:83" x14ac:dyDescent="0.25">
      <c r="AH153" s="58"/>
      <c r="AI153" s="58"/>
      <c r="AJ153"/>
      <c r="BI153" s="15"/>
      <c r="BJ153" s="15"/>
      <c r="BK153" s="15"/>
      <c r="BL153" s="15"/>
      <c r="BM153" s="15"/>
      <c r="BN153" s="15"/>
      <c r="BO153" s="15"/>
      <c r="BP153" s="15"/>
      <c r="BQ153"/>
    </row>
    <row r="154" spans="1:83" x14ac:dyDescent="0.25">
      <c r="AH154" s="58"/>
      <c r="AI154" s="58"/>
      <c r="AJ154"/>
      <c r="BI154" s="15"/>
      <c r="BJ154" s="15"/>
      <c r="BK154" s="15"/>
      <c r="BL154" s="15"/>
      <c r="BM154" s="15"/>
      <c r="BN154" s="15"/>
      <c r="BO154" s="15"/>
      <c r="BP154" s="15"/>
      <c r="BQ154"/>
    </row>
    <row r="155" spans="1:83" x14ac:dyDescent="0.25">
      <c r="AJ155"/>
      <c r="BI155" s="15"/>
      <c r="BJ155" s="15"/>
      <c r="BK155" s="15"/>
      <c r="BL155" s="15"/>
      <c r="BM155" s="15"/>
      <c r="BN155" s="15"/>
      <c r="BO155" s="15"/>
      <c r="BP155" s="15"/>
      <c r="BQ155"/>
    </row>
  </sheetData>
  <mergeCells count="145">
    <mergeCell ref="AJ1:CE1"/>
    <mergeCell ref="AJ40:CE40"/>
    <mergeCell ref="BO42:BP42"/>
    <mergeCell ref="BO41:BP41"/>
    <mergeCell ref="AK2:AL2"/>
    <mergeCell ref="AM2:AN2"/>
    <mergeCell ref="U41:V41"/>
    <mergeCell ref="AK3:AL3"/>
    <mergeCell ref="AM3:AN3"/>
    <mergeCell ref="AO2:AP2"/>
    <mergeCell ref="AC2:AD2"/>
    <mergeCell ref="AC41:AD41"/>
    <mergeCell ref="AE41:AF41"/>
    <mergeCell ref="AG41:AH41"/>
    <mergeCell ref="W41:X41"/>
    <mergeCell ref="AA3:AB3"/>
    <mergeCell ref="AC3:AD3"/>
    <mergeCell ref="Y3:Z3"/>
    <mergeCell ref="AG2:AH2"/>
    <mergeCell ref="AO3:AP3"/>
    <mergeCell ref="AJ2:AJ4"/>
    <mergeCell ref="BS2:CE2"/>
    <mergeCell ref="BA42:BB42"/>
    <mergeCell ref="BO2:BP2"/>
    <mergeCell ref="Q42:R42"/>
    <mergeCell ref="A41:C42"/>
    <mergeCell ref="Q3:R3"/>
    <mergeCell ref="W3:X3"/>
    <mergeCell ref="AE3:AF3"/>
    <mergeCell ref="AG3:AH3"/>
    <mergeCell ref="Y42:Z42"/>
    <mergeCell ref="AA42:AB42"/>
    <mergeCell ref="S41:T41"/>
    <mergeCell ref="BO3:BP3"/>
    <mergeCell ref="E3:F3"/>
    <mergeCell ref="S42:T42"/>
    <mergeCell ref="O3:P3"/>
    <mergeCell ref="G42:H42"/>
    <mergeCell ref="I42:J42"/>
    <mergeCell ref="K42:L42"/>
    <mergeCell ref="M42:N42"/>
    <mergeCell ref="AG42:AH42"/>
    <mergeCell ref="E42:F42"/>
    <mergeCell ref="AA41:AB41"/>
    <mergeCell ref="E41:F41"/>
    <mergeCell ref="G41:H41"/>
    <mergeCell ref="K3:L3"/>
    <mergeCell ref="M3:N3"/>
    <mergeCell ref="Q41:R41"/>
    <mergeCell ref="S3:T3"/>
    <mergeCell ref="Y41:Z41"/>
    <mergeCell ref="O41:P41"/>
    <mergeCell ref="A40:AH40"/>
    <mergeCell ref="AC42:AD42"/>
    <mergeCell ref="AE42:AF42"/>
    <mergeCell ref="U42:V42"/>
    <mergeCell ref="O42:P42"/>
    <mergeCell ref="CG2:CP2"/>
    <mergeCell ref="CG41:CP41"/>
    <mergeCell ref="I41:J41"/>
    <mergeCell ref="AS41:AT41"/>
    <mergeCell ref="AW41:AX41"/>
    <mergeCell ref="W42:X42"/>
    <mergeCell ref="BS41:CE41"/>
    <mergeCell ref="BQ41:BQ43"/>
    <mergeCell ref="AK42:AL42"/>
    <mergeCell ref="AM42:AN42"/>
    <mergeCell ref="AO42:AP42"/>
    <mergeCell ref="AQ42:AR42"/>
    <mergeCell ref="AS42:AT42"/>
    <mergeCell ref="AU42:AV42"/>
    <mergeCell ref="AW42:AX42"/>
    <mergeCell ref="AY42:AZ42"/>
    <mergeCell ref="BM2:BN2"/>
    <mergeCell ref="K41:L41"/>
    <mergeCell ref="M41:N41"/>
    <mergeCell ref="BR2:BR4"/>
    <mergeCell ref="BE2:BF2"/>
    <mergeCell ref="U3:V3"/>
    <mergeCell ref="BC3:BD3"/>
    <mergeCell ref="AS2:AT2"/>
    <mergeCell ref="A1:AH1"/>
    <mergeCell ref="A2:C3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E2:AF2"/>
    <mergeCell ref="I3:J3"/>
    <mergeCell ref="AU2:AV2"/>
    <mergeCell ref="G3:H3"/>
    <mergeCell ref="BR41:BR43"/>
    <mergeCell ref="BQ2:BQ4"/>
    <mergeCell ref="BM42:BN42"/>
    <mergeCell ref="BM41:BN41"/>
    <mergeCell ref="BK42:BL42"/>
    <mergeCell ref="BK41:BL41"/>
    <mergeCell ref="BI42:BJ42"/>
    <mergeCell ref="BI41:BJ41"/>
    <mergeCell ref="AU41:AV41"/>
    <mergeCell ref="BG41:BH41"/>
    <mergeCell ref="BE42:BF42"/>
    <mergeCell ref="BG42:BH42"/>
    <mergeCell ref="AY41:AZ41"/>
    <mergeCell ref="BA41:BB41"/>
    <mergeCell ref="BC41:BD41"/>
    <mergeCell ref="AK41:AL41"/>
    <mergeCell ref="AM41:AN41"/>
    <mergeCell ref="AO41:AP41"/>
    <mergeCell ref="AQ41:AR41"/>
    <mergeCell ref="BE41:BF41"/>
    <mergeCell ref="BM3:BN3"/>
    <mergeCell ref="BC42:BD42"/>
    <mergeCell ref="E111:AH111"/>
    <mergeCell ref="E112:AH112"/>
    <mergeCell ref="E113:AH113"/>
    <mergeCell ref="AK112:BB112"/>
    <mergeCell ref="AK113:BL113"/>
    <mergeCell ref="AK111:AR111"/>
    <mergeCell ref="BE3:BF3"/>
    <mergeCell ref="BI2:BJ2"/>
    <mergeCell ref="BK3:BL3"/>
    <mergeCell ref="AW2:AX2"/>
    <mergeCell ref="BK2:BL2"/>
    <mergeCell ref="BI3:BJ3"/>
    <mergeCell ref="BA3:BB3"/>
    <mergeCell ref="BC2:BD2"/>
    <mergeCell ref="AQ2:AR2"/>
    <mergeCell ref="AS3:AT3"/>
    <mergeCell ref="BG2:BH2"/>
    <mergeCell ref="BA2:BB2"/>
    <mergeCell ref="BG3:BH3"/>
    <mergeCell ref="AY2:AZ2"/>
    <mergeCell ref="AU3:AV3"/>
    <mergeCell ref="AW3:AX3"/>
    <mergeCell ref="AY3:AZ3"/>
    <mergeCell ref="AQ3:AR3"/>
  </mergeCells>
  <phoneticPr fontId="12" type="noConversion"/>
  <conditionalFormatting sqref="A1 AJ1">
    <cfRule type="containsText" dxfId="2162" priority="5818" operator="containsText" text="AL">
      <formula>NOT(ISERROR(SEARCH("AL",A1)))</formula>
    </cfRule>
    <cfRule type="containsText" dxfId="2161" priority="5822" operator="containsText" text="SICK">
      <formula>NOT(ISERROR(SEARCH("SICK",A1)))</formula>
    </cfRule>
    <cfRule type="containsText" dxfId="2160" priority="5820" operator="containsText" text="AB">
      <formula>NOT(ISERROR(SEARCH("AB",A1)))</formula>
    </cfRule>
    <cfRule type="containsText" dxfId="2159" priority="5819" operator="containsText" text="EL">
      <formula>NOT(ISERROR(SEARCH("EL",A1)))</formula>
    </cfRule>
    <cfRule type="containsText" dxfId="2158" priority="5821" operator="containsText" text="FL">
      <formula>NOT(ISERROR(SEARCH("FL",A1)))</formula>
    </cfRule>
    <cfRule type="containsText" dxfId="2157" priority="5817" operator="containsText" text="SP">
      <formula>NOT(ISERROR(SEARCH("SP",A1)))</formula>
    </cfRule>
  </conditionalFormatting>
  <conditionalFormatting sqref="A5:A29 B111 AJ27:AJ28 AJ44:AJ113 BQ5:BQ29 A33:D38 AC33:BQ38 A39:BQ39 A40:AJ40 A41:D42 AJ41:AJ42 BQ41:BQ42 A43:BQ43 A44:A113 BQ44:BQ113 A140 AJ140 BQ140 A142:A146 BQ142:BQ146 AJ146">
    <cfRule type="containsText" dxfId="2156" priority="5823" stopIfTrue="1" operator="containsText" text="SP">
      <formula>NOT(ISERROR(SEARCH("SP",A5)))</formula>
    </cfRule>
  </conditionalFormatting>
  <conditionalFormatting sqref="A5:A29 BQ5:BQ29 AJ27:AJ28 A33:D38 AC33:BQ38 A39:BQ39 A40:AJ40 A41:D42 AJ41:AJ42 BQ41:BQ42 A43:BQ43 A44:A113 AJ44:AJ113 BQ44:BQ113 B111 A140 AJ140 BQ140 A142:A146 BQ142:BQ146 AJ146">
    <cfRule type="containsText" dxfId="2155" priority="5824" stopIfTrue="1" operator="containsText" text="AL">
      <formula>NOT(ISERROR(SEARCH("AL",A5)))</formula>
    </cfRule>
    <cfRule type="containsText" dxfId="2154" priority="5825" stopIfTrue="1" operator="containsText" text="EL">
      <formula>NOT(ISERROR(SEARCH("EL",A5)))</formula>
    </cfRule>
    <cfRule type="containsText" dxfId="2153" priority="5828" stopIfTrue="1" operator="containsText" text="SICK">
      <formula>NOT(ISERROR(SEARCH("SICK",A5)))</formula>
    </cfRule>
    <cfRule type="containsText" dxfId="2152" priority="5827" stopIfTrue="1" operator="containsText" text="FL">
      <formula>NOT(ISERROR(SEARCH("FL",A5)))</formula>
    </cfRule>
    <cfRule type="containsText" dxfId="2151" priority="5826" stopIfTrue="1" operator="containsText" text="AB">
      <formula>NOT(ISERROR(SEARCH("AB",A5)))</formula>
    </cfRule>
  </conditionalFormatting>
  <conditionalFormatting sqref="A14 A20:A21 A29 B111">
    <cfRule type="containsText" dxfId="2150" priority="5444" stopIfTrue="1" operator="containsText" text="AL">
      <formula>NOT(ISERROR(SEARCH("AL",A14)))</formula>
    </cfRule>
    <cfRule type="containsText" dxfId="2149" priority="5443" stopIfTrue="1" operator="containsText" text="SP">
      <formula>NOT(ISERROR(SEARCH("SP",A14)))</formula>
    </cfRule>
    <cfRule type="containsText" dxfId="2148" priority="5448" stopIfTrue="1" operator="containsText" text="SICK">
      <formula>NOT(ISERROR(SEARCH("SICK",A14)))</formula>
    </cfRule>
    <cfRule type="containsText" dxfId="2147" priority="5447" stopIfTrue="1" operator="containsText" text="FL">
      <formula>NOT(ISERROR(SEARCH("FL",A14)))</formula>
    </cfRule>
    <cfRule type="containsText" dxfId="2146" priority="5446" stopIfTrue="1" operator="containsText" text="AB">
      <formula>NOT(ISERROR(SEARCH("AB",A14)))</formula>
    </cfRule>
    <cfRule type="containsText" dxfId="2145" priority="5445" stopIfTrue="1" operator="containsText" text="EL">
      <formula>NOT(ISERROR(SEARCH("EL",A14)))</formula>
    </cfRule>
  </conditionalFormatting>
  <conditionalFormatting sqref="A138 AJ138 BQ138">
    <cfRule type="containsText" dxfId="2144" priority="102" stopIfTrue="1" operator="containsText" text="FL">
      <formula>NOT(ISERROR(SEARCH("FL",A138)))</formula>
    </cfRule>
    <cfRule type="containsText" dxfId="2143" priority="98" stopIfTrue="1" operator="containsText" text="SP">
      <formula>NOT(ISERROR(SEARCH("SP",A138)))</formula>
    </cfRule>
    <cfRule type="containsText" dxfId="2142" priority="99" stopIfTrue="1" operator="containsText" text="AL">
      <formula>NOT(ISERROR(SEARCH("AL",A138)))</formula>
    </cfRule>
    <cfRule type="containsText" dxfId="2141" priority="101" stopIfTrue="1" operator="containsText" text="AB">
      <formula>NOT(ISERROR(SEARCH("AB",A138)))</formula>
    </cfRule>
    <cfRule type="containsText" dxfId="2140" priority="103" stopIfTrue="1" operator="containsText" text="SICK">
      <formula>NOT(ISERROR(SEARCH("SICK",A138)))</formula>
    </cfRule>
    <cfRule type="containsText" dxfId="2139" priority="100" stopIfTrue="1" operator="containsText" text="EL">
      <formula>NOT(ISERROR(SEARCH("EL",A138)))</formula>
    </cfRule>
  </conditionalFormatting>
  <conditionalFormatting sqref="C21">
    <cfRule type="duplicateValues" dxfId="2138" priority="14471"/>
    <cfRule type="duplicateValues" dxfId="2137" priority="14472"/>
  </conditionalFormatting>
  <conditionalFormatting sqref="C24">
    <cfRule type="duplicateValues" dxfId="2136" priority="185"/>
    <cfRule type="duplicateValues" dxfId="2135" priority="184"/>
    <cfRule type="duplicateValues" dxfId="2134" priority="183"/>
    <cfRule type="duplicateValues" dxfId="2133" priority="186"/>
  </conditionalFormatting>
  <conditionalFormatting sqref="C28">
    <cfRule type="duplicateValues" dxfId="2132" priority="1118"/>
  </conditionalFormatting>
  <conditionalFormatting sqref="C53">
    <cfRule type="duplicateValues" dxfId="2131" priority="162"/>
    <cfRule type="duplicateValues" dxfId="2130" priority="161"/>
    <cfRule type="duplicateValues" dxfId="2129" priority="160"/>
    <cfRule type="duplicateValues" dxfId="2128" priority="164"/>
    <cfRule type="duplicateValues" dxfId="2127" priority="163"/>
  </conditionalFormatting>
  <conditionalFormatting sqref="C109">
    <cfRule type="duplicateValues" dxfId="2126" priority="72"/>
    <cfRule type="duplicateValues" dxfId="2125" priority="74"/>
  </conditionalFormatting>
  <conditionalFormatting sqref="C109:C113">
    <cfRule type="duplicateValues" dxfId="2124" priority="14251"/>
  </conditionalFormatting>
  <conditionalFormatting sqref="C110:C113">
    <cfRule type="duplicateValues" dxfId="2123" priority="14248"/>
    <cfRule type="duplicateValues" dxfId="2122" priority="14247"/>
  </conditionalFormatting>
  <conditionalFormatting sqref="C138">
    <cfRule type="duplicateValues" dxfId="2121" priority="106"/>
    <cfRule type="duplicateValues" dxfId="2120" priority="107"/>
    <cfRule type="duplicateValues" dxfId="2119" priority="108"/>
    <cfRule type="duplicateValues" dxfId="2118" priority="109"/>
  </conditionalFormatting>
  <conditionalFormatting sqref="C139:C1048576 C54:C108 C25:C52 C1:C23 C114:C137">
    <cfRule type="duplicateValues" dxfId="2117" priority="14276"/>
  </conditionalFormatting>
  <conditionalFormatting sqref="C142:C146 C44:C45 C47:C52 C61:C76 C140 C115:C117 C78:C108 C54:C59">
    <cfRule type="duplicateValues" dxfId="2116" priority="14003"/>
  </conditionalFormatting>
  <conditionalFormatting sqref="C142:C1048576 C115:C129 C131:C137 C29 C1:C20 C22:C23 C31:C52 C25:C27 C54:C108 C140">
    <cfRule type="duplicateValues" dxfId="2115" priority="14460"/>
  </conditionalFormatting>
  <conditionalFormatting sqref="C142:C1048576 C131:C137 C29 C1:C23 C31:C52 C25:C27 C54:C108 C140 C114:C129">
    <cfRule type="duplicateValues" dxfId="2114" priority="14470"/>
  </conditionalFormatting>
  <conditionalFormatting sqref="C109:D110 D111 C111:C113">
    <cfRule type="duplicateValues" dxfId="2113" priority="14217"/>
  </conditionalFormatting>
  <conditionalFormatting sqref="C131:D137 D24:D28 C29:D52 C1:D23 C25:C27 D53 C139:D1048576 C54:D108 C114:D129 D112:D113">
    <cfRule type="duplicateValues" dxfId="2112" priority="14449"/>
  </conditionalFormatting>
  <conditionalFormatting sqref="C138:D138">
    <cfRule type="duplicateValues" dxfId="2111" priority="105"/>
  </conditionalFormatting>
  <conditionalFormatting sqref="D5:D29 D44:D59 D61:D113 D140 D142:D146">
    <cfRule type="timePeriod" priority="4537" timePeriod="nextWeek">
      <formula>AND(ROUNDDOWN(D5,0)-TODAY()&gt;(7-WEEKDAY(TODAY())),ROUNDDOWN(D5,0)-TODAY()&lt;(15-WEEKDAY(TODAY())))</formula>
    </cfRule>
  </conditionalFormatting>
  <conditionalFormatting sqref="D5:D29">
    <cfRule type="timePeriod" dxfId="2110" priority="4576" timePeriod="nextWeek">
      <formula>AND(ROUNDDOWN(D5,0)-TODAY()&gt;(7-WEEKDAY(TODAY())),ROUNDDOWN(D5,0)-TODAY()&lt;(15-WEEKDAY(TODAY())))</formula>
    </cfRule>
  </conditionalFormatting>
  <conditionalFormatting sqref="D12:D23 D77">
    <cfRule type="timePeriod" dxfId="2109" priority="4574" timePeriod="thisWeek">
      <formula>AND(TODAY()-ROUNDDOWN(D12,0)&lt;=WEEKDAY(TODAY())-1,ROUNDDOWN(D12,0)-TODAY()&lt;=7-WEEKDAY(TODAY()))</formula>
    </cfRule>
  </conditionalFormatting>
  <conditionalFormatting sqref="D14 D17:D21 D29">
    <cfRule type="timePeriod" dxfId="2108" priority="4536" timePeriod="last7Days">
      <formula>AND(TODAY()-FLOOR(D14,1)&lt;=6,FLOOR(D14,1)&lt;=TODAY())</formula>
    </cfRule>
    <cfRule type="timePeriod" dxfId="2107" priority="4548" timePeriod="thisWeek">
      <formula>AND(TODAY()-ROUNDDOWN(D14,0)&lt;=WEEKDAY(TODAY())-1,ROUNDDOWN(D14,0)-TODAY()&lt;=7-WEEKDAY(TODAY()))</formula>
    </cfRule>
  </conditionalFormatting>
  <conditionalFormatting sqref="D16:D21 D61:D113 D44:D59 D140 D142:D146">
    <cfRule type="timePeriod" dxfId="2106" priority="4597" timePeriod="last7Days">
      <formula>AND(TODAY()-FLOOR(D16,1)&lt;=6,FLOOR(D16,1)&lt;=TODAY())</formula>
    </cfRule>
  </conditionalFormatting>
  <conditionalFormatting sqref="D21 D44:D59 D61:D113 D140 D142:D146">
    <cfRule type="timePeriod" dxfId="2105" priority="4599" timePeriod="thisWeek">
      <formula>AND(TODAY()-ROUNDDOWN(D21,0)&lt;=WEEKDAY(TODAY())-1,ROUNDDOWN(D21,0)-TODAY()&lt;=7-WEEKDAY(TODAY()))</formula>
    </cfRule>
    <cfRule type="timePeriod" dxfId="2104" priority="4612" timePeriod="nextWeek">
      <formula>AND(ROUNDDOWN(D21,0)-TODAY()&gt;(7-WEEKDAY(TODAY())),ROUNDDOWN(D21,0)-TODAY()&lt;(15-WEEKDAY(TODAY())))</formula>
    </cfRule>
  </conditionalFormatting>
  <conditionalFormatting sqref="D77 D12:D23">
    <cfRule type="timePeriod" dxfId="2103" priority="4573" timePeriod="last7Days">
      <formula>AND(TODAY()-FLOOR(D12,1)&lt;=6,FLOOR(D12,1)&lt;=TODAY())</formula>
    </cfRule>
  </conditionalFormatting>
  <conditionalFormatting sqref="D77">
    <cfRule type="timePeriod" dxfId="2102" priority="4562" timePeriod="nextWeek">
      <formula>AND(ROUNDDOWN(D77,0)-TODAY()&gt;(7-WEEKDAY(TODAY())),ROUNDDOWN(D77,0)-TODAY()&lt;(15-WEEKDAY(TODAY())))</formula>
    </cfRule>
  </conditionalFormatting>
  <conditionalFormatting sqref="D138">
    <cfRule type="timePeriod" priority="94" timePeriod="nextWeek">
      <formula>AND(ROUNDDOWN(D138,0)-TODAY()&gt;(7-WEEKDAY(TODAY())),ROUNDDOWN(D138,0)-TODAY()&lt;(15-WEEKDAY(TODAY())))</formula>
    </cfRule>
    <cfRule type="timePeriod" dxfId="2101" priority="95" timePeriod="last7Days">
      <formula>AND(TODAY()-FLOOR(D138,1)&lt;=6,FLOOR(D138,1)&lt;=TODAY())</formula>
    </cfRule>
    <cfRule type="timePeriod" dxfId="2100" priority="96" timePeriod="thisWeek">
      <formula>AND(TODAY()-ROUNDDOWN(D138,0)&lt;=WEEKDAY(TODAY())-1,ROUNDDOWN(D138,0)-TODAY()&lt;=7-WEEKDAY(TODAY()))</formula>
    </cfRule>
    <cfRule type="timePeriod" dxfId="2099" priority="97" timePeriod="nextWeek">
      <formula>AND(ROUNDDOWN(D138,0)-TODAY()&gt;(7-WEEKDAY(TODAY())),ROUNDDOWN(D138,0)-TODAY()&lt;(15-WEEKDAY(TODAY())))</formula>
    </cfRule>
  </conditionalFormatting>
  <conditionalFormatting sqref="E142:F145 AJ5:AJ29 AI72:AJ72 AG145:AJ145 AI73">
    <cfRule type="containsText" dxfId="2098" priority="3371" operator="containsText" text="EL">
      <formula>NOT(ISERROR(SEARCH("EL",E5)))</formula>
    </cfRule>
  </conditionalFormatting>
  <conditionalFormatting sqref="E142:F145 BG146:BH146 AG144:AI145 AJ5:AJ29 AG144:BP144 AT59:BP59 AO143:BP143 AQ145:BP145 AI72">
    <cfRule type="containsText" dxfId="2097" priority="3367" operator="containsText" text="AB">
      <formula>NOT(ISERROR(SEARCH("AB",E5)))</formula>
    </cfRule>
  </conditionalFormatting>
  <conditionalFormatting sqref="E145:F145">
    <cfRule type="containsText" dxfId="2096" priority="3370" operator="containsText" text="AL">
      <formula>NOT(ISERROR(SEARCH("AL",E145)))</formula>
    </cfRule>
    <cfRule type="containsText" dxfId="2095" priority="3369" operator="containsText" text="OFF">
      <formula>NOT(ISERROR(SEARCH("OFF",E145)))</formula>
    </cfRule>
    <cfRule type="containsText" dxfId="2094" priority="3368" operator="containsText" text="Sick">
      <formula>NOT(ISERROR(SEARCH("Sick",E145)))</formula>
    </cfRule>
    <cfRule type="containsText" dxfId="2093" priority="3366" operator="containsText" text="MC">
      <formula>NOT(ISERROR(SEARCH("MC",E145)))</formula>
    </cfRule>
    <cfRule type="containsText" dxfId="2092" priority="3365" operator="containsText" text="FL">
      <formula>NOT(ISERROR(SEARCH("FL",E145)))</formula>
    </cfRule>
    <cfRule type="containsText" dxfId="2091" priority="3363" operator="containsText" text="AB">
      <formula>NOT(ISERROR(SEARCH("AB",E145)))</formula>
    </cfRule>
    <cfRule type="containsText" dxfId="2090" priority="3364" operator="containsText" text="SUS">
      <formula>NOT(ISERROR(SEARCH("SUS",E145)))</formula>
    </cfRule>
  </conditionalFormatting>
  <conditionalFormatting sqref="E16:H16 I16:AH21">
    <cfRule type="containsText" dxfId="2089" priority="114" operator="containsText" text="FL">
      <formula>NOT(ISERROR(SEARCH("FL",E16)))</formula>
    </cfRule>
    <cfRule type="containsText" dxfId="2088" priority="115" operator="containsText" text="MC">
      <formula>NOT(ISERROR(SEARCH("MC",E16)))</formula>
    </cfRule>
    <cfRule type="containsText" dxfId="2087" priority="116" operator="containsText" text="AB">
      <formula>NOT(ISERROR(SEARCH("AB",E16)))</formula>
    </cfRule>
    <cfRule type="containsText" dxfId="2086" priority="117" operator="containsText" text="Sick">
      <formula>NOT(ISERROR(SEARCH("Sick",E16)))</formula>
    </cfRule>
    <cfRule type="containsText" dxfId="2085" priority="119" operator="containsText" text="AL">
      <formula>NOT(ISERROR(SEARCH("AL",E16)))</formula>
    </cfRule>
    <cfRule type="containsText" dxfId="2084" priority="118" operator="containsText" text="OFF">
      <formula>NOT(ISERROR(SEARCH("OFF",E16)))</formula>
    </cfRule>
    <cfRule type="containsText" dxfId="2083" priority="110" operator="containsText" text="EL">
      <formula>NOT(ISERROR(SEARCH("EL",E16)))</formula>
    </cfRule>
    <cfRule type="containsText" dxfId="2082" priority="111" operator="containsText" text="SP">
      <formula>NOT(ISERROR(SEARCH("SP",E16)))</formula>
    </cfRule>
    <cfRule type="containsText" dxfId="2081" priority="112" operator="containsText" text="NL">
      <formula>NOT(ISERROR(SEARCH("NL",E16)))</formula>
    </cfRule>
    <cfRule type="containsText" dxfId="2080" priority="113" operator="containsText" text="SUS">
      <formula>NOT(ISERROR(SEARCH("SUS",E16)))</formula>
    </cfRule>
  </conditionalFormatting>
  <conditionalFormatting sqref="E53:Z53">
    <cfRule type="containsText" dxfId="2079" priority="128" operator="containsText" text="SICK">
      <formula>NOT(ISERROR(SEARCH("SICK",E53)))</formula>
    </cfRule>
    <cfRule type="containsText" dxfId="2078" priority="124" operator="containsText" text="EL">
      <formula>NOT(ISERROR(SEARCH("EL",E53)))</formula>
    </cfRule>
    <cfRule type="containsText" dxfId="2077" priority="127" operator="containsText" text="AB">
      <formula>NOT(ISERROR(SEARCH("AB",E53)))</formula>
    </cfRule>
    <cfRule type="containsText" dxfId="2076" priority="126" operator="containsText" text="OFF">
      <formula>NOT(ISERROR(SEARCH("OFF",E53)))</formula>
    </cfRule>
    <cfRule type="containsText" dxfId="2075" priority="123" operator="containsText" text="FL">
      <formula>NOT(ISERROR(SEARCH("FL",E53)))</formula>
    </cfRule>
    <cfRule type="containsText" dxfId="2074" priority="122" operator="containsText" text="SUS">
      <formula>NOT(ISERROR(SEARCH("SUS",E53)))</formula>
    </cfRule>
    <cfRule type="containsText" dxfId="2073" priority="125" operator="containsText" text="MC">
      <formula>NOT(ISERROR(SEARCH("MC",E53)))</formula>
    </cfRule>
    <cfRule type="containsText" dxfId="2072" priority="120" operator="containsText" text="SP">
      <formula>NOT(ISERROR(SEARCH("SP",E53)))</formula>
    </cfRule>
    <cfRule type="containsText" dxfId="2071" priority="129" operator="containsText" text="AL">
      <formula>NOT(ISERROR(SEARCH("AL",E53)))</formula>
    </cfRule>
    <cfRule type="containsText" dxfId="2070" priority="121" operator="containsText" text="NL">
      <formula>NOT(ISERROR(SEARCH("NL",E53)))</formula>
    </cfRule>
  </conditionalFormatting>
  <conditionalFormatting sqref="I5:J5">
    <cfRule type="containsText" dxfId="2069" priority="620" operator="containsText" text="AL">
      <formula>NOT(ISERROR(SEARCH("AL",I5)))</formula>
    </cfRule>
    <cfRule type="containsText" dxfId="2068" priority="619" operator="containsText" text="OFF">
      <formula>NOT(ISERROR(SEARCH("OFF",I5)))</formula>
    </cfRule>
    <cfRule type="containsText" dxfId="2067" priority="618" operator="containsText" text="Sick">
      <formula>NOT(ISERROR(SEARCH("Sick",I5)))</formula>
    </cfRule>
    <cfRule type="containsText" dxfId="2066" priority="617" operator="containsText" text="AB">
      <formula>NOT(ISERROR(SEARCH("AB",I5)))</formula>
    </cfRule>
    <cfRule type="containsText" dxfId="2065" priority="616" operator="containsText" text="MC">
      <formula>NOT(ISERROR(SEARCH("MC",I5)))</formula>
    </cfRule>
    <cfRule type="containsText" dxfId="2064" priority="615" operator="containsText" text="FL">
      <formula>NOT(ISERROR(SEARCH("FL",I5)))</formula>
    </cfRule>
    <cfRule type="containsText" dxfId="2063" priority="614" operator="containsText" text="SUS">
      <formula>NOT(ISERROR(SEARCH("SUS",I5)))</formula>
    </cfRule>
    <cfRule type="containsText" dxfId="2062" priority="612" operator="containsText" text="EL">
      <formula>NOT(ISERROR(SEARCH("EL",I5)))</formula>
    </cfRule>
    <cfRule type="containsText" dxfId="2061" priority="613" operator="containsText" text="AB">
      <formula>NOT(ISERROR(SEARCH("AB",I5)))</formula>
    </cfRule>
  </conditionalFormatting>
  <conditionalFormatting sqref="I8:J8">
    <cfRule type="containsText" dxfId="2060" priority="605" operator="containsText" text="SUS">
      <formula>NOT(ISERROR(SEARCH("SUS",I8)))</formula>
    </cfRule>
    <cfRule type="containsText" dxfId="2059" priority="604" operator="containsText" text="AB">
      <formula>NOT(ISERROR(SEARCH("AB",I8)))</formula>
    </cfRule>
    <cfRule type="containsText" dxfId="2058" priority="603" operator="containsText" text="EL">
      <formula>NOT(ISERROR(SEARCH("EL",I8)))</formula>
    </cfRule>
    <cfRule type="containsText" dxfId="2057" priority="606" operator="containsText" text="FL">
      <formula>NOT(ISERROR(SEARCH("FL",I8)))</formula>
    </cfRule>
    <cfRule type="containsText" dxfId="2056" priority="607" operator="containsText" text="MC">
      <formula>NOT(ISERROR(SEARCH("MC",I8)))</formula>
    </cfRule>
    <cfRule type="containsText" dxfId="2055" priority="608" operator="containsText" text="AB">
      <formula>NOT(ISERROR(SEARCH("AB",I8)))</formula>
    </cfRule>
    <cfRule type="containsText" dxfId="2054" priority="609" operator="containsText" text="Sick">
      <formula>NOT(ISERROR(SEARCH("Sick",I8)))</formula>
    </cfRule>
    <cfRule type="containsText" dxfId="2053" priority="610" operator="containsText" text="OFF">
      <formula>NOT(ISERROR(SEARCH("OFF",I8)))</formula>
    </cfRule>
    <cfRule type="containsText" dxfId="2052" priority="611" operator="containsText" text="AL">
      <formula>NOT(ISERROR(SEARCH("AL",I8)))</formula>
    </cfRule>
  </conditionalFormatting>
  <conditionalFormatting sqref="I12:J14">
    <cfRule type="containsText" dxfId="2051" priority="602" operator="containsText" text="AL">
      <formula>NOT(ISERROR(SEARCH("AL",I12)))</formula>
    </cfRule>
    <cfRule type="containsText" dxfId="2050" priority="601" operator="containsText" text="OFF">
      <formula>NOT(ISERROR(SEARCH("OFF",I12)))</formula>
    </cfRule>
    <cfRule type="containsText" dxfId="2049" priority="600" operator="containsText" text="Sick">
      <formula>NOT(ISERROR(SEARCH("Sick",I12)))</formula>
    </cfRule>
    <cfRule type="containsText" dxfId="2048" priority="599" operator="containsText" text="AB">
      <formula>NOT(ISERROR(SEARCH("AB",I12)))</formula>
    </cfRule>
    <cfRule type="containsText" dxfId="2047" priority="598" operator="containsText" text="MC">
      <formula>NOT(ISERROR(SEARCH("MC",I12)))</formula>
    </cfRule>
    <cfRule type="containsText" dxfId="2046" priority="597" operator="containsText" text="FL">
      <formula>NOT(ISERROR(SEARCH("FL",I12)))</formula>
    </cfRule>
    <cfRule type="containsText" dxfId="2045" priority="596" operator="containsText" text="SUS">
      <formula>NOT(ISERROR(SEARCH("SUS",I12)))</formula>
    </cfRule>
    <cfRule type="containsText" dxfId="2044" priority="595" operator="containsText" text="AB">
      <formula>NOT(ISERROR(SEARCH("AB",I12)))</formula>
    </cfRule>
    <cfRule type="containsText" dxfId="2043" priority="594" operator="containsText" text="EL">
      <formula>NOT(ISERROR(SEARCH("EL",I12)))</formula>
    </cfRule>
  </conditionalFormatting>
  <conditionalFormatting sqref="I14:J14">
    <cfRule type="containsText" dxfId="2042" priority="568" operator="containsText" text="AB">
      <formula>NOT(ISERROR(SEARCH("AB",I14)))</formula>
    </cfRule>
    <cfRule type="containsText" dxfId="2041" priority="575" operator="containsText" text="AL">
      <formula>NOT(ISERROR(SEARCH("AL",I14)))</formula>
    </cfRule>
    <cfRule type="containsText" dxfId="2040" priority="570" operator="containsText" text="FL">
      <formula>NOT(ISERROR(SEARCH("FL",I14)))</formula>
    </cfRule>
    <cfRule type="containsText" dxfId="2039" priority="571" operator="containsText" text="MC">
      <formula>NOT(ISERROR(SEARCH("MC",I14)))</formula>
    </cfRule>
    <cfRule type="containsText" dxfId="2038" priority="572" operator="containsText" text="AB">
      <formula>NOT(ISERROR(SEARCH("AB",I14)))</formula>
    </cfRule>
    <cfRule type="containsText" dxfId="2037" priority="569" operator="containsText" text="SUS">
      <formula>NOT(ISERROR(SEARCH("SUS",I14)))</formula>
    </cfRule>
    <cfRule type="containsText" dxfId="2036" priority="573" operator="containsText" text="Sick">
      <formula>NOT(ISERROR(SEARCH("Sick",I14)))</formula>
    </cfRule>
    <cfRule type="containsText" dxfId="2035" priority="574" operator="containsText" text="OFF">
      <formula>NOT(ISERROR(SEARCH("OFF",I14)))</formula>
    </cfRule>
    <cfRule type="containsText" dxfId="2034" priority="567" operator="containsText" text="EL">
      <formula>NOT(ISERROR(SEARCH("EL",I14)))</formula>
    </cfRule>
  </conditionalFormatting>
  <conditionalFormatting sqref="I20:J21">
    <cfRule type="containsText" dxfId="2033" priority="576" operator="containsText" text="EL">
      <formula>NOT(ISERROR(SEARCH("EL",I20)))</formula>
    </cfRule>
    <cfRule type="containsText" dxfId="2032" priority="581" operator="containsText" text="AB">
      <formula>NOT(ISERROR(SEARCH("AB",I20)))</formula>
    </cfRule>
    <cfRule type="containsText" dxfId="2031" priority="580" operator="containsText" text="MC">
      <formula>NOT(ISERROR(SEARCH("MC",I20)))</formula>
    </cfRule>
    <cfRule type="containsText" dxfId="2030" priority="579" operator="containsText" text="FL">
      <formula>NOT(ISERROR(SEARCH("FL",I20)))</formula>
    </cfRule>
    <cfRule type="containsText" dxfId="2029" priority="578" operator="containsText" text="SUS">
      <formula>NOT(ISERROR(SEARCH("SUS",I20)))</formula>
    </cfRule>
    <cfRule type="containsText" dxfId="2028" priority="577" operator="containsText" text="AB">
      <formula>NOT(ISERROR(SEARCH("AB",I20)))</formula>
    </cfRule>
    <cfRule type="containsText" dxfId="2027" priority="584" operator="containsText" text="AL">
      <formula>NOT(ISERROR(SEARCH("AL",I20)))</formula>
    </cfRule>
    <cfRule type="containsText" dxfId="2026" priority="582" operator="containsText" text="Sick">
      <formula>NOT(ISERROR(SEARCH("Sick",I20)))</formula>
    </cfRule>
    <cfRule type="containsText" dxfId="2025" priority="583" operator="containsText" text="OFF">
      <formula>NOT(ISERROR(SEARCH("OFF",I20)))</formula>
    </cfRule>
  </conditionalFormatting>
  <conditionalFormatting sqref="I25:J28">
    <cfRule type="containsText" dxfId="2024" priority="587" operator="containsText" text="SUS">
      <formula>NOT(ISERROR(SEARCH("SUS",I25)))</formula>
    </cfRule>
    <cfRule type="containsText" dxfId="2023" priority="589" operator="containsText" text="MC">
      <formula>NOT(ISERROR(SEARCH("MC",I25)))</formula>
    </cfRule>
    <cfRule type="containsText" dxfId="2022" priority="590" operator="containsText" text="AB">
      <formula>NOT(ISERROR(SEARCH("AB",I25)))</formula>
    </cfRule>
    <cfRule type="containsText" dxfId="2021" priority="591" operator="containsText" text="Sick">
      <formula>NOT(ISERROR(SEARCH("Sick",I25)))</formula>
    </cfRule>
    <cfRule type="containsText" dxfId="2020" priority="592" operator="containsText" text="OFF">
      <formula>NOT(ISERROR(SEARCH("OFF",I25)))</formula>
    </cfRule>
    <cfRule type="containsText" dxfId="2019" priority="593" operator="containsText" text="AL">
      <formula>NOT(ISERROR(SEARCH("AL",I25)))</formula>
    </cfRule>
    <cfRule type="containsText" dxfId="2018" priority="588" operator="containsText" text="FL">
      <formula>NOT(ISERROR(SEARCH("FL",I25)))</formula>
    </cfRule>
    <cfRule type="containsText" dxfId="2017" priority="585" operator="containsText" text="EL">
      <formula>NOT(ISERROR(SEARCH("EL",I25)))</formula>
    </cfRule>
    <cfRule type="containsText" dxfId="2016" priority="586" operator="containsText" text="AB">
      <formula>NOT(ISERROR(SEARCH("AB",I25)))</formula>
    </cfRule>
  </conditionalFormatting>
  <conditionalFormatting sqref="I44:J44">
    <cfRule type="containsText" dxfId="2015" priority="566" operator="containsText" text="AL">
      <formula>NOT(ISERROR(SEARCH("AL",I44)))</formula>
    </cfRule>
    <cfRule type="containsText" dxfId="2014" priority="565" operator="containsText" text="OFF">
      <formula>NOT(ISERROR(SEARCH("OFF",I44)))</formula>
    </cfRule>
    <cfRule type="containsText" dxfId="2013" priority="564" operator="containsText" text="Sick">
      <formula>NOT(ISERROR(SEARCH("Sick",I44)))</formula>
    </cfRule>
    <cfRule type="containsText" dxfId="2012" priority="563" operator="containsText" text="AB">
      <formula>NOT(ISERROR(SEARCH("AB",I44)))</formula>
    </cfRule>
    <cfRule type="containsText" dxfId="2011" priority="561" operator="containsText" text="FL">
      <formula>NOT(ISERROR(SEARCH("FL",I44)))</formula>
    </cfRule>
    <cfRule type="containsText" dxfId="2010" priority="560" operator="containsText" text="SUS">
      <formula>NOT(ISERROR(SEARCH("SUS",I44)))</formula>
    </cfRule>
    <cfRule type="containsText" dxfId="2009" priority="559" operator="containsText" text="AB">
      <formula>NOT(ISERROR(SEARCH("AB",I44)))</formula>
    </cfRule>
    <cfRule type="containsText" dxfId="2008" priority="558" operator="containsText" text="EL">
      <formula>NOT(ISERROR(SEARCH("EL",I44)))</formula>
    </cfRule>
    <cfRule type="containsText" dxfId="2007" priority="562" operator="containsText" text="MC">
      <formula>NOT(ISERROR(SEARCH("MC",I44)))</formula>
    </cfRule>
  </conditionalFormatting>
  <conditionalFormatting sqref="I47:J48">
    <cfRule type="containsText" dxfId="2006" priority="555" operator="containsText" text="Sick">
      <formula>NOT(ISERROR(SEARCH("Sick",I47)))</formula>
    </cfRule>
    <cfRule type="containsText" dxfId="2005" priority="554" operator="containsText" text="AB">
      <formula>NOT(ISERROR(SEARCH("AB",I47)))</formula>
    </cfRule>
    <cfRule type="containsText" dxfId="2004" priority="553" operator="containsText" text="MC">
      <formula>NOT(ISERROR(SEARCH("MC",I47)))</formula>
    </cfRule>
    <cfRule type="containsText" dxfId="2003" priority="552" operator="containsText" text="FL">
      <formula>NOT(ISERROR(SEARCH("FL",I47)))</formula>
    </cfRule>
    <cfRule type="containsText" dxfId="2002" priority="551" operator="containsText" text="SUS">
      <formula>NOT(ISERROR(SEARCH("SUS",I47)))</formula>
    </cfRule>
    <cfRule type="containsText" dxfId="2001" priority="550" operator="containsText" text="AB">
      <formula>NOT(ISERROR(SEARCH("AB",I47)))</formula>
    </cfRule>
    <cfRule type="containsText" dxfId="2000" priority="549" operator="containsText" text="EL">
      <formula>NOT(ISERROR(SEARCH("EL",I47)))</formula>
    </cfRule>
    <cfRule type="containsText" dxfId="1999" priority="557" operator="containsText" text="AL">
      <formula>NOT(ISERROR(SEARCH("AL",I47)))</formula>
    </cfRule>
    <cfRule type="containsText" dxfId="1998" priority="556" operator="containsText" text="OFF">
      <formula>NOT(ISERROR(SEARCH("OFF",I47)))</formula>
    </cfRule>
  </conditionalFormatting>
  <conditionalFormatting sqref="I50:J50">
    <cfRule type="containsText" dxfId="1997" priority="546" operator="containsText" text="Sick">
      <formula>NOT(ISERROR(SEARCH("Sick",I50)))</formula>
    </cfRule>
    <cfRule type="containsText" dxfId="1996" priority="545" operator="containsText" text="AB">
      <formula>NOT(ISERROR(SEARCH("AB",I50)))</formula>
    </cfRule>
    <cfRule type="containsText" dxfId="1995" priority="544" operator="containsText" text="MC">
      <formula>NOT(ISERROR(SEARCH("MC",I50)))</formula>
    </cfRule>
    <cfRule type="containsText" dxfId="1994" priority="543" operator="containsText" text="FL">
      <formula>NOT(ISERROR(SEARCH("FL",I50)))</formula>
    </cfRule>
    <cfRule type="containsText" dxfId="1993" priority="542" operator="containsText" text="SUS">
      <formula>NOT(ISERROR(SEARCH("SUS",I50)))</formula>
    </cfRule>
    <cfRule type="containsText" dxfId="1992" priority="541" operator="containsText" text="AB">
      <formula>NOT(ISERROR(SEARCH("AB",I50)))</formula>
    </cfRule>
    <cfRule type="containsText" dxfId="1991" priority="540" operator="containsText" text="EL">
      <formula>NOT(ISERROR(SEARCH("EL",I50)))</formula>
    </cfRule>
    <cfRule type="containsText" dxfId="1990" priority="548" operator="containsText" text="AL">
      <formula>NOT(ISERROR(SEARCH("AL",I50)))</formula>
    </cfRule>
    <cfRule type="containsText" dxfId="1989" priority="547" operator="containsText" text="OFF">
      <formula>NOT(ISERROR(SEARCH("OFF",I50)))</formula>
    </cfRule>
  </conditionalFormatting>
  <conditionalFormatting sqref="I54:J57">
    <cfRule type="containsText" dxfId="1988" priority="539" operator="containsText" text="AL">
      <formula>NOT(ISERROR(SEARCH("AL",I54)))</formula>
    </cfRule>
    <cfRule type="containsText" dxfId="1987" priority="538" operator="containsText" text="OFF">
      <formula>NOT(ISERROR(SEARCH("OFF",I54)))</formula>
    </cfRule>
    <cfRule type="containsText" dxfId="1986" priority="537" operator="containsText" text="Sick">
      <formula>NOT(ISERROR(SEARCH("Sick",I54)))</formula>
    </cfRule>
    <cfRule type="containsText" dxfId="1985" priority="536" operator="containsText" text="AB">
      <formula>NOT(ISERROR(SEARCH("AB",I54)))</formula>
    </cfRule>
    <cfRule type="containsText" dxfId="1984" priority="535" operator="containsText" text="MC">
      <formula>NOT(ISERROR(SEARCH("MC",I54)))</formula>
    </cfRule>
    <cfRule type="containsText" dxfId="1983" priority="534" operator="containsText" text="FL">
      <formula>NOT(ISERROR(SEARCH("FL",I54)))</formula>
    </cfRule>
    <cfRule type="containsText" dxfId="1982" priority="533" operator="containsText" text="SUS">
      <formula>NOT(ISERROR(SEARCH("SUS",I54)))</formula>
    </cfRule>
    <cfRule type="containsText" dxfId="1981" priority="532" operator="containsText" text="AB">
      <formula>NOT(ISERROR(SEARCH("AB",I54)))</formula>
    </cfRule>
    <cfRule type="containsText" dxfId="1980" priority="531" operator="containsText" text="EL">
      <formula>NOT(ISERROR(SEARCH("EL",I54)))</formula>
    </cfRule>
  </conditionalFormatting>
  <conditionalFormatting sqref="I60:J61">
    <cfRule type="containsText" dxfId="1979" priority="530" operator="containsText" text="AL">
      <formula>NOT(ISERROR(SEARCH("AL",I60)))</formula>
    </cfRule>
    <cfRule type="containsText" dxfId="1978" priority="529" operator="containsText" text="OFF">
      <formula>NOT(ISERROR(SEARCH("OFF",I60)))</formula>
    </cfRule>
    <cfRule type="containsText" dxfId="1977" priority="528" operator="containsText" text="Sick">
      <formula>NOT(ISERROR(SEARCH("Sick",I60)))</formula>
    </cfRule>
    <cfRule type="containsText" dxfId="1976" priority="527" operator="containsText" text="AB">
      <formula>NOT(ISERROR(SEARCH("AB",I60)))</formula>
    </cfRule>
    <cfRule type="containsText" dxfId="1975" priority="526" operator="containsText" text="MC">
      <formula>NOT(ISERROR(SEARCH("MC",I60)))</formula>
    </cfRule>
    <cfRule type="containsText" dxfId="1974" priority="525" operator="containsText" text="FL">
      <formula>NOT(ISERROR(SEARCH("FL",I60)))</formula>
    </cfRule>
    <cfRule type="containsText" dxfId="1973" priority="524" operator="containsText" text="SUS">
      <formula>NOT(ISERROR(SEARCH("SUS",I60)))</formula>
    </cfRule>
    <cfRule type="containsText" dxfId="1972" priority="523" operator="containsText" text="AB">
      <formula>NOT(ISERROR(SEARCH("AB",I60)))</formula>
    </cfRule>
    <cfRule type="containsText" dxfId="1971" priority="522" operator="containsText" text="EL">
      <formula>NOT(ISERROR(SEARCH("EL",I60)))</formula>
    </cfRule>
  </conditionalFormatting>
  <conditionalFormatting sqref="I64:J64 I140:J140 AG145 BG146">
    <cfRule type="containsText" dxfId="1970" priority="3349" operator="containsText" text="AB">
      <formula>NOT(ISERROR(SEARCH("AB",I64)))</formula>
    </cfRule>
  </conditionalFormatting>
  <conditionalFormatting sqref="I64:J64 I140:J140 AG145:AI145 BG146">
    <cfRule type="containsText" dxfId="1969" priority="3352" operator="containsText" text="AL">
      <formula>NOT(ISERROR(SEARCH("AL",I64)))</formula>
    </cfRule>
    <cfRule type="containsText" dxfId="1968" priority="3351" operator="containsText" text="OFF">
      <formula>NOT(ISERROR(SEARCH("OFF",I64)))</formula>
    </cfRule>
    <cfRule type="containsText" dxfId="1967" priority="3350" operator="containsText" text="Sick">
      <formula>NOT(ISERROR(SEARCH("Sick",I64)))</formula>
    </cfRule>
  </conditionalFormatting>
  <conditionalFormatting sqref="I64:J64 I140:J140 BG146 AJ5:AJ29 AG144:AI144 AG145:AJ145 E142:F144">
    <cfRule type="containsText" dxfId="1966" priority="3348" operator="containsText" text="MC">
      <formula>NOT(ISERROR(SEARCH("MC",E5)))</formula>
    </cfRule>
  </conditionalFormatting>
  <conditionalFormatting sqref="I64:J64 I140:J140 BG146">
    <cfRule type="containsText" dxfId="1965" priority="3346" operator="containsText" text="SUS">
      <formula>NOT(ISERROR(SEARCH("SUS",I64)))</formula>
    </cfRule>
    <cfRule type="containsText" dxfId="1964" priority="3347" operator="containsText" text="FL">
      <formula>NOT(ISERROR(SEARCH("FL",I64)))</formula>
    </cfRule>
  </conditionalFormatting>
  <conditionalFormatting sqref="I66:J67">
    <cfRule type="containsText" dxfId="1963" priority="512" operator="containsText" text="AL">
      <formula>NOT(ISERROR(SEARCH("AL",I66)))</formula>
    </cfRule>
    <cfRule type="containsText" dxfId="1962" priority="511" operator="containsText" text="OFF">
      <formula>NOT(ISERROR(SEARCH("OFF",I66)))</formula>
    </cfRule>
    <cfRule type="containsText" dxfId="1961" priority="510" operator="containsText" text="Sick">
      <formula>NOT(ISERROR(SEARCH("Sick",I66)))</formula>
    </cfRule>
    <cfRule type="containsText" dxfId="1960" priority="509" operator="containsText" text="AB">
      <formula>NOT(ISERROR(SEARCH("AB",I66)))</formula>
    </cfRule>
    <cfRule type="containsText" dxfId="1959" priority="504" operator="containsText" text="EL">
      <formula>NOT(ISERROR(SEARCH("EL",I66)))</formula>
    </cfRule>
    <cfRule type="containsText" dxfId="1958" priority="505" operator="containsText" text="AB">
      <formula>NOT(ISERROR(SEARCH("AB",I66)))</formula>
    </cfRule>
    <cfRule type="containsText" dxfId="1957" priority="506" operator="containsText" text="SUS">
      <formula>NOT(ISERROR(SEARCH("SUS",I66)))</formula>
    </cfRule>
    <cfRule type="containsText" dxfId="1956" priority="507" operator="containsText" text="FL">
      <formula>NOT(ISERROR(SEARCH("FL",I66)))</formula>
    </cfRule>
    <cfRule type="containsText" dxfId="1955" priority="508" operator="containsText" text="MC">
      <formula>NOT(ISERROR(SEARCH("MC",I66)))</formula>
    </cfRule>
  </conditionalFormatting>
  <conditionalFormatting sqref="I71:J71">
    <cfRule type="containsText" dxfId="1954" priority="501" operator="containsText" text="Sick">
      <formula>NOT(ISERROR(SEARCH("Sick",I71)))</formula>
    </cfRule>
    <cfRule type="containsText" dxfId="1953" priority="502" operator="containsText" text="OFF">
      <formula>NOT(ISERROR(SEARCH("OFF",I71)))</formula>
    </cfRule>
    <cfRule type="containsText" dxfId="1952" priority="500" operator="containsText" text="AB">
      <formula>NOT(ISERROR(SEARCH("AB",I71)))</formula>
    </cfRule>
    <cfRule type="containsText" dxfId="1951" priority="503" operator="containsText" text="AL">
      <formula>NOT(ISERROR(SEARCH("AL",I71)))</formula>
    </cfRule>
    <cfRule type="containsText" dxfId="1950" priority="497" operator="containsText" text="SUS">
      <formula>NOT(ISERROR(SEARCH("SUS",I71)))</formula>
    </cfRule>
    <cfRule type="containsText" dxfId="1949" priority="498" operator="containsText" text="FL">
      <formula>NOT(ISERROR(SEARCH("FL",I71)))</formula>
    </cfRule>
    <cfRule type="containsText" dxfId="1948" priority="499" operator="containsText" text="MC">
      <formula>NOT(ISERROR(SEARCH("MC",I71)))</formula>
    </cfRule>
    <cfRule type="containsText" dxfId="1947" priority="496" operator="containsText" text="AB">
      <formula>NOT(ISERROR(SEARCH("AB",I71)))</formula>
    </cfRule>
    <cfRule type="containsText" dxfId="1946" priority="495" operator="containsText" text="EL">
      <formula>NOT(ISERROR(SEARCH("EL",I71)))</formula>
    </cfRule>
  </conditionalFormatting>
  <conditionalFormatting sqref="I75:J75">
    <cfRule type="containsText" dxfId="1945" priority="492" operator="containsText" text="Sick">
      <formula>NOT(ISERROR(SEARCH("Sick",I75)))</formula>
    </cfRule>
    <cfRule type="containsText" dxfId="1944" priority="486" operator="containsText" text="EL">
      <formula>NOT(ISERROR(SEARCH("EL",I75)))</formula>
    </cfRule>
    <cfRule type="containsText" dxfId="1943" priority="487" operator="containsText" text="AB">
      <formula>NOT(ISERROR(SEARCH("AB",I75)))</formula>
    </cfRule>
    <cfRule type="containsText" dxfId="1942" priority="488" operator="containsText" text="SUS">
      <formula>NOT(ISERROR(SEARCH("SUS",I75)))</formula>
    </cfRule>
    <cfRule type="containsText" dxfId="1941" priority="490" operator="containsText" text="MC">
      <formula>NOT(ISERROR(SEARCH("MC",I75)))</formula>
    </cfRule>
    <cfRule type="containsText" dxfId="1940" priority="489" operator="containsText" text="FL">
      <formula>NOT(ISERROR(SEARCH("FL",I75)))</formula>
    </cfRule>
    <cfRule type="containsText" dxfId="1939" priority="494" operator="containsText" text="AL">
      <formula>NOT(ISERROR(SEARCH("AL",I75)))</formula>
    </cfRule>
    <cfRule type="containsText" dxfId="1938" priority="493" operator="containsText" text="OFF">
      <formula>NOT(ISERROR(SEARCH("OFF",I75)))</formula>
    </cfRule>
    <cfRule type="containsText" dxfId="1937" priority="491" operator="containsText" text="AB">
      <formula>NOT(ISERROR(SEARCH("AB",I75)))</formula>
    </cfRule>
  </conditionalFormatting>
  <conditionalFormatting sqref="I77:J79">
    <cfRule type="containsText" dxfId="1936" priority="481" operator="containsText" text="MC">
      <formula>NOT(ISERROR(SEARCH("MC",I77)))</formula>
    </cfRule>
    <cfRule type="containsText" dxfId="1935" priority="485" operator="containsText" text="AL">
      <formula>NOT(ISERROR(SEARCH("AL",I77)))</formula>
    </cfRule>
    <cfRule type="containsText" dxfId="1934" priority="484" operator="containsText" text="OFF">
      <formula>NOT(ISERROR(SEARCH("OFF",I77)))</formula>
    </cfRule>
    <cfRule type="containsText" dxfId="1933" priority="483" operator="containsText" text="Sick">
      <formula>NOT(ISERROR(SEARCH("Sick",I77)))</formula>
    </cfRule>
    <cfRule type="containsText" dxfId="1932" priority="480" operator="containsText" text="FL">
      <formula>NOT(ISERROR(SEARCH("FL",I77)))</formula>
    </cfRule>
    <cfRule type="containsText" dxfId="1931" priority="479" operator="containsText" text="SUS">
      <formula>NOT(ISERROR(SEARCH("SUS",I77)))</formula>
    </cfRule>
    <cfRule type="containsText" dxfId="1930" priority="478" operator="containsText" text="AB">
      <formula>NOT(ISERROR(SEARCH("AB",I77)))</formula>
    </cfRule>
    <cfRule type="containsText" dxfId="1929" priority="477" operator="containsText" text="EL">
      <formula>NOT(ISERROR(SEARCH("EL",I77)))</formula>
    </cfRule>
    <cfRule type="containsText" dxfId="1928" priority="482" operator="containsText" text="AB">
      <formula>NOT(ISERROR(SEARCH("AB",I77)))</formula>
    </cfRule>
  </conditionalFormatting>
  <conditionalFormatting sqref="I87:J87">
    <cfRule type="containsText" dxfId="1927" priority="469" operator="containsText" text="AB">
      <formula>NOT(ISERROR(SEARCH("AB",I87)))</formula>
    </cfRule>
    <cfRule type="containsText" dxfId="1926" priority="470" operator="containsText" text="SUS">
      <formula>NOT(ISERROR(SEARCH("SUS",I87)))</formula>
    </cfRule>
    <cfRule type="containsText" dxfId="1925" priority="472" operator="containsText" text="MC">
      <formula>NOT(ISERROR(SEARCH("MC",I87)))</formula>
    </cfRule>
    <cfRule type="containsText" dxfId="1924" priority="473" operator="containsText" text="AB">
      <formula>NOT(ISERROR(SEARCH("AB",I87)))</formula>
    </cfRule>
    <cfRule type="containsText" dxfId="1923" priority="474" operator="containsText" text="Sick">
      <formula>NOT(ISERROR(SEARCH("Sick",I87)))</formula>
    </cfRule>
    <cfRule type="containsText" dxfId="1922" priority="475" operator="containsText" text="OFF">
      <formula>NOT(ISERROR(SEARCH("OFF",I87)))</formula>
    </cfRule>
    <cfRule type="containsText" dxfId="1921" priority="476" operator="containsText" text="AL">
      <formula>NOT(ISERROR(SEARCH("AL",I87)))</formula>
    </cfRule>
    <cfRule type="containsText" dxfId="1920" priority="471" operator="containsText" text="FL">
      <formula>NOT(ISERROR(SEARCH("FL",I87)))</formula>
    </cfRule>
    <cfRule type="containsText" dxfId="1919" priority="468" operator="containsText" text="EL">
      <formula>NOT(ISERROR(SEARCH("EL",I87)))</formula>
    </cfRule>
  </conditionalFormatting>
  <conditionalFormatting sqref="I90:J90">
    <cfRule type="containsText" dxfId="1918" priority="462" operator="containsText" text="FL">
      <formula>NOT(ISERROR(SEARCH("FL",I90)))</formula>
    </cfRule>
    <cfRule type="containsText" dxfId="1917" priority="463" operator="containsText" text="MC">
      <formula>NOT(ISERROR(SEARCH("MC",I90)))</formula>
    </cfRule>
    <cfRule type="containsText" dxfId="1916" priority="464" operator="containsText" text="AB">
      <formula>NOT(ISERROR(SEARCH("AB",I90)))</formula>
    </cfRule>
    <cfRule type="containsText" dxfId="1915" priority="465" operator="containsText" text="Sick">
      <formula>NOT(ISERROR(SEARCH("Sick",I90)))</formula>
    </cfRule>
    <cfRule type="containsText" dxfId="1914" priority="466" operator="containsText" text="OFF">
      <formula>NOT(ISERROR(SEARCH("OFF",I90)))</formula>
    </cfRule>
    <cfRule type="containsText" dxfId="1913" priority="467" operator="containsText" text="AL">
      <formula>NOT(ISERROR(SEARCH("AL",I90)))</formula>
    </cfRule>
    <cfRule type="containsText" dxfId="1912" priority="459" operator="containsText" text="EL">
      <formula>NOT(ISERROR(SEARCH("EL",I90)))</formula>
    </cfRule>
    <cfRule type="containsText" dxfId="1911" priority="460" operator="containsText" text="AB">
      <formula>NOT(ISERROR(SEARCH("AB",I90)))</formula>
    </cfRule>
    <cfRule type="containsText" dxfId="1910" priority="461" operator="containsText" text="SUS">
      <formula>NOT(ISERROR(SEARCH("SUS",I90)))</formula>
    </cfRule>
  </conditionalFormatting>
  <conditionalFormatting sqref="I99:J100">
    <cfRule type="containsText" dxfId="1909" priority="452" operator="containsText" text="SUS">
      <formula>NOT(ISERROR(SEARCH("SUS",I99)))</formula>
    </cfRule>
    <cfRule type="containsText" dxfId="1908" priority="451" operator="containsText" text="AB">
      <formula>NOT(ISERROR(SEARCH("AB",I99)))</formula>
    </cfRule>
    <cfRule type="containsText" dxfId="1907" priority="450" operator="containsText" text="EL">
      <formula>NOT(ISERROR(SEARCH("EL",I99)))</formula>
    </cfRule>
    <cfRule type="containsText" dxfId="1906" priority="456" operator="containsText" text="Sick">
      <formula>NOT(ISERROR(SEARCH("Sick",I99)))</formula>
    </cfRule>
    <cfRule type="containsText" dxfId="1905" priority="453" operator="containsText" text="FL">
      <formula>NOT(ISERROR(SEARCH("FL",I99)))</formula>
    </cfRule>
    <cfRule type="containsText" dxfId="1904" priority="454" operator="containsText" text="MC">
      <formula>NOT(ISERROR(SEARCH("MC",I99)))</formula>
    </cfRule>
    <cfRule type="containsText" dxfId="1903" priority="455" operator="containsText" text="AB">
      <formula>NOT(ISERROR(SEARCH("AB",I99)))</formula>
    </cfRule>
    <cfRule type="containsText" dxfId="1902" priority="457" operator="containsText" text="OFF">
      <formula>NOT(ISERROR(SEARCH("OFF",I99)))</formula>
    </cfRule>
    <cfRule type="containsText" dxfId="1901" priority="458" operator="containsText" text="AL">
      <formula>NOT(ISERROR(SEARCH("AL",I99)))</formula>
    </cfRule>
  </conditionalFormatting>
  <conditionalFormatting sqref="I103:J105">
    <cfRule type="containsText" dxfId="1900" priority="441" operator="containsText" text="EL">
      <formula>NOT(ISERROR(SEARCH("EL",I103)))</formula>
    </cfRule>
    <cfRule type="containsText" dxfId="1899" priority="442" operator="containsText" text="AB">
      <formula>NOT(ISERROR(SEARCH("AB",I103)))</formula>
    </cfRule>
    <cfRule type="containsText" dxfId="1898" priority="443" operator="containsText" text="SUS">
      <formula>NOT(ISERROR(SEARCH("SUS",I103)))</formula>
    </cfRule>
    <cfRule type="containsText" dxfId="1897" priority="444" operator="containsText" text="FL">
      <formula>NOT(ISERROR(SEARCH("FL",I103)))</formula>
    </cfRule>
    <cfRule type="containsText" dxfId="1896" priority="445" operator="containsText" text="MC">
      <formula>NOT(ISERROR(SEARCH("MC",I103)))</formula>
    </cfRule>
    <cfRule type="containsText" dxfId="1895" priority="446" operator="containsText" text="AB">
      <formula>NOT(ISERROR(SEARCH("AB",I103)))</formula>
    </cfRule>
    <cfRule type="containsText" dxfId="1894" priority="447" operator="containsText" text="Sick">
      <formula>NOT(ISERROR(SEARCH("Sick",I103)))</formula>
    </cfRule>
    <cfRule type="containsText" dxfId="1893" priority="448" operator="containsText" text="OFF">
      <formula>NOT(ISERROR(SEARCH("OFF",I103)))</formula>
    </cfRule>
    <cfRule type="containsText" dxfId="1892" priority="449" operator="containsText" text="AL">
      <formula>NOT(ISERROR(SEARCH("AL",I103)))</formula>
    </cfRule>
  </conditionalFormatting>
  <conditionalFormatting sqref="I107:J107">
    <cfRule type="containsText" dxfId="1891" priority="435" operator="containsText" text="FL">
      <formula>NOT(ISERROR(SEARCH("FL",I107)))</formula>
    </cfRule>
    <cfRule type="containsText" dxfId="1890" priority="436" operator="containsText" text="MC">
      <formula>NOT(ISERROR(SEARCH("MC",I107)))</formula>
    </cfRule>
    <cfRule type="containsText" dxfId="1889" priority="437" operator="containsText" text="AB">
      <formula>NOT(ISERROR(SEARCH("AB",I107)))</formula>
    </cfRule>
    <cfRule type="containsText" dxfId="1888" priority="438" operator="containsText" text="Sick">
      <formula>NOT(ISERROR(SEARCH("Sick",I107)))</formula>
    </cfRule>
    <cfRule type="containsText" dxfId="1887" priority="439" operator="containsText" text="OFF">
      <formula>NOT(ISERROR(SEARCH("OFF",I107)))</formula>
    </cfRule>
    <cfRule type="containsText" dxfId="1886" priority="440" operator="containsText" text="AL">
      <formula>NOT(ISERROR(SEARCH("AL",I107)))</formula>
    </cfRule>
    <cfRule type="containsText" dxfId="1885" priority="432" operator="containsText" text="EL">
      <formula>NOT(ISERROR(SEARCH("EL",I107)))</formula>
    </cfRule>
    <cfRule type="containsText" dxfId="1884" priority="433" operator="containsText" text="AB">
      <formula>NOT(ISERROR(SEARCH("AB",I107)))</formula>
    </cfRule>
    <cfRule type="containsText" dxfId="1883" priority="434" operator="containsText" text="SUS">
      <formula>NOT(ISERROR(SEARCH("SUS",I107)))</formula>
    </cfRule>
  </conditionalFormatting>
  <conditionalFormatting sqref="I138:J138">
    <cfRule type="containsText" dxfId="1882" priority="84" operator="containsText" text="AL">
      <formula>NOT(ISERROR(SEARCH("AL",I138)))</formula>
    </cfRule>
    <cfRule type="containsText" dxfId="1881" priority="83" operator="containsText" text="OFF">
      <formula>NOT(ISERROR(SEARCH("OFF",I138)))</formula>
    </cfRule>
    <cfRule type="containsText" dxfId="1880" priority="82" operator="containsText" text="Sick">
      <formula>NOT(ISERROR(SEARCH("Sick",I138)))</formula>
    </cfRule>
    <cfRule type="containsText" dxfId="1879" priority="81" operator="containsText" text="AB">
      <formula>NOT(ISERROR(SEARCH("AB",I138)))</formula>
    </cfRule>
    <cfRule type="containsText" dxfId="1878" priority="80" operator="containsText" text="MC">
      <formula>NOT(ISERROR(SEARCH("MC",I138)))</formula>
    </cfRule>
    <cfRule type="containsText" dxfId="1877" priority="79" operator="containsText" text="FL">
      <formula>NOT(ISERROR(SEARCH("FL",I138)))</formula>
    </cfRule>
    <cfRule type="containsText" dxfId="1876" priority="78" operator="containsText" text="SUS">
      <formula>NOT(ISERROR(SEARCH("SUS",I138)))</formula>
    </cfRule>
    <cfRule type="containsText" dxfId="1875" priority="77" operator="containsText" text="AB">
      <formula>NOT(ISERROR(SEARCH("AB",I138)))</formula>
    </cfRule>
    <cfRule type="containsText" dxfId="1874" priority="76" operator="containsText" text="EL">
      <formula>NOT(ISERROR(SEARCH("EL",I138)))</formula>
    </cfRule>
  </conditionalFormatting>
  <conditionalFormatting sqref="L32:AA35">
    <cfRule type="containsText" dxfId="1873" priority="1732" stopIfTrue="1" operator="containsText" text="AB">
      <formula>NOT(ISERROR(SEARCH("AB",L32)))</formula>
    </cfRule>
    <cfRule type="containsText" dxfId="1872" priority="1733" stopIfTrue="1" operator="containsText" text="SICK">
      <formula>NOT(ISERROR(SEARCH("SICK",L32)))</formula>
    </cfRule>
    <cfRule type="containsText" dxfId="1871" priority="1734" stopIfTrue="1" operator="containsText" text="SP">
      <formula>NOT(ISERROR(SEARCH("SP",L32)))</formula>
    </cfRule>
    <cfRule type="containsText" priority="1735" stopIfTrue="1" operator="containsText" text="SP">
      <formula>NOT(ISERROR(SEARCH("SP",L32)))</formula>
    </cfRule>
    <cfRule type="containsText" dxfId="1870" priority="1736" stopIfTrue="1" operator="containsText" text="SICK">
      <formula>NOT(ISERROR(SEARCH("SICK",L32)))</formula>
    </cfRule>
  </conditionalFormatting>
  <conditionalFormatting sqref="M82:N82">
    <cfRule type="containsText" dxfId="1869" priority="430" operator="containsText" text="SICK">
      <formula>NOT(ISERROR(SEARCH("SICK",M82)))</formula>
    </cfRule>
    <cfRule type="containsText" dxfId="1868" priority="426" operator="containsText" text="EL">
      <formula>NOT(ISERROR(SEARCH("EL",M82)))</formula>
    </cfRule>
    <cfRule type="containsText" dxfId="1867" priority="425" operator="containsText" text="FL">
      <formula>NOT(ISERROR(SEARCH("FL",M82)))</formula>
    </cfRule>
    <cfRule type="containsText" dxfId="1866" priority="424" operator="containsText" text="SUS">
      <formula>NOT(ISERROR(SEARCH("SUS",M82)))</formula>
    </cfRule>
    <cfRule type="containsText" dxfId="1865" priority="423" operator="containsText" text="NL">
      <formula>NOT(ISERROR(SEARCH("NL",M82)))</formula>
    </cfRule>
    <cfRule type="containsText" dxfId="1864" priority="428" operator="containsText" text="OFF">
      <formula>NOT(ISERROR(SEARCH("OFF",M82)))</formula>
    </cfRule>
    <cfRule type="containsText" dxfId="1863" priority="422" operator="containsText" text="SP">
      <formula>NOT(ISERROR(SEARCH("SP",M82)))</formula>
    </cfRule>
    <cfRule type="containsText" dxfId="1862" priority="429" operator="containsText" text="AB">
      <formula>NOT(ISERROR(SEARCH("AB",M82)))</formula>
    </cfRule>
    <cfRule type="containsText" dxfId="1861" priority="427" operator="containsText" text="MC">
      <formula>NOT(ISERROR(SEARCH("MC",M82)))</formula>
    </cfRule>
    <cfRule type="containsText" dxfId="1860" priority="431" operator="containsText" text="AL">
      <formula>NOT(ISERROR(SEARCH("AL",M82)))</formula>
    </cfRule>
  </conditionalFormatting>
  <conditionalFormatting sqref="P116:AE119 AA126:AA127">
    <cfRule type="containsText" dxfId="1859" priority="7659" stopIfTrue="1" operator="containsText" text="AB">
      <formula>NOT(ISERROR(SEARCH("AB",P116)))</formula>
    </cfRule>
    <cfRule type="containsText" dxfId="1858" priority="7660" stopIfTrue="1" operator="containsText" text="SICK">
      <formula>NOT(ISERROR(SEARCH("SICK",P116)))</formula>
    </cfRule>
    <cfRule type="containsText" dxfId="1857" priority="7661" stopIfTrue="1" operator="containsText" text="SP">
      <formula>NOT(ISERROR(SEARCH("SP",P116)))</formula>
    </cfRule>
    <cfRule type="containsText" priority="7662" stopIfTrue="1" operator="containsText" text="SP">
      <formula>NOT(ISERROR(SEARCH("SP",P116)))</formula>
    </cfRule>
    <cfRule type="containsText" dxfId="1856" priority="7663" stopIfTrue="1" operator="containsText" text="SICK">
      <formula>NOT(ISERROR(SEARCH("SICK",P116)))</formula>
    </cfRule>
  </conditionalFormatting>
  <conditionalFormatting sqref="U19:V19">
    <cfRule type="containsText" dxfId="1855" priority="364" operator="containsText" text="OFF">
      <formula>NOT(ISERROR(SEARCH("OFF",U19)))</formula>
    </cfRule>
    <cfRule type="containsText" dxfId="1854" priority="358" operator="containsText" text="SP">
      <formula>NOT(ISERROR(SEARCH("SP",U19)))</formula>
    </cfRule>
    <cfRule type="containsText" dxfId="1853" priority="359" operator="containsText" text="NL">
      <formula>NOT(ISERROR(SEARCH("NL",U19)))</formula>
    </cfRule>
    <cfRule type="containsText" dxfId="1852" priority="360" operator="containsText" text="SUS">
      <formula>NOT(ISERROR(SEARCH("SUS",U19)))</formula>
    </cfRule>
    <cfRule type="containsText" dxfId="1851" priority="361" operator="containsText" text="FL">
      <formula>NOT(ISERROR(SEARCH("FL",U19)))</formula>
    </cfRule>
    <cfRule type="containsText" dxfId="1850" priority="363" operator="containsText" text="MC">
      <formula>NOT(ISERROR(SEARCH("MC",U19)))</formula>
    </cfRule>
    <cfRule type="containsText" dxfId="1849" priority="366" operator="containsText" text="SICK">
      <formula>NOT(ISERROR(SEARCH("SICK",U19)))</formula>
    </cfRule>
    <cfRule type="containsText" dxfId="1848" priority="367" operator="containsText" text="AL">
      <formula>NOT(ISERROR(SEARCH("AL",U19)))</formula>
    </cfRule>
  </conditionalFormatting>
  <conditionalFormatting sqref="U19:X19">
    <cfRule type="containsText" dxfId="1847" priority="365" operator="containsText" text="AB">
      <formula>NOT(ISERROR(SEARCH("AB",U19)))</formula>
    </cfRule>
    <cfRule type="containsText" dxfId="1846" priority="362" operator="containsText" text="EL">
      <formula>NOT(ISERROR(SEARCH("EL",U19)))</formula>
    </cfRule>
  </conditionalFormatting>
  <conditionalFormatting sqref="W5:X5">
    <cfRule type="containsText" dxfId="1845" priority="393" operator="containsText" text="OFF">
      <formula>NOT(ISERROR(SEARCH("OFF",W5)))</formula>
    </cfRule>
    <cfRule type="containsText" dxfId="1844" priority="394" operator="containsText" text="AL">
      <formula>NOT(ISERROR(SEARCH("AL",W5)))</formula>
    </cfRule>
    <cfRule type="containsText" dxfId="1843" priority="386" operator="containsText" text="EL">
      <formula>NOT(ISERROR(SEARCH("EL",W5)))</formula>
    </cfRule>
    <cfRule type="containsText" dxfId="1842" priority="387" operator="containsText" text="AB">
      <formula>NOT(ISERROR(SEARCH("AB",W5)))</formula>
    </cfRule>
    <cfRule type="containsText" dxfId="1841" priority="388" operator="containsText" text="SUS">
      <formula>NOT(ISERROR(SEARCH("SUS",W5)))</formula>
    </cfRule>
    <cfRule type="containsText" dxfId="1840" priority="389" operator="containsText" text="FL">
      <formula>NOT(ISERROR(SEARCH("FL",W5)))</formula>
    </cfRule>
    <cfRule type="containsText" dxfId="1839" priority="390" operator="containsText" text="MC">
      <formula>NOT(ISERROR(SEARCH("MC",W5)))</formula>
    </cfRule>
    <cfRule type="containsText" dxfId="1838" priority="391" operator="containsText" text="AB">
      <formula>NOT(ISERROR(SEARCH("AB",W5)))</formula>
    </cfRule>
    <cfRule type="containsText" dxfId="1837" priority="392" operator="containsText" text="Sick">
      <formula>NOT(ISERROR(SEARCH("Sick",W5)))</formula>
    </cfRule>
  </conditionalFormatting>
  <conditionalFormatting sqref="W9:X15">
    <cfRule type="containsText" dxfId="1836" priority="382" operator="containsText" text="AB">
      <formula>NOT(ISERROR(SEARCH("AB",W9)))</formula>
    </cfRule>
    <cfRule type="containsText" dxfId="1835" priority="385" operator="containsText" text="AL">
      <formula>NOT(ISERROR(SEARCH("AL",W9)))</formula>
    </cfRule>
    <cfRule type="containsText" dxfId="1834" priority="384" operator="containsText" text="OFF">
      <formula>NOT(ISERROR(SEARCH("OFF",W9)))</formula>
    </cfRule>
    <cfRule type="containsText" dxfId="1833" priority="383" operator="containsText" text="Sick">
      <formula>NOT(ISERROR(SEARCH("Sick",W9)))</formula>
    </cfRule>
    <cfRule type="containsText" dxfId="1832" priority="381" operator="containsText" text="MC">
      <formula>NOT(ISERROR(SEARCH("MC",W9)))</formula>
    </cfRule>
    <cfRule type="containsText" dxfId="1831" priority="380" operator="containsText" text="FL">
      <formula>NOT(ISERROR(SEARCH("FL",W9)))</formula>
    </cfRule>
    <cfRule type="containsText" dxfId="1830" priority="379" operator="containsText" text="SUS">
      <formula>NOT(ISERROR(SEARCH("SUS",W9)))</formula>
    </cfRule>
    <cfRule type="containsText" dxfId="1829" priority="378" operator="containsText" text="AB">
      <formula>NOT(ISERROR(SEARCH("AB",W9)))</formula>
    </cfRule>
    <cfRule type="containsText" dxfId="1828" priority="377" operator="containsText" text="EL">
      <formula>NOT(ISERROR(SEARCH("EL",W9)))</formula>
    </cfRule>
  </conditionalFormatting>
  <conditionalFormatting sqref="W14:X14">
    <cfRule type="containsText" dxfId="1827" priority="375" operator="containsText" text="OFF">
      <formula>NOT(ISERROR(SEARCH("OFF",W14)))</formula>
    </cfRule>
    <cfRule type="containsText" dxfId="1826" priority="374" operator="containsText" text="Sick">
      <formula>NOT(ISERROR(SEARCH("Sick",W14)))</formula>
    </cfRule>
    <cfRule type="containsText" dxfId="1825" priority="373" operator="containsText" text="AB">
      <formula>NOT(ISERROR(SEARCH("AB",W14)))</formula>
    </cfRule>
    <cfRule type="containsText" dxfId="1824" priority="372" operator="containsText" text="MC">
      <formula>NOT(ISERROR(SEARCH("MC",W14)))</formula>
    </cfRule>
    <cfRule type="containsText" dxfId="1823" priority="371" operator="containsText" text="FL">
      <formula>NOT(ISERROR(SEARCH("FL",W14)))</formula>
    </cfRule>
    <cfRule type="containsText" dxfId="1822" priority="370" operator="containsText" text="SUS">
      <formula>NOT(ISERROR(SEARCH("SUS",W14)))</formula>
    </cfRule>
    <cfRule type="containsText" dxfId="1821" priority="369" operator="containsText" text="AB">
      <formula>NOT(ISERROR(SEARCH("AB",W14)))</formula>
    </cfRule>
    <cfRule type="containsText" dxfId="1820" priority="368" operator="containsText" text="EL">
      <formula>NOT(ISERROR(SEARCH("EL",W14)))</formula>
    </cfRule>
    <cfRule type="containsText" dxfId="1819" priority="376" operator="containsText" text="AL">
      <formula>NOT(ISERROR(SEARCH("AL",W14)))</formula>
    </cfRule>
  </conditionalFormatting>
  <conditionalFormatting sqref="W19:X19">
    <cfRule type="containsText" dxfId="1818" priority="420" operator="containsText" text="OFF">
      <formula>NOT(ISERROR(SEARCH("OFF",W19)))</formula>
    </cfRule>
    <cfRule type="containsText" dxfId="1817" priority="415" operator="containsText" text="SUS">
      <formula>NOT(ISERROR(SEARCH("SUS",W19)))</formula>
    </cfRule>
    <cfRule type="containsText" dxfId="1816" priority="416" operator="containsText" text="FL">
      <formula>NOT(ISERROR(SEARCH("FL",W19)))</formula>
    </cfRule>
    <cfRule type="containsText" dxfId="1815" priority="417" operator="containsText" text="MC">
      <formula>NOT(ISERROR(SEARCH("MC",W19)))</formula>
    </cfRule>
    <cfRule type="containsText" dxfId="1814" priority="418" operator="containsText" text="AB">
      <formula>NOT(ISERROR(SEARCH("AB",W19)))</formula>
    </cfRule>
    <cfRule type="containsText" dxfId="1813" priority="419" operator="containsText" text="Sick">
      <formula>NOT(ISERROR(SEARCH("Sick",W19)))</formula>
    </cfRule>
    <cfRule type="containsText" dxfId="1812" priority="421" operator="containsText" text="AL">
      <formula>NOT(ISERROR(SEARCH("AL",W19)))</formula>
    </cfRule>
  </conditionalFormatting>
  <conditionalFormatting sqref="W23:X23">
    <cfRule type="containsText" dxfId="1811" priority="401" operator="containsText" text="Sick">
      <formula>NOT(ISERROR(SEARCH("Sick",W23)))</formula>
    </cfRule>
    <cfRule type="containsText" dxfId="1810" priority="402" operator="containsText" text="OFF">
      <formula>NOT(ISERROR(SEARCH("OFF",W23)))</formula>
    </cfRule>
    <cfRule type="containsText" dxfId="1809" priority="398" operator="containsText" text="FL">
      <formula>NOT(ISERROR(SEARCH("FL",W23)))</formula>
    </cfRule>
    <cfRule type="containsText" dxfId="1808" priority="395" operator="containsText" text="EL">
      <formula>NOT(ISERROR(SEARCH("EL",W23)))</formula>
    </cfRule>
    <cfRule type="containsText" dxfId="1807" priority="396" operator="containsText" text="AB">
      <formula>NOT(ISERROR(SEARCH("AB",W23)))</formula>
    </cfRule>
    <cfRule type="containsText" dxfId="1806" priority="397" operator="containsText" text="SUS">
      <formula>NOT(ISERROR(SEARCH("SUS",W23)))</formula>
    </cfRule>
    <cfRule type="containsText" dxfId="1805" priority="399" operator="containsText" text="MC">
      <formula>NOT(ISERROR(SEARCH("MC",W23)))</formula>
    </cfRule>
    <cfRule type="containsText" dxfId="1804" priority="403" operator="containsText" text="AL">
      <formula>NOT(ISERROR(SEARCH("AL",W23)))</formula>
    </cfRule>
    <cfRule type="containsText" dxfId="1803" priority="400" operator="containsText" text="AB">
      <formula>NOT(ISERROR(SEARCH("AB",W23)))</formula>
    </cfRule>
  </conditionalFormatting>
  <conditionalFormatting sqref="W25:X25">
    <cfRule type="containsText" dxfId="1802" priority="406" operator="containsText" text="SUS">
      <formula>NOT(ISERROR(SEARCH("SUS",W25)))</formula>
    </cfRule>
    <cfRule type="containsText" dxfId="1801" priority="407" operator="containsText" text="FL">
      <formula>NOT(ISERROR(SEARCH("FL",W25)))</formula>
    </cfRule>
    <cfRule type="containsText" dxfId="1800" priority="408" operator="containsText" text="MC">
      <formula>NOT(ISERROR(SEARCH("MC",W25)))</formula>
    </cfRule>
    <cfRule type="containsText" dxfId="1799" priority="409" operator="containsText" text="AB">
      <formula>NOT(ISERROR(SEARCH("AB",W25)))</formula>
    </cfRule>
    <cfRule type="containsText" dxfId="1798" priority="410" operator="containsText" text="Sick">
      <formula>NOT(ISERROR(SEARCH("Sick",W25)))</formula>
    </cfRule>
    <cfRule type="containsText" dxfId="1797" priority="411" operator="containsText" text="OFF">
      <formula>NOT(ISERROR(SEARCH("OFF",W25)))</formula>
    </cfRule>
    <cfRule type="containsText" dxfId="1796" priority="412" operator="containsText" text="AL">
      <formula>NOT(ISERROR(SEARCH("AL",W25)))</formula>
    </cfRule>
  </conditionalFormatting>
  <conditionalFormatting sqref="W45:X46">
    <cfRule type="containsText" dxfId="1795" priority="342" operator="containsText" text="SUS">
      <formula>NOT(ISERROR(SEARCH("SUS",W45)))</formula>
    </cfRule>
    <cfRule type="containsText" dxfId="1794" priority="344" operator="containsText" text="MC">
      <formula>NOT(ISERROR(SEARCH("MC",W45)))</formula>
    </cfRule>
    <cfRule type="containsText" dxfId="1793" priority="340" operator="containsText" text="EL">
      <formula>NOT(ISERROR(SEARCH("EL",W45)))</formula>
    </cfRule>
    <cfRule type="containsText" dxfId="1792" priority="341" operator="containsText" text="AB">
      <formula>NOT(ISERROR(SEARCH("AB",W45)))</formula>
    </cfRule>
    <cfRule type="containsText" dxfId="1791" priority="343" operator="containsText" text="FL">
      <formula>NOT(ISERROR(SEARCH("FL",W45)))</formula>
    </cfRule>
    <cfRule type="containsText" dxfId="1790" priority="345" operator="containsText" text="AB">
      <formula>NOT(ISERROR(SEARCH("AB",W45)))</formula>
    </cfRule>
    <cfRule type="containsText" dxfId="1789" priority="346" operator="containsText" text="Sick">
      <formula>NOT(ISERROR(SEARCH("Sick",W45)))</formula>
    </cfRule>
    <cfRule type="containsText" dxfId="1788" priority="347" operator="containsText" text="OFF">
      <formula>NOT(ISERROR(SEARCH("OFF",W45)))</formula>
    </cfRule>
    <cfRule type="containsText" dxfId="1787" priority="348" operator="containsText" text="AL">
      <formula>NOT(ISERROR(SEARCH("AL",W45)))</formula>
    </cfRule>
  </conditionalFormatting>
  <conditionalFormatting sqref="W49:X49">
    <cfRule type="containsText" dxfId="1786" priority="334" operator="containsText" text="FL">
      <formula>NOT(ISERROR(SEARCH("FL",W49)))</formula>
    </cfRule>
    <cfRule type="containsText" dxfId="1785" priority="339" operator="containsText" text="AL">
      <formula>NOT(ISERROR(SEARCH("AL",W49)))</formula>
    </cfRule>
    <cfRule type="containsText" dxfId="1784" priority="335" operator="containsText" text="MC">
      <formula>NOT(ISERROR(SEARCH("MC",W49)))</formula>
    </cfRule>
    <cfRule type="containsText" dxfId="1783" priority="336" operator="containsText" text="AB">
      <formula>NOT(ISERROR(SEARCH("AB",W49)))</formula>
    </cfRule>
    <cfRule type="containsText" dxfId="1782" priority="337" operator="containsText" text="Sick">
      <formula>NOT(ISERROR(SEARCH("Sick",W49)))</formula>
    </cfRule>
    <cfRule type="containsText" dxfId="1781" priority="338" operator="containsText" text="OFF">
      <formula>NOT(ISERROR(SEARCH("OFF",W49)))</formula>
    </cfRule>
    <cfRule type="containsText" dxfId="1780" priority="331" operator="containsText" text="EL">
      <formula>NOT(ISERROR(SEARCH("EL",W49)))</formula>
    </cfRule>
    <cfRule type="containsText" dxfId="1779" priority="332" operator="containsText" text="AB">
      <formula>NOT(ISERROR(SEARCH("AB",W49)))</formula>
    </cfRule>
    <cfRule type="containsText" dxfId="1778" priority="333" operator="containsText" text="SUS">
      <formula>NOT(ISERROR(SEARCH("SUS",W49)))</formula>
    </cfRule>
  </conditionalFormatting>
  <conditionalFormatting sqref="W58:X58">
    <cfRule type="containsText" dxfId="1777" priority="321" operator="containsText" text="AL">
      <formula>NOT(ISERROR(SEARCH("AL",W58)))</formula>
    </cfRule>
    <cfRule type="containsText" dxfId="1776" priority="316" operator="containsText" text="FL">
      <formula>NOT(ISERROR(SEARCH("FL",W58)))</formula>
    </cfRule>
    <cfRule type="containsText" dxfId="1775" priority="313" operator="containsText" text="EL">
      <formula>NOT(ISERROR(SEARCH("EL",W58)))</formula>
    </cfRule>
    <cfRule type="containsText" dxfId="1774" priority="314" operator="containsText" text="AB">
      <formula>NOT(ISERROR(SEARCH("AB",W58)))</formula>
    </cfRule>
    <cfRule type="containsText" dxfId="1773" priority="315" operator="containsText" text="SUS">
      <formula>NOT(ISERROR(SEARCH("SUS",W58)))</formula>
    </cfRule>
    <cfRule type="containsText" dxfId="1772" priority="317" operator="containsText" text="MC">
      <formula>NOT(ISERROR(SEARCH("MC",W58)))</formula>
    </cfRule>
    <cfRule type="containsText" dxfId="1771" priority="318" operator="containsText" text="AB">
      <formula>NOT(ISERROR(SEARCH("AB",W58)))</formula>
    </cfRule>
    <cfRule type="containsText" dxfId="1770" priority="319" operator="containsText" text="Sick">
      <formula>NOT(ISERROR(SEARCH("Sick",W58)))</formula>
    </cfRule>
    <cfRule type="containsText" dxfId="1769" priority="320" operator="containsText" text="OFF">
      <formula>NOT(ISERROR(SEARCH("OFF",W58)))</formula>
    </cfRule>
  </conditionalFormatting>
  <conditionalFormatting sqref="W62:X63">
    <cfRule type="containsText" dxfId="1768" priority="307" operator="containsText" text="FL">
      <formula>NOT(ISERROR(SEARCH("FL",W62)))</formula>
    </cfRule>
    <cfRule type="containsText" dxfId="1767" priority="309" operator="containsText" text="AB">
      <formula>NOT(ISERROR(SEARCH("AB",W62)))</formula>
    </cfRule>
    <cfRule type="containsText" dxfId="1766" priority="311" operator="containsText" text="OFF">
      <formula>NOT(ISERROR(SEARCH("OFF",W62)))</formula>
    </cfRule>
    <cfRule type="containsText" dxfId="1765" priority="306" operator="containsText" text="SUS">
      <formula>NOT(ISERROR(SEARCH("SUS",W62)))</formula>
    </cfRule>
    <cfRule type="containsText" dxfId="1764" priority="305" operator="containsText" text="AB">
      <formula>NOT(ISERROR(SEARCH("AB",W62)))</formula>
    </cfRule>
    <cfRule type="containsText" dxfId="1763" priority="304" operator="containsText" text="EL">
      <formula>NOT(ISERROR(SEARCH("EL",W62)))</formula>
    </cfRule>
    <cfRule type="containsText" dxfId="1762" priority="308" operator="containsText" text="MC">
      <formula>NOT(ISERROR(SEARCH("MC",W62)))</formula>
    </cfRule>
    <cfRule type="containsText" dxfId="1761" priority="310" operator="containsText" text="Sick">
      <formula>NOT(ISERROR(SEARCH("Sick",W62)))</formula>
    </cfRule>
    <cfRule type="containsText" dxfId="1760" priority="312" operator="containsText" text="AL">
      <formula>NOT(ISERROR(SEARCH("AL",W62)))</formula>
    </cfRule>
  </conditionalFormatting>
  <conditionalFormatting sqref="W65:X65">
    <cfRule type="containsText" dxfId="1759" priority="297" operator="containsText" text="SUS">
      <formula>NOT(ISERROR(SEARCH("SUS",W65)))</formula>
    </cfRule>
    <cfRule type="containsText" dxfId="1758" priority="298" operator="containsText" text="FL">
      <formula>NOT(ISERROR(SEARCH("FL",W65)))</formula>
    </cfRule>
    <cfRule type="containsText" dxfId="1757" priority="295" operator="containsText" text="EL">
      <formula>NOT(ISERROR(SEARCH("EL",W65)))</formula>
    </cfRule>
    <cfRule type="containsText" dxfId="1756" priority="299" operator="containsText" text="MC">
      <formula>NOT(ISERROR(SEARCH("MC",W65)))</formula>
    </cfRule>
    <cfRule type="containsText" dxfId="1755" priority="300" operator="containsText" text="AB">
      <formula>NOT(ISERROR(SEARCH("AB",W65)))</formula>
    </cfRule>
    <cfRule type="containsText" dxfId="1754" priority="302" operator="containsText" text="OFF">
      <formula>NOT(ISERROR(SEARCH("OFF",W65)))</formula>
    </cfRule>
    <cfRule type="containsText" dxfId="1753" priority="303" operator="containsText" text="AL">
      <formula>NOT(ISERROR(SEARCH("AL",W65)))</formula>
    </cfRule>
    <cfRule type="containsText" dxfId="1752" priority="301" operator="containsText" text="Sick">
      <formula>NOT(ISERROR(SEARCH("Sick",W65)))</formula>
    </cfRule>
    <cfRule type="containsText" dxfId="1751" priority="296" operator="containsText" text="AB">
      <formula>NOT(ISERROR(SEARCH("AB",W65)))</formula>
    </cfRule>
  </conditionalFormatting>
  <conditionalFormatting sqref="W68:X69">
    <cfRule type="containsText" dxfId="1750" priority="294" operator="containsText" text="AL">
      <formula>NOT(ISERROR(SEARCH("AL",W68)))</formula>
    </cfRule>
    <cfRule type="containsText" dxfId="1749" priority="292" operator="containsText" text="Sick">
      <formula>NOT(ISERROR(SEARCH("Sick",W68)))</formula>
    </cfRule>
    <cfRule type="containsText" dxfId="1748" priority="289" operator="containsText" text="FL">
      <formula>NOT(ISERROR(SEARCH("FL",W68)))</formula>
    </cfRule>
    <cfRule type="containsText" dxfId="1747" priority="288" operator="containsText" text="SUS">
      <formula>NOT(ISERROR(SEARCH("SUS",W68)))</formula>
    </cfRule>
    <cfRule type="containsText" dxfId="1746" priority="290" operator="containsText" text="MC">
      <formula>NOT(ISERROR(SEARCH("MC",W68)))</formula>
    </cfRule>
    <cfRule type="containsText" dxfId="1745" priority="293" operator="containsText" text="OFF">
      <formula>NOT(ISERROR(SEARCH("OFF",W68)))</formula>
    </cfRule>
    <cfRule type="containsText" dxfId="1744" priority="291" operator="containsText" text="AB">
      <formula>NOT(ISERROR(SEARCH("AB",W68)))</formula>
    </cfRule>
    <cfRule type="containsText" dxfId="1743" priority="286" operator="containsText" text="EL">
      <formula>NOT(ISERROR(SEARCH("EL",W68)))</formula>
    </cfRule>
    <cfRule type="containsText" dxfId="1742" priority="287" operator="containsText" text="AB">
      <formula>NOT(ISERROR(SEARCH("AB",W68)))</formula>
    </cfRule>
  </conditionalFormatting>
  <conditionalFormatting sqref="W74:X74">
    <cfRule type="containsText" dxfId="1741" priority="280" operator="containsText" text="FL">
      <formula>NOT(ISERROR(SEARCH("FL",W74)))</formula>
    </cfRule>
    <cfRule type="containsText" dxfId="1740" priority="279" operator="containsText" text="SUS">
      <formula>NOT(ISERROR(SEARCH("SUS",W74)))</formula>
    </cfRule>
    <cfRule type="containsText" dxfId="1739" priority="277" operator="containsText" text="EL">
      <formula>NOT(ISERROR(SEARCH("EL",W74)))</formula>
    </cfRule>
    <cfRule type="containsText" dxfId="1738" priority="281" operator="containsText" text="MC">
      <formula>NOT(ISERROR(SEARCH("MC",W74)))</formula>
    </cfRule>
    <cfRule type="containsText" dxfId="1737" priority="282" operator="containsText" text="AB">
      <formula>NOT(ISERROR(SEARCH("AB",W74)))</formula>
    </cfRule>
    <cfRule type="containsText" dxfId="1736" priority="283" operator="containsText" text="Sick">
      <formula>NOT(ISERROR(SEARCH("Sick",W74)))</formula>
    </cfRule>
    <cfRule type="containsText" dxfId="1735" priority="284" operator="containsText" text="OFF">
      <formula>NOT(ISERROR(SEARCH("OFF",W74)))</formula>
    </cfRule>
    <cfRule type="containsText" dxfId="1734" priority="285" operator="containsText" text="AL">
      <formula>NOT(ISERROR(SEARCH("AL",W74)))</formula>
    </cfRule>
    <cfRule type="containsText" dxfId="1733" priority="278" operator="containsText" text="AB">
      <formula>NOT(ISERROR(SEARCH("AB",W74)))</formula>
    </cfRule>
  </conditionalFormatting>
  <conditionalFormatting sqref="W80:X82">
    <cfRule type="containsText" dxfId="1732" priority="272" operator="containsText" text="MC">
      <formula>NOT(ISERROR(SEARCH("MC",W80)))</formula>
    </cfRule>
    <cfRule type="containsText" dxfId="1731" priority="273" operator="containsText" text="AB">
      <formula>NOT(ISERROR(SEARCH("AB",W80)))</formula>
    </cfRule>
    <cfRule type="containsText" dxfId="1730" priority="274" operator="containsText" text="Sick">
      <formula>NOT(ISERROR(SEARCH("Sick",W80)))</formula>
    </cfRule>
    <cfRule type="containsText" dxfId="1729" priority="275" operator="containsText" text="OFF">
      <formula>NOT(ISERROR(SEARCH("OFF",W80)))</formula>
    </cfRule>
    <cfRule type="containsText" dxfId="1728" priority="276" operator="containsText" text="AL">
      <formula>NOT(ISERROR(SEARCH("AL",W80)))</formula>
    </cfRule>
    <cfRule type="containsText" dxfId="1727" priority="270" operator="containsText" text="SUS">
      <formula>NOT(ISERROR(SEARCH("SUS",W80)))</formula>
    </cfRule>
    <cfRule type="containsText" dxfId="1726" priority="268" operator="containsText" text="EL">
      <formula>NOT(ISERROR(SEARCH("EL",W80)))</formula>
    </cfRule>
    <cfRule type="containsText" dxfId="1725" priority="269" operator="containsText" text="AB">
      <formula>NOT(ISERROR(SEARCH("AB",W80)))</formula>
    </cfRule>
    <cfRule type="containsText" dxfId="1724" priority="271" operator="containsText" text="FL">
      <formula>NOT(ISERROR(SEARCH("FL",W80)))</formula>
    </cfRule>
  </conditionalFormatting>
  <conditionalFormatting sqref="W84:X86">
    <cfRule type="containsText" dxfId="1723" priority="263" operator="containsText" text="MC">
      <formula>NOT(ISERROR(SEARCH("MC",W84)))</formula>
    </cfRule>
    <cfRule type="containsText" dxfId="1722" priority="262" operator="containsText" text="FL">
      <formula>NOT(ISERROR(SEARCH("FL",W84)))</formula>
    </cfRule>
    <cfRule type="containsText" dxfId="1721" priority="261" operator="containsText" text="SUS">
      <formula>NOT(ISERROR(SEARCH("SUS",W84)))</formula>
    </cfRule>
    <cfRule type="containsText" dxfId="1720" priority="267" operator="containsText" text="AL">
      <formula>NOT(ISERROR(SEARCH("AL",W84)))</formula>
    </cfRule>
    <cfRule type="containsText" dxfId="1719" priority="259" operator="containsText" text="EL">
      <formula>NOT(ISERROR(SEARCH("EL",W84)))</formula>
    </cfRule>
    <cfRule type="containsText" dxfId="1718" priority="260" operator="containsText" text="AB">
      <formula>NOT(ISERROR(SEARCH("AB",W84)))</formula>
    </cfRule>
    <cfRule type="containsText" dxfId="1717" priority="266" operator="containsText" text="OFF">
      <formula>NOT(ISERROR(SEARCH("OFF",W84)))</formula>
    </cfRule>
    <cfRule type="containsText" dxfId="1716" priority="265" operator="containsText" text="Sick">
      <formula>NOT(ISERROR(SEARCH("Sick",W84)))</formula>
    </cfRule>
    <cfRule type="containsText" dxfId="1715" priority="264" operator="containsText" text="AB">
      <formula>NOT(ISERROR(SEARCH("AB",W84)))</formula>
    </cfRule>
  </conditionalFormatting>
  <conditionalFormatting sqref="W88:X89">
    <cfRule type="containsText" dxfId="1714" priority="258" operator="containsText" text="AL">
      <formula>NOT(ISERROR(SEARCH("AL",W88)))</formula>
    </cfRule>
    <cfRule type="containsText" dxfId="1713" priority="257" operator="containsText" text="OFF">
      <formula>NOT(ISERROR(SEARCH("OFF",W88)))</formula>
    </cfRule>
    <cfRule type="containsText" dxfId="1712" priority="256" operator="containsText" text="Sick">
      <formula>NOT(ISERROR(SEARCH("Sick",W88)))</formula>
    </cfRule>
    <cfRule type="containsText" dxfId="1711" priority="255" operator="containsText" text="AB">
      <formula>NOT(ISERROR(SEARCH("AB",W88)))</formula>
    </cfRule>
    <cfRule type="containsText" dxfId="1710" priority="254" operator="containsText" text="MC">
      <formula>NOT(ISERROR(SEARCH("MC",W88)))</formula>
    </cfRule>
    <cfRule type="containsText" dxfId="1709" priority="253" operator="containsText" text="FL">
      <formula>NOT(ISERROR(SEARCH("FL",W88)))</formula>
    </cfRule>
    <cfRule type="containsText" dxfId="1708" priority="251" operator="containsText" text="AB">
      <formula>NOT(ISERROR(SEARCH("AB",W88)))</formula>
    </cfRule>
    <cfRule type="containsText" dxfId="1707" priority="250" operator="containsText" text="EL">
      <formula>NOT(ISERROR(SEARCH("EL",W88)))</formula>
    </cfRule>
    <cfRule type="containsText" dxfId="1706" priority="252" operator="containsText" text="SUS">
      <formula>NOT(ISERROR(SEARCH("SUS",W88)))</formula>
    </cfRule>
  </conditionalFormatting>
  <conditionalFormatting sqref="W91:X91">
    <cfRule type="containsText" dxfId="1705" priority="248" operator="containsText" text="OFF">
      <formula>NOT(ISERROR(SEARCH("OFF",W91)))</formula>
    </cfRule>
    <cfRule type="containsText" dxfId="1704" priority="247" operator="containsText" text="Sick">
      <formula>NOT(ISERROR(SEARCH("Sick",W91)))</formula>
    </cfRule>
    <cfRule type="containsText" dxfId="1703" priority="246" operator="containsText" text="AB">
      <formula>NOT(ISERROR(SEARCH("AB",W91)))</formula>
    </cfRule>
    <cfRule type="containsText" dxfId="1702" priority="245" operator="containsText" text="MC">
      <formula>NOT(ISERROR(SEARCH("MC",W91)))</formula>
    </cfRule>
    <cfRule type="containsText" dxfId="1701" priority="244" operator="containsText" text="FL">
      <formula>NOT(ISERROR(SEARCH("FL",W91)))</formula>
    </cfRule>
    <cfRule type="containsText" dxfId="1700" priority="243" operator="containsText" text="SUS">
      <formula>NOT(ISERROR(SEARCH("SUS",W91)))</formula>
    </cfRule>
    <cfRule type="containsText" dxfId="1699" priority="242" operator="containsText" text="AB">
      <formula>NOT(ISERROR(SEARCH("AB",W91)))</formula>
    </cfRule>
    <cfRule type="containsText" dxfId="1698" priority="241" operator="containsText" text="EL">
      <formula>NOT(ISERROR(SEARCH("EL",W91)))</formula>
    </cfRule>
    <cfRule type="containsText" dxfId="1697" priority="249" operator="containsText" text="AL">
      <formula>NOT(ISERROR(SEARCH("AL",W91)))</formula>
    </cfRule>
  </conditionalFormatting>
  <conditionalFormatting sqref="W93:X93">
    <cfRule type="containsText" dxfId="1696" priority="240" operator="containsText" text="AL">
      <formula>NOT(ISERROR(SEARCH("AL",W93)))</formula>
    </cfRule>
    <cfRule type="containsText" dxfId="1695" priority="239" operator="containsText" text="OFF">
      <formula>NOT(ISERROR(SEARCH("OFF",W93)))</formula>
    </cfRule>
    <cfRule type="containsText" dxfId="1694" priority="238" operator="containsText" text="Sick">
      <formula>NOT(ISERROR(SEARCH("Sick",W93)))</formula>
    </cfRule>
    <cfRule type="containsText" dxfId="1693" priority="237" operator="containsText" text="AB">
      <formula>NOT(ISERROR(SEARCH("AB",W93)))</formula>
    </cfRule>
    <cfRule type="containsText" dxfId="1692" priority="236" operator="containsText" text="MC">
      <formula>NOT(ISERROR(SEARCH("MC",W93)))</formula>
    </cfRule>
    <cfRule type="containsText" dxfId="1691" priority="235" operator="containsText" text="FL">
      <formula>NOT(ISERROR(SEARCH("FL",W93)))</formula>
    </cfRule>
    <cfRule type="containsText" dxfId="1690" priority="234" operator="containsText" text="SUS">
      <formula>NOT(ISERROR(SEARCH("SUS",W93)))</formula>
    </cfRule>
    <cfRule type="containsText" dxfId="1689" priority="232" operator="containsText" text="EL">
      <formula>NOT(ISERROR(SEARCH("EL",W93)))</formula>
    </cfRule>
    <cfRule type="containsText" dxfId="1688" priority="233" operator="containsText" text="AB">
      <formula>NOT(ISERROR(SEARCH("AB",W93)))</formula>
    </cfRule>
  </conditionalFormatting>
  <conditionalFormatting sqref="W95:X98">
    <cfRule type="containsText" dxfId="1687" priority="223" operator="containsText" text="EL">
      <formula>NOT(ISERROR(SEARCH("EL",W95)))</formula>
    </cfRule>
    <cfRule type="containsText" dxfId="1686" priority="224" operator="containsText" text="AB">
      <formula>NOT(ISERROR(SEARCH("AB",W95)))</formula>
    </cfRule>
    <cfRule type="containsText" dxfId="1685" priority="225" operator="containsText" text="SUS">
      <formula>NOT(ISERROR(SEARCH("SUS",W95)))</formula>
    </cfRule>
    <cfRule type="containsText" dxfId="1684" priority="226" operator="containsText" text="FL">
      <formula>NOT(ISERROR(SEARCH("FL",W95)))</formula>
    </cfRule>
    <cfRule type="containsText" dxfId="1683" priority="227" operator="containsText" text="MC">
      <formula>NOT(ISERROR(SEARCH("MC",W95)))</formula>
    </cfRule>
    <cfRule type="containsText" dxfId="1682" priority="228" operator="containsText" text="AB">
      <formula>NOT(ISERROR(SEARCH("AB",W95)))</formula>
    </cfRule>
    <cfRule type="containsText" dxfId="1681" priority="229" operator="containsText" text="Sick">
      <formula>NOT(ISERROR(SEARCH("Sick",W95)))</formula>
    </cfRule>
    <cfRule type="containsText" dxfId="1680" priority="230" operator="containsText" text="OFF">
      <formula>NOT(ISERROR(SEARCH("OFF",W95)))</formula>
    </cfRule>
    <cfRule type="containsText" dxfId="1679" priority="231" operator="containsText" text="AL">
      <formula>NOT(ISERROR(SEARCH("AL",W95)))</formula>
    </cfRule>
  </conditionalFormatting>
  <conditionalFormatting sqref="W102:X102">
    <cfRule type="containsText" dxfId="1678" priority="215" operator="containsText" text="AB">
      <formula>NOT(ISERROR(SEARCH("AB",W102)))</formula>
    </cfRule>
    <cfRule type="containsText" dxfId="1677" priority="214" operator="containsText" text="EL">
      <formula>NOT(ISERROR(SEARCH("EL",W102)))</formula>
    </cfRule>
    <cfRule type="containsText" dxfId="1676" priority="218" operator="containsText" text="MC">
      <formula>NOT(ISERROR(SEARCH("MC",W102)))</formula>
    </cfRule>
    <cfRule type="containsText" dxfId="1675" priority="221" operator="containsText" text="OFF">
      <formula>NOT(ISERROR(SEARCH("OFF",W102)))</formula>
    </cfRule>
    <cfRule type="containsText" dxfId="1674" priority="222" operator="containsText" text="AL">
      <formula>NOT(ISERROR(SEARCH("AL",W102)))</formula>
    </cfRule>
    <cfRule type="containsText" dxfId="1673" priority="217" operator="containsText" text="FL">
      <formula>NOT(ISERROR(SEARCH("FL",W102)))</formula>
    </cfRule>
    <cfRule type="containsText" dxfId="1672" priority="216" operator="containsText" text="SUS">
      <formula>NOT(ISERROR(SEARCH("SUS",W102)))</formula>
    </cfRule>
    <cfRule type="containsText" dxfId="1671" priority="220" operator="containsText" text="Sick">
      <formula>NOT(ISERROR(SEARCH("Sick",W102)))</formula>
    </cfRule>
    <cfRule type="containsText" dxfId="1670" priority="219" operator="containsText" text="AB">
      <formula>NOT(ISERROR(SEARCH("AB",W102)))</formula>
    </cfRule>
  </conditionalFormatting>
  <conditionalFormatting sqref="W104:X104">
    <cfRule type="containsText" dxfId="1669" priority="213" operator="containsText" text="AL">
      <formula>NOT(ISERROR(SEARCH("AL",W104)))</formula>
    </cfRule>
    <cfRule type="containsText" dxfId="1668" priority="212" operator="containsText" text="OFF">
      <formula>NOT(ISERROR(SEARCH("OFF",W104)))</formula>
    </cfRule>
    <cfRule type="containsText" dxfId="1667" priority="211" operator="containsText" text="Sick">
      <formula>NOT(ISERROR(SEARCH("Sick",W104)))</formula>
    </cfRule>
    <cfRule type="containsText" dxfId="1666" priority="210" operator="containsText" text="AB">
      <formula>NOT(ISERROR(SEARCH("AB",W104)))</formula>
    </cfRule>
    <cfRule type="containsText" dxfId="1665" priority="209" operator="containsText" text="MC">
      <formula>NOT(ISERROR(SEARCH("MC",W104)))</formula>
    </cfRule>
    <cfRule type="containsText" dxfId="1664" priority="208" operator="containsText" text="FL">
      <formula>NOT(ISERROR(SEARCH("FL",W104)))</formula>
    </cfRule>
    <cfRule type="containsText" dxfId="1663" priority="207" operator="containsText" text="SUS">
      <formula>NOT(ISERROR(SEARCH("SUS",W104)))</formula>
    </cfRule>
    <cfRule type="containsText" dxfId="1662" priority="206" operator="containsText" text="AB">
      <formula>NOT(ISERROR(SEARCH("AB",W104)))</formula>
    </cfRule>
    <cfRule type="containsText" dxfId="1661" priority="205" operator="containsText" text="EL">
      <formula>NOT(ISERROR(SEARCH("EL",W104)))</formula>
    </cfRule>
  </conditionalFormatting>
  <conditionalFormatting sqref="W106:X106">
    <cfRule type="containsText" dxfId="1660" priority="203" operator="containsText" text="OFF">
      <formula>NOT(ISERROR(SEARCH("OFF",W106)))</formula>
    </cfRule>
    <cfRule type="containsText" dxfId="1659" priority="202" operator="containsText" text="Sick">
      <formula>NOT(ISERROR(SEARCH("Sick",W106)))</formula>
    </cfRule>
    <cfRule type="containsText" dxfId="1658" priority="201" operator="containsText" text="AB">
      <formula>NOT(ISERROR(SEARCH("AB",W106)))</formula>
    </cfRule>
    <cfRule type="containsText" dxfId="1657" priority="200" operator="containsText" text="MC">
      <formula>NOT(ISERROR(SEARCH("MC",W106)))</formula>
    </cfRule>
    <cfRule type="containsText" dxfId="1656" priority="199" operator="containsText" text="FL">
      <formula>NOT(ISERROR(SEARCH("FL",W106)))</formula>
    </cfRule>
    <cfRule type="containsText" dxfId="1655" priority="198" operator="containsText" text="SUS">
      <formula>NOT(ISERROR(SEARCH("SUS",W106)))</formula>
    </cfRule>
    <cfRule type="containsText" dxfId="1654" priority="197" operator="containsText" text="AB">
      <formula>NOT(ISERROR(SEARCH("AB",W106)))</formula>
    </cfRule>
    <cfRule type="containsText" dxfId="1653" priority="196" operator="containsText" text="EL">
      <formula>NOT(ISERROR(SEARCH("EL",W106)))</formula>
    </cfRule>
    <cfRule type="containsText" dxfId="1652" priority="204" operator="containsText" text="AL">
      <formula>NOT(ISERROR(SEARCH("AL",W106)))</formula>
    </cfRule>
  </conditionalFormatting>
  <conditionalFormatting sqref="W108:X108">
    <cfRule type="containsText" dxfId="1651" priority="188" operator="containsText" text="AB">
      <formula>NOT(ISERROR(SEARCH("AB",W108)))</formula>
    </cfRule>
  </conditionalFormatting>
  <conditionalFormatting sqref="W108:X110">
    <cfRule type="containsText" dxfId="1650" priority="193" operator="containsText" text="Sick">
      <formula>NOT(ISERROR(SEARCH("Sick",W108)))</formula>
    </cfRule>
    <cfRule type="containsText" dxfId="1649" priority="192" operator="containsText" text="AB">
      <formula>NOT(ISERROR(SEARCH("AB",W108)))</formula>
    </cfRule>
    <cfRule type="containsText" dxfId="1648" priority="191" operator="containsText" text="MC">
      <formula>NOT(ISERROR(SEARCH("MC",W108)))</formula>
    </cfRule>
    <cfRule type="containsText" dxfId="1647" priority="190" operator="containsText" text="FL">
      <formula>NOT(ISERROR(SEARCH("FL",W108)))</formula>
    </cfRule>
    <cfRule type="containsText" dxfId="1646" priority="189" operator="containsText" text="SUS">
      <formula>NOT(ISERROR(SEARCH("SUS",W108)))</formula>
    </cfRule>
    <cfRule type="containsText" dxfId="1645" priority="187" operator="containsText" text="EL">
      <formula>NOT(ISERROR(SEARCH("EL",W108)))</formula>
    </cfRule>
    <cfRule type="containsText" dxfId="1644" priority="195" operator="containsText" text="AL">
      <formula>NOT(ISERROR(SEARCH("AL",W108)))</formula>
    </cfRule>
    <cfRule type="containsText" dxfId="1643" priority="194" operator="containsText" text="OFF">
      <formula>NOT(ISERROR(SEARCH("OFF",W108)))</formula>
    </cfRule>
  </conditionalFormatting>
  <conditionalFormatting sqref="W25:AD25">
    <cfRule type="containsText" dxfId="1642" priority="354" operator="containsText" text="AB">
      <formula>NOT(ISERROR(SEARCH("AB",W25)))</formula>
    </cfRule>
    <cfRule type="containsText" dxfId="1641" priority="349" operator="containsText" text="EL">
      <formula>NOT(ISERROR(SEARCH("EL",W25)))</formula>
    </cfRule>
  </conditionalFormatting>
  <conditionalFormatting sqref="Y25:AD25">
    <cfRule type="containsText" dxfId="1640" priority="356" operator="containsText" text="OFF">
      <formula>NOT(ISERROR(SEARCH("OFF",Y25)))</formula>
    </cfRule>
    <cfRule type="containsText" dxfId="1639" priority="357" operator="containsText" text="AL">
      <formula>NOT(ISERROR(SEARCH("AL",Y25)))</formula>
    </cfRule>
    <cfRule type="containsText" dxfId="1638" priority="351" operator="containsText" text="SUS">
      <formula>NOT(ISERROR(SEARCH("SUS",Y25)))</formula>
    </cfRule>
    <cfRule type="containsText" dxfId="1637" priority="350" operator="containsText" text="AB">
      <formula>NOT(ISERROR(SEARCH("AB",Y25)))</formula>
    </cfRule>
    <cfRule type="containsText" dxfId="1636" priority="352" operator="containsText" text="FL">
      <formula>NOT(ISERROR(SEARCH("FL",Y25)))</formula>
    </cfRule>
    <cfRule type="containsText" dxfId="1635" priority="353" operator="containsText" text="MC">
      <formula>NOT(ISERROR(SEARCH("MC",Y25)))</formula>
    </cfRule>
    <cfRule type="containsText" dxfId="1634" priority="355" operator="containsText" text="Sick">
      <formula>NOT(ISERROR(SEARCH("Sick",Y25)))</formula>
    </cfRule>
  </conditionalFormatting>
  <conditionalFormatting sqref="AA84:AB84">
    <cfRule type="containsText" dxfId="1633" priority="145" operator="containsText" text="MC">
      <formula>NOT(ISERROR(SEARCH("MC",AA84)))</formula>
    </cfRule>
    <cfRule type="containsText" dxfId="1632" priority="144" operator="containsText" text="EL">
      <formula>NOT(ISERROR(SEARCH("EL",AA84)))</formula>
    </cfRule>
    <cfRule type="containsText" dxfId="1631" priority="142" operator="containsText" text="SUS">
      <formula>NOT(ISERROR(SEARCH("SUS",AA84)))</formula>
    </cfRule>
    <cfRule type="containsText" dxfId="1630" priority="141" operator="containsText" text="NL">
      <formula>NOT(ISERROR(SEARCH("NL",AA84)))</formula>
    </cfRule>
    <cfRule type="containsText" dxfId="1629" priority="140" operator="containsText" text="SP">
      <formula>NOT(ISERROR(SEARCH("SP",AA84)))</formula>
    </cfRule>
    <cfRule type="containsText" dxfId="1628" priority="149" operator="containsText" text="AL">
      <formula>NOT(ISERROR(SEARCH("AL",AA84)))</formula>
    </cfRule>
    <cfRule type="containsText" dxfId="1627" priority="148" operator="containsText" text="SICK">
      <formula>NOT(ISERROR(SEARCH("SICK",AA84)))</formula>
    </cfRule>
    <cfRule type="containsText" dxfId="1626" priority="147" operator="containsText" text="AB">
      <formula>NOT(ISERROR(SEARCH("AB",AA84)))</formula>
    </cfRule>
    <cfRule type="containsText" dxfId="1625" priority="146" operator="containsText" text="OFF">
      <formula>NOT(ISERROR(SEARCH("OFF",AA84)))</formula>
    </cfRule>
    <cfRule type="containsText" dxfId="1624" priority="143" operator="containsText" text="FL">
      <formula>NOT(ISERROR(SEARCH("FL",AA84)))</formula>
    </cfRule>
  </conditionalFormatting>
  <conditionalFormatting sqref="AC6:AH6">
    <cfRule type="containsText" dxfId="1623" priority="169" operator="containsText" text="MC">
      <formula>NOT(ISERROR(SEARCH("MC",AC6)))</formula>
    </cfRule>
    <cfRule type="containsText" dxfId="1622" priority="168" operator="containsText" text="FL">
      <formula>NOT(ISERROR(SEARCH("FL",AC6)))</formula>
    </cfRule>
    <cfRule type="containsText" dxfId="1621" priority="166" operator="containsText" text="AB">
      <formula>NOT(ISERROR(SEARCH("AB",AC6)))</formula>
    </cfRule>
    <cfRule type="containsText" dxfId="1620" priority="165" operator="containsText" text="EL">
      <formula>NOT(ISERROR(SEARCH("EL",AC6)))</formula>
    </cfRule>
    <cfRule type="containsText" dxfId="1619" priority="167" operator="containsText" text="SUS">
      <formula>NOT(ISERROR(SEARCH("SUS",AC6)))</formula>
    </cfRule>
    <cfRule type="containsText" dxfId="1618" priority="173" operator="containsText" text="AL">
      <formula>NOT(ISERROR(SEARCH("AL",AC6)))</formula>
    </cfRule>
    <cfRule type="containsText" dxfId="1617" priority="172" operator="containsText" text="OFF">
      <formula>NOT(ISERROR(SEARCH("OFF",AC6)))</formula>
    </cfRule>
    <cfRule type="containsText" dxfId="1616" priority="171" operator="containsText" text="Sick">
      <formula>NOT(ISERROR(SEARCH("Sick",AC6)))</formula>
    </cfRule>
    <cfRule type="containsText" dxfId="1615" priority="170" operator="containsText" text="AB">
      <formula>NOT(ISERROR(SEARCH("AB",AC6)))</formula>
    </cfRule>
  </conditionalFormatting>
  <conditionalFormatting sqref="AC104:AH104">
    <cfRule type="containsText" dxfId="1614" priority="155" operator="containsText" text="MC">
      <formula>NOT(ISERROR(SEARCH("MC",AC104)))</formula>
    </cfRule>
    <cfRule type="containsText" dxfId="1613" priority="154" operator="containsText" text="EL">
      <formula>NOT(ISERROR(SEARCH("EL",AC104)))</formula>
    </cfRule>
    <cfRule type="containsText" dxfId="1612" priority="151" operator="containsText" text="NL">
      <formula>NOT(ISERROR(SEARCH("NL",AC104)))</formula>
    </cfRule>
    <cfRule type="containsText" dxfId="1611" priority="158" operator="containsText" text="SICK">
      <formula>NOT(ISERROR(SEARCH("SICK",AC104)))</formula>
    </cfRule>
    <cfRule type="containsText" dxfId="1610" priority="157" operator="containsText" text="AB">
      <formula>NOT(ISERROR(SEARCH("AB",AC104)))</formula>
    </cfRule>
    <cfRule type="containsText" dxfId="1609" priority="156" operator="containsText" text="OFF">
      <formula>NOT(ISERROR(SEARCH("OFF",AC104)))</formula>
    </cfRule>
    <cfRule type="containsText" dxfId="1608" priority="159" operator="containsText" text="AL">
      <formula>NOT(ISERROR(SEARCH("AL",AC104)))</formula>
    </cfRule>
    <cfRule type="containsText" dxfId="1607" priority="150" operator="containsText" text="SP">
      <formula>NOT(ISERROR(SEARCH("SP",AC104)))</formula>
    </cfRule>
    <cfRule type="containsText" dxfId="1606" priority="153" operator="containsText" text="FL">
      <formula>NOT(ISERROR(SEARCH("FL",AC104)))</formula>
    </cfRule>
    <cfRule type="containsText" dxfId="1605" priority="152" operator="containsText" text="SUS">
      <formula>NOT(ISERROR(SEARCH("SUS",AC104)))</formula>
    </cfRule>
  </conditionalFormatting>
  <conditionalFormatting sqref="AG49:AH49">
    <cfRule type="containsText" dxfId="1604" priority="131" operator="containsText" text="NL">
      <formula>NOT(ISERROR(SEARCH("NL",AG49)))</formula>
    </cfRule>
    <cfRule type="containsText" dxfId="1603" priority="130" operator="containsText" text="SP">
      <formula>NOT(ISERROR(SEARCH("SP",AG49)))</formula>
    </cfRule>
    <cfRule type="containsText" dxfId="1602" priority="132" operator="containsText" text="SUS">
      <formula>NOT(ISERROR(SEARCH("SUS",AG49)))</formula>
    </cfRule>
    <cfRule type="containsText" dxfId="1601" priority="133" operator="containsText" text="FL">
      <formula>NOT(ISERROR(SEARCH("FL",AG49)))</formula>
    </cfRule>
    <cfRule type="containsText" dxfId="1600" priority="134" operator="containsText" text="EL">
      <formula>NOT(ISERROR(SEARCH("EL",AG49)))</formula>
    </cfRule>
    <cfRule type="containsText" dxfId="1599" priority="135" operator="containsText" text="MC">
      <formula>NOT(ISERROR(SEARCH("MC",AG49)))</formula>
    </cfRule>
    <cfRule type="containsText" dxfId="1598" priority="136" operator="containsText" text="OFF">
      <formula>NOT(ISERROR(SEARCH("OFF",AG49)))</formula>
    </cfRule>
    <cfRule type="containsText" dxfId="1597" priority="137" operator="containsText" text="AB">
      <formula>NOT(ISERROR(SEARCH("AB",AG49)))</formula>
    </cfRule>
    <cfRule type="containsText" dxfId="1596" priority="138" operator="containsText" text="SICK">
      <formula>NOT(ISERROR(SEARCH("SICK",AG49)))</formula>
    </cfRule>
    <cfRule type="containsText" dxfId="1595" priority="139" operator="containsText" text="AL">
      <formula>NOT(ISERROR(SEARCH("AL",AG49)))</formula>
    </cfRule>
  </conditionalFormatting>
  <conditionalFormatting sqref="AH137:AI137">
    <cfRule type="containsText" dxfId="1594" priority="13718" stopIfTrue="1" operator="containsText" text="Sick">
      <formula>NOT(ISERROR(SEARCH("Sick",AH137)))</formula>
    </cfRule>
    <cfRule type="containsText" dxfId="1593" priority="13717" stopIfTrue="1" operator="containsText" text="MC">
      <formula>NOT(ISERROR(SEARCH("MC",AH137)))</formula>
    </cfRule>
    <cfRule type="containsText" dxfId="1592" priority="12469" stopIfTrue="1" operator="containsText" text="AB">
      <formula>NOT(ISERROR(SEARCH("AB",AH137)))</formula>
    </cfRule>
  </conditionalFormatting>
  <conditionalFormatting sqref="AI16:AI21">
    <cfRule type="containsText" dxfId="1591" priority="3632" operator="containsText" text="FL">
      <formula>NOT(ISERROR(SEARCH("FL",AI16)))</formula>
    </cfRule>
    <cfRule type="containsText" dxfId="1590" priority="3627" operator="containsText" text="EL">
      <formula>NOT(ISERROR(SEARCH("EL",AI16)))</formula>
    </cfRule>
    <cfRule type="containsText" dxfId="1589" priority="3628" operator="containsText" text="AB">
      <formula>NOT(ISERROR(SEARCH("AB",AI16)))</formula>
    </cfRule>
    <cfRule type="containsText" dxfId="1588" priority="3629" operator="containsText" text="SUS">
      <formula>NOT(ISERROR(SEARCH("SUS",AI16)))</formula>
    </cfRule>
  </conditionalFormatting>
  <conditionalFormatting sqref="AI28 AG145:AI146">
    <cfRule type="containsText" dxfId="1587" priority="1101" operator="containsText" text="SUS">
      <formula>NOT(ISERROR(SEARCH("SUS",AG28)))</formula>
    </cfRule>
    <cfRule type="containsText" dxfId="1586" priority="1102" operator="containsText" text="FL">
      <formula>NOT(ISERROR(SEARCH("FL",AG28)))</formula>
    </cfRule>
  </conditionalFormatting>
  <conditionalFormatting sqref="AI28 AG146:AI146">
    <cfRule type="containsText" dxfId="1585" priority="1106" operator="containsText" text="AB">
      <formula>NOT(ISERROR(SEARCH("AB",AG28)))</formula>
    </cfRule>
    <cfRule type="containsText" dxfId="1584" priority="1108" operator="containsText" text="AL">
      <formula>NOT(ISERROR(SEARCH("AL",AG28)))</formula>
    </cfRule>
    <cfRule type="containsText" dxfId="1583" priority="1107" operator="containsText" text="SICK">
      <formula>NOT(ISERROR(SEARCH("SICK",AG28)))</formula>
    </cfRule>
    <cfRule type="containsText" dxfId="1582" priority="1105" operator="containsText" text="OFF">
      <formula>NOT(ISERROR(SEARCH("OFF",AG28)))</formula>
    </cfRule>
    <cfRule type="containsText" dxfId="1581" priority="1104" operator="containsText" text="MC">
      <formula>NOT(ISERROR(SEARCH("MC",AG28)))</formula>
    </cfRule>
    <cfRule type="containsText" dxfId="1580" priority="1103" operator="containsText" text="EL">
      <formula>NOT(ISERROR(SEARCH("EL",AG28)))</formula>
    </cfRule>
    <cfRule type="containsText" dxfId="1579" priority="1100" operator="containsText" text="NL">
      <formula>NOT(ISERROR(SEARCH("NL",AG28)))</formula>
    </cfRule>
    <cfRule type="containsText" dxfId="1578" priority="1099" operator="containsText" text="SP">
      <formula>NOT(ISERROR(SEARCH("SP",AG28)))</formula>
    </cfRule>
  </conditionalFormatting>
  <conditionalFormatting sqref="AI72:AJ73">
    <cfRule type="containsText" dxfId="1577" priority="863" operator="containsText" text="MC">
      <formula>NOT(ISERROR(SEARCH("MC",AI72)))</formula>
    </cfRule>
  </conditionalFormatting>
  <conditionalFormatting sqref="AI73:AJ73">
    <cfRule type="containsText" dxfId="1576" priority="864" operator="containsText" text="OFF">
      <formula>NOT(ISERROR(SEARCH("OFF",AI73)))</formula>
    </cfRule>
    <cfRule type="containsText" dxfId="1575" priority="858" operator="containsText" text="SP">
      <formula>NOT(ISERROR(SEARCH("SP",AI73)))</formula>
    </cfRule>
    <cfRule type="containsText" dxfId="1574" priority="859" operator="containsText" text="NL">
      <formula>NOT(ISERROR(SEARCH("NL",AI73)))</formula>
    </cfRule>
    <cfRule type="containsText" dxfId="1573" priority="860" operator="containsText" text="SUS">
      <formula>NOT(ISERROR(SEARCH("SUS",AI73)))</formula>
    </cfRule>
    <cfRule type="containsText" dxfId="1572" priority="861" operator="containsText" text="FL">
      <formula>NOT(ISERROR(SEARCH("FL",AI73)))</formula>
    </cfRule>
    <cfRule type="containsText" dxfId="1571" priority="867" operator="containsText" text="AL">
      <formula>NOT(ISERROR(SEARCH("AL",AI73)))</formula>
    </cfRule>
    <cfRule type="containsText" dxfId="1570" priority="866" operator="containsText" text="SICK">
      <formula>NOT(ISERROR(SEARCH("SICK",AI73)))</formula>
    </cfRule>
  </conditionalFormatting>
  <conditionalFormatting sqref="AI16:BP21 AJ142:BP142 AH145:AJ145 AI59 I64:J64 I140:J140 W109:X110">
    <cfRule type="containsText" dxfId="1569" priority="3634" operator="containsText" text="AB">
      <formula>NOT(ISERROR(SEARCH("AB",I16)))</formula>
    </cfRule>
  </conditionalFormatting>
  <conditionalFormatting sqref="AJ5:AJ29 AI16:BP21 AJ59 AT59:BP59 AJ72 W142:BP142 AO143:BP143 AJ144:BP144 AJ145 AQ145:BP145">
    <cfRule type="containsText" dxfId="1568" priority="3417" operator="containsText" text="NL">
      <formula>NOT(ISERROR(SEARCH("NL",W5)))</formula>
    </cfRule>
  </conditionalFormatting>
  <conditionalFormatting sqref="AJ5:AJ29 AI16:BP21">
    <cfRule type="containsText" dxfId="1567" priority="3637" operator="containsText" text="AL">
      <formula>NOT(ISERROR(SEARCH("AL",AI5)))</formula>
    </cfRule>
    <cfRule type="containsText" dxfId="1566" priority="3636" operator="containsText" text="OFF">
      <formula>NOT(ISERROR(SEARCH("OFF",AI5)))</formula>
    </cfRule>
    <cfRule type="containsText" dxfId="1565" priority="3635" operator="containsText" text="Sick">
      <formula>NOT(ISERROR(SEARCH("Sick",AI5)))</formula>
    </cfRule>
  </conditionalFormatting>
  <conditionalFormatting sqref="AJ21 AJ59 AT59:BP59 W142:BP142 AJ143 AO143:BP143 AJ144:BP144 AQ145:BP145 AJ72 AJ145">
    <cfRule type="containsText" dxfId="1564" priority="3612" operator="containsText" text="OFF">
      <formula>NOT(ISERROR(SEARCH("OFF",W21)))</formula>
    </cfRule>
  </conditionalFormatting>
  <conditionalFormatting sqref="AJ21 AJ59 AT59:BP59 AJ72 W142:BP142 AJ143 AO143:BP143 AJ144:BP144 AJ145 AQ145:BP145">
    <cfRule type="containsText" dxfId="1563" priority="3615" operator="containsText" text="AL">
      <formula>NOT(ISERROR(SEARCH("AL",W21)))</formula>
    </cfRule>
  </conditionalFormatting>
  <conditionalFormatting sqref="AJ59 AJ72 W142:BP142 AJ5:AJ29 AI16:BP21 AJ145 AT59:BP59 AO143:BP143 AJ144:BP144 AQ145:BP145">
    <cfRule type="containsText" dxfId="1562" priority="3416" operator="containsText" text="SP">
      <formula>NOT(ISERROR(SEARCH("SP",W5)))</formula>
    </cfRule>
  </conditionalFormatting>
  <conditionalFormatting sqref="AJ72 AI72:AI73 AJ59 W142:AI142">
    <cfRule type="containsText" dxfId="1561" priority="3376" operator="containsText" text="AB">
      <formula>NOT(ISERROR(SEARCH("AB",W59)))</formula>
    </cfRule>
  </conditionalFormatting>
  <conditionalFormatting sqref="AJ121:AJ124">
    <cfRule type="containsText" dxfId="1560" priority="7677" stopIfTrue="1" operator="containsText" text="SICK">
      <formula>NOT(ISERROR(SEARCH("SICK",AJ121)))</formula>
    </cfRule>
    <cfRule type="containsText" priority="13242" stopIfTrue="1" operator="containsText" text="SP">
      <formula>NOT(ISERROR(SEARCH("SP",AJ121)))</formula>
    </cfRule>
    <cfRule type="containsText" dxfId="1559" priority="13241" stopIfTrue="1" operator="containsText" text="SP">
      <formula>NOT(ISERROR(SEARCH("SP",AJ121)))</formula>
    </cfRule>
    <cfRule type="containsText" dxfId="1558" priority="13635" stopIfTrue="1" operator="containsText" text="HD">
      <formula>NOT(ISERROR(SEARCH("HD",AJ121)))</formula>
    </cfRule>
    <cfRule type="containsText" dxfId="1557" priority="13279" stopIfTrue="1" operator="containsText" text="AB">
      <formula>NOT(ISERROR(SEARCH("AB",AJ121)))</formula>
    </cfRule>
    <cfRule type="containsText" dxfId="1556" priority="13716" stopIfTrue="1" operator="containsText" text="AB">
      <formula>NOT(ISERROR(SEARCH("AB",AJ121)))</formula>
    </cfRule>
  </conditionalFormatting>
  <conditionalFormatting sqref="AJ143 AI59:AJ59 AI72:AJ72 E142:F144 AG144:AI144 AJ5:AJ29 AJ16:BP21 W142:BP142 AJ145">
    <cfRule type="containsText" dxfId="1555" priority="3608" operator="containsText" text="SUS">
      <formula>NOT(ISERROR(SEARCH("SUS",E5)))</formula>
    </cfRule>
    <cfRule type="containsText" dxfId="1554" priority="3609" operator="containsText" text="FL">
      <formula>NOT(ISERROR(SEARCH("FL",E5)))</formula>
    </cfRule>
  </conditionalFormatting>
  <conditionalFormatting sqref="AJ143 AI16:BP21 AJ59 W142:BP142 AT59:BP59 AO143:BP143 AJ144:BP144 AQ145:BP145">
    <cfRule type="containsText" dxfId="1553" priority="3611" operator="containsText" text="MC">
      <formula>NOT(ISERROR(SEARCH("MC",W16)))</formula>
    </cfRule>
  </conditionalFormatting>
  <conditionalFormatting sqref="AJ143 AJ21 AJ59 AT59:BP59 AJ72 W142:BP142 AO143:BP143 AJ144:BP144 AJ145 AQ145:BP145">
    <cfRule type="containsText" dxfId="1552" priority="3614" operator="containsText" text="SICK">
      <formula>NOT(ISERROR(SEARCH("SICK",W21)))</formula>
    </cfRule>
  </conditionalFormatting>
  <conditionalFormatting sqref="AJ143">
    <cfRule type="containsText" dxfId="1551" priority="3607" operator="containsText" text="NL">
      <formula>NOT(ISERROR(SEARCH("NL",AJ143)))</formula>
    </cfRule>
    <cfRule type="containsText" dxfId="1550" priority="3606" operator="containsText" text="SP">
      <formula>NOT(ISERROR(SEARCH("SP",AJ143)))</formula>
    </cfRule>
    <cfRule type="containsText" dxfId="1549" priority="3610" operator="containsText" text="EL">
      <formula>NOT(ISERROR(SEARCH("EL",AJ143)))</formula>
    </cfRule>
    <cfRule type="containsText" dxfId="1548" priority="3613" operator="containsText" text="AB">
      <formula>NOT(ISERROR(SEARCH("AB",AJ143)))</formula>
    </cfRule>
  </conditionalFormatting>
  <conditionalFormatting sqref="AJ73:AL73">
    <cfRule type="containsText" dxfId="1547" priority="852" operator="containsText" text="EL">
      <formula>NOT(ISERROR(SEARCH("EL",AJ73)))</formula>
    </cfRule>
    <cfRule type="containsText" dxfId="1546" priority="855" operator="containsText" text="AB">
      <formula>NOT(ISERROR(SEARCH("AB",AJ73)))</formula>
    </cfRule>
  </conditionalFormatting>
  <conditionalFormatting sqref="AJ16:BP21 AT59:BP59 AI59:AJ59 I64:J64 I140:J140 W142:BP142 AO143:BP143 AG144:BP144 AQ145:BP145">
    <cfRule type="containsText" dxfId="1545" priority="1584" operator="containsText" text="EL">
      <formula>NOT(ISERROR(SEARCH("EL",I16)))</formula>
    </cfRule>
  </conditionalFormatting>
  <conditionalFormatting sqref="AK73:AL73">
    <cfRule type="containsText" dxfId="1544" priority="848" operator="containsText" text="SP">
      <formula>NOT(ISERROR(SEARCH("SP",AK73)))</formula>
    </cfRule>
    <cfRule type="containsText" dxfId="1543" priority="849" operator="containsText" text="NL">
      <formula>NOT(ISERROR(SEARCH("NL",AK73)))</formula>
    </cfRule>
    <cfRule type="containsText" dxfId="1542" priority="857" operator="containsText" text="AL">
      <formula>NOT(ISERROR(SEARCH("AL",AK73)))</formula>
    </cfRule>
    <cfRule type="containsText" dxfId="1541" priority="850" operator="containsText" text="SUS">
      <formula>NOT(ISERROR(SEARCH("SUS",AK73)))</formula>
    </cfRule>
    <cfRule type="containsText" dxfId="1540" priority="851" operator="containsText" text="FL">
      <formula>NOT(ISERROR(SEARCH("FL",AK73)))</formula>
    </cfRule>
    <cfRule type="containsText" dxfId="1539" priority="853" operator="containsText" text="MC">
      <formula>NOT(ISERROR(SEARCH("MC",AK73)))</formula>
    </cfRule>
    <cfRule type="containsText" dxfId="1538" priority="856" operator="containsText" text="SICK">
      <formula>NOT(ISERROR(SEARCH("SICK",AK73)))</formula>
    </cfRule>
    <cfRule type="containsText" dxfId="1537" priority="854" operator="containsText" text="OFF">
      <formula>NOT(ISERROR(SEARCH("OFF",AK73)))</formula>
    </cfRule>
  </conditionalFormatting>
  <conditionalFormatting sqref="AK87:AL87">
    <cfRule type="containsText" dxfId="1536" priority="1051" operator="containsText" text="SP">
      <formula>NOT(ISERROR(SEARCH("SP",AK87)))</formula>
    </cfRule>
    <cfRule type="containsText" dxfId="1535" priority="1052" operator="containsText" text="NL">
      <formula>NOT(ISERROR(SEARCH("NL",AK87)))</formula>
    </cfRule>
    <cfRule type="containsText" dxfId="1534" priority="1053" operator="containsText" text="SUS">
      <formula>NOT(ISERROR(SEARCH("SUS",AK87)))</formula>
    </cfRule>
    <cfRule type="containsText" dxfId="1533" priority="1054" operator="containsText" text="FL">
      <formula>NOT(ISERROR(SEARCH("FL",AK87)))</formula>
    </cfRule>
    <cfRule type="containsText" dxfId="1532" priority="1055" operator="containsText" text="EL">
      <formula>NOT(ISERROR(SEARCH("EL",AK87)))</formula>
    </cfRule>
    <cfRule type="containsText" dxfId="1531" priority="1056" operator="containsText" text="MC">
      <formula>NOT(ISERROR(SEARCH("MC",AK87)))</formula>
    </cfRule>
    <cfRule type="containsText" dxfId="1530" priority="1057" operator="containsText" text="OFF">
      <formula>NOT(ISERROR(SEARCH("OFF",AK87)))</formula>
    </cfRule>
    <cfRule type="containsText" dxfId="1529" priority="1060" operator="containsText" text="AL">
      <formula>NOT(ISERROR(SEARCH("AL",AK87)))</formula>
    </cfRule>
    <cfRule type="containsText" dxfId="1528" priority="1059" operator="containsText" text="SICK">
      <formula>NOT(ISERROR(SEARCH("SICK",AK87)))</formula>
    </cfRule>
    <cfRule type="containsText" dxfId="1527" priority="1058" operator="containsText" text="AB">
      <formula>NOT(ISERROR(SEARCH("AB",AK87)))</formula>
    </cfRule>
  </conditionalFormatting>
  <conditionalFormatting sqref="AK99:AN99">
    <cfRule type="containsText" dxfId="1526" priority="1039" operator="containsText" text="OFF">
      <formula>NOT(ISERROR(SEARCH("OFF",AK99)))</formula>
    </cfRule>
    <cfRule type="containsText" dxfId="1525" priority="1040" operator="containsText" text="AL">
      <formula>NOT(ISERROR(SEARCH("AL",AK99)))</formula>
    </cfRule>
    <cfRule type="containsText" dxfId="1524" priority="1036" operator="containsText" text="MC">
      <formula>NOT(ISERROR(SEARCH("MC",AK99)))</formula>
    </cfRule>
    <cfRule type="containsText" dxfId="1523" priority="1035" operator="containsText" text="FL">
      <formula>NOT(ISERROR(SEARCH("FL",AK99)))</formula>
    </cfRule>
    <cfRule type="containsText" dxfId="1522" priority="1034" operator="containsText" text="SUS">
      <formula>NOT(ISERROR(SEARCH("SUS",AK99)))</formula>
    </cfRule>
    <cfRule type="containsText" dxfId="1521" priority="1033" operator="containsText" text="AB">
      <formula>NOT(ISERROR(SEARCH("AB",AK99)))</formula>
    </cfRule>
    <cfRule type="containsText" dxfId="1520" priority="1032" operator="containsText" text="EL">
      <formula>NOT(ISERROR(SEARCH("EL",AK99)))</formula>
    </cfRule>
    <cfRule type="containsText" dxfId="1519" priority="1038" operator="containsText" text="Sick">
      <formula>NOT(ISERROR(SEARCH("Sick",AK99)))</formula>
    </cfRule>
    <cfRule type="containsText" dxfId="1518" priority="1037" operator="containsText" text="AB">
      <formula>NOT(ISERROR(SEARCH("AB",AK99)))</formula>
    </cfRule>
  </conditionalFormatting>
  <conditionalFormatting sqref="AK28:AT28">
    <cfRule type="containsText" dxfId="1517" priority="1089" operator="containsText" text="SP">
      <formula>NOT(ISERROR(SEARCH("SP",AK28)))</formula>
    </cfRule>
    <cfRule type="containsText" dxfId="1516" priority="1090" operator="containsText" text="NL">
      <formula>NOT(ISERROR(SEARCH("NL",AK28)))</formula>
    </cfRule>
    <cfRule type="containsText" dxfId="1515" priority="1097" operator="containsText" text="SICK">
      <formula>NOT(ISERROR(SEARCH("SICK",AK28)))</formula>
    </cfRule>
    <cfRule type="containsText" dxfId="1514" priority="1096" operator="containsText" text="AB">
      <formula>NOT(ISERROR(SEARCH("AB",AK28)))</formula>
    </cfRule>
    <cfRule type="containsText" dxfId="1513" priority="1095" operator="containsText" text="OFF">
      <formula>NOT(ISERROR(SEARCH("OFF",AK28)))</formula>
    </cfRule>
    <cfRule type="containsText" dxfId="1512" priority="1094" operator="containsText" text="MC">
      <formula>NOT(ISERROR(SEARCH("MC",AK28)))</formula>
    </cfRule>
    <cfRule type="containsText" dxfId="1511" priority="1092" operator="containsText" text="FL">
      <formula>NOT(ISERROR(SEARCH("FL",AK28)))</formula>
    </cfRule>
    <cfRule type="containsText" dxfId="1510" priority="1091" operator="containsText" text="SUS">
      <formula>NOT(ISERROR(SEARCH("SUS",AK28)))</formula>
    </cfRule>
    <cfRule type="containsText" dxfId="1509" priority="1098" operator="containsText" text="AL">
      <formula>NOT(ISERROR(SEARCH("AL",AK28)))</formula>
    </cfRule>
    <cfRule type="containsText" dxfId="1508" priority="1093" operator="containsText" text="EL">
      <formula>NOT(ISERROR(SEARCH("EL",AK28)))</formula>
    </cfRule>
  </conditionalFormatting>
  <conditionalFormatting sqref="AM68:AN68">
    <cfRule type="containsText" dxfId="1507" priority="1064" operator="containsText" text="FL">
      <formula>NOT(ISERROR(SEARCH("FL",AM68)))</formula>
    </cfRule>
    <cfRule type="containsText" dxfId="1506" priority="1065" operator="containsText" text="EL">
      <formula>NOT(ISERROR(SEARCH("EL",AM68)))</formula>
    </cfRule>
    <cfRule type="containsText" dxfId="1505" priority="1066" operator="containsText" text="MC">
      <formula>NOT(ISERROR(SEARCH("MC",AM68)))</formula>
    </cfRule>
    <cfRule type="containsText" dxfId="1504" priority="1062" operator="containsText" text="NL">
      <formula>NOT(ISERROR(SEARCH("NL",AM68)))</formula>
    </cfRule>
    <cfRule type="containsText" dxfId="1503" priority="1067" operator="containsText" text="OFF">
      <formula>NOT(ISERROR(SEARCH("OFF",AM68)))</formula>
    </cfRule>
    <cfRule type="containsText" dxfId="1502" priority="1068" operator="containsText" text="AB">
      <formula>NOT(ISERROR(SEARCH("AB",AM68)))</formula>
    </cfRule>
    <cfRule type="containsText" dxfId="1501" priority="1069" operator="containsText" text="SICK">
      <formula>NOT(ISERROR(SEARCH("SICK",AM68)))</formula>
    </cfRule>
    <cfRule type="containsText" dxfId="1500" priority="1070" operator="containsText" text="AL">
      <formula>NOT(ISERROR(SEARCH("AL",AM68)))</formula>
    </cfRule>
    <cfRule type="containsText" dxfId="1499" priority="1063" operator="containsText" text="SUS">
      <formula>NOT(ISERROR(SEARCH("SUS",AM68)))</formula>
    </cfRule>
    <cfRule type="containsText" dxfId="1498" priority="1061" operator="containsText" text="SP">
      <formula>NOT(ISERROR(SEARCH("SP",AM68)))</formula>
    </cfRule>
  </conditionalFormatting>
  <conditionalFormatting sqref="AM103:AP103">
    <cfRule type="containsText" dxfId="1497" priority="1046" operator="containsText" text="MC">
      <formula>NOT(ISERROR(SEARCH("MC",AM103)))</formula>
    </cfRule>
    <cfRule type="containsText" dxfId="1496" priority="1047" operator="containsText" text="OFF">
      <formula>NOT(ISERROR(SEARCH("OFF",AM103)))</formula>
    </cfRule>
    <cfRule type="containsText" dxfId="1495" priority="1048" operator="containsText" text="AB">
      <formula>NOT(ISERROR(SEARCH("AB",AM103)))</formula>
    </cfRule>
    <cfRule type="containsText" dxfId="1494" priority="1049" operator="containsText" text="SICK">
      <formula>NOT(ISERROR(SEARCH("SICK",AM103)))</formula>
    </cfRule>
    <cfRule type="containsText" dxfId="1493" priority="1050" operator="containsText" text="AL">
      <formula>NOT(ISERROR(SEARCH("AL",AM103)))</formula>
    </cfRule>
    <cfRule type="containsText" dxfId="1492" priority="1041" operator="containsText" text="SP">
      <formula>NOT(ISERROR(SEARCH("SP",AM103)))</formula>
    </cfRule>
    <cfRule type="containsText" dxfId="1491" priority="1042" operator="containsText" text="NL">
      <formula>NOT(ISERROR(SEARCH("NL",AM103)))</formula>
    </cfRule>
    <cfRule type="containsText" dxfId="1490" priority="1043" operator="containsText" text="SUS">
      <formula>NOT(ISERROR(SEARCH("SUS",AM103)))</formula>
    </cfRule>
    <cfRule type="containsText" dxfId="1489" priority="1044" operator="containsText" text="FL">
      <formula>NOT(ISERROR(SEARCH("FL",AM103)))</formula>
    </cfRule>
    <cfRule type="containsText" dxfId="1488" priority="1045" operator="containsText" text="EL">
      <formula>NOT(ISERROR(SEARCH("EL",AM103)))</formula>
    </cfRule>
  </conditionalFormatting>
  <conditionalFormatting sqref="AO95:AP95">
    <cfRule type="containsText" dxfId="1487" priority="1028" operator="containsText" text="OFF">
      <formula>NOT(ISERROR(SEARCH("OFF",AO95)))</formula>
    </cfRule>
    <cfRule type="containsText" dxfId="1486" priority="1030" operator="containsText" text="SICK">
      <formula>NOT(ISERROR(SEARCH("SICK",AO95)))</formula>
    </cfRule>
    <cfRule type="containsText" dxfId="1485" priority="1031" operator="containsText" text="AL">
      <formula>NOT(ISERROR(SEARCH("AL",AO95)))</formula>
    </cfRule>
    <cfRule type="containsText" dxfId="1484" priority="1029" operator="containsText" text="AB">
      <formula>NOT(ISERROR(SEARCH("AB",AO95)))</formula>
    </cfRule>
    <cfRule type="containsText" dxfId="1483" priority="1022" operator="containsText" text="SP">
      <formula>NOT(ISERROR(SEARCH("SP",AO95)))</formula>
    </cfRule>
    <cfRule type="containsText" dxfId="1482" priority="1024" operator="containsText" text="SUS">
      <formula>NOT(ISERROR(SEARCH("SUS",AO95)))</formula>
    </cfRule>
    <cfRule type="containsText" dxfId="1481" priority="1025" operator="containsText" text="FL">
      <formula>NOT(ISERROR(SEARCH("FL",AO95)))</formula>
    </cfRule>
    <cfRule type="containsText" dxfId="1480" priority="1026" operator="containsText" text="EL">
      <formula>NOT(ISERROR(SEARCH("EL",AO95)))</formula>
    </cfRule>
    <cfRule type="containsText" dxfId="1479" priority="1027" operator="containsText" text="MC">
      <formula>NOT(ISERROR(SEARCH("MC",AO95)))</formula>
    </cfRule>
    <cfRule type="containsText" dxfId="1478" priority="1023" operator="containsText" text="NL">
      <formula>NOT(ISERROR(SEARCH("NL",AO95)))</formula>
    </cfRule>
  </conditionalFormatting>
  <conditionalFormatting sqref="AQ5:AR5">
    <cfRule type="containsText" dxfId="1477" priority="1170" operator="containsText" text="MC">
      <formula>NOT(ISERROR(SEARCH("MC",AQ5)))</formula>
    </cfRule>
    <cfRule type="containsText" dxfId="1476" priority="1166" operator="containsText" text="EL">
      <formula>NOT(ISERROR(SEARCH("EL",AQ5)))</formula>
    </cfRule>
    <cfRule type="containsText" dxfId="1475" priority="1167" operator="containsText" text="AB">
      <formula>NOT(ISERROR(SEARCH("AB",AQ5)))</formula>
    </cfRule>
    <cfRule type="containsText" dxfId="1474" priority="1168" operator="containsText" text="SUS">
      <formula>NOT(ISERROR(SEARCH("SUS",AQ5)))</formula>
    </cfRule>
    <cfRule type="containsText" dxfId="1473" priority="1169" operator="containsText" text="FL">
      <formula>NOT(ISERROR(SEARCH("FL",AQ5)))</formula>
    </cfRule>
    <cfRule type="containsText" dxfId="1472" priority="1174" operator="containsText" text="AL">
      <formula>NOT(ISERROR(SEARCH("AL",AQ5)))</formula>
    </cfRule>
    <cfRule type="containsText" dxfId="1471" priority="1173" operator="containsText" text="OFF">
      <formula>NOT(ISERROR(SEARCH("OFF",AQ5)))</formula>
    </cfRule>
    <cfRule type="containsText" dxfId="1470" priority="1172" operator="containsText" text="Sick">
      <formula>NOT(ISERROR(SEARCH("Sick",AQ5)))</formula>
    </cfRule>
    <cfRule type="containsText" dxfId="1469" priority="1171" operator="containsText" text="AB">
      <formula>NOT(ISERROR(SEARCH("AB",AQ5)))</formula>
    </cfRule>
  </conditionalFormatting>
  <conditionalFormatting sqref="AQ11:AR21">
    <cfRule type="containsText" dxfId="1468" priority="1162" operator="containsText" text="AB">
      <formula>NOT(ISERROR(SEARCH("AB",AQ11)))</formula>
    </cfRule>
    <cfRule type="containsText" dxfId="1467" priority="1163" operator="containsText" text="Sick">
      <formula>NOT(ISERROR(SEARCH("Sick",AQ11)))</formula>
    </cfRule>
    <cfRule type="containsText" dxfId="1466" priority="1164" operator="containsText" text="OFF">
      <formula>NOT(ISERROR(SEARCH("OFF",AQ11)))</formula>
    </cfRule>
    <cfRule type="containsText" dxfId="1465" priority="1165" operator="containsText" text="AL">
      <formula>NOT(ISERROR(SEARCH("AL",AQ11)))</formula>
    </cfRule>
    <cfRule type="containsText" dxfId="1464" priority="1161" operator="containsText" text="MC">
      <formula>NOT(ISERROR(SEARCH("MC",AQ11)))</formula>
    </cfRule>
    <cfRule type="containsText" dxfId="1463" priority="1157" operator="containsText" text="EL">
      <formula>NOT(ISERROR(SEARCH("EL",AQ11)))</formula>
    </cfRule>
    <cfRule type="containsText" dxfId="1462" priority="1158" operator="containsText" text="AB">
      <formula>NOT(ISERROR(SEARCH("AB",AQ11)))</formula>
    </cfRule>
    <cfRule type="containsText" dxfId="1461" priority="1159" operator="containsText" text="SUS">
      <formula>NOT(ISERROR(SEARCH("SUS",AQ11)))</formula>
    </cfRule>
    <cfRule type="containsText" dxfId="1460" priority="1160" operator="containsText" text="FL">
      <formula>NOT(ISERROR(SEARCH("FL",AQ11)))</formula>
    </cfRule>
  </conditionalFormatting>
  <conditionalFormatting sqref="AQ14:AR14">
    <cfRule type="containsText" dxfId="1459" priority="1136" operator="containsText" text="Sick">
      <formula>NOT(ISERROR(SEARCH("Sick",AQ14)))</formula>
    </cfRule>
    <cfRule type="containsText" dxfId="1458" priority="1137" operator="containsText" text="OFF">
      <formula>NOT(ISERROR(SEARCH("OFF",AQ14)))</formula>
    </cfRule>
    <cfRule type="containsText" dxfId="1457" priority="1138" operator="containsText" text="AL">
      <formula>NOT(ISERROR(SEARCH("AL",AQ14)))</formula>
    </cfRule>
    <cfRule type="containsText" dxfId="1456" priority="1135" operator="containsText" text="AB">
      <formula>NOT(ISERROR(SEARCH("AB",AQ14)))</formula>
    </cfRule>
    <cfRule type="containsText" dxfId="1455" priority="1133" operator="containsText" text="FL">
      <formula>NOT(ISERROR(SEARCH("FL",AQ14)))</formula>
    </cfRule>
    <cfRule type="containsText" dxfId="1454" priority="1130" operator="containsText" text="EL">
      <formula>NOT(ISERROR(SEARCH("EL",AQ14)))</formula>
    </cfRule>
    <cfRule type="containsText" dxfId="1453" priority="1131" operator="containsText" text="AB">
      <formula>NOT(ISERROR(SEARCH("AB",AQ14)))</formula>
    </cfRule>
    <cfRule type="containsText" dxfId="1452" priority="1132" operator="containsText" text="SUS">
      <formula>NOT(ISERROR(SEARCH("SUS",AQ14)))</formula>
    </cfRule>
    <cfRule type="containsText" dxfId="1451" priority="1134" operator="containsText" text="MC">
      <formula>NOT(ISERROR(SEARCH("MC",AQ14)))</formula>
    </cfRule>
  </conditionalFormatting>
  <conditionalFormatting sqref="AQ20:AR21">
    <cfRule type="containsText" dxfId="1450" priority="1139" operator="containsText" text="EL">
      <formula>NOT(ISERROR(SEARCH("EL",AQ20)))</formula>
    </cfRule>
    <cfRule type="containsText" dxfId="1449" priority="1140" operator="containsText" text="AB">
      <formula>NOT(ISERROR(SEARCH("AB",AQ20)))</formula>
    </cfRule>
    <cfRule type="containsText" dxfId="1448" priority="1141" operator="containsText" text="SUS">
      <formula>NOT(ISERROR(SEARCH("SUS",AQ20)))</formula>
    </cfRule>
    <cfRule type="containsText" dxfId="1447" priority="1142" operator="containsText" text="FL">
      <formula>NOT(ISERROR(SEARCH("FL",AQ20)))</formula>
    </cfRule>
    <cfRule type="containsText" dxfId="1446" priority="1144" operator="containsText" text="AB">
      <formula>NOT(ISERROR(SEARCH("AB",AQ20)))</formula>
    </cfRule>
    <cfRule type="containsText" dxfId="1445" priority="1147" operator="containsText" text="AL">
      <formula>NOT(ISERROR(SEARCH("AL",AQ20)))</formula>
    </cfRule>
    <cfRule type="containsText" dxfId="1444" priority="1146" operator="containsText" text="OFF">
      <formula>NOT(ISERROR(SEARCH("OFF",AQ20)))</formula>
    </cfRule>
    <cfRule type="containsText" dxfId="1443" priority="1145" operator="containsText" text="Sick">
      <formula>NOT(ISERROR(SEARCH("Sick",AQ20)))</formula>
    </cfRule>
    <cfRule type="containsText" dxfId="1442" priority="1143" operator="containsText" text="MC">
      <formula>NOT(ISERROR(SEARCH("MC",AQ20)))</formula>
    </cfRule>
  </conditionalFormatting>
  <conditionalFormatting sqref="AQ25:AR26">
    <cfRule type="containsText" dxfId="1441" priority="1151" operator="containsText" text="FL">
      <formula>NOT(ISERROR(SEARCH("FL",AQ25)))</formula>
    </cfRule>
    <cfRule type="containsText" dxfId="1440" priority="1150" operator="containsText" text="SUS">
      <formula>NOT(ISERROR(SEARCH("SUS",AQ25)))</formula>
    </cfRule>
    <cfRule type="containsText" dxfId="1439" priority="1149" operator="containsText" text="AB">
      <formula>NOT(ISERROR(SEARCH("AB",AQ25)))</formula>
    </cfRule>
    <cfRule type="containsText" dxfId="1438" priority="1152" operator="containsText" text="MC">
      <formula>NOT(ISERROR(SEARCH("MC",AQ25)))</formula>
    </cfRule>
    <cfRule type="containsText" dxfId="1437" priority="1148" operator="containsText" text="EL">
      <formula>NOT(ISERROR(SEARCH("EL",AQ25)))</formula>
    </cfRule>
    <cfRule type="containsText" dxfId="1436" priority="1156" operator="containsText" text="AL">
      <formula>NOT(ISERROR(SEARCH("AL",AQ25)))</formula>
    </cfRule>
    <cfRule type="containsText" dxfId="1435" priority="1155" operator="containsText" text="OFF">
      <formula>NOT(ISERROR(SEARCH("OFF",AQ25)))</formula>
    </cfRule>
    <cfRule type="containsText" dxfId="1434" priority="1154" operator="containsText" text="Sick">
      <formula>NOT(ISERROR(SEARCH("Sick",AQ25)))</formula>
    </cfRule>
    <cfRule type="containsText" dxfId="1433" priority="1153" operator="containsText" text="AB">
      <formula>NOT(ISERROR(SEARCH("AB",AQ25)))</formula>
    </cfRule>
  </conditionalFormatting>
  <conditionalFormatting sqref="AQ44:AR44">
    <cfRule type="containsText" dxfId="1432" priority="1014" operator="containsText" text="AB">
      <formula>NOT(ISERROR(SEARCH("AB",AQ44)))</formula>
    </cfRule>
    <cfRule type="containsText" dxfId="1431" priority="1013" operator="containsText" text="EL">
      <formula>NOT(ISERROR(SEARCH("EL",AQ44)))</formula>
    </cfRule>
    <cfRule type="containsText" dxfId="1430" priority="1019" operator="containsText" text="Sick">
      <formula>NOT(ISERROR(SEARCH("Sick",AQ44)))</formula>
    </cfRule>
    <cfRule type="containsText" dxfId="1429" priority="1021" operator="containsText" text="AL">
      <formula>NOT(ISERROR(SEARCH("AL",AQ44)))</formula>
    </cfRule>
    <cfRule type="containsText" dxfId="1428" priority="1020" operator="containsText" text="OFF">
      <formula>NOT(ISERROR(SEARCH("OFF",AQ44)))</formula>
    </cfRule>
    <cfRule type="containsText" dxfId="1427" priority="1018" operator="containsText" text="AB">
      <formula>NOT(ISERROR(SEARCH("AB",AQ44)))</formula>
    </cfRule>
    <cfRule type="containsText" dxfId="1426" priority="1017" operator="containsText" text="MC">
      <formula>NOT(ISERROR(SEARCH("MC",AQ44)))</formula>
    </cfRule>
    <cfRule type="containsText" dxfId="1425" priority="1016" operator="containsText" text="FL">
      <formula>NOT(ISERROR(SEARCH("FL",AQ44)))</formula>
    </cfRule>
    <cfRule type="containsText" dxfId="1424" priority="1015" operator="containsText" text="SUS">
      <formula>NOT(ISERROR(SEARCH("SUS",AQ44)))</formula>
    </cfRule>
  </conditionalFormatting>
  <conditionalFormatting sqref="AQ47:AR48 AS48:AT48">
    <cfRule type="containsText" dxfId="1423" priority="1006" operator="containsText" text="SUS">
      <formula>NOT(ISERROR(SEARCH("SUS",AQ47)))</formula>
    </cfRule>
    <cfRule type="containsText" dxfId="1422" priority="1005" operator="containsText" text="AB">
      <formula>NOT(ISERROR(SEARCH("AB",AQ47)))</formula>
    </cfRule>
    <cfRule type="containsText" dxfId="1421" priority="1011" operator="containsText" text="OFF">
      <formula>NOT(ISERROR(SEARCH("OFF",AQ47)))</formula>
    </cfRule>
    <cfRule type="containsText" dxfId="1420" priority="1010" operator="containsText" text="Sick">
      <formula>NOT(ISERROR(SEARCH("Sick",AQ47)))</formula>
    </cfRule>
    <cfRule type="containsText" dxfId="1419" priority="1009" operator="containsText" text="AB">
      <formula>NOT(ISERROR(SEARCH("AB",AQ47)))</formula>
    </cfRule>
    <cfRule type="containsText" dxfId="1418" priority="1004" operator="containsText" text="EL">
      <formula>NOT(ISERROR(SEARCH("EL",AQ47)))</formula>
    </cfRule>
    <cfRule type="containsText" dxfId="1417" priority="1008" operator="containsText" text="MC">
      <formula>NOT(ISERROR(SEARCH("MC",AQ47)))</formula>
    </cfRule>
    <cfRule type="containsText" dxfId="1416" priority="1012" operator="containsText" text="AL">
      <formula>NOT(ISERROR(SEARCH("AL",AQ47)))</formula>
    </cfRule>
    <cfRule type="containsText" dxfId="1415" priority="1007" operator="containsText" text="FL">
      <formula>NOT(ISERROR(SEARCH("FL",AQ47)))</formula>
    </cfRule>
  </conditionalFormatting>
  <conditionalFormatting sqref="AQ50:AR50">
    <cfRule type="containsText" dxfId="1414" priority="1002" operator="containsText" text="OFF">
      <formula>NOT(ISERROR(SEARCH("OFF",AQ50)))</formula>
    </cfRule>
    <cfRule type="containsText" dxfId="1413" priority="1003" operator="containsText" text="AL">
      <formula>NOT(ISERROR(SEARCH("AL",AQ50)))</formula>
    </cfRule>
    <cfRule type="containsText" dxfId="1412" priority="995" operator="containsText" text="EL">
      <formula>NOT(ISERROR(SEARCH("EL",AQ50)))</formula>
    </cfRule>
    <cfRule type="containsText" dxfId="1411" priority="996" operator="containsText" text="AB">
      <formula>NOT(ISERROR(SEARCH("AB",AQ50)))</formula>
    </cfRule>
    <cfRule type="containsText" dxfId="1410" priority="997" operator="containsText" text="SUS">
      <formula>NOT(ISERROR(SEARCH("SUS",AQ50)))</formula>
    </cfRule>
    <cfRule type="containsText" dxfId="1409" priority="998" operator="containsText" text="FL">
      <formula>NOT(ISERROR(SEARCH("FL",AQ50)))</formula>
    </cfRule>
    <cfRule type="containsText" dxfId="1408" priority="999" operator="containsText" text="MC">
      <formula>NOT(ISERROR(SEARCH("MC",AQ50)))</formula>
    </cfRule>
    <cfRule type="containsText" dxfId="1407" priority="1000" operator="containsText" text="AB">
      <formula>NOT(ISERROR(SEARCH("AB",AQ50)))</formula>
    </cfRule>
    <cfRule type="containsText" dxfId="1406" priority="1001" operator="containsText" text="Sick">
      <formula>NOT(ISERROR(SEARCH("Sick",AQ50)))</formula>
    </cfRule>
  </conditionalFormatting>
  <conditionalFormatting sqref="AQ54:AR57">
    <cfRule type="containsText" dxfId="1405" priority="992" operator="containsText" text="Sick">
      <formula>NOT(ISERROR(SEARCH("Sick",AQ54)))</formula>
    </cfRule>
    <cfRule type="containsText" dxfId="1404" priority="991" operator="containsText" text="AB">
      <formula>NOT(ISERROR(SEARCH("AB",AQ54)))</formula>
    </cfRule>
    <cfRule type="containsText" dxfId="1403" priority="990" operator="containsText" text="MC">
      <formula>NOT(ISERROR(SEARCH("MC",AQ54)))</formula>
    </cfRule>
    <cfRule type="containsText" dxfId="1402" priority="989" operator="containsText" text="FL">
      <formula>NOT(ISERROR(SEARCH("FL",AQ54)))</formula>
    </cfRule>
    <cfRule type="containsText" dxfId="1401" priority="987" operator="containsText" text="AB">
      <formula>NOT(ISERROR(SEARCH("AB",AQ54)))</formula>
    </cfRule>
    <cfRule type="containsText" dxfId="1400" priority="986" operator="containsText" text="EL">
      <formula>NOT(ISERROR(SEARCH("EL",AQ54)))</formula>
    </cfRule>
    <cfRule type="containsText" dxfId="1399" priority="988" operator="containsText" text="SUS">
      <formula>NOT(ISERROR(SEARCH("SUS",AQ54)))</formula>
    </cfRule>
    <cfRule type="containsText" dxfId="1398" priority="993" operator="containsText" text="OFF">
      <formula>NOT(ISERROR(SEARCH("OFF",AQ54)))</formula>
    </cfRule>
    <cfRule type="containsText" dxfId="1397" priority="994" operator="containsText" text="AL">
      <formula>NOT(ISERROR(SEARCH("AL",AQ54)))</formula>
    </cfRule>
  </conditionalFormatting>
  <conditionalFormatting sqref="AQ60:AR61">
    <cfRule type="containsText" dxfId="1396" priority="985" operator="containsText" text="AL">
      <formula>NOT(ISERROR(SEARCH("AL",AQ60)))</formula>
    </cfRule>
    <cfRule type="containsText" dxfId="1395" priority="984" operator="containsText" text="OFF">
      <formula>NOT(ISERROR(SEARCH("OFF",AQ60)))</formula>
    </cfRule>
    <cfRule type="containsText" dxfId="1394" priority="979" operator="containsText" text="SUS">
      <formula>NOT(ISERROR(SEARCH("SUS",AQ60)))</formula>
    </cfRule>
    <cfRule type="containsText" dxfId="1393" priority="978" operator="containsText" text="AB">
      <formula>NOT(ISERROR(SEARCH("AB",AQ60)))</formula>
    </cfRule>
    <cfRule type="containsText" dxfId="1392" priority="977" operator="containsText" text="EL">
      <formula>NOT(ISERROR(SEARCH("EL",AQ60)))</formula>
    </cfRule>
    <cfRule type="containsText" dxfId="1391" priority="983" operator="containsText" text="Sick">
      <formula>NOT(ISERROR(SEARCH("Sick",AQ60)))</formula>
    </cfRule>
    <cfRule type="containsText" dxfId="1390" priority="982" operator="containsText" text="AB">
      <formula>NOT(ISERROR(SEARCH("AB",AQ60)))</formula>
    </cfRule>
    <cfRule type="containsText" dxfId="1389" priority="980" operator="containsText" text="FL">
      <formula>NOT(ISERROR(SEARCH("FL",AQ60)))</formula>
    </cfRule>
    <cfRule type="containsText" dxfId="1388" priority="981" operator="containsText" text="MC">
      <formula>NOT(ISERROR(SEARCH("MC",AQ60)))</formula>
    </cfRule>
  </conditionalFormatting>
  <conditionalFormatting sqref="AQ64:AR64 AQ140:AR140 AA146:AB146 BE109:BF111">
    <cfRule type="containsText" dxfId="1387" priority="1358" operator="containsText" text="FL">
      <formula>NOT(ISERROR(SEARCH("FL",AA64)))</formula>
    </cfRule>
    <cfRule type="containsText" dxfId="1386" priority="1357" operator="containsText" text="SUS">
      <formula>NOT(ISERROR(SEARCH("SUS",AA64)))</formula>
    </cfRule>
  </conditionalFormatting>
  <conditionalFormatting sqref="AQ64:AR64 AQ140:AR140 AA146:AB146">
    <cfRule type="containsText" dxfId="1385" priority="1356" operator="containsText" text="AB">
      <formula>NOT(ISERROR(SEARCH("AB",AA64)))</formula>
    </cfRule>
    <cfRule type="containsText" dxfId="1384" priority="1355" operator="containsText" text="EL">
      <formula>NOT(ISERROR(SEARCH("EL",AA64)))</formula>
    </cfRule>
  </conditionalFormatting>
  <conditionalFormatting sqref="AQ64:AR64 BE109:BF111 AQ140:AR140 AA146:AB146">
    <cfRule type="containsText" dxfId="1383" priority="1363" operator="containsText" text="AL">
      <formula>NOT(ISERROR(SEARCH("AL",AA64)))</formula>
    </cfRule>
    <cfRule type="containsText" dxfId="1382" priority="1362" operator="containsText" text="OFF">
      <formula>NOT(ISERROR(SEARCH("OFF",AA64)))</formula>
    </cfRule>
    <cfRule type="containsText" dxfId="1381" priority="1361" operator="containsText" text="Sick">
      <formula>NOT(ISERROR(SEARCH("Sick",AA64)))</formula>
    </cfRule>
    <cfRule type="containsText" dxfId="1380" priority="1360" operator="containsText" text="AB">
      <formula>NOT(ISERROR(SEARCH("AB",AA64)))</formula>
    </cfRule>
    <cfRule type="containsText" dxfId="1379" priority="1359" operator="containsText" text="MC">
      <formula>NOT(ISERROR(SEARCH("MC",AA64)))</formula>
    </cfRule>
  </conditionalFormatting>
  <conditionalFormatting sqref="AQ66:AR67">
    <cfRule type="containsText" dxfId="1378" priority="965" operator="containsText" text="Sick">
      <formula>NOT(ISERROR(SEARCH("Sick",AQ66)))</formula>
    </cfRule>
    <cfRule type="containsText" dxfId="1377" priority="966" operator="containsText" text="OFF">
      <formula>NOT(ISERROR(SEARCH("OFF",AQ66)))</formula>
    </cfRule>
    <cfRule type="containsText" dxfId="1376" priority="967" operator="containsText" text="AL">
      <formula>NOT(ISERROR(SEARCH("AL",AQ66)))</formula>
    </cfRule>
    <cfRule type="containsText" dxfId="1375" priority="960" operator="containsText" text="AB">
      <formula>NOT(ISERROR(SEARCH("AB",AQ66)))</formula>
    </cfRule>
    <cfRule type="containsText" dxfId="1374" priority="964" operator="containsText" text="AB">
      <formula>NOT(ISERROR(SEARCH("AB",AQ66)))</formula>
    </cfRule>
    <cfRule type="containsText" dxfId="1373" priority="959" operator="containsText" text="EL">
      <formula>NOT(ISERROR(SEARCH("EL",AQ66)))</formula>
    </cfRule>
    <cfRule type="containsText" dxfId="1372" priority="961" operator="containsText" text="SUS">
      <formula>NOT(ISERROR(SEARCH("SUS",AQ66)))</formula>
    </cfRule>
    <cfRule type="containsText" dxfId="1371" priority="962" operator="containsText" text="FL">
      <formula>NOT(ISERROR(SEARCH("FL",AQ66)))</formula>
    </cfRule>
    <cfRule type="containsText" dxfId="1370" priority="963" operator="containsText" text="MC">
      <formula>NOT(ISERROR(SEARCH("MC",AQ66)))</formula>
    </cfRule>
  </conditionalFormatting>
  <conditionalFormatting sqref="AQ70:AR71">
    <cfRule type="containsText" dxfId="1369" priority="955" operator="containsText" text="AB">
      <formula>NOT(ISERROR(SEARCH("AB",AQ70)))</formula>
    </cfRule>
    <cfRule type="containsText" dxfId="1368" priority="956" operator="containsText" text="Sick">
      <formula>NOT(ISERROR(SEARCH("Sick",AQ70)))</formula>
    </cfRule>
    <cfRule type="containsText" dxfId="1367" priority="957" operator="containsText" text="OFF">
      <formula>NOT(ISERROR(SEARCH("OFF",AQ70)))</formula>
    </cfRule>
    <cfRule type="containsText" dxfId="1366" priority="958" operator="containsText" text="AL">
      <formula>NOT(ISERROR(SEARCH("AL",AQ70)))</formula>
    </cfRule>
    <cfRule type="containsText" dxfId="1365" priority="950" operator="containsText" text="EL">
      <formula>NOT(ISERROR(SEARCH("EL",AQ70)))</formula>
    </cfRule>
    <cfRule type="containsText" dxfId="1364" priority="951" operator="containsText" text="AB">
      <formula>NOT(ISERROR(SEARCH("AB",AQ70)))</formula>
    </cfRule>
    <cfRule type="containsText" dxfId="1363" priority="952" operator="containsText" text="SUS">
      <formula>NOT(ISERROR(SEARCH("SUS",AQ70)))</formula>
    </cfRule>
    <cfRule type="containsText" dxfId="1362" priority="953" operator="containsText" text="FL">
      <formula>NOT(ISERROR(SEARCH("FL",AQ70)))</formula>
    </cfRule>
    <cfRule type="containsText" dxfId="1361" priority="954" operator="containsText" text="MC">
      <formula>NOT(ISERROR(SEARCH("MC",AQ70)))</formula>
    </cfRule>
  </conditionalFormatting>
  <conditionalFormatting sqref="AQ75:AR75">
    <cfRule type="containsText" dxfId="1360" priority="948" operator="containsText" text="OFF">
      <formula>NOT(ISERROR(SEARCH("OFF",AQ75)))</formula>
    </cfRule>
    <cfRule type="containsText" dxfId="1359" priority="942" operator="containsText" text="AB">
      <formula>NOT(ISERROR(SEARCH("AB",AQ75)))</formula>
    </cfRule>
    <cfRule type="containsText" dxfId="1358" priority="949" operator="containsText" text="AL">
      <formula>NOT(ISERROR(SEARCH("AL",AQ75)))</formula>
    </cfRule>
    <cfRule type="containsText" dxfId="1357" priority="946" operator="containsText" text="AB">
      <formula>NOT(ISERROR(SEARCH("AB",AQ75)))</formula>
    </cfRule>
    <cfRule type="containsText" dxfId="1356" priority="945" operator="containsText" text="MC">
      <formula>NOT(ISERROR(SEARCH("MC",AQ75)))</formula>
    </cfRule>
    <cfRule type="containsText" dxfId="1355" priority="944" operator="containsText" text="FL">
      <formula>NOT(ISERROR(SEARCH("FL",AQ75)))</formula>
    </cfRule>
    <cfRule type="containsText" dxfId="1354" priority="943" operator="containsText" text="SUS">
      <formula>NOT(ISERROR(SEARCH("SUS",AQ75)))</formula>
    </cfRule>
    <cfRule type="containsText" dxfId="1353" priority="947" operator="containsText" text="Sick">
      <formula>NOT(ISERROR(SEARCH("Sick",AQ75)))</formula>
    </cfRule>
    <cfRule type="containsText" dxfId="1352" priority="941" operator="containsText" text="EL">
      <formula>NOT(ISERROR(SEARCH("EL",AQ75)))</formula>
    </cfRule>
  </conditionalFormatting>
  <conditionalFormatting sqref="AQ77:AR79">
    <cfRule type="containsText" dxfId="1351" priority="938" operator="containsText" text="Sick">
      <formula>NOT(ISERROR(SEARCH("Sick",AQ77)))</formula>
    </cfRule>
    <cfRule type="containsText" dxfId="1350" priority="939" operator="containsText" text="OFF">
      <formula>NOT(ISERROR(SEARCH("OFF",AQ77)))</formula>
    </cfRule>
    <cfRule type="containsText" dxfId="1349" priority="935" operator="containsText" text="FL">
      <formula>NOT(ISERROR(SEARCH("FL",AQ77)))</formula>
    </cfRule>
    <cfRule type="containsText" dxfId="1348" priority="934" operator="containsText" text="SUS">
      <formula>NOT(ISERROR(SEARCH("SUS",AQ77)))</formula>
    </cfRule>
    <cfRule type="containsText" dxfId="1347" priority="937" operator="containsText" text="AB">
      <formula>NOT(ISERROR(SEARCH("AB",AQ77)))</formula>
    </cfRule>
    <cfRule type="containsText" dxfId="1346" priority="933" operator="containsText" text="AB">
      <formula>NOT(ISERROR(SEARCH("AB",AQ77)))</formula>
    </cfRule>
    <cfRule type="containsText" dxfId="1345" priority="932" operator="containsText" text="EL">
      <formula>NOT(ISERROR(SEARCH("EL",AQ77)))</formula>
    </cfRule>
    <cfRule type="containsText" dxfId="1344" priority="940" operator="containsText" text="AL">
      <formula>NOT(ISERROR(SEARCH("AL",AQ77)))</formula>
    </cfRule>
    <cfRule type="containsText" dxfId="1343" priority="936" operator="containsText" text="MC">
      <formula>NOT(ISERROR(SEARCH("MC",AQ77)))</formula>
    </cfRule>
  </conditionalFormatting>
  <conditionalFormatting sqref="AQ87:AR87">
    <cfRule type="containsText" dxfId="1342" priority="927" operator="containsText" text="MC">
      <formula>NOT(ISERROR(SEARCH("MC",AQ87)))</formula>
    </cfRule>
    <cfRule type="containsText" dxfId="1341" priority="928" operator="containsText" text="AB">
      <formula>NOT(ISERROR(SEARCH("AB",AQ87)))</formula>
    </cfRule>
    <cfRule type="containsText" dxfId="1340" priority="929" operator="containsText" text="Sick">
      <formula>NOT(ISERROR(SEARCH("Sick",AQ87)))</formula>
    </cfRule>
    <cfRule type="containsText" dxfId="1339" priority="930" operator="containsText" text="OFF">
      <formula>NOT(ISERROR(SEARCH("OFF",AQ87)))</formula>
    </cfRule>
    <cfRule type="containsText" dxfId="1338" priority="931" operator="containsText" text="AL">
      <formula>NOT(ISERROR(SEARCH("AL",AQ87)))</formula>
    </cfRule>
    <cfRule type="containsText" dxfId="1337" priority="925" operator="containsText" text="SUS">
      <formula>NOT(ISERROR(SEARCH("SUS",AQ87)))</formula>
    </cfRule>
    <cfRule type="containsText" dxfId="1336" priority="923" operator="containsText" text="EL">
      <formula>NOT(ISERROR(SEARCH("EL",AQ87)))</formula>
    </cfRule>
    <cfRule type="containsText" dxfId="1335" priority="924" operator="containsText" text="AB">
      <formula>NOT(ISERROR(SEARCH("AB",AQ87)))</formula>
    </cfRule>
    <cfRule type="containsText" dxfId="1334" priority="926" operator="containsText" text="FL">
      <formula>NOT(ISERROR(SEARCH("FL",AQ87)))</formula>
    </cfRule>
  </conditionalFormatting>
  <conditionalFormatting sqref="AQ90:AR90">
    <cfRule type="containsText" dxfId="1333" priority="914" operator="containsText" text="EL">
      <formula>NOT(ISERROR(SEARCH("EL",AQ90)))</formula>
    </cfRule>
    <cfRule type="containsText" dxfId="1332" priority="915" operator="containsText" text="AB">
      <formula>NOT(ISERROR(SEARCH("AB",AQ90)))</formula>
    </cfRule>
    <cfRule type="containsText" dxfId="1331" priority="921" operator="containsText" text="OFF">
      <formula>NOT(ISERROR(SEARCH("OFF",AQ90)))</formula>
    </cfRule>
    <cfRule type="containsText" dxfId="1330" priority="916" operator="containsText" text="SUS">
      <formula>NOT(ISERROR(SEARCH("SUS",AQ90)))</formula>
    </cfRule>
    <cfRule type="containsText" dxfId="1329" priority="917" operator="containsText" text="FL">
      <formula>NOT(ISERROR(SEARCH("FL",AQ90)))</formula>
    </cfRule>
    <cfRule type="containsText" dxfId="1328" priority="922" operator="containsText" text="AL">
      <formula>NOT(ISERROR(SEARCH("AL",AQ90)))</formula>
    </cfRule>
    <cfRule type="containsText" dxfId="1327" priority="918" operator="containsText" text="MC">
      <formula>NOT(ISERROR(SEARCH("MC",AQ90)))</formula>
    </cfRule>
    <cfRule type="containsText" dxfId="1326" priority="919" operator="containsText" text="AB">
      <formula>NOT(ISERROR(SEARCH("AB",AQ90)))</formula>
    </cfRule>
    <cfRule type="containsText" dxfId="1325" priority="920" operator="containsText" text="Sick">
      <formula>NOT(ISERROR(SEARCH("Sick",AQ90)))</formula>
    </cfRule>
  </conditionalFormatting>
  <conditionalFormatting sqref="AQ99:AR101">
    <cfRule type="containsText" dxfId="1324" priority="898" operator="containsText" text="SUS">
      <formula>NOT(ISERROR(SEARCH("SUS",AQ99)))</formula>
    </cfRule>
    <cfRule type="containsText" dxfId="1323" priority="901" operator="containsText" text="AB">
      <formula>NOT(ISERROR(SEARCH("AB",AQ99)))</formula>
    </cfRule>
    <cfRule type="containsText" dxfId="1322" priority="902" operator="containsText" text="Sick">
      <formula>NOT(ISERROR(SEARCH("Sick",AQ99)))</formula>
    </cfRule>
    <cfRule type="containsText" dxfId="1321" priority="903" operator="containsText" text="OFF">
      <formula>NOT(ISERROR(SEARCH("OFF",AQ99)))</formula>
    </cfRule>
    <cfRule type="containsText" dxfId="1320" priority="904" operator="containsText" text="AL">
      <formula>NOT(ISERROR(SEARCH("AL",AQ99)))</formula>
    </cfRule>
    <cfRule type="containsText" dxfId="1319" priority="897" operator="containsText" text="AB">
      <formula>NOT(ISERROR(SEARCH("AB",AQ99)))</formula>
    </cfRule>
    <cfRule type="containsText" dxfId="1318" priority="896" operator="containsText" text="EL">
      <formula>NOT(ISERROR(SEARCH("EL",AQ99)))</formula>
    </cfRule>
    <cfRule type="containsText" dxfId="1317" priority="899" operator="containsText" text="FL">
      <formula>NOT(ISERROR(SEARCH("FL",AQ99)))</formula>
    </cfRule>
    <cfRule type="containsText" dxfId="1316" priority="900" operator="containsText" text="MC">
      <formula>NOT(ISERROR(SEARCH("MC",AQ99)))</formula>
    </cfRule>
  </conditionalFormatting>
  <conditionalFormatting sqref="AQ104:AR105">
    <cfRule type="containsText" dxfId="1315" priority="893" operator="containsText" text="Sick">
      <formula>NOT(ISERROR(SEARCH("Sick",AQ104)))</formula>
    </cfRule>
    <cfRule type="containsText" dxfId="1314" priority="892" operator="containsText" text="AB">
      <formula>NOT(ISERROR(SEARCH("AB",AQ104)))</formula>
    </cfRule>
    <cfRule type="containsText" dxfId="1313" priority="891" operator="containsText" text="MC">
      <formula>NOT(ISERROR(SEARCH("MC",AQ104)))</formula>
    </cfRule>
    <cfRule type="containsText" dxfId="1312" priority="890" operator="containsText" text="FL">
      <formula>NOT(ISERROR(SEARCH("FL",AQ104)))</formula>
    </cfRule>
    <cfRule type="containsText" dxfId="1311" priority="889" operator="containsText" text="SUS">
      <formula>NOT(ISERROR(SEARCH("SUS",AQ104)))</formula>
    </cfRule>
    <cfRule type="containsText" dxfId="1310" priority="895" operator="containsText" text="AL">
      <formula>NOT(ISERROR(SEARCH("AL",AQ104)))</formula>
    </cfRule>
    <cfRule type="containsText" dxfId="1309" priority="887" operator="containsText" text="EL">
      <formula>NOT(ISERROR(SEARCH("EL",AQ104)))</formula>
    </cfRule>
    <cfRule type="containsText" dxfId="1308" priority="888" operator="containsText" text="AB">
      <formula>NOT(ISERROR(SEARCH("AB",AQ104)))</formula>
    </cfRule>
    <cfRule type="containsText" dxfId="1307" priority="894" operator="containsText" text="OFF">
      <formula>NOT(ISERROR(SEARCH("OFF",AQ104)))</formula>
    </cfRule>
  </conditionalFormatting>
  <conditionalFormatting sqref="AQ107:AR107">
    <cfRule type="containsText" dxfId="1306" priority="882" operator="containsText" text="MC">
      <formula>NOT(ISERROR(SEARCH("MC",AQ107)))</formula>
    </cfRule>
    <cfRule type="containsText" dxfId="1305" priority="886" operator="containsText" text="AL">
      <formula>NOT(ISERROR(SEARCH("AL",AQ107)))</formula>
    </cfRule>
    <cfRule type="containsText" dxfId="1304" priority="885" operator="containsText" text="OFF">
      <formula>NOT(ISERROR(SEARCH("OFF",AQ107)))</formula>
    </cfRule>
    <cfRule type="containsText" dxfId="1303" priority="883" operator="containsText" text="AB">
      <formula>NOT(ISERROR(SEARCH("AB",AQ107)))</formula>
    </cfRule>
    <cfRule type="containsText" dxfId="1302" priority="884" operator="containsText" text="Sick">
      <formula>NOT(ISERROR(SEARCH("Sick",AQ107)))</formula>
    </cfRule>
    <cfRule type="containsText" dxfId="1301" priority="881" operator="containsText" text="FL">
      <formula>NOT(ISERROR(SEARCH("FL",AQ107)))</formula>
    </cfRule>
    <cfRule type="containsText" dxfId="1300" priority="880" operator="containsText" text="SUS">
      <formula>NOT(ISERROR(SEARCH("SUS",AQ107)))</formula>
    </cfRule>
    <cfRule type="containsText" dxfId="1299" priority="879" operator="containsText" text="AB">
      <formula>NOT(ISERROR(SEARCH("AB",AQ107)))</formula>
    </cfRule>
    <cfRule type="containsText" dxfId="1298" priority="878" operator="containsText" text="EL">
      <formula>NOT(ISERROR(SEARCH("EL",AQ107)))</formula>
    </cfRule>
  </conditionalFormatting>
  <conditionalFormatting sqref="AQ138:AR138">
    <cfRule type="containsText" dxfId="1297" priority="90" operator="containsText" text="AB">
      <formula>NOT(ISERROR(SEARCH("AB",AQ138)))</formula>
    </cfRule>
    <cfRule type="containsText" dxfId="1296" priority="91" operator="containsText" text="Sick">
      <formula>NOT(ISERROR(SEARCH("Sick",AQ138)))</formula>
    </cfRule>
    <cfRule type="containsText" dxfId="1295" priority="92" operator="containsText" text="OFF">
      <formula>NOT(ISERROR(SEARCH("OFF",AQ138)))</formula>
    </cfRule>
    <cfRule type="containsText" dxfId="1294" priority="93" operator="containsText" text="AL">
      <formula>NOT(ISERROR(SEARCH("AL",AQ138)))</formula>
    </cfRule>
    <cfRule type="containsText" dxfId="1293" priority="89" operator="containsText" text="MC">
      <formula>NOT(ISERROR(SEARCH("MC",AQ138)))</formula>
    </cfRule>
    <cfRule type="containsText" dxfId="1292" priority="87" operator="containsText" text="SUS">
      <formula>NOT(ISERROR(SEARCH("SUS",AQ138)))</formula>
    </cfRule>
    <cfRule type="containsText" dxfId="1291" priority="88" operator="containsText" text="FL">
      <formula>NOT(ISERROR(SEARCH("FL",AQ138)))</formula>
    </cfRule>
    <cfRule type="containsText" dxfId="1290" priority="85" operator="containsText" text="EL">
      <formula>NOT(ISERROR(SEARCH("EL",AQ138)))</formula>
    </cfRule>
    <cfRule type="containsText" dxfId="1289" priority="86" operator="containsText" text="AB">
      <formula>NOT(ISERROR(SEARCH("AB",AQ138)))</formula>
    </cfRule>
  </conditionalFormatting>
  <conditionalFormatting sqref="AS62">
    <cfRule type="containsText" dxfId="1288" priority="868" operator="containsText" text="SP">
      <formula>NOT(ISERROR(SEARCH("SP",AS62)))</formula>
    </cfRule>
    <cfRule type="containsText" dxfId="1287" priority="869" operator="containsText" text="NL">
      <formula>NOT(ISERROR(SEARCH("NL",AS62)))</formula>
    </cfRule>
    <cfRule type="containsText" dxfId="1286" priority="870" operator="containsText" text="SUS">
      <formula>NOT(ISERROR(SEARCH("SUS",AS62)))</formula>
    </cfRule>
    <cfRule type="containsText" dxfId="1285" priority="872" operator="containsText" text="EL">
      <formula>NOT(ISERROR(SEARCH("EL",AS62)))</formula>
    </cfRule>
    <cfRule type="containsText" dxfId="1284" priority="873" operator="containsText" text="MC">
      <formula>NOT(ISERROR(SEARCH("MC",AS62)))</formula>
    </cfRule>
    <cfRule type="containsText" dxfId="1283" priority="871" operator="containsText" text="FL">
      <formula>NOT(ISERROR(SEARCH("FL",AS62)))</formula>
    </cfRule>
    <cfRule type="containsText" dxfId="1282" priority="877" operator="containsText" text="AL">
      <formula>NOT(ISERROR(SEARCH("AL",AS62)))</formula>
    </cfRule>
    <cfRule type="containsText" dxfId="1281" priority="876" operator="containsText" text="SICK">
      <formula>NOT(ISERROR(SEARCH("SICK",AS62)))</formula>
    </cfRule>
    <cfRule type="containsText" dxfId="1280" priority="875" operator="containsText" text="AB">
      <formula>NOT(ISERROR(SEARCH("AB",AS62)))</formula>
    </cfRule>
    <cfRule type="containsText" dxfId="1279" priority="874" operator="containsText" text="OFF">
      <formula>NOT(ISERROR(SEARCH("OFF",AS62)))</formula>
    </cfRule>
  </conditionalFormatting>
  <conditionalFormatting sqref="AS11:AT11">
    <cfRule type="containsText" dxfId="1278" priority="1128" operator="containsText" text="OFF">
      <formula>NOT(ISERROR(SEARCH("OFF",AS11)))</formula>
    </cfRule>
    <cfRule type="containsText" dxfId="1277" priority="1129" operator="containsText" text="AL">
      <formula>NOT(ISERROR(SEARCH("AL",AS11)))</formula>
    </cfRule>
    <cfRule type="containsText" dxfId="1276" priority="1126" operator="containsText" text="AB">
      <formula>NOT(ISERROR(SEARCH("AB",AS11)))</formula>
    </cfRule>
    <cfRule type="containsText" dxfId="1275" priority="1125" operator="containsText" text="MC">
      <formula>NOT(ISERROR(SEARCH("MC",AS11)))</formula>
    </cfRule>
    <cfRule type="containsText" dxfId="1274" priority="1123" operator="containsText" text="SUS">
      <formula>NOT(ISERROR(SEARCH("SUS",AS11)))</formula>
    </cfRule>
    <cfRule type="containsText" dxfId="1273" priority="1124" operator="containsText" text="FL">
      <formula>NOT(ISERROR(SEARCH("FL",AS11)))</formula>
    </cfRule>
    <cfRule type="containsText" dxfId="1272" priority="1122" operator="containsText" text="AB">
      <formula>NOT(ISERROR(SEARCH("AB",AS11)))</formula>
    </cfRule>
    <cfRule type="containsText" dxfId="1271" priority="1121" operator="containsText" text="EL">
      <formula>NOT(ISERROR(SEARCH("EL",AS11)))</formula>
    </cfRule>
    <cfRule type="containsText" dxfId="1270" priority="1127" operator="containsText" text="Sick">
      <formula>NOT(ISERROR(SEARCH("Sick",AS11)))</formula>
    </cfRule>
  </conditionalFormatting>
  <conditionalFormatting sqref="AY104:AZ104">
    <cfRule type="containsText" dxfId="1269" priority="786" operator="containsText" text="FL">
      <formula>NOT(ISERROR(SEARCH("FL",AY104)))</formula>
    </cfRule>
    <cfRule type="containsText" dxfId="1268" priority="785" operator="containsText" text="SUS">
      <formula>NOT(ISERROR(SEARCH("SUS",AY104)))</formula>
    </cfRule>
    <cfRule type="containsText" dxfId="1267" priority="784" operator="containsText" text="NL">
      <formula>NOT(ISERROR(SEARCH("NL",AY104)))</formula>
    </cfRule>
    <cfRule type="containsText" dxfId="1266" priority="783" operator="containsText" text="SP">
      <formula>NOT(ISERROR(SEARCH("SP",AY104)))</formula>
    </cfRule>
    <cfRule type="containsText" dxfId="1265" priority="792" operator="containsText" text="AL">
      <formula>NOT(ISERROR(SEARCH("AL",AY104)))</formula>
    </cfRule>
    <cfRule type="containsText" dxfId="1264" priority="787" operator="containsText" text="EL">
      <formula>NOT(ISERROR(SEARCH("EL",AY104)))</formula>
    </cfRule>
    <cfRule type="containsText" dxfId="1263" priority="791" operator="containsText" text="SICK">
      <formula>NOT(ISERROR(SEARCH("SICK",AY104)))</formula>
    </cfRule>
    <cfRule type="containsText" dxfId="1262" priority="790" operator="containsText" text="AB">
      <formula>NOT(ISERROR(SEARCH("AB",AY104)))</formula>
    </cfRule>
    <cfRule type="containsText" dxfId="1261" priority="789" operator="containsText" text="OFF">
      <formula>NOT(ISERROR(SEARCH("OFF",AY104)))</formula>
    </cfRule>
    <cfRule type="containsText" dxfId="1260" priority="788" operator="containsText" text="MC">
      <formula>NOT(ISERROR(SEARCH("MC",AY104)))</formula>
    </cfRule>
  </conditionalFormatting>
  <conditionalFormatting sqref="AY146:AZ146">
    <cfRule type="containsText" dxfId="1259" priority="2126" operator="containsText" text="AB">
      <formula>NOT(ISERROR(SEARCH("AB",AY146)))</formula>
    </cfRule>
    <cfRule type="containsText" dxfId="1258" priority="2127" operator="containsText" text="SICK">
      <formula>NOT(ISERROR(SEARCH("SICK",AY146)))</formula>
    </cfRule>
    <cfRule type="containsText" dxfId="1257" priority="2128" operator="containsText" text="AL">
      <formula>NOT(ISERROR(SEARCH("AL",AY146)))</formula>
    </cfRule>
    <cfRule type="containsText" dxfId="1256" priority="2124" operator="containsText" text="MC">
      <formula>NOT(ISERROR(SEARCH("MC",AY146)))</formula>
    </cfRule>
    <cfRule type="containsText" dxfId="1255" priority="2123" operator="containsText" text="EL">
      <formula>NOT(ISERROR(SEARCH("EL",AY146)))</formula>
    </cfRule>
    <cfRule type="containsText" dxfId="1254" priority="2122" operator="containsText" text="FL">
      <formula>NOT(ISERROR(SEARCH("FL",AY146)))</formula>
    </cfRule>
    <cfRule type="containsText" dxfId="1253" priority="2121" operator="containsText" text="SUS">
      <formula>NOT(ISERROR(SEARCH("SUS",AY146)))</formula>
    </cfRule>
    <cfRule type="containsText" dxfId="1252" priority="2120" operator="containsText" text="NL">
      <formula>NOT(ISERROR(SEARCH("NL",AY146)))</formula>
    </cfRule>
    <cfRule type="containsText" dxfId="1251" priority="2119" operator="containsText" text="SP">
      <formula>NOT(ISERROR(SEARCH("SP",AY146)))</formula>
    </cfRule>
    <cfRule type="containsText" dxfId="1250" priority="2125" operator="containsText" text="OFF">
      <formula>NOT(ISERROR(SEARCH("OFF",AY146)))</formula>
    </cfRule>
  </conditionalFormatting>
  <conditionalFormatting sqref="BA96:BB96">
    <cfRule type="containsText" dxfId="1249" priority="794" operator="containsText" text="NL">
      <formula>NOT(ISERROR(SEARCH("NL",BA96)))</formula>
    </cfRule>
    <cfRule type="containsText" dxfId="1248" priority="795" operator="containsText" text="SUS">
      <formula>NOT(ISERROR(SEARCH("SUS",BA96)))</formula>
    </cfRule>
    <cfRule type="containsText" dxfId="1247" priority="796" operator="containsText" text="FL">
      <formula>NOT(ISERROR(SEARCH("FL",BA96)))</formula>
    </cfRule>
    <cfRule type="containsText" dxfId="1246" priority="797" operator="containsText" text="EL">
      <formula>NOT(ISERROR(SEARCH("EL",BA96)))</formula>
    </cfRule>
    <cfRule type="containsText" dxfId="1245" priority="798" operator="containsText" text="MC">
      <formula>NOT(ISERROR(SEARCH("MC",BA96)))</formula>
    </cfRule>
    <cfRule type="containsText" dxfId="1244" priority="799" operator="containsText" text="OFF">
      <formula>NOT(ISERROR(SEARCH("OFF",BA96)))</formula>
    </cfRule>
    <cfRule type="containsText" dxfId="1243" priority="801" operator="containsText" text="SICK">
      <formula>NOT(ISERROR(SEARCH("SICK",BA96)))</formula>
    </cfRule>
    <cfRule type="containsText" dxfId="1242" priority="802" operator="containsText" text="AL">
      <formula>NOT(ISERROR(SEARCH("AL",BA96)))</formula>
    </cfRule>
    <cfRule type="containsText" dxfId="1241" priority="793" operator="containsText" text="SP">
      <formula>NOT(ISERROR(SEARCH("SP",BA96)))</formula>
    </cfRule>
    <cfRule type="containsText" dxfId="1240" priority="800" operator="containsText" text="AB">
      <formula>NOT(ISERROR(SEARCH("AB",BA96)))</formula>
    </cfRule>
  </conditionalFormatting>
  <conditionalFormatting sqref="BE5:BF5">
    <cfRule type="containsText" dxfId="1239" priority="841" operator="containsText" text="SUS">
      <formula>NOT(ISERROR(SEARCH("SUS",BE5)))</formula>
    </cfRule>
    <cfRule type="containsText" dxfId="1238" priority="840" operator="containsText" text="AB">
      <formula>NOT(ISERROR(SEARCH("AB",BE5)))</formula>
    </cfRule>
    <cfRule type="containsText" dxfId="1237" priority="839" operator="containsText" text="EL">
      <formula>NOT(ISERROR(SEARCH("EL",BE5)))</formula>
    </cfRule>
    <cfRule type="containsText" dxfId="1236" priority="847" operator="containsText" text="AL">
      <formula>NOT(ISERROR(SEARCH("AL",BE5)))</formula>
    </cfRule>
    <cfRule type="containsText" dxfId="1235" priority="843" operator="containsText" text="MC">
      <formula>NOT(ISERROR(SEARCH("MC",BE5)))</formula>
    </cfRule>
    <cfRule type="containsText" dxfId="1234" priority="846" operator="containsText" text="OFF">
      <formula>NOT(ISERROR(SEARCH("OFF",BE5)))</formula>
    </cfRule>
    <cfRule type="containsText" dxfId="1233" priority="845" operator="containsText" text="Sick">
      <formula>NOT(ISERROR(SEARCH("Sick",BE5)))</formula>
    </cfRule>
    <cfRule type="containsText" dxfId="1232" priority="844" operator="containsText" text="AB">
      <formula>NOT(ISERROR(SEARCH("AB",BE5)))</formula>
    </cfRule>
    <cfRule type="containsText" dxfId="1231" priority="842" operator="containsText" text="FL">
      <formula>NOT(ISERROR(SEARCH("FL",BE5)))</formula>
    </cfRule>
  </conditionalFormatting>
  <conditionalFormatting sqref="BE9:BF21">
    <cfRule type="containsText" dxfId="1230" priority="838" operator="containsText" text="AL">
      <formula>NOT(ISERROR(SEARCH("AL",BE9)))</formula>
    </cfRule>
    <cfRule type="containsText" dxfId="1229" priority="835" operator="containsText" text="AB">
      <formula>NOT(ISERROR(SEARCH("AB",BE9)))</formula>
    </cfRule>
    <cfRule type="containsText" dxfId="1228" priority="837" operator="containsText" text="OFF">
      <formula>NOT(ISERROR(SEARCH("OFF",BE9)))</formula>
    </cfRule>
    <cfRule type="containsText" dxfId="1227" priority="836" operator="containsText" text="Sick">
      <formula>NOT(ISERROR(SEARCH("Sick",BE9)))</formula>
    </cfRule>
    <cfRule type="containsText" dxfId="1226" priority="830" operator="containsText" text="EL">
      <formula>NOT(ISERROR(SEARCH("EL",BE9)))</formula>
    </cfRule>
    <cfRule type="containsText" dxfId="1225" priority="831" operator="containsText" text="AB">
      <formula>NOT(ISERROR(SEARCH("AB",BE9)))</formula>
    </cfRule>
    <cfRule type="containsText" dxfId="1224" priority="832" operator="containsText" text="SUS">
      <formula>NOT(ISERROR(SEARCH("SUS",BE9)))</formula>
    </cfRule>
    <cfRule type="containsText" dxfId="1223" priority="833" operator="containsText" text="FL">
      <formula>NOT(ISERROR(SEARCH("FL",BE9)))</formula>
    </cfRule>
    <cfRule type="containsText" dxfId="1222" priority="834" operator="containsText" text="MC">
      <formula>NOT(ISERROR(SEARCH("MC",BE9)))</formula>
    </cfRule>
  </conditionalFormatting>
  <conditionalFormatting sqref="BE10:BF10 BE23:BF24 E24:AF24">
    <cfRule type="containsText" dxfId="1221" priority="176" operator="containsText" text="SUS">
      <formula>NOT(ISERROR(SEARCH("SUS",E10)))</formula>
    </cfRule>
    <cfRule type="containsText" dxfId="1220" priority="178" operator="containsText" text="MC">
      <formula>NOT(ISERROR(SEARCH("MC",E10)))</formula>
    </cfRule>
    <cfRule type="containsText" dxfId="1219" priority="181" operator="containsText" text="OFF">
      <formula>NOT(ISERROR(SEARCH("OFF",E10)))</formula>
    </cfRule>
    <cfRule type="containsText" dxfId="1218" priority="182" operator="containsText" text="AL">
      <formula>NOT(ISERROR(SEARCH("AL",E10)))</formula>
    </cfRule>
    <cfRule type="containsText" dxfId="1217" priority="179" operator="containsText" text="AB">
      <formula>NOT(ISERROR(SEARCH("AB",E10)))</formula>
    </cfRule>
    <cfRule type="containsText" dxfId="1216" priority="180" operator="containsText" text="Sick">
      <formula>NOT(ISERROR(SEARCH("Sick",E10)))</formula>
    </cfRule>
    <cfRule type="containsText" dxfId="1215" priority="177" operator="containsText" text="FL">
      <formula>NOT(ISERROR(SEARCH("FL",E10)))</formula>
    </cfRule>
    <cfRule type="containsText" dxfId="1214" priority="174" operator="containsText" text="EL">
      <formula>NOT(ISERROR(SEARCH("EL",E10)))</formula>
    </cfRule>
    <cfRule type="containsText" dxfId="1213" priority="175" operator="containsText" text="AB">
      <formula>NOT(ISERROR(SEARCH("AB",E10)))</formula>
    </cfRule>
  </conditionalFormatting>
  <conditionalFormatting sqref="BE14:BF14">
    <cfRule type="containsText" dxfId="1212" priority="809" operator="containsText" text="Sick">
      <formula>NOT(ISERROR(SEARCH("Sick",BE14)))</formula>
    </cfRule>
    <cfRule type="containsText" dxfId="1211" priority="811" operator="containsText" text="AL">
      <formula>NOT(ISERROR(SEARCH("AL",BE14)))</formula>
    </cfRule>
    <cfRule type="containsText" dxfId="1210" priority="810" operator="containsText" text="OFF">
      <formula>NOT(ISERROR(SEARCH("OFF",BE14)))</formula>
    </cfRule>
    <cfRule type="containsText" dxfId="1209" priority="808" operator="containsText" text="AB">
      <formula>NOT(ISERROR(SEARCH("AB",BE14)))</formula>
    </cfRule>
    <cfRule type="containsText" dxfId="1208" priority="807" operator="containsText" text="MC">
      <formula>NOT(ISERROR(SEARCH("MC",BE14)))</formula>
    </cfRule>
    <cfRule type="containsText" dxfId="1207" priority="806" operator="containsText" text="FL">
      <formula>NOT(ISERROR(SEARCH("FL",BE14)))</formula>
    </cfRule>
    <cfRule type="containsText" dxfId="1206" priority="805" operator="containsText" text="SUS">
      <formula>NOT(ISERROR(SEARCH("SUS",BE14)))</formula>
    </cfRule>
    <cfRule type="containsText" dxfId="1205" priority="804" operator="containsText" text="AB">
      <formula>NOT(ISERROR(SEARCH("AB",BE14)))</formula>
    </cfRule>
    <cfRule type="containsText" dxfId="1204" priority="803" operator="containsText" text="EL">
      <formula>NOT(ISERROR(SEARCH("EL",BE14)))</formula>
    </cfRule>
  </conditionalFormatting>
  <conditionalFormatting sqref="BE19:BF19">
    <cfRule type="containsText" dxfId="1203" priority="816" operator="containsText" text="MC">
      <formula>NOT(ISERROR(SEARCH("MC",BE19)))</formula>
    </cfRule>
    <cfRule type="containsText" dxfId="1202" priority="817" operator="containsText" text="AB">
      <formula>NOT(ISERROR(SEARCH("AB",BE19)))</formula>
    </cfRule>
    <cfRule type="containsText" dxfId="1201" priority="818" operator="containsText" text="Sick">
      <formula>NOT(ISERROR(SEARCH("Sick",BE19)))</formula>
    </cfRule>
    <cfRule type="containsText" dxfId="1200" priority="820" operator="containsText" text="AL">
      <formula>NOT(ISERROR(SEARCH("AL",BE19)))</formula>
    </cfRule>
    <cfRule type="containsText" dxfId="1199" priority="815" operator="containsText" text="FL">
      <formula>NOT(ISERROR(SEARCH("FL",BE19)))</formula>
    </cfRule>
    <cfRule type="containsText" dxfId="1198" priority="814" operator="containsText" text="SUS">
      <formula>NOT(ISERROR(SEARCH("SUS",BE19)))</formula>
    </cfRule>
    <cfRule type="containsText" dxfId="1197" priority="813" operator="containsText" text="AB">
      <formula>NOT(ISERROR(SEARCH("AB",BE19)))</formula>
    </cfRule>
    <cfRule type="containsText" dxfId="1196" priority="812" operator="containsText" text="EL">
      <formula>NOT(ISERROR(SEARCH("EL",BE19)))</formula>
    </cfRule>
    <cfRule type="containsText" dxfId="1195" priority="819" operator="containsText" text="OFF">
      <formula>NOT(ISERROR(SEARCH("OFF",BE19)))</formula>
    </cfRule>
  </conditionalFormatting>
  <conditionalFormatting sqref="BE45:BF46">
    <cfRule type="containsText" dxfId="1194" priority="776" operator="containsText" text="SUS">
      <formula>NOT(ISERROR(SEARCH("SUS",BE45)))</formula>
    </cfRule>
    <cfRule type="containsText" dxfId="1193" priority="777" operator="containsText" text="FL">
      <formula>NOT(ISERROR(SEARCH("FL",BE45)))</formula>
    </cfRule>
    <cfRule type="containsText" dxfId="1192" priority="778" operator="containsText" text="MC">
      <formula>NOT(ISERROR(SEARCH("MC",BE45)))</formula>
    </cfRule>
    <cfRule type="containsText" dxfId="1191" priority="779" operator="containsText" text="AB">
      <formula>NOT(ISERROR(SEARCH("AB",BE45)))</formula>
    </cfRule>
    <cfRule type="containsText" dxfId="1190" priority="780" operator="containsText" text="Sick">
      <formula>NOT(ISERROR(SEARCH("Sick",BE45)))</formula>
    </cfRule>
    <cfRule type="containsText" dxfId="1189" priority="781" operator="containsText" text="OFF">
      <formula>NOT(ISERROR(SEARCH("OFF",BE45)))</formula>
    </cfRule>
    <cfRule type="containsText" dxfId="1188" priority="782" operator="containsText" text="AL">
      <formula>NOT(ISERROR(SEARCH("AL",BE45)))</formula>
    </cfRule>
    <cfRule type="containsText" dxfId="1187" priority="775" operator="containsText" text="AB">
      <formula>NOT(ISERROR(SEARCH("AB",BE45)))</formula>
    </cfRule>
    <cfRule type="containsText" dxfId="1186" priority="774" operator="containsText" text="EL">
      <formula>NOT(ISERROR(SEARCH("EL",BE45)))</formula>
    </cfRule>
  </conditionalFormatting>
  <conditionalFormatting sqref="BE49:BF49">
    <cfRule type="containsText" dxfId="1185" priority="772" operator="containsText" text="OFF">
      <formula>NOT(ISERROR(SEARCH("OFF",BE49)))</formula>
    </cfRule>
    <cfRule type="containsText" dxfId="1184" priority="771" operator="containsText" text="Sick">
      <formula>NOT(ISERROR(SEARCH("Sick",BE49)))</formula>
    </cfRule>
    <cfRule type="containsText" dxfId="1183" priority="770" operator="containsText" text="AB">
      <formula>NOT(ISERROR(SEARCH("AB",BE49)))</formula>
    </cfRule>
    <cfRule type="containsText" dxfId="1182" priority="769" operator="containsText" text="MC">
      <formula>NOT(ISERROR(SEARCH("MC",BE49)))</formula>
    </cfRule>
    <cfRule type="containsText" dxfId="1181" priority="768" operator="containsText" text="FL">
      <formula>NOT(ISERROR(SEARCH("FL",BE49)))</formula>
    </cfRule>
    <cfRule type="containsText" dxfId="1180" priority="767" operator="containsText" text="SUS">
      <formula>NOT(ISERROR(SEARCH("SUS",BE49)))</formula>
    </cfRule>
    <cfRule type="containsText" dxfId="1179" priority="766" operator="containsText" text="AB">
      <formula>NOT(ISERROR(SEARCH("AB",BE49)))</formula>
    </cfRule>
    <cfRule type="containsText" dxfId="1178" priority="765" operator="containsText" text="EL">
      <formula>NOT(ISERROR(SEARCH("EL",BE49)))</formula>
    </cfRule>
    <cfRule type="containsText" dxfId="1177" priority="773" operator="containsText" text="AL">
      <formula>NOT(ISERROR(SEARCH("AL",BE49)))</formula>
    </cfRule>
  </conditionalFormatting>
  <conditionalFormatting sqref="BE51:BF53">
    <cfRule type="containsText" dxfId="1176" priority="764" operator="containsText" text="AL">
      <formula>NOT(ISERROR(SEARCH("AL",BE51)))</formula>
    </cfRule>
    <cfRule type="containsText" dxfId="1175" priority="756" operator="containsText" text="EL">
      <formula>NOT(ISERROR(SEARCH("EL",BE51)))</formula>
    </cfRule>
    <cfRule type="containsText" dxfId="1174" priority="757" operator="containsText" text="AB">
      <formula>NOT(ISERROR(SEARCH("AB",BE51)))</formula>
    </cfRule>
    <cfRule type="containsText" dxfId="1173" priority="758" operator="containsText" text="SUS">
      <formula>NOT(ISERROR(SEARCH("SUS",BE51)))</formula>
    </cfRule>
    <cfRule type="containsText" dxfId="1172" priority="759" operator="containsText" text="FL">
      <formula>NOT(ISERROR(SEARCH("FL",BE51)))</formula>
    </cfRule>
    <cfRule type="containsText" dxfId="1171" priority="760" operator="containsText" text="MC">
      <formula>NOT(ISERROR(SEARCH("MC",BE51)))</formula>
    </cfRule>
    <cfRule type="containsText" dxfId="1170" priority="761" operator="containsText" text="AB">
      <formula>NOT(ISERROR(SEARCH("AB",BE51)))</formula>
    </cfRule>
    <cfRule type="containsText" dxfId="1169" priority="762" operator="containsText" text="Sick">
      <formula>NOT(ISERROR(SEARCH("Sick",BE51)))</formula>
    </cfRule>
    <cfRule type="containsText" dxfId="1168" priority="763" operator="containsText" text="OFF">
      <formula>NOT(ISERROR(SEARCH("OFF",BE51)))</formula>
    </cfRule>
  </conditionalFormatting>
  <conditionalFormatting sqref="BE58:BF59">
    <cfRule type="containsText" dxfId="1167" priority="752" operator="containsText" text="AB">
      <formula>NOT(ISERROR(SEARCH("AB",BE58)))</formula>
    </cfRule>
    <cfRule type="containsText" dxfId="1166" priority="753" operator="containsText" text="Sick">
      <formula>NOT(ISERROR(SEARCH("Sick",BE58)))</formula>
    </cfRule>
    <cfRule type="containsText" dxfId="1165" priority="751" operator="containsText" text="MC">
      <formula>NOT(ISERROR(SEARCH("MC",BE58)))</formula>
    </cfRule>
    <cfRule type="containsText" dxfId="1164" priority="750" operator="containsText" text="FL">
      <formula>NOT(ISERROR(SEARCH("FL",BE58)))</formula>
    </cfRule>
    <cfRule type="containsText" dxfId="1163" priority="749" operator="containsText" text="SUS">
      <formula>NOT(ISERROR(SEARCH("SUS",BE58)))</formula>
    </cfRule>
    <cfRule type="containsText" dxfId="1162" priority="748" operator="containsText" text="AB">
      <formula>NOT(ISERROR(SEARCH("AB",BE58)))</formula>
    </cfRule>
    <cfRule type="containsText" dxfId="1161" priority="747" operator="containsText" text="EL">
      <formula>NOT(ISERROR(SEARCH("EL",BE58)))</formula>
    </cfRule>
    <cfRule type="containsText" dxfId="1160" priority="754" operator="containsText" text="OFF">
      <formula>NOT(ISERROR(SEARCH("OFF",BE58)))</formula>
    </cfRule>
    <cfRule type="containsText" dxfId="1159" priority="755" operator="containsText" text="AL">
      <formula>NOT(ISERROR(SEARCH("AL",BE58)))</formula>
    </cfRule>
  </conditionalFormatting>
  <conditionalFormatting sqref="BE62:BF63">
    <cfRule type="containsText" dxfId="1158" priority="746" operator="containsText" text="AL">
      <formula>NOT(ISERROR(SEARCH("AL",BE62)))</formula>
    </cfRule>
    <cfRule type="containsText" dxfId="1157" priority="743" operator="containsText" text="AB">
      <formula>NOT(ISERROR(SEARCH("AB",BE62)))</formula>
    </cfRule>
    <cfRule type="containsText" dxfId="1156" priority="742" operator="containsText" text="MC">
      <formula>NOT(ISERROR(SEARCH("MC",BE62)))</formula>
    </cfRule>
    <cfRule type="containsText" dxfId="1155" priority="741" operator="containsText" text="FL">
      <formula>NOT(ISERROR(SEARCH("FL",BE62)))</formula>
    </cfRule>
    <cfRule type="containsText" dxfId="1154" priority="740" operator="containsText" text="SUS">
      <formula>NOT(ISERROR(SEARCH("SUS",BE62)))</formula>
    </cfRule>
    <cfRule type="containsText" dxfId="1153" priority="739" operator="containsText" text="AB">
      <formula>NOT(ISERROR(SEARCH("AB",BE62)))</formula>
    </cfRule>
    <cfRule type="containsText" dxfId="1152" priority="738" operator="containsText" text="EL">
      <formula>NOT(ISERROR(SEARCH("EL",BE62)))</formula>
    </cfRule>
    <cfRule type="containsText" dxfId="1151" priority="744" operator="containsText" text="Sick">
      <formula>NOT(ISERROR(SEARCH("Sick",BE62)))</formula>
    </cfRule>
    <cfRule type="containsText" dxfId="1150" priority="745" operator="containsText" text="OFF">
      <formula>NOT(ISERROR(SEARCH("OFF",BE62)))</formula>
    </cfRule>
  </conditionalFormatting>
  <conditionalFormatting sqref="BE65:BF65">
    <cfRule type="containsText" dxfId="1149" priority="736" operator="containsText" text="OFF">
      <formula>NOT(ISERROR(SEARCH("OFF",BE65)))</formula>
    </cfRule>
    <cfRule type="containsText" dxfId="1148" priority="735" operator="containsText" text="Sick">
      <formula>NOT(ISERROR(SEARCH("Sick",BE65)))</formula>
    </cfRule>
    <cfRule type="containsText" dxfId="1147" priority="734" operator="containsText" text="AB">
      <formula>NOT(ISERROR(SEARCH("AB",BE65)))</formula>
    </cfRule>
    <cfRule type="containsText" dxfId="1146" priority="733" operator="containsText" text="MC">
      <formula>NOT(ISERROR(SEARCH("MC",BE65)))</formula>
    </cfRule>
    <cfRule type="containsText" dxfId="1145" priority="732" operator="containsText" text="FL">
      <formula>NOT(ISERROR(SEARCH("FL",BE65)))</formula>
    </cfRule>
    <cfRule type="containsText" dxfId="1144" priority="731" operator="containsText" text="SUS">
      <formula>NOT(ISERROR(SEARCH("SUS",BE65)))</formula>
    </cfRule>
    <cfRule type="containsText" dxfId="1143" priority="730" operator="containsText" text="AB">
      <formula>NOT(ISERROR(SEARCH("AB",BE65)))</formula>
    </cfRule>
    <cfRule type="containsText" dxfId="1142" priority="729" operator="containsText" text="EL">
      <formula>NOT(ISERROR(SEARCH("EL",BE65)))</formula>
    </cfRule>
    <cfRule type="containsText" dxfId="1141" priority="737" operator="containsText" text="AL">
      <formula>NOT(ISERROR(SEARCH("AL",BE65)))</formula>
    </cfRule>
  </conditionalFormatting>
  <conditionalFormatting sqref="BE68:BF69">
    <cfRule type="containsText" dxfId="1140" priority="726" operator="containsText" text="Sick">
      <formula>NOT(ISERROR(SEARCH("Sick",BE68)))</formula>
    </cfRule>
    <cfRule type="containsText" dxfId="1139" priority="725" operator="containsText" text="AB">
      <formula>NOT(ISERROR(SEARCH("AB",BE68)))</formula>
    </cfRule>
    <cfRule type="containsText" dxfId="1138" priority="723" operator="containsText" text="FL">
      <formula>NOT(ISERROR(SEARCH("FL",BE68)))</formula>
    </cfRule>
    <cfRule type="containsText" dxfId="1137" priority="722" operator="containsText" text="SUS">
      <formula>NOT(ISERROR(SEARCH("SUS",BE68)))</formula>
    </cfRule>
    <cfRule type="containsText" dxfId="1136" priority="721" operator="containsText" text="AB">
      <formula>NOT(ISERROR(SEARCH("AB",BE68)))</formula>
    </cfRule>
    <cfRule type="containsText" dxfId="1135" priority="720" operator="containsText" text="EL">
      <formula>NOT(ISERROR(SEARCH("EL",BE68)))</formula>
    </cfRule>
    <cfRule type="containsText" dxfId="1134" priority="724" operator="containsText" text="MC">
      <formula>NOT(ISERROR(SEARCH("MC",BE68)))</formula>
    </cfRule>
    <cfRule type="containsText" dxfId="1133" priority="727" operator="containsText" text="OFF">
      <formula>NOT(ISERROR(SEARCH("OFF",BE68)))</formula>
    </cfRule>
    <cfRule type="containsText" dxfId="1132" priority="728" operator="containsText" text="AL">
      <formula>NOT(ISERROR(SEARCH("AL",BE68)))</formula>
    </cfRule>
  </conditionalFormatting>
  <conditionalFormatting sqref="BE74:BF74">
    <cfRule type="containsText" dxfId="1131" priority="719" operator="containsText" text="AL">
      <formula>NOT(ISERROR(SEARCH("AL",BE74)))</formula>
    </cfRule>
    <cfRule type="containsText" dxfId="1130" priority="717" operator="containsText" text="Sick">
      <formula>NOT(ISERROR(SEARCH("Sick",BE74)))</formula>
    </cfRule>
    <cfRule type="containsText" dxfId="1129" priority="711" operator="containsText" text="EL">
      <formula>NOT(ISERROR(SEARCH("EL",BE74)))</formula>
    </cfRule>
    <cfRule type="containsText" dxfId="1128" priority="718" operator="containsText" text="OFF">
      <formula>NOT(ISERROR(SEARCH("OFF",BE74)))</formula>
    </cfRule>
    <cfRule type="containsText" dxfId="1127" priority="712" operator="containsText" text="AB">
      <formula>NOT(ISERROR(SEARCH("AB",BE74)))</formula>
    </cfRule>
    <cfRule type="containsText" dxfId="1126" priority="713" operator="containsText" text="SUS">
      <formula>NOT(ISERROR(SEARCH("SUS",BE74)))</formula>
    </cfRule>
    <cfRule type="containsText" dxfId="1125" priority="714" operator="containsText" text="FL">
      <formula>NOT(ISERROR(SEARCH("FL",BE74)))</formula>
    </cfRule>
    <cfRule type="containsText" dxfId="1124" priority="715" operator="containsText" text="MC">
      <formula>NOT(ISERROR(SEARCH("MC",BE74)))</formula>
    </cfRule>
    <cfRule type="containsText" dxfId="1123" priority="716" operator="containsText" text="AB">
      <formula>NOT(ISERROR(SEARCH("AB",BE74)))</formula>
    </cfRule>
  </conditionalFormatting>
  <conditionalFormatting sqref="BE80:BF86">
    <cfRule type="containsText" dxfId="1122" priority="706" operator="containsText" text="MC">
      <formula>NOT(ISERROR(SEARCH("MC",BE80)))</formula>
    </cfRule>
    <cfRule type="containsText" dxfId="1121" priority="707" operator="containsText" text="AB">
      <formula>NOT(ISERROR(SEARCH("AB",BE80)))</formula>
    </cfRule>
    <cfRule type="containsText" dxfId="1120" priority="708" operator="containsText" text="Sick">
      <formula>NOT(ISERROR(SEARCH("Sick",BE80)))</formula>
    </cfRule>
    <cfRule type="containsText" dxfId="1119" priority="709" operator="containsText" text="OFF">
      <formula>NOT(ISERROR(SEARCH("OFF",BE80)))</formula>
    </cfRule>
    <cfRule type="containsText" dxfId="1118" priority="710" operator="containsText" text="AL">
      <formula>NOT(ISERROR(SEARCH("AL",BE80)))</formula>
    </cfRule>
    <cfRule type="containsText" dxfId="1117" priority="705" operator="containsText" text="FL">
      <formula>NOT(ISERROR(SEARCH("FL",BE80)))</formula>
    </cfRule>
    <cfRule type="containsText" dxfId="1116" priority="704" operator="containsText" text="SUS">
      <formula>NOT(ISERROR(SEARCH("SUS",BE80)))</formula>
    </cfRule>
    <cfRule type="containsText" dxfId="1115" priority="703" operator="containsText" text="AB">
      <formula>NOT(ISERROR(SEARCH("AB",BE80)))</formula>
    </cfRule>
    <cfRule type="containsText" dxfId="1114" priority="702" operator="containsText" text="EL">
      <formula>NOT(ISERROR(SEARCH("EL",BE80)))</formula>
    </cfRule>
  </conditionalFormatting>
  <conditionalFormatting sqref="BE88:BF89">
    <cfRule type="containsText" dxfId="1113" priority="696" operator="containsText" text="FL">
      <formula>NOT(ISERROR(SEARCH("FL",BE88)))</formula>
    </cfRule>
    <cfRule type="containsText" dxfId="1112" priority="695" operator="containsText" text="SUS">
      <formula>NOT(ISERROR(SEARCH("SUS",BE88)))</formula>
    </cfRule>
    <cfRule type="containsText" dxfId="1111" priority="694" operator="containsText" text="AB">
      <formula>NOT(ISERROR(SEARCH("AB",BE88)))</formula>
    </cfRule>
    <cfRule type="containsText" dxfId="1110" priority="693" operator="containsText" text="EL">
      <formula>NOT(ISERROR(SEARCH("EL",BE88)))</formula>
    </cfRule>
    <cfRule type="containsText" dxfId="1109" priority="700" operator="containsText" text="OFF">
      <formula>NOT(ISERROR(SEARCH("OFF",BE88)))</formula>
    </cfRule>
    <cfRule type="containsText" dxfId="1108" priority="699" operator="containsText" text="Sick">
      <formula>NOT(ISERROR(SEARCH("Sick",BE88)))</formula>
    </cfRule>
    <cfRule type="containsText" dxfId="1107" priority="698" operator="containsText" text="AB">
      <formula>NOT(ISERROR(SEARCH("AB",BE88)))</formula>
    </cfRule>
    <cfRule type="containsText" dxfId="1106" priority="697" operator="containsText" text="MC">
      <formula>NOT(ISERROR(SEARCH("MC",BE88)))</formula>
    </cfRule>
    <cfRule type="containsText" dxfId="1105" priority="701" operator="containsText" text="AL">
      <formula>NOT(ISERROR(SEARCH("AL",BE88)))</formula>
    </cfRule>
  </conditionalFormatting>
  <conditionalFormatting sqref="BE91:BF91">
    <cfRule type="containsText" dxfId="1104" priority="684" operator="containsText" text="EL">
      <formula>NOT(ISERROR(SEARCH("EL",BE91)))</formula>
    </cfRule>
    <cfRule type="containsText" dxfId="1103" priority="686" operator="containsText" text="SUS">
      <formula>NOT(ISERROR(SEARCH("SUS",BE91)))</formula>
    </cfRule>
    <cfRule type="containsText" dxfId="1102" priority="685" operator="containsText" text="AB">
      <formula>NOT(ISERROR(SEARCH("AB",BE91)))</formula>
    </cfRule>
    <cfRule type="containsText" dxfId="1101" priority="687" operator="containsText" text="FL">
      <formula>NOT(ISERROR(SEARCH("FL",BE91)))</formula>
    </cfRule>
    <cfRule type="containsText" dxfId="1100" priority="692" operator="containsText" text="AL">
      <formula>NOT(ISERROR(SEARCH("AL",BE91)))</formula>
    </cfRule>
    <cfRule type="containsText" dxfId="1099" priority="688" operator="containsText" text="MC">
      <formula>NOT(ISERROR(SEARCH("MC",BE91)))</formula>
    </cfRule>
    <cfRule type="containsText" dxfId="1098" priority="689" operator="containsText" text="AB">
      <formula>NOT(ISERROR(SEARCH("AB",BE91)))</formula>
    </cfRule>
    <cfRule type="containsText" dxfId="1097" priority="690" operator="containsText" text="Sick">
      <formula>NOT(ISERROR(SEARCH("Sick",BE91)))</formula>
    </cfRule>
    <cfRule type="containsText" dxfId="1096" priority="691" operator="containsText" text="OFF">
      <formula>NOT(ISERROR(SEARCH("OFF",BE91)))</formula>
    </cfRule>
  </conditionalFormatting>
  <conditionalFormatting sqref="BE93:BF93">
    <cfRule type="containsText" dxfId="1095" priority="683" operator="containsText" text="AL">
      <formula>NOT(ISERROR(SEARCH("AL",BE93)))</formula>
    </cfRule>
    <cfRule type="containsText" dxfId="1094" priority="680" operator="containsText" text="AB">
      <formula>NOT(ISERROR(SEARCH("AB",BE93)))</formula>
    </cfRule>
    <cfRule type="containsText" dxfId="1093" priority="681" operator="containsText" text="Sick">
      <formula>NOT(ISERROR(SEARCH("Sick",BE93)))</formula>
    </cfRule>
    <cfRule type="containsText" dxfId="1092" priority="679" operator="containsText" text="MC">
      <formula>NOT(ISERROR(SEARCH("MC",BE93)))</formula>
    </cfRule>
    <cfRule type="containsText" dxfId="1091" priority="675" operator="containsText" text="EL">
      <formula>NOT(ISERROR(SEARCH("EL",BE93)))</formula>
    </cfRule>
    <cfRule type="containsText" dxfId="1090" priority="676" operator="containsText" text="AB">
      <formula>NOT(ISERROR(SEARCH("AB",BE93)))</formula>
    </cfRule>
    <cfRule type="containsText" dxfId="1089" priority="677" operator="containsText" text="SUS">
      <formula>NOT(ISERROR(SEARCH("SUS",BE93)))</formula>
    </cfRule>
    <cfRule type="containsText" dxfId="1088" priority="682" operator="containsText" text="OFF">
      <formula>NOT(ISERROR(SEARCH("OFF",BE93)))</formula>
    </cfRule>
    <cfRule type="containsText" dxfId="1087" priority="678" operator="containsText" text="FL">
      <formula>NOT(ISERROR(SEARCH("FL",BE93)))</formula>
    </cfRule>
  </conditionalFormatting>
  <conditionalFormatting sqref="BE95:BF98">
    <cfRule type="containsText" dxfId="1086" priority="674" operator="containsText" text="AL">
      <formula>NOT(ISERROR(SEARCH("AL",BE95)))</formula>
    </cfRule>
    <cfRule type="containsText" dxfId="1085" priority="671" operator="containsText" text="AB">
      <formula>NOT(ISERROR(SEARCH("AB",BE95)))</formula>
    </cfRule>
    <cfRule type="containsText" dxfId="1084" priority="669" operator="containsText" text="FL">
      <formula>NOT(ISERROR(SEARCH("FL",BE95)))</formula>
    </cfRule>
    <cfRule type="containsText" dxfId="1083" priority="670" operator="containsText" text="MC">
      <formula>NOT(ISERROR(SEARCH("MC",BE95)))</formula>
    </cfRule>
    <cfRule type="containsText" dxfId="1082" priority="673" operator="containsText" text="OFF">
      <formula>NOT(ISERROR(SEARCH("OFF",BE95)))</formula>
    </cfRule>
    <cfRule type="containsText" dxfId="1081" priority="672" operator="containsText" text="Sick">
      <formula>NOT(ISERROR(SEARCH("Sick",BE95)))</formula>
    </cfRule>
    <cfRule type="containsText" dxfId="1080" priority="668" operator="containsText" text="SUS">
      <formula>NOT(ISERROR(SEARCH("SUS",BE95)))</formula>
    </cfRule>
    <cfRule type="containsText" dxfId="1079" priority="667" operator="containsText" text="AB">
      <formula>NOT(ISERROR(SEARCH("AB",BE95)))</formula>
    </cfRule>
    <cfRule type="containsText" dxfId="1078" priority="666" operator="containsText" text="EL">
      <formula>NOT(ISERROR(SEARCH("EL",BE95)))</formula>
    </cfRule>
  </conditionalFormatting>
  <conditionalFormatting sqref="BE102:BF102">
    <cfRule type="containsText" dxfId="1077" priority="664" operator="containsText" text="OFF">
      <formula>NOT(ISERROR(SEARCH("OFF",BE102)))</formula>
    </cfRule>
    <cfRule type="containsText" dxfId="1076" priority="663" operator="containsText" text="Sick">
      <formula>NOT(ISERROR(SEARCH("Sick",BE102)))</formula>
    </cfRule>
    <cfRule type="containsText" dxfId="1075" priority="662" operator="containsText" text="AB">
      <formula>NOT(ISERROR(SEARCH("AB",BE102)))</formula>
    </cfRule>
    <cfRule type="containsText" dxfId="1074" priority="661" operator="containsText" text="MC">
      <formula>NOT(ISERROR(SEARCH("MC",BE102)))</formula>
    </cfRule>
    <cfRule type="containsText" dxfId="1073" priority="659" operator="containsText" text="SUS">
      <formula>NOT(ISERROR(SEARCH("SUS",BE102)))</formula>
    </cfRule>
    <cfRule type="containsText" dxfId="1072" priority="658" operator="containsText" text="AB">
      <formula>NOT(ISERROR(SEARCH("AB",BE102)))</formula>
    </cfRule>
    <cfRule type="containsText" dxfId="1071" priority="657" operator="containsText" text="EL">
      <formula>NOT(ISERROR(SEARCH("EL",BE102)))</formula>
    </cfRule>
    <cfRule type="containsText" dxfId="1070" priority="665" operator="containsText" text="AL">
      <formula>NOT(ISERROR(SEARCH("AL",BE102)))</formula>
    </cfRule>
    <cfRule type="containsText" dxfId="1069" priority="660" operator="containsText" text="FL">
      <formula>NOT(ISERROR(SEARCH("FL",BE102)))</formula>
    </cfRule>
  </conditionalFormatting>
  <conditionalFormatting sqref="BE106:BF106">
    <cfRule type="containsText" dxfId="1068" priority="651" operator="containsText" text="FL">
      <formula>NOT(ISERROR(SEARCH("FL",BE106)))</formula>
    </cfRule>
    <cfRule type="containsText" dxfId="1067" priority="652" operator="containsText" text="MC">
      <formula>NOT(ISERROR(SEARCH("MC",BE106)))</formula>
    </cfRule>
    <cfRule type="containsText" dxfId="1066" priority="655" operator="containsText" text="OFF">
      <formula>NOT(ISERROR(SEARCH("OFF",BE106)))</formula>
    </cfRule>
    <cfRule type="containsText" dxfId="1065" priority="653" operator="containsText" text="AB">
      <formula>NOT(ISERROR(SEARCH("AB",BE106)))</formula>
    </cfRule>
    <cfRule type="containsText" dxfId="1064" priority="649" operator="containsText" text="AB">
      <formula>NOT(ISERROR(SEARCH("AB",BE106)))</formula>
    </cfRule>
    <cfRule type="containsText" dxfId="1063" priority="648" operator="containsText" text="EL">
      <formula>NOT(ISERROR(SEARCH("EL",BE106)))</formula>
    </cfRule>
    <cfRule type="containsText" dxfId="1062" priority="656" operator="containsText" text="AL">
      <formula>NOT(ISERROR(SEARCH("AL",BE106)))</formula>
    </cfRule>
    <cfRule type="containsText" dxfId="1061" priority="650" operator="containsText" text="SUS">
      <formula>NOT(ISERROR(SEARCH("SUS",BE106)))</formula>
    </cfRule>
    <cfRule type="containsText" dxfId="1060" priority="654" operator="containsText" text="Sick">
      <formula>NOT(ISERROR(SEARCH("Sick",BE106)))</formula>
    </cfRule>
  </conditionalFormatting>
  <conditionalFormatting sqref="BE108:BF108 BE112:BF112">
    <cfRule type="containsText" dxfId="1059" priority="640" operator="containsText" text="AB">
      <formula>NOT(ISERROR(SEARCH("AB",BE108)))</formula>
    </cfRule>
    <cfRule type="containsText" dxfId="1058" priority="641" operator="containsText" text="SUS">
      <formula>NOT(ISERROR(SEARCH("SUS",BE108)))</formula>
    </cfRule>
    <cfRule type="containsText" dxfId="1057" priority="642" operator="containsText" text="FL">
      <formula>NOT(ISERROR(SEARCH("FL",BE108)))</formula>
    </cfRule>
    <cfRule type="containsText" dxfId="1056" priority="647" operator="containsText" text="AL">
      <formula>NOT(ISERROR(SEARCH("AL",BE108)))</formula>
    </cfRule>
    <cfRule type="containsText" dxfId="1055" priority="646" operator="containsText" text="OFF">
      <formula>NOT(ISERROR(SEARCH("OFF",BE108)))</formula>
    </cfRule>
    <cfRule type="containsText" dxfId="1054" priority="645" operator="containsText" text="Sick">
      <formula>NOT(ISERROR(SEARCH("Sick",BE108)))</formula>
    </cfRule>
    <cfRule type="containsText" dxfId="1053" priority="643" operator="containsText" text="MC">
      <formula>NOT(ISERROR(SEARCH("MC",BE108)))</formula>
    </cfRule>
  </conditionalFormatting>
  <conditionalFormatting sqref="BE108:BF112">
    <cfRule type="containsText" dxfId="1052" priority="644" operator="containsText" text="AB">
      <formula>NOT(ISERROR(SEARCH("AB",BE108)))</formula>
    </cfRule>
    <cfRule type="containsText" dxfId="1051" priority="639" operator="containsText" text="EL">
      <formula>NOT(ISERROR(SEARCH("EL",BE108)))</formula>
    </cfRule>
  </conditionalFormatting>
  <conditionalFormatting sqref="BE72:BP72">
    <cfRule type="containsText" dxfId="1050" priority="1" operator="containsText" text="EL">
      <formula>NOT(ISERROR(SEARCH("EL",BE72)))</formula>
    </cfRule>
    <cfRule type="containsText" dxfId="1049" priority="10" operator="containsText" text="AL">
      <formula>NOT(ISERROR(SEARCH("AL",BE72)))</formula>
    </cfRule>
    <cfRule type="containsText" dxfId="1048" priority="9" operator="containsText" text="SICK">
      <formula>NOT(ISERROR(SEARCH("SICK",BE72)))</formula>
    </cfRule>
    <cfRule type="containsText" dxfId="1047" priority="8" operator="containsText" text="OFF">
      <formula>NOT(ISERROR(SEARCH("OFF",BE72)))</formula>
    </cfRule>
    <cfRule type="containsText" dxfId="1046" priority="7" operator="containsText" text="MC">
      <formula>NOT(ISERROR(SEARCH("MC",BE72)))</formula>
    </cfRule>
    <cfRule type="containsText" dxfId="1045" priority="6" operator="containsText" text="FL">
      <formula>NOT(ISERROR(SEARCH("FL",BE72)))</formula>
    </cfRule>
    <cfRule type="containsText" dxfId="1044" priority="5" operator="containsText" text="SUS">
      <formula>NOT(ISERROR(SEARCH("SUS",BE72)))</formula>
    </cfRule>
    <cfRule type="containsText" dxfId="1043" priority="4" operator="containsText" text="NL">
      <formula>NOT(ISERROR(SEARCH("NL",BE72)))</formula>
    </cfRule>
    <cfRule type="containsText" dxfId="1042" priority="3" operator="containsText" text="SP">
      <formula>NOT(ISERROR(SEARCH("SP",BE72)))</formula>
    </cfRule>
    <cfRule type="containsText" dxfId="1041" priority="2" operator="containsText" text="AB">
      <formula>NOT(ISERROR(SEARCH("AB",BE72)))</formula>
    </cfRule>
  </conditionalFormatting>
  <conditionalFormatting sqref="BG146:BH146">
    <cfRule type="containsText" dxfId="1040" priority="3362" operator="containsText" text="EL">
      <formula>NOT(ISERROR(SEARCH("EL",BG146)))</formula>
    </cfRule>
  </conditionalFormatting>
  <conditionalFormatting sqref="BH146">
    <cfRule type="containsText" dxfId="1039" priority="3386" operator="containsText" text="Sick">
      <formula>NOT(ISERROR(SEARCH("Sick",BH146)))</formula>
    </cfRule>
    <cfRule type="containsText" dxfId="1038" priority="3384" operator="containsText" text="MC">
      <formula>NOT(ISERROR(SEARCH("MC",BH146)))</formula>
    </cfRule>
    <cfRule type="containsText" dxfId="1037" priority="3383" operator="containsText" text="FL">
      <formula>NOT(ISERROR(SEARCH("FL",BH146)))</formula>
    </cfRule>
    <cfRule type="containsText" dxfId="1036" priority="3382" operator="containsText" text="SUS">
      <formula>NOT(ISERROR(SEARCH("SUS",BH146)))</formula>
    </cfRule>
    <cfRule type="containsText" dxfId="1035" priority="3388" operator="containsText" text="AL">
      <formula>NOT(ISERROR(SEARCH("AL",BH146)))</formula>
    </cfRule>
    <cfRule type="containsText" dxfId="1034" priority="3387" operator="containsText" text="OFF">
      <formula>NOT(ISERROR(SEARCH("OFF",BH146)))</formula>
    </cfRule>
  </conditionalFormatting>
  <conditionalFormatting sqref="BK146">
    <cfRule type="containsText" dxfId="1033" priority="1976" operator="containsText" text="MC">
      <formula>NOT(ISERROR(SEARCH("MC",BK146)))</formula>
    </cfRule>
    <cfRule type="containsText" dxfId="1032" priority="1975" operator="containsText" text="FL">
      <formula>NOT(ISERROR(SEARCH("FL",BK146)))</formula>
    </cfRule>
    <cfRule type="containsText" dxfId="1031" priority="1974" operator="containsText" text="SUS">
      <formula>NOT(ISERROR(SEARCH("SUS",BK146)))</formula>
    </cfRule>
    <cfRule type="containsText" dxfId="1030" priority="1978" operator="containsText" text="Sick">
      <formula>NOT(ISERROR(SEARCH("Sick",BK146)))</formula>
    </cfRule>
    <cfRule type="containsText" dxfId="1029" priority="1980" operator="containsText" text="AL">
      <formula>NOT(ISERROR(SEARCH("AL",BK146)))</formula>
    </cfRule>
    <cfRule type="containsText" dxfId="1028" priority="1979" operator="containsText" text="OFF">
      <formula>NOT(ISERROR(SEARCH("OFF",BK146)))</formula>
    </cfRule>
    <cfRule type="containsText" dxfId="1027" priority="1977" operator="containsText" text="AB">
      <formula>NOT(ISERROR(SEARCH("AB",BK146)))</formula>
    </cfRule>
  </conditionalFormatting>
  <conditionalFormatting sqref="BK146:BL146">
    <cfRule type="containsText" dxfId="1026" priority="1965" operator="containsText" text="EL">
      <formula>NOT(ISERROR(SEARCH("EL",BK146)))</formula>
    </cfRule>
    <cfRule type="containsText" dxfId="1025" priority="1970" operator="containsText" text="AB">
      <formula>NOT(ISERROR(SEARCH("AB",BK146)))</formula>
    </cfRule>
  </conditionalFormatting>
  <conditionalFormatting sqref="BL146">
    <cfRule type="containsText" dxfId="1024" priority="1966" operator="containsText" text="AB">
      <formula>NOT(ISERROR(SEARCH("AB",BL146)))</formula>
    </cfRule>
    <cfRule type="containsText" dxfId="1023" priority="1968" operator="containsText" text="FL">
      <formula>NOT(ISERROR(SEARCH("FL",BL146)))</formula>
    </cfRule>
    <cfRule type="containsText" dxfId="1022" priority="1967" operator="containsText" text="SUS">
      <formula>NOT(ISERROR(SEARCH("SUS",BL146)))</formula>
    </cfRule>
    <cfRule type="containsText" dxfId="1021" priority="1973" operator="containsText" text="AL">
      <formula>NOT(ISERROR(SEARCH("AL",BL146)))</formula>
    </cfRule>
    <cfRule type="containsText" dxfId="1020" priority="1972" operator="containsText" text="OFF">
      <formula>NOT(ISERROR(SEARCH("OFF",BL146)))</formula>
    </cfRule>
    <cfRule type="containsText" dxfId="1019" priority="1971" operator="containsText" text="Sick">
      <formula>NOT(ISERROR(SEARCH("Sick",BL146)))</formula>
    </cfRule>
    <cfRule type="containsText" dxfId="1018" priority="1969" operator="containsText" text="MC">
      <formula>NOT(ISERROR(SEARCH("MC",BL146)))</formula>
    </cfRule>
  </conditionalFormatting>
  <conditionalFormatting sqref="BR2 BR5:BR29 BR44:BR113 BR140 BR142:BR146">
    <cfRule type="cellIs" dxfId="1017" priority="13764" stopIfTrue="1" operator="equal">
      <formula>";"</formula>
    </cfRule>
  </conditionalFormatting>
  <conditionalFormatting sqref="BR41">
    <cfRule type="cellIs" dxfId="1016" priority="13727" operator="equal">
      <formula>";"</formula>
    </cfRule>
  </conditionalFormatting>
  <conditionalFormatting sqref="BR138">
    <cfRule type="cellIs" dxfId="1015" priority="104" stopIfTrue="1" operator="equal">
      <formula>";"</formula>
    </cfRule>
  </conditionalFormatting>
  <conditionalFormatting sqref="BT4">
    <cfRule type="containsText" dxfId="1014" priority="3582" operator="containsText" text="FL">
      <formula>NOT(ISERROR(SEARCH("FL",BT4)))</formula>
    </cfRule>
    <cfRule type="containsText" dxfId="1013" priority="3581" operator="containsText" text="SUS">
      <formula>NOT(ISERROR(SEARCH("SUS",BT4)))</formula>
    </cfRule>
    <cfRule type="containsText" dxfId="1012" priority="3587" operator="containsText" text="AL">
      <formula>NOT(ISERROR(SEARCH("AL",BT4)))</formula>
    </cfRule>
    <cfRule type="containsText" dxfId="1011" priority="3586" operator="containsText" text="OFF">
      <formula>NOT(ISERROR(SEARCH("OFF",BT4)))</formula>
    </cfRule>
    <cfRule type="containsText" dxfId="1010" priority="3585" operator="containsText" text="Sick">
      <formula>NOT(ISERROR(SEARCH("Sick",BT4)))</formula>
    </cfRule>
    <cfRule type="containsText" dxfId="1009" priority="3584" operator="containsText" text="AB">
      <formula>NOT(ISERROR(SEARCH("AB",BT4)))</formula>
    </cfRule>
    <cfRule type="containsText" dxfId="1008" priority="3583" operator="containsText" text="MC">
      <formula>NOT(ISERROR(SEARCH("MC",BT4)))</formula>
    </cfRule>
  </conditionalFormatting>
  <conditionalFormatting sqref="BT43">
    <cfRule type="containsText" dxfId="1007" priority="3573" operator="containsText" text="FL">
      <formula>NOT(ISERROR(SEARCH("FL",BT43)))</formula>
    </cfRule>
    <cfRule type="containsText" dxfId="1006" priority="3578" operator="containsText" text="AL">
      <formula>NOT(ISERROR(SEARCH("AL",BT43)))</formula>
    </cfRule>
    <cfRule type="containsText" dxfId="1005" priority="3577" operator="containsText" text="OFF">
      <formula>NOT(ISERROR(SEARCH("OFF",BT43)))</formula>
    </cfRule>
    <cfRule type="containsText" dxfId="1004" priority="3576" operator="containsText" text="Sick">
      <formula>NOT(ISERROR(SEARCH("Sick",BT43)))</formula>
    </cfRule>
    <cfRule type="containsText" dxfId="1003" priority="3575" operator="containsText" text="AB">
      <formula>NOT(ISERROR(SEARCH("AB",BT43)))</formula>
    </cfRule>
    <cfRule type="containsText" dxfId="1002" priority="3572" operator="containsText" text="SUS">
      <formula>NOT(ISERROR(SEARCH("SUS",BT43)))</formula>
    </cfRule>
    <cfRule type="containsText" dxfId="1001" priority="3574" operator="containsText" text="MC">
      <formula>NOT(ISERROR(SEARCH("MC",BT43)))</formula>
    </cfRule>
  </conditionalFormatting>
  <conditionalFormatting sqref="BT4:BU4">
    <cfRule type="containsText" dxfId="1000" priority="3526" operator="containsText" text="AB">
      <formula>NOT(ISERROR(SEARCH("AB",BT4)))</formula>
    </cfRule>
  </conditionalFormatting>
  <conditionalFormatting sqref="BT43:BU43">
    <cfRule type="containsText" dxfId="999" priority="3432" operator="containsText" text="AB">
      <formula>NOT(ISERROR(SEARCH("AB",BT43)))</formula>
    </cfRule>
  </conditionalFormatting>
  <conditionalFormatting sqref="BT4:BY4">
    <cfRule type="containsText" dxfId="998" priority="3494" operator="containsText" text="EL">
      <formula>NOT(ISERROR(SEARCH("EL",BT4)))</formula>
    </cfRule>
  </conditionalFormatting>
  <conditionalFormatting sqref="BT43:BY43">
    <cfRule type="containsText" dxfId="997" priority="3418" operator="containsText" text="EL">
      <formula>NOT(ISERROR(SEARCH("EL",BT43)))</formula>
    </cfRule>
  </conditionalFormatting>
  <conditionalFormatting sqref="BU4">
    <cfRule type="containsText" dxfId="996" priority="3528" operator="containsText" text="OFF">
      <formula>NOT(ISERROR(SEARCH("OFF",BU4)))</formula>
    </cfRule>
    <cfRule type="containsText" dxfId="995" priority="3529" operator="containsText" text="AL">
      <formula>NOT(ISERROR(SEARCH("AL",BU4)))</formula>
    </cfRule>
    <cfRule type="containsText" dxfId="994" priority="3525" operator="containsText" text="MC">
      <formula>NOT(ISERROR(SEARCH("MC",BU4)))</formula>
    </cfRule>
    <cfRule type="containsText" dxfId="993" priority="3524" operator="containsText" text="FL">
      <formula>NOT(ISERROR(SEARCH("FL",BU4)))</formula>
    </cfRule>
    <cfRule type="containsText" dxfId="992" priority="3523" operator="containsText" text="SUS">
      <formula>NOT(ISERROR(SEARCH("SUS",BU4)))</formula>
    </cfRule>
    <cfRule type="containsText" dxfId="991" priority="3527" operator="containsText" text="Sick">
      <formula>NOT(ISERROR(SEARCH("Sick",BU4)))</formula>
    </cfRule>
  </conditionalFormatting>
  <conditionalFormatting sqref="BU43">
    <cfRule type="containsText" dxfId="990" priority="3434" operator="containsText" text="OFF">
      <formula>NOT(ISERROR(SEARCH("OFF",BU43)))</formula>
    </cfRule>
    <cfRule type="containsText" dxfId="989" priority="3435" operator="containsText" text="AL">
      <formula>NOT(ISERROR(SEARCH("AL",BU43)))</formula>
    </cfRule>
    <cfRule type="containsText" dxfId="988" priority="3430" operator="containsText" text="FL">
      <formula>NOT(ISERROR(SEARCH("FL",BU43)))</formula>
    </cfRule>
    <cfRule type="containsText" dxfId="987" priority="3429" operator="containsText" text="SUS">
      <formula>NOT(ISERROR(SEARCH("SUS",BU43)))</formula>
    </cfRule>
    <cfRule type="containsText" dxfId="986" priority="3431" operator="containsText" text="MC">
      <formula>NOT(ISERROR(SEARCH("MC",BU43)))</formula>
    </cfRule>
    <cfRule type="containsText" dxfId="985" priority="3433" operator="containsText" text="Sick">
      <formula>NOT(ISERROR(SEARCH("Sick",BU43)))</formula>
    </cfRule>
  </conditionalFormatting>
  <conditionalFormatting sqref="BU4:BV4">
    <cfRule type="containsText" dxfId="984" priority="3499" operator="containsText" text="AB">
      <formula>NOT(ISERROR(SEARCH("AB",BU4)))</formula>
    </cfRule>
  </conditionalFormatting>
  <conditionalFormatting sqref="BU43:BV43">
    <cfRule type="containsText" dxfId="983" priority="3423" operator="containsText" text="AB">
      <formula>NOT(ISERROR(SEARCH("AB",BU43)))</formula>
    </cfRule>
  </conditionalFormatting>
  <conditionalFormatting sqref="BV4">
    <cfRule type="containsText" dxfId="982" priority="3496" operator="containsText" text="SUS">
      <formula>NOT(ISERROR(SEARCH("SUS",BV4)))</formula>
    </cfRule>
    <cfRule type="containsText" dxfId="981" priority="3497" operator="containsText" text="FL">
      <formula>NOT(ISERROR(SEARCH("FL",BV4)))</formula>
    </cfRule>
    <cfRule type="containsText" dxfId="980" priority="3502" operator="containsText" text="AL">
      <formula>NOT(ISERROR(SEARCH("AL",BV4)))</formula>
    </cfRule>
    <cfRule type="containsText" dxfId="979" priority="3495" operator="containsText" text="AB">
      <formula>NOT(ISERROR(SEARCH("AB",BV4)))</formula>
    </cfRule>
    <cfRule type="containsText" dxfId="978" priority="3500" operator="containsText" text="Sick">
      <formula>NOT(ISERROR(SEARCH("Sick",BV4)))</formula>
    </cfRule>
    <cfRule type="containsText" dxfId="977" priority="3498" operator="containsText" text="MC">
      <formula>NOT(ISERROR(SEARCH("MC",BV4)))</formula>
    </cfRule>
    <cfRule type="containsText" dxfId="976" priority="3501" operator="containsText" text="OFF">
      <formula>NOT(ISERROR(SEARCH("OFF",BV4)))</formula>
    </cfRule>
  </conditionalFormatting>
  <conditionalFormatting sqref="BV43">
    <cfRule type="containsText" dxfId="975" priority="3422" operator="containsText" text="MC">
      <formula>NOT(ISERROR(SEARCH("MC",BV43)))</formula>
    </cfRule>
    <cfRule type="containsText" dxfId="974" priority="3424" operator="containsText" text="Sick">
      <formula>NOT(ISERROR(SEARCH("Sick",BV43)))</formula>
    </cfRule>
    <cfRule type="containsText" dxfId="973" priority="3425" operator="containsText" text="OFF">
      <formula>NOT(ISERROR(SEARCH("OFF",BV43)))</formula>
    </cfRule>
    <cfRule type="containsText" dxfId="972" priority="3426" operator="containsText" text="AL">
      <formula>NOT(ISERROR(SEARCH("AL",BV43)))</formula>
    </cfRule>
    <cfRule type="containsText" dxfId="971" priority="3420" operator="containsText" text="SUS">
      <formula>NOT(ISERROR(SEARCH("SUS",BV43)))</formula>
    </cfRule>
    <cfRule type="containsText" dxfId="970" priority="3419" operator="containsText" text="AB">
      <formula>NOT(ISERROR(SEARCH("AB",BV43)))</formula>
    </cfRule>
    <cfRule type="containsText" dxfId="969" priority="3421" operator="containsText" text="FL">
      <formula>NOT(ISERROR(SEARCH("FL",BV43)))</formula>
    </cfRule>
  </conditionalFormatting>
  <conditionalFormatting sqref="BW4 AI59 E142:F144 AI72 AG144:AI144">
    <cfRule type="containsText" dxfId="968" priority="3603" operator="containsText" text="Sick">
      <formula>NOT(ISERROR(SEARCH("Sick",E4)))</formula>
    </cfRule>
  </conditionalFormatting>
  <conditionalFormatting sqref="BW4 AI59 E142:F144">
    <cfRule type="containsText" dxfId="967" priority="3602" operator="containsText" text="AB">
      <formula>NOT(ISERROR(SEARCH("AB",E4)))</formula>
    </cfRule>
  </conditionalFormatting>
  <conditionalFormatting sqref="BW4 AI59 AI72 E142:F144 AG144:AI144">
    <cfRule type="containsText" dxfId="966" priority="3605" operator="containsText" text="AL">
      <formula>NOT(ISERROR(SEARCH("AL",E4)))</formula>
    </cfRule>
    <cfRule type="containsText" dxfId="965" priority="3604" operator="containsText" text="OFF">
      <formula>NOT(ISERROR(SEARCH("OFF",E4)))</formula>
    </cfRule>
  </conditionalFormatting>
  <conditionalFormatting sqref="BW4 AI59">
    <cfRule type="containsText" dxfId="964" priority="3601" operator="containsText" text="MC">
      <formula>NOT(ISERROR(SEARCH("MC",AI4)))</formula>
    </cfRule>
  </conditionalFormatting>
  <conditionalFormatting sqref="BW4 AT59:BP59 AO143:BP143 AJ144:BP144 AQ145:BP145">
    <cfRule type="containsText" dxfId="963" priority="3600" operator="containsText" text="FL">
      <formula>NOT(ISERROR(SEARCH("FL",AJ4)))</formula>
    </cfRule>
    <cfRule type="containsText" dxfId="962" priority="3599" operator="containsText" text="SUS">
      <formula>NOT(ISERROR(SEARCH("SUS",AJ4)))</formula>
    </cfRule>
  </conditionalFormatting>
  <conditionalFormatting sqref="BW43">
    <cfRule type="containsText" dxfId="961" priority="3590" operator="containsText" text="SUS">
      <formula>NOT(ISERROR(SEARCH("SUS",BW43)))</formula>
    </cfRule>
    <cfRule type="containsText" dxfId="960" priority="3591" operator="containsText" text="FL">
      <formula>NOT(ISERROR(SEARCH("FL",BW43)))</formula>
    </cfRule>
    <cfRule type="containsText" dxfId="959" priority="3592" operator="containsText" text="MC">
      <formula>NOT(ISERROR(SEARCH("MC",BW43)))</formula>
    </cfRule>
    <cfRule type="containsText" dxfId="958" priority="3593" operator="containsText" text="AB">
      <formula>NOT(ISERROR(SEARCH("AB",BW43)))</formula>
    </cfRule>
    <cfRule type="containsText" dxfId="957" priority="3594" operator="containsText" text="Sick">
      <formula>NOT(ISERROR(SEARCH("Sick",BW43)))</formula>
    </cfRule>
    <cfRule type="containsText" dxfId="956" priority="3595" operator="containsText" text="OFF">
      <formula>NOT(ISERROR(SEARCH("OFF",BW43)))</formula>
    </cfRule>
    <cfRule type="containsText" dxfId="955" priority="3596" operator="containsText" text="AL">
      <formula>NOT(ISERROR(SEARCH("AL",BW43)))</formula>
    </cfRule>
  </conditionalFormatting>
  <conditionalFormatting sqref="BW4:BY4">
    <cfRule type="containsText" dxfId="954" priority="3508" operator="containsText" text="AB">
      <formula>NOT(ISERROR(SEARCH("AB",BW4)))</formula>
    </cfRule>
  </conditionalFormatting>
  <conditionalFormatting sqref="BW43:BY43">
    <cfRule type="containsText" dxfId="953" priority="3441" operator="containsText" text="AB">
      <formula>NOT(ISERROR(SEARCH("AB",BW43)))</formula>
    </cfRule>
  </conditionalFormatting>
  <conditionalFormatting sqref="BX4">
    <cfRule type="containsText" dxfId="952" priority="3510" operator="containsText" text="OFF">
      <formula>NOT(ISERROR(SEARCH("OFF",BX4)))</formula>
    </cfRule>
    <cfRule type="containsText" dxfId="951" priority="3511" operator="containsText" text="AL">
      <formula>NOT(ISERROR(SEARCH("AL",BX4)))</formula>
    </cfRule>
    <cfRule type="containsText" dxfId="950" priority="3509" operator="containsText" text="Sick">
      <formula>NOT(ISERROR(SEARCH("Sick",BX4)))</formula>
    </cfRule>
    <cfRule type="containsText" dxfId="949" priority="3507" operator="containsText" text="MC">
      <formula>NOT(ISERROR(SEARCH("MC",BX4)))</formula>
    </cfRule>
    <cfRule type="containsText" dxfId="948" priority="3505" operator="containsText" text="SUS">
      <formula>NOT(ISERROR(SEARCH("SUS",BX4)))</formula>
    </cfRule>
    <cfRule type="containsText" dxfId="947" priority="3504" operator="containsText" text="AB">
      <formula>NOT(ISERROR(SEARCH("AB",BX4)))</formula>
    </cfRule>
    <cfRule type="containsText" dxfId="946" priority="3506" operator="containsText" text="FL">
      <formula>NOT(ISERROR(SEARCH("FL",BX4)))</formula>
    </cfRule>
  </conditionalFormatting>
  <conditionalFormatting sqref="BX43">
    <cfRule type="containsText" dxfId="945" priority="3437" operator="containsText" text="AB">
      <formula>NOT(ISERROR(SEARCH("AB",BX43)))</formula>
    </cfRule>
    <cfRule type="containsText" dxfId="944" priority="3438" operator="containsText" text="SUS">
      <formula>NOT(ISERROR(SEARCH("SUS",BX43)))</formula>
    </cfRule>
    <cfRule type="containsText" dxfId="943" priority="3439" operator="containsText" text="FL">
      <formula>NOT(ISERROR(SEARCH("FL",BX43)))</formula>
    </cfRule>
    <cfRule type="containsText" dxfId="942" priority="3443" operator="containsText" text="OFF">
      <formula>NOT(ISERROR(SEARCH("OFF",BX43)))</formula>
    </cfRule>
    <cfRule type="containsText" dxfId="941" priority="3440" operator="containsText" text="MC">
      <formula>NOT(ISERROR(SEARCH("MC",BX43)))</formula>
    </cfRule>
    <cfRule type="containsText" dxfId="940" priority="3444" operator="containsText" text="AL">
      <formula>NOT(ISERROR(SEARCH("AL",BX43)))</formula>
    </cfRule>
    <cfRule type="containsText" dxfId="939" priority="3442" operator="containsText" text="Sick">
      <formula>NOT(ISERROR(SEARCH("Sick",BX43)))</formula>
    </cfRule>
  </conditionalFormatting>
  <conditionalFormatting sqref="BY4">
    <cfRule type="containsText" dxfId="938" priority="3518" operator="containsText" text="Sick">
      <formula>NOT(ISERROR(SEARCH("Sick",BY4)))</formula>
    </cfRule>
    <cfRule type="containsText" dxfId="937" priority="3516" operator="containsText" text="MC">
      <formula>NOT(ISERROR(SEARCH("MC",BY4)))</formula>
    </cfRule>
    <cfRule type="containsText" dxfId="936" priority="3515" operator="containsText" text="FL">
      <formula>NOT(ISERROR(SEARCH("FL",BY4)))</formula>
    </cfRule>
    <cfRule type="containsText" dxfId="935" priority="3514" operator="containsText" text="SUS">
      <formula>NOT(ISERROR(SEARCH("SUS",BY4)))</formula>
    </cfRule>
    <cfRule type="containsText" dxfId="934" priority="3517" operator="containsText" text="AB">
      <formula>NOT(ISERROR(SEARCH("AB",BY4)))</formula>
    </cfRule>
    <cfRule type="containsText" dxfId="933" priority="3520" operator="containsText" text="AL">
      <formula>NOT(ISERROR(SEARCH("AL",BY4)))</formula>
    </cfRule>
    <cfRule type="containsText" dxfId="932" priority="3519" operator="containsText" text="OFF">
      <formula>NOT(ISERROR(SEARCH("OFF",BY4)))</formula>
    </cfRule>
  </conditionalFormatting>
  <conditionalFormatting sqref="BY43">
    <cfRule type="containsText" dxfId="931" priority="3451" operator="containsText" text="Sick">
      <formula>NOT(ISERROR(SEARCH("Sick",BY43)))</formula>
    </cfRule>
    <cfRule type="containsText" dxfId="930" priority="3450" operator="containsText" text="AB">
      <formula>NOT(ISERROR(SEARCH("AB",BY43)))</formula>
    </cfRule>
    <cfRule type="containsText" dxfId="929" priority="3449" operator="containsText" text="MC">
      <formula>NOT(ISERROR(SEARCH("MC",BY43)))</formula>
    </cfRule>
    <cfRule type="containsText" dxfId="928" priority="3448" operator="containsText" text="FL">
      <formula>NOT(ISERROR(SEARCH("FL",BY43)))</formula>
    </cfRule>
    <cfRule type="containsText" dxfId="927" priority="3447" operator="containsText" text="SUS">
      <formula>NOT(ISERROR(SEARCH("SUS",BY43)))</formula>
    </cfRule>
    <cfRule type="containsText" dxfId="926" priority="3453" operator="containsText" text="AL">
      <formula>NOT(ISERROR(SEARCH("AL",BY43)))</formula>
    </cfRule>
    <cfRule type="containsText" dxfId="925" priority="3452" operator="containsText" text="OFF">
      <formula>NOT(ISERROR(SEARCH("OFF",BY43)))</formula>
    </cfRule>
  </conditionalFormatting>
  <conditionalFormatting sqref="BZ4">
    <cfRule type="containsText" dxfId="924" priority="3561" operator="containsText" text="NL">
      <formula>NOT(ISERROR(SEARCH("NL",BZ4)))</formula>
    </cfRule>
    <cfRule type="containsText" dxfId="923" priority="3566" operator="containsText" text="OFF">
      <formula>NOT(ISERROR(SEARCH("OFF",BZ4)))</formula>
    </cfRule>
    <cfRule type="containsText" dxfId="922" priority="3562" operator="containsText" text="SUS">
      <formula>NOT(ISERROR(SEARCH("SUS",BZ4)))</formula>
    </cfRule>
    <cfRule type="containsText" dxfId="921" priority="3563" operator="containsText" text="FL">
      <formula>NOT(ISERROR(SEARCH("FL",BZ4)))</formula>
    </cfRule>
    <cfRule type="containsText" dxfId="920" priority="3564" operator="containsText" text="EL">
      <formula>NOT(ISERROR(SEARCH("EL",BZ4)))</formula>
    </cfRule>
    <cfRule type="containsText" dxfId="919" priority="3565" operator="containsText" text="MC">
      <formula>NOT(ISERROR(SEARCH("MC",BZ4)))</formula>
    </cfRule>
    <cfRule type="containsText" dxfId="918" priority="3567" operator="containsText" text="AB">
      <formula>NOT(ISERROR(SEARCH("AB",BZ4)))</formula>
    </cfRule>
    <cfRule type="containsText" dxfId="917" priority="3568" operator="containsText" text="SICK">
      <formula>NOT(ISERROR(SEARCH("SICK",BZ4)))</formula>
    </cfRule>
    <cfRule type="containsText" dxfId="916" priority="3569" operator="containsText" text="AL">
      <formula>NOT(ISERROR(SEARCH("AL",BZ4)))</formula>
    </cfRule>
    <cfRule type="containsText" dxfId="915" priority="3560" operator="containsText" text="SP">
      <formula>NOT(ISERROR(SEARCH("SP",BZ4)))</formula>
    </cfRule>
  </conditionalFormatting>
  <conditionalFormatting sqref="BZ43">
    <cfRule type="containsText" dxfId="914" priority="3554" operator="containsText" text="EL">
      <formula>NOT(ISERROR(SEARCH("EL",BZ43)))</formula>
    </cfRule>
    <cfRule type="containsText" dxfId="913" priority="3553" operator="containsText" text="FL">
      <formula>NOT(ISERROR(SEARCH("FL",BZ43)))</formula>
    </cfRule>
    <cfRule type="containsText" dxfId="912" priority="3558" operator="containsText" text="SICK">
      <formula>NOT(ISERROR(SEARCH("SICK",BZ43)))</formula>
    </cfRule>
    <cfRule type="containsText" dxfId="911" priority="3550" operator="containsText" text="SP">
      <formula>NOT(ISERROR(SEARCH("SP",BZ43)))</formula>
    </cfRule>
    <cfRule type="containsText" dxfId="910" priority="3552" operator="containsText" text="SUS">
      <formula>NOT(ISERROR(SEARCH("SUS",BZ43)))</formula>
    </cfRule>
    <cfRule type="containsText" dxfId="909" priority="3551" operator="containsText" text="NL">
      <formula>NOT(ISERROR(SEARCH("NL",BZ43)))</formula>
    </cfRule>
    <cfRule type="containsText" dxfId="908" priority="3559" operator="containsText" text="AL">
      <formula>NOT(ISERROR(SEARCH("AL",BZ43)))</formula>
    </cfRule>
    <cfRule type="containsText" dxfId="907" priority="3555" operator="containsText" text="MC">
      <formula>NOT(ISERROR(SEARCH("MC",BZ43)))</formula>
    </cfRule>
    <cfRule type="containsText" dxfId="906" priority="3556" operator="containsText" text="OFF">
      <formula>NOT(ISERROR(SEARCH("OFF",BZ43)))</formula>
    </cfRule>
    <cfRule type="containsText" dxfId="905" priority="3557" operator="containsText" text="AB">
      <formula>NOT(ISERROR(SEARCH("AB",BZ43)))</formula>
    </cfRule>
  </conditionalFormatting>
  <conditionalFormatting sqref="CB4:CD4">
    <cfRule type="containsText" dxfId="904" priority="3457" operator="containsText" text="FL">
      <formula>NOT(ISERROR(SEARCH("FL",CB4)))</formula>
    </cfRule>
    <cfRule type="containsText" dxfId="903" priority="3460" operator="containsText" text="OFF">
      <formula>NOT(ISERROR(SEARCH("OFF",CB4)))</formula>
    </cfRule>
    <cfRule type="containsText" dxfId="902" priority="3459" operator="containsText" text="MC">
      <formula>NOT(ISERROR(SEARCH("MC",CB4)))</formula>
    </cfRule>
    <cfRule type="containsText" dxfId="901" priority="3458" operator="containsText" text="EL">
      <formula>NOT(ISERROR(SEARCH("EL",CB4)))</formula>
    </cfRule>
    <cfRule type="containsText" dxfId="900" priority="3455" operator="containsText" text="NL">
      <formula>NOT(ISERROR(SEARCH("NL",CB4)))</formula>
    </cfRule>
    <cfRule type="containsText" dxfId="899" priority="3454" operator="containsText" text="SP">
      <formula>NOT(ISERROR(SEARCH("SP",CB4)))</formula>
    </cfRule>
    <cfRule type="containsText" dxfId="898" priority="3456" operator="containsText" text="SUS">
      <formula>NOT(ISERROR(SEARCH("SUS",CB4)))</formula>
    </cfRule>
    <cfRule type="containsText" dxfId="897" priority="3461" operator="containsText" text="AB">
      <formula>NOT(ISERROR(SEARCH("AB",CB4)))</formula>
    </cfRule>
    <cfRule type="containsText" dxfId="896" priority="3463" operator="containsText" text="AL">
      <formula>NOT(ISERROR(SEARCH("AL",CB4)))</formula>
    </cfRule>
    <cfRule type="containsText" dxfId="895" priority="3462" operator="containsText" text="SICK">
      <formula>NOT(ISERROR(SEARCH("SICK",CB4)))</formula>
    </cfRule>
  </conditionalFormatting>
  <conditionalFormatting sqref="CB43:CD43">
    <cfRule type="containsText" dxfId="894" priority="3464" operator="containsText" text="SP">
      <formula>NOT(ISERROR(SEARCH("SP",CB43)))</formula>
    </cfRule>
    <cfRule type="containsText" dxfId="893" priority="3466" operator="containsText" text="SUS">
      <formula>NOT(ISERROR(SEARCH("SUS",CB43)))</formula>
    </cfRule>
    <cfRule type="containsText" dxfId="892" priority="3473" operator="containsText" text="AL">
      <formula>NOT(ISERROR(SEARCH("AL",CB43)))</formula>
    </cfRule>
    <cfRule type="containsText" dxfId="891" priority="3472" operator="containsText" text="SICK">
      <formula>NOT(ISERROR(SEARCH("SICK",CB43)))</formula>
    </cfRule>
    <cfRule type="containsText" dxfId="890" priority="3468" operator="containsText" text="EL">
      <formula>NOT(ISERROR(SEARCH("EL",CB43)))</formula>
    </cfRule>
    <cfRule type="containsText" dxfId="889" priority="3471" operator="containsText" text="AB">
      <formula>NOT(ISERROR(SEARCH("AB",CB43)))</formula>
    </cfRule>
    <cfRule type="containsText" dxfId="888" priority="3467" operator="containsText" text="FL">
      <formula>NOT(ISERROR(SEARCH("FL",CB43)))</formula>
    </cfRule>
    <cfRule type="containsText" dxfId="887" priority="3469" operator="containsText" text="MC">
      <formula>NOT(ISERROR(SEARCH("MC",CB43)))</formula>
    </cfRule>
    <cfRule type="containsText" dxfId="886" priority="3470" operator="containsText" text="OFF">
      <formula>NOT(ISERROR(SEARCH("OFF",CB43)))</formula>
    </cfRule>
    <cfRule type="containsText" dxfId="885" priority="3465" operator="containsText" text="NL">
      <formula>NOT(ISERROR(SEARCH("NL",CB43)))</formula>
    </cfRule>
  </conditionalFormatting>
  <pageMargins left="0.7" right="0.7" top="0.75" bottom="0.75" header="0.3" footer="0.3"/>
  <pageSetup paperSize="9" scale="20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7907E-256B-42D6-9374-029CDB806A48}">
  <sheetPr>
    <pageSetUpPr fitToPage="1"/>
  </sheetPr>
  <dimension ref="A1:BU142"/>
  <sheetViews>
    <sheetView tabSelected="1" view="pageBreakPreview" zoomScale="60"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K13" sqref="AK13"/>
    </sheetView>
  </sheetViews>
  <sheetFormatPr defaultRowHeight="15" x14ac:dyDescent="0.25"/>
  <cols>
    <col min="1" max="1" width="5.140625" style="46" customWidth="1"/>
    <col min="2" max="2" width="12" style="15" customWidth="1"/>
    <col min="3" max="3" width="33.7109375" customWidth="1"/>
    <col min="4" max="4" width="13.42578125" hidden="1" customWidth="1"/>
    <col min="5" max="34" width="6.5703125" customWidth="1"/>
    <col min="35" max="35" width="5" style="73" customWidth="1"/>
    <col min="36" max="36" width="5.140625" style="58" customWidth="1"/>
    <col min="37" max="46" width="6.5703125" customWidth="1"/>
    <col min="47" max="47" width="5.85546875" style="15" customWidth="1"/>
    <col min="48" max="55" width="5" customWidth="1"/>
    <col min="56" max="56" width="5.85546875" customWidth="1"/>
    <col min="57" max="60" width="5" customWidth="1"/>
    <col min="61" max="61" width="10.28515625" customWidth="1"/>
    <col min="63" max="73" width="6" customWidth="1"/>
  </cols>
  <sheetData>
    <row r="1" spans="1:73" ht="25.5" customHeight="1" x14ac:dyDescent="0.25">
      <c r="A1" s="198" t="s">
        <v>253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200"/>
      <c r="AI1" s="110"/>
      <c r="AJ1" s="216" t="s">
        <v>250</v>
      </c>
      <c r="AK1" s="216"/>
      <c r="AL1" s="216"/>
      <c r="AM1" s="216"/>
      <c r="AN1" s="216"/>
      <c r="AO1" s="216"/>
      <c r="AP1" s="216"/>
      <c r="AQ1" s="216"/>
      <c r="AR1" s="216"/>
      <c r="AS1" s="216"/>
      <c r="AT1" s="216"/>
      <c r="AU1" s="216"/>
      <c r="AV1" s="216"/>
      <c r="AW1" s="216"/>
      <c r="AX1" s="216"/>
      <c r="AY1" s="216"/>
      <c r="AZ1" s="216"/>
      <c r="BA1" s="216"/>
      <c r="BB1" s="216"/>
      <c r="BC1" s="216"/>
      <c r="BD1" s="216"/>
      <c r="BE1" s="216"/>
      <c r="BF1" s="216"/>
      <c r="BG1" s="216"/>
      <c r="BH1" s="216"/>
      <c r="BI1" s="216"/>
    </row>
    <row r="2" spans="1:73" ht="22.5" customHeight="1" x14ac:dyDescent="0.25">
      <c r="A2" s="201" t="s">
        <v>0</v>
      </c>
      <c r="B2" s="201"/>
      <c r="C2" s="201"/>
      <c r="D2" s="84"/>
      <c r="E2" s="190" t="s">
        <v>1</v>
      </c>
      <c r="F2" s="190"/>
      <c r="G2" s="190" t="s">
        <v>2</v>
      </c>
      <c r="H2" s="190"/>
      <c r="I2" s="190" t="s">
        <v>3</v>
      </c>
      <c r="J2" s="190"/>
      <c r="K2" s="190" t="s">
        <v>4</v>
      </c>
      <c r="L2" s="190"/>
      <c r="M2" s="190" t="s">
        <v>5</v>
      </c>
      <c r="N2" s="190"/>
      <c r="O2" s="190" t="s">
        <v>6</v>
      </c>
      <c r="P2" s="190"/>
      <c r="Q2" s="190" t="s">
        <v>7</v>
      </c>
      <c r="R2" s="190"/>
      <c r="S2" s="190" t="s">
        <v>1</v>
      </c>
      <c r="T2" s="190"/>
      <c r="U2" s="190" t="s">
        <v>2</v>
      </c>
      <c r="V2" s="190"/>
      <c r="W2" s="190" t="s">
        <v>3</v>
      </c>
      <c r="X2" s="190"/>
      <c r="Y2" s="190" t="s">
        <v>4</v>
      </c>
      <c r="Z2" s="190"/>
      <c r="AA2" s="190" t="s">
        <v>5</v>
      </c>
      <c r="AB2" s="190"/>
      <c r="AC2" s="190" t="s">
        <v>6</v>
      </c>
      <c r="AD2" s="190"/>
      <c r="AE2" s="190" t="s">
        <v>7</v>
      </c>
      <c r="AF2" s="190"/>
      <c r="AG2" s="190" t="s">
        <v>1</v>
      </c>
      <c r="AH2" s="190"/>
      <c r="AI2" s="111"/>
      <c r="AJ2" s="217"/>
      <c r="AK2" s="190" t="s">
        <v>2</v>
      </c>
      <c r="AL2" s="191"/>
      <c r="AM2" s="190" t="s">
        <v>3</v>
      </c>
      <c r="AN2" s="191"/>
      <c r="AO2" s="190" t="s">
        <v>4</v>
      </c>
      <c r="AP2" s="191"/>
      <c r="AQ2" s="190" t="s">
        <v>5</v>
      </c>
      <c r="AR2" s="191"/>
      <c r="AS2" s="190" t="s">
        <v>6</v>
      </c>
      <c r="AT2" s="191"/>
      <c r="AU2" s="195" t="s">
        <v>8</v>
      </c>
      <c r="AV2" s="207" t="s">
        <v>9</v>
      </c>
      <c r="AW2" s="219"/>
      <c r="AX2" s="220"/>
      <c r="AY2" s="220"/>
      <c r="AZ2" s="220"/>
      <c r="BA2" s="220"/>
      <c r="BB2" s="220"/>
      <c r="BC2" s="220"/>
      <c r="BD2" s="220"/>
      <c r="BE2" s="220"/>
      <c r="BF2" s="220"/>
      <c r="BG2" s="220"/>
      <c r="BH2" s="220"/>
      <c r="BI2" s="221"/>
      <c r="BK2" s="202" t="s">
        <v>194</v>
      </c>
      <c r="BL2" s="202"/>
      <c r="BM2" s="202"/>
      <c r="BN2" s="202"/>
      <c r="BO2" s="202"/>
      <c r="BP2" s="202"/>
      <c r="BQ2" s="202"/>
      <c r="BR2" s="202"/>
      <c r="BS2" s="202"/>
      <c r="BT2" s="202"/>
      <c r="BU2" s="47"/>
    </row>
    <row r="3" spans="1:73" ht="22.5" customHeight="1" x14ac:dyDescent="0.25">
      <c r="A3" s="201"/>
      <c r="B3" s="201"/>
      <c r="C3" s="201"/>
      <c r="D3" s="84"/>
      <c r="E3" s="188">
        <v>46204</v>
      </c>
      <c r="F3" s="188"/>
      <c r="G3" s="188">
        <v>46205</v>
      </c>
      <c r="H3" s="188"/>
      <c r="I3" s="188">
        <v>46206</v>
      </c>
      <c r="J3" s="188"/>
      <c r="K3" s="188">
        <v>46207</v>
      </c>
      <c r="L3" s="188"/>
      <c r="M3" s="188">
        <v>46208</v>
      </c>
      <c r="N3" s="188"/>
      <c r="O3" s="188">
        <v>46209</v>
      </c>
      <c r="P3" s="188"/>
      <c r="Q3" s="188">
        <v>46210</v>
      </c>
      <c r="R3" s="188"/>
      <c r="S3" s="188">
        <v>46211</v>
      </c>
      <c r="T3" s="188"/>
      <c r="U3" s="188">
        <v>46212</v>
      </c>
      <c r="V3" s="188"/>
      <c r="W3" s="188">
        <v>46213</v>
      </c>
      <c r="X3" s="188"/>
      <c r="Y3" s="188">
        <v>46214</v>
      </c>
      <c r="Z3" s="188"/>
      <c r="AA3" s="188">
        <v>46215</v>
      </c>
      <c r="AB3" s="188"/>
      <c r="AC3" s="188">
        <v>46216</v>
      </c>
      <c r="AD3" s="188"/>
      <c r="AE3" s="188">
        <v>46217</v>
      </c>
      <c r="AF3" s="188"/>
      <c r="AG3" s="188">
        <v>46218</v>
      </c>
      <c r="AH3" s="188"/>
      <c r="AI3" s="112"/>
      <c r="AJ3" s="217"/>
      <c r="AK3" s="188">
        <v>46219</v>
      </c>
      <c r="AL3" s="189"/>
      <c r="AM3" s="188">
        <v>46220</v>
      </c>
      <c r="AN3" s="189"/>
      <c r="AO3" s="188">
        <v>46221</v>
      </c>
      <c r="AP3" s="189"/>
      <c r="AQ3" s="188">
        <v>46222</v>
      </c>
      <c r="AR3" s="189"/>
      <c r="AS3" s="188">
        <v>46223</v>
      </c>
      <c r="AT3" s="189"/>
      <c r="AU3" s="196"/>
      <c r="AV3" s="208"/>
      <c r="AW3" s="1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"/>
      <c r="BK3" s="57" t="s">
        <v>249</v>
      </c>
      <c r="BL3" s="57"/>
      <c r="BM3" s="57"/>
      <c r="BN3" s="57"/>
      <c r="BO3" s="57"/>
      <c r="BP3" s="57"/>
      <c r="BQ3" s="57"/>
      <c r="BR3" s="57"/>
      <c r="BS3" s="57"/>
      <c r="BT3" s="57"/>
      <c r="BU3" s="47"/>
    </row>
    <row r="4" spans="1:73" ht="20.25" customHeight="1" x14ac:dyDescent="0.25">
      <c r="A4" s="4" t="s">
        <v>10</v>
      </c>
      <c r="B4" s="4" t="s">
        <v>11</v>
      </c>
      <c r="C4" s="4" t="s">
        <v>12</v>
      </c>
      <c r="D4" s="13"/>
      <c r="E4" s="13" t="s">
        <v>13</v>
      </c>
      <c r="F4" s="13" t="s">
        <v>14</v>
      </c>
      <c r="G4" s="13" t="s">
        <v>13</v>
      </c>
      <c r="H4" s="13" t="s">
        <v>14</v>
      </c>
      <c r="I4" s="13" t="s">
        <v>13</v>
      </c>
      <c r="J4" s="13" t="s">
        <v>14</v>
      </c>
      <c r="K4" s="13" t="s">
        <v>13</v>
      </c>
      <c r="L4" s="13" t="s">
        <v>14</v>
      </c>
      <c r="M4" s="13" t="s">
        <v>13</v>
      </c>
      <c r="N4" s="13" t="s">
        <v>14</v>
      </c>
      <c r="O4" s="13" t="s">
        <v>13</v>
      </c>
      <c r="P4" s="13" t="s">
        <v>14</v>
      </c>
      <c r="Q4" s="13" t="s">
        <v>13</v>
      </c>
      <c r="R4" s="13" t="s">
        <v>14</v>
      </c>
      <c r="S4" s="13" t="s">
        <v>13</v>
      </c>
      <c r="T4" s="13" t="s">
        <v>14</v>
      </c>
      <c r="U4" s="13" t="s">
        <v>13</v>
      </c>
      <c r="V4" s="13" t="s">
        <v>14</v>
      </c>
      <c r="W4" s="13" t="s">
        <v>13</v>
      </c>
      <c r="X4" s="13" t="s">
        <v>14</v>
      </c>
      <c r="Y4" s="13" t="s">
        <v>13</v>
      </c>
      <c r="Z4" s="13" t="s">
        <v>14</v>
      </c>
      <c r="AA4" s="13" t="s">
        <v>13</v>
      </c>
      <c r="AB4" s="13" t="s">
        <v>14</v>
      </c>
      <c r="AC4" s="13" t="s">
        <v>13</v>
      </c>
      <c r="AD4" s="13" t="s">
        <v>14</v>
      </c>
      <c r="AE4" s="13" t="s">
        <v>13</v>
      </c>
      <c r="AF4" s="13" t="s">
        <v>14</v>
      </c>
      <c r="AG4" s="13" t="s">
        <v>13</v>
      </c>
      <c r="AH4" s="13" t="s">
        <v>14</v>
      </c>
      <c r="AI4" s="113"/>
      <c r="AJ4" s="217"/>
      <c r="AK4" s="13" t="s">
        <v>13</v>
      </c>
      <c r="AL4" s="14" t="s">
        <v>14</v>
      </c>
      <c r="AM4" s="13" t="s">
        <v>13</v>
      </c>
      <c r="AN4" s="14" t="s">
        <v>14</v>
      </c>
      <c r="AO4" s="13" t="s">
        <v>13</v>
      </c>
      <c r="AP4" s="14" t="s">
        <v>14</v>
      </c>
      <c r="AQ4" s="13" t="s">
        <v>13</v>
      </c>
      <c r="AR4" s="14" t="s">
        <v>14</v>
      </c>
      <c r="AS4" s="13" t="s">
        <v>13</v>
      </c>
      <c r="AT4" s="14" t="s">
        <v>14</v>
      </c>
      <c r="AU4" s="197"/>
      <c r="AV4" s="209"/>
      <c r="AW4" s="5"/>
      <c r="AX4" s="91" t="s">
        <v>15</v>
      </c>
      <c r="AY4" s="89" t="s">
        <v>16</v>
      </c>
      <c r="AZ4" s="89" t="s">
        <v>17</v>
      </c>
      <c r="BA4" s="86" t="s">
        <v>18</v>
      </c>
      <c r="BB4" s="89" t="s">
        <v>19</v>
      </c>
      <c r="BC4" s="89" t="s">
        <v>20</v>
      </c>
      <c r="BD4" s="74" t="s">
        <v>174</v>
      </c>
      <c r="BE4" s="6" t="s">
        <v>22</v>
      </c>
      <c r="BF4" s="76" t="s">
        <v>23</v>
      </c>
      <c r="BG4" s="76" t="s">
        <v>24</v>
      </c>
      <c r="BH4" s="76" t="s">
        <v>25</v>
      </c>
      <c r="BI4" s="7" t="s">
        <v>26</v>
      </c>
      <c r="BK4" s="51" t="s">
        <v>16</v>
      </c>
      <c r="BL4" s="52" t="s">
        <v>17</v>
      </c>
      <c r="BM4" s="52" t="s">
        <v>18</v>
      </c>
      <c r="BN4" s="52" t="s">
        <v>19</v>
      </c>
      <c r="BO4" s="52" t="s">
        <v>20</v>
      </c>
      <c r="BP4" s="52" t="s">
        <v>21</v>
      </c>
      <c r="BQ4" s="52" t="s">
        <v>22</v>
      </c>
      <c r="BR4" s="52" t="s">
        <v>23</v>
      </c>
      <c r="BS4" s="52" t="s">
        <v>24</v>
      </c>
      <c r="BT4" s="52" t="s">
        <v>25</v>
      </c>
      <c r="BU4" s="53" t="s">
        <v>195</v>
      </c>
    </row>
    <row r="5" spans="1:73" ht="21" customHeight="1" x14ac:dyDescent="0.25">
      <c r="A5" s="10">
        <v>19</v>
      </c>
      <c r="B5" s="11" t="s">
        <v>61</v>
      </c>
      <c r="C5" s="130" t="s">
        <v>241</v>
      </c>
      <c r="D5" s="85">
        <v>45936</v>
      </c>
      <c r="E5" s="65">
        <v>0.36944444444444446</v>
      </c>
      <c r="F5" s="65">
        <v>0.73611111111111116</v>
      </c>
      <c r="G5" s="65">
        <v>0.36736111111111108</v>
      </c>
      <c r="H5" s="65">
        <v>0.74444444444444446</v>
      </c>
      <c r="I5" s="98">
        <v>0.56180555555555556</v>
      </c>
      <c r="J5" s="99">
        <v>1</v>
      </c>
      <c r="K5" s="65">
        <v>0.37013888888888885</v>
      </c>
      <c r="L5" s="65">
        <v>0.73958333333333337</v>
      </c>
      <c r="M5" s="65">
        <v>0.37013888888888885</v>
      </c>
      <c r="N5" s="75">
        <v>0.74375000000000002</v>
      </c>
      <c r="O5" s="74">
        <v>0.37013888888888885</v>
      </c>
      <c r="P5" s="74">
        <v>0.7416666666666667</v>
      </c>
      <c r="Q5" s="74">
        <v>0.37222222222222223</v>
      </c>
      <c r="R5" s="74">
        <v>0.7319444444444444</v>
      </c>
      <c r="S5" s="74">
        <v>0.36944444444444446</v>
      </c>
      <c r="T5" s="74">
        <v>0.74305555555555547</v>
      </c>
      <c r="U5" s="74">
        <v>0.3611111111111111</v>
      </c>
      <c r="V5" s="74">
        <v>0.73958333333333337</v>
      </c>
      <c r="W5" s="92">
        <v>0.71388888888888891</v>
      </c>
      <c r="X5" s="93">
        <v>1</v>
      </c>
      <c r="Y5" s="74">
        <v>0.36249999999999999</v>
      </c>
      <c r="Z5" s="74">
        <v>0.73402777777777783</v>
      </c>
      <c r="AA5" s="74">
        <v>0.36041666666666666</v>
      </c>
      <c r="AB5" s="74">
        <v>0.73749999999999993</v>
      </c>
      <c r="AC5" s="74">
        <v>0.36249999999999999</v>
      </c>
      <c r="AD5" s="74">
        <v>0.73819444444444438</v>
      </c>
      <c r="AE5" s="74">
        <v>0.3576388888888889</v>
      </c>
      <c r="AF5" s="74">
        <v>0.73125000000000007</v>
      </c>
      <c r="AG5" s="74">
        <v>0.35902777777777778</v>
      </c>
      <c r="AH5" s="74">
        <v>0.73263888888888884</v>
      </c>
      <c r="AI5" s="114"/>
      <c r="AJ5" s="87">
        <v>18</v>
      </c>
      <c r="AK5" s="65">
        <v>0.36010416666666667</v>
      </c>
      <c r="AL5" s="65">
        <v>0.74049768518518511</v>
      </c>
      <c r="AM5" s="65">
        <v>0.57859953703703704</v>
      </c>
      <c r="AN5" s="65">
        <v>0.74074074074074081</v>
      </c>
      <c r="AO5" s="65">
        <v>0.36057870370370365</v>
      </c>
      <c r="AP5" s="65">
        <v>0.74074074074074081</v>
      </c>
      <c r="AQ5" s="98">
        <v>0.58969907407407407</v>
      </c>
      <c r="AR5" s="98">
        <v>0.73290509259259251</v>
      </c>
      <c r="AS5" s="65" t="s">
        <v>257</v>
      </c>
      <c r="AT5" s="65">
        <v>0.73590277777777768</v>
      </c>
      <c r="AU5" s="97">
        <f t="shared" ref="AU5" si="0">AW5+AX5+AZ5+BE5+BC5+BD5+BH5+AY5</f>
        <v>19.5</v>
      </c>
      <c r="AV5" s="68">
        <v>3</v>
      </c>
      <c r="AW5" s="1">
        <f>COUNT(E5:AH5)/2+COUNT(AK5:AT5)/2</f>
        <v>19.5</v>
      </c>
      <c r="AX5" s="2">
        <f>COUNTIF(E5:AT5,"OFF")/2</f>
        <v>0</v>
      </c>
      <c r="AY5" s="2">
        <f>COUNTIF(E5:AT5,"MC")/2</f>
        <v>0</v>
      </c>
      <c r="AZ5" s="2">
        <f>COUNTIF(E5:AT5,"EL")/2</f>
        <v>0</v>
      </c>
      <c r="BA5" s="2">
        <f>COUNTIF(E5:AT5,"AL")/2</f>
        <v>0</v>
      </c>
      <c r="BB5" s="2">
        <f>COUNTIF(E5:AT5,"SUS")/2</f>
        <v>0</v>
      </c>
      <c r="BC5" s="2">
        <f>COUNTIF(E5:AT5,"FL")/2</f>
        <v>0</v>
      </c>
      <c r="BD5" s="2">
        <f>COUNTIF(E5:AT5,"SICK")/2</f>
        <v>0</v>
      </c>
      <c r="BE5" s="2">
        <f>COUNTIF(E5:AT5,"HD")/2</f>
        <v>0</v>
      </c>
      <c r="BF5" s="2">
        <f>COUNTIF(E5:AT5,"AB")/2</f>
        <v>0</v>
      </c>
      <c r="BG5" s="2">
        <f>COUNTIF(E5:AT5,"NL")/2</f>
        <v>0</v>
      </c>
      <c r="BH5" s="2">
        <f>COUNTIF(E5:AT5,"SP")/2</f>
        <v>0</v>
      </c>
      <c r="BI5" s="71"/>
      <c r="BK5" s="54">
        <v>0</v>
      </c>
      <c r="BL5" s="54">
        <v>0</v>
      </c>
      <c r="BM5" s="54">
        <v>0</v>
      </c>
      <c r="BN5" s="54">
        <v>0</v>
      </c>
      <c r="BO5" s="54">
        <v>2</v>
      </c>
      <c r="BP5" s="54">
        <v>0.5</v>
      </c>
      <c r="BQ5" s="54">
        <v>0</v>
      </c>
      <c r="BR5" s="54">
        <v>0</v>
      </c>
      <c r="BS5" s="54">
        <v>0</v>
      </c>
      <c r="BT5" s="54">
        <v>0</v>
      </c>
      <c r="BU5" s="56">
        <f t="shared" ref="BU5" si="1">SUM(BK5:BT5)</f>
        <v>2.5</v>
      </c>
    </row>
    <row r="6" spans="1:73" x14ac:dyDescent="0.25">
      <c r="AW6" s="103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</row>
    <row r="8" spans="1:73" ht="18.75" x14ac:dyDescent="0.25">
      <c r="E8" s="216" t="s">
        <v>250</v>
      </c>
      <c r="F8" s="216"/>
      <c r="G8" s="216"/>
      <c r="H8" s="216"/>
      <c r="I8" s="216"/>
      <c r="J8" s="216"/>
      <c r="K8" s="216"/>
      <c r="L8" s="216"/>
      <c r="M8" s="216"/>
      <c r="N8" s="216"/>
      <c r="O8" s="216"/>
      <c r="P8" s="216"/>
      <c r="Q8" s="216"/>
      <c r="R8" s="216"/>
      <c r="S8" s="216"/>
      <c r="T8" s="216"/>
      <c r="U8" s="216"/>
      <c r="V8" s="216"/>
      <c r="W8" s="216"/>
      <c r="X8" s="216"/>
      <c r="Y8" s="216"/>
      <c r="Z8" s="216"/>
      <c r="AA8" s="216"/>
      <c r="AB8" s="216"/>
      <c r="AC8" s="216"/>
      <c r="AD8" s="216"/>
    </row>
    <row r="9" spans="1:73" x14ac:dyDescent="0.25">
      <c r="E9" s="217"/>
      <c r="F9" s="190" t="s">
        <v>2</v>
      </c>
      <c r="G9" s="191"/>
      <c r="H9" s="190" t="s">
        <v>3</v>
      </c>
      <c r="I9" s="191"/>
      <c r="J9" s="190" t="s">
        <v>4</v>
      </c>
      <c r="K9" s="191"/>
      <c r="L9" s="190" t="s">
        <v>5</v>
      </c>
      <c r="M9" s="191"/>
      <c r="N9" s="190" t="s">
        <v>6</v>
      </c>
      <c r="O9" s="191"/>
      <c r="P9" s="195" t="s">
        <v>8</v>
      </c>
      <c r="Q9" s="207" t="s">
        <v>9</v>
      </c>
      <c r="R9" s="219"/>
      <c r="S9" s="220"/>
      <c r="T9" s="220"/>
      <c r="U9" s="220"/>
      <c r="V9" s="220"/>
      <c r="W9" s="220"/>
      <c r="X9" s="220"/>
      <c r="Y9" s="220"/>
      <c r="Z9" s="220"/>
      <c r="AA9" s="220"/>
      <c r="AB9" s="220"/>
      <c r="AC9" s="220"/>
      <c r="AD9" s="221"/>
    </row>
    <row r="10" spans="1:73" x14ac:dyDescent="0.25">
      <c r="E10" s="217"/>
      <c r="F10" s="188">
        <v>46219</v>
      </c>
      <c r="G10" s="189"/>
      <c r="H10" s="188">
        <v>46220</v>
      </c>
      <c r="I10" s="189"/>
      <c r="J10" s="188">
        <v>46221</v>
      </c>
      <c r="K10" s="189"/>
      <c r="L10" s="188">
        <v>46222</v>
      </c>
      <c r="M10" s="189"/>
      <c r="N10" s="188">
        <v>46223</v>
      </c>
      <c r="O10" s="189"/>
      <c r="P10" s="196"/>
      <c r="Q10" s="208"/>
      <c r="R10" s="1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3"/>
    </row>
    <row r="11" spans="1:73" ht="28.5" x14ac:dyDescent="0.25">
      <c r="E11" s="217"/>
      <c r="F11" s="13" t="s">
        <v>13</v>
      </c>
      <c r="G11" s="14" t="s">
        <v>14</v>
      </c>
      <c r="H11" s="13" t="s">
        <v>13</v>
      </c>
      <c r="I11" s="14" t="s">
        <v>14</v>
      </c>
      <c r="J11" s="13" t="s">
        <v>13</v>
      </c>
      <c r="K11" s="14" t="s">
        <v>14</v>
      </c>
      <c r="L11" s="13" t="s">
        <v>13</v>
      </c>
      <c r="M11" s="14" t="s">
        <v>14</v>
      </c>
      <c r="N11" s="13" t="s">
        <v>13</v>
      </c>
      <c r="O11" s="14" t="s">
        <v>14</v>
      </c>
      <c r="P11" s="197"/>
      <c r="Q11" s="209"/>
      <c r="R11" s="5"/>
      <c r="S11" s="91" t="s">
        <v>15</v>
      </c>
      <c r="T11" s="89" t="s">
        <v>16</v>
      </c>
      <c r="U11" s="89" t="s">
        <v>17</v>
      </c>
      <c r="V11" s="86" t="s">
        <v>18</v>
      </c>
      <c r="W11" s="89" t="s">
        <v>19</v>
      </c>
      <c r="X11" s="89" t="s">
        <v>20</v>
      </c>
      <c r="Y11" s="74" t="s">
        <v>174</v>
      </c>
      <c r="Z11" s="6" t="s">
        <v>22</v>
      </c>
      <c r="AA11" s="76" t="s">
        <v>23</v>
      </c>
      <c r="AB11" s="76" t="s">
        <v>24</v>
      </c>
      <c r="AC11" s="76" t="s">
        <v>25</v>
      </c>
      <c r="AD11" s="7" t="s">
        <v>26</v>
      </c>
    </row>
    <row r="12" spans="1:73" x14ac:dyDescent="0.25">
      <c r="E12" s="87">
        <v>18</v>
      </c>
      <c r="F12" s="65">
        <v>0.36010416666666667</v>
      </c>
      <c r="G12" s="65">
        <v>0.74049768518518511</v>
      </c>
      <c r="H12" s="65">
        <v>0.57859953703703704</v>
      </c>
      <c r="I12" s="65">
        <v>0.74074074074074081</v>
      </c>
      <c r="J12" s="65">
        <v>0.36057870370370365</v>
      </c>
      <c r="K12" s="65">
        <v>0.74074074074074081</v>
      </c>
      <c r="L12" s="98">
        <v>0.58969907407407407</v>
      </c>
      <c r="M12" s="98">
        <v>0.73290509259259251</v>
      </c>
      <c r="N12" s="65" t="s">
        <v>257</v>
      </c>
      <c r="O12" s="65">
        <v>0.73590277777777768</v>
      </c>
      <c r="P12" s="97">
        <v>20</v>
      </c>
      <c r="Q12" s="68">
        <v>3</v>
      </c>
      <c r="R12" s="1">
        <f>COUNT(#REF!)/2+COUNT(F12:O12)/2</f>
        <v>4.5</v>
      </c>
      <c r="S12" s="2" t="e">
        <f>COUNTIF(#REF!,"OFF")/2</f>
        <v>#REF!</v>
      </c>
      <c r="T12" s="2" t="e">
        <f>COUNTIF(#REF!,"MC")/2</f>
        <v>#REF!</v>
      </c>
      <c r="U12" s="2" t="e">
        <f>COUNTIF(#REF!,"EL")/2</f>
        <v>#REF!</v>
      </c>
      <c r="V12" s="2" t="e">
        <f>COUNTIF(#REF!,"AL")/2</f>
        <v>#REF!</v>
      </c>
      <c r="W12" s="2" t="e">
        <f>COUNTIF(#REF!,"SUS")/2</f>
        <v>#REF!</v>
      </c>
      <c r="X12" s="2" t="e">
        <f>COUNTIF(#REF!,"FL")/2</f>
        <v>#REF!</v>
      </c>
      <c r="Y12" s="2" t="e">
        <f>COUNTIF(#REF!,"SICK")/2</f>
        <v>#REF!</v>
      </c>
      <c r="Z12" s="2" t="e">
        <f>COUNTIF(#REF!,"HD")/2</f>
        <v>#REF!</v>
      </c>
      <c r="AA12" s="2" t="e">
        <f>COUNTIF(#REF!,"AB")/2</f>
        <v>#REF!</v>
      </c>
      <c r="AB12" s="2" t="e">
        <f>COUNTIF(#REF!,"NL")/2</f>
        <v>#REF!</v>
      </c>
      <c r="AC12" s="2" t="e">
        <f>COUNTIF(#REF!,"SP")/2</f>
        <v>#REF!</v>
      </c>
      <c r="AD12" s="71"/>
    </row>
    <row r="15" spans="1:73" x14ac:dyDescent="0.25">
      <c r="C15" t="s">
        <v>254</v>
      </c>
      <c r="E15" t="s">
        <v>255</v>
      </c>
      <c r="F15" t="s">
        <v>256</v>
      </c>
    </row>
    <row r="20" spans="1:73" ht="15.75" x14ac:dyDescent="0.25">
      <c r="E20" s="16"/>
      <c r="F20" s="17" t="s">
        <v>62</v>
      </c>
      <c r="G20" s="18"/>
      <c r="H20" s="17"/>
      <c r="I20" s="19"/>
      <c r="L20" s="19"/>
      <c r="M20" s="20"/>
      <c r="N20" s="21"/>
      <c r="O20" s="21"/>
      <c r="P20" s="22" t="s">
        <v>63</v>
      </c>
      <c r="Q20" s="22"/>
      <c r="R20" s="20"/>
      <c r="S20" s="20"/>
      <c r="T20" s="20"/>
      <c r="U20" s="20"/>
      <c r="V20" s="20" t="s">
        <v>64</v>
      </c>
      <c r="W20" s="20"/>
      <c r="X20" s="20"/>
      <c r="Y20" s="20"/>
      <c r="Z20" s="22" t="s">
        <v>65</v>
      </c>
      <c r="AA20" s="20"/>
      <c r="AV20" s="35" t="s">
        <v>74</v>
      </c>
      <c r="AW20" s="36"/>
      <c r="AX20" s="36"/>
      <c r="AY20" s="37" t="s">
        <v>17</v>
      </c>
      <c r="AZ20" s="38"/>
      <c r="BA20" s="43" t="s">
        <v>75</v>
      </c>
      <c r="BB20" s="44"/>
      <c r="BC20" s="44"/>
      <c r="BD20" s="41"/>
      <c r="BE20" s="42" t="s">
        <v>23</v>
      </c>
    </row>
    <row r="21" spans="1:73" ht="23.25" customHeight="1" x14ac:dyDescent="0.25">
      <c r="E21" s="23"/>
      <c r="F21" s="19"/>
      <c r="G21" s="19"/>
      <c r="H21" s="19"/>
      <c r="I21" s="19"/>
      <c r="L21" s="19"/>
      <c r="M21" s="19"/>
      <c r="N21" s="24"/>
      <c r="O21" s="24"/>
      <c r="P21" s="24"/>
      <c r="Q21" s="19"/>
      <c r="R21" s="19"/>
      <c r="S21" s="19"/>
      <c r="T21" s="25"/>
      <c r="U21" s="25"/>
      <c r="V21" s="25"/>
      <c r="W21" s="25"/>
      <c r="X21" s="25"/>
      <c r="Y21" s="25"/>
      <c r="Z21" s="26"/>
      <c r="AA21" s="26"/>
      <c r="AV21" s="35" t="s">
        <v>76</v>
      </c>
      <c r="AW21" s="36"/>
      <c r="AX21" s="36"/>
      <c r="AY21" s="37" t="s">
        <v>18</v>
      </c>
      <c r="AZ21" s="38"/>
      <c r="BA21" s="39" t="s">
        <v>77</v>
      </c>
      <c r="BB21" s="40"/>
      <c r="BC21" s="40"/>
      <c r="BD21" s="41"/>
      <c r="BE21" s="42" t="s">
        <v>24</v>
      </c>
    </row>
    <row r="22" spans="1:73" ht="17.25" x14ac:dyDescent="0.25">
      <c r="E22" s="23"/>
      <c r="F22" s="27"/>
      <c r="G22" s="19"/>
      <c r="H22" s="27"/>
      <c r="I22" s="19"/>
      <c r="L22" s="19"/>
      <c r="M22" s="27" t="s">
        <v>64</v>
      </c>
      <c r="N22" s="28"/>
      <c r="O22" s="28"/>
      <c r="P22" s="24"/>
      <c r="Q22" s="19"/>
      <c r="R22" s="27"/>
      <c r="S22" s="27"/>
      <c r="T22" s="20"/>
      <c r="U22" s="19"/>
      <c r="V22" s="19"/>
      <c r="W22" s="19"/>
      <c r="X22" s="19"/>
      <c r="Y22" s="19"/>
      <c r="Z22" s="29"/>
      <c r="AA22" s="29"/>
      <c r="AV22" s="35" t="s">
        <v>78</v>
      </c>
      <c r="AW22" s="36"/>
      <c r="AX22" s="36"/>
      <c r="AY22" s="37" t="s">
        <v>19</v>
      </c>
      <c r="AZ22" s="38"/>
      <c r="BA22" s="39" t="s">
        <v>79</v>
      </c>
      <c r="BB22" s="40"/>
      <c r="BC22" s="40"/>
      <c r="BD22" s="41"/>
      <c r="BE22" s="42" t="s">
        <v>25</v>
      </c>
    </row>
    <row r="23" spans="1:73" ht="17.25" x14ac:dyDescent="0.25">
      <c r="E23" s="30"/>
      <c r="F23" s="27"/>
      <c r="G23" s="19"/>
      <c r="H23" s="27"/>
      <c r="I23" s="19"/>
      <c r="L23" s="19"/>
      <c r="M23" s="27"/>
      <c r="N23" s="28"/>
      <c r="O23" s="28"/>
      <c r="P23" s="24"/>
      <c r="Q23" s="20"/>
      <c r="R23" s="27"/>
      <c r="S23" s="27"/>
      <c r="T23" s="20"/>
      <c r="U23" s="19"/>
      <c r="V23" s="19"/>
      <c r="W23" s="19"/>
      <c r="X23" s="19"/>
      <c r="Y23" s="19"/>
      <c r="Z23" s="29"/>
      <c r="AA23" s="29"/>
      <c r="AV23" s="35" t="s">
        <v>80</v>
      </c>
      <c r="AW23" s="36"/>
      <c r="AX23" s="36"/>
      <c r="AY23" s="37" t="s">
        <v>20</v>
      </c>
      <c r="AZ23" s="38"/>
      <c r="BA23" s="38"/>
      <c r="BB23" s="38"/>
      <c r="BC23" s="38"/>
      <c r="BD23" s="38"/>
      <c r="BE23" s="38"/>
    </row>
    <row r="24" spans="1:73" ht="17.25" x14ac:dyDescent="0.25">
      <c r="E24" s="31"/>
      <c r="F24" s="32"/>
      <c r="G24" s="16"/>
      <c r="H24" s="31"/>
      <c r="I24" s="19"/>
      <c r="L24" s="19"/>
      <c r="M24" s="27"/>
      <c r="N24" s="24"/>
      <c r="O24" s="28"/>
      <c r="P24" s="18" t="s">
        <v>67</v>
      </c>
      <c r="Q24" s="19"/>
      <c r="R24" s="27"/>
      <c r="S24" s="20"/>
      <c r="T24" s="19"/>
      <c r="U24" s="19"/>
      <c r="V24" s="19"/>
      <c r="W24" s="19"/>
      <c r="X24" s="19"/>
      <c r="Y24" s="19"/>
      <c r="Z24" s="18" t="s">
        <v>68</v>
      </c>
      <c r="AA24" s="29"/>
    </row>
    <row r="25" spans="1:73" ht="17.25" x14ac:dyDescent="0.25">
      <c r="E25" s="31"/>
      <c r="F25" s="31" t="s">
        <v>69</v>
      </c>
      <c r="G25" s="30"/>
      <c r="H25" s="30"/>
      <c r="I25" s="19"/>
      <c r="L25" s="19"/>
      <c r="M25" s="18"/>
      <c r="N25" s="33"/>
      <c r="O25" s="33"/>
      <c r="P25" s="18" t="s">
        <v>70</v>
      </c>
      <c r="Q25" s="18"/>
      <c r="R25" s="18"/>
      <c r="S25" s="20"/>
      <c r="T25" s="18"/>
      <c r="U25" s="19"/>
      <c r="V25" s="19"/>
      <c r="W25" s="19"/>
      <c r="X25" s="19"/>
      <c r="Y25" s="19"/>
      <c r="Z25" s="18" t="s">
        <v>71</v>
      </c>
      <c r="AA25" s="29"/>
    </row>
    <row r="26" spans="1:73" ht="15.75" x14ac:dyDescent="0.25"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34"/>
      <c r="Y26" s="34"/>
    </row>
    <row r="27" spans="1:73" ht="25.5" customHeight="1" x14ac:dyDescent="0.25">
      <c r="A27" s="198" t="s">
        <v>251</v>
      </c>
      <c r="B27" s="199"/>
      <c r="C27" s="199"/>
      <c r="D27" s="199"/>
      <c r="E27" s="199"/>
      <c r="F27" s="199"/>
      <c r="G27" s="199"/>
      <c r="H27" s="199"/>
      <c r="I27" s="199"/>
      <c r="J27" s="199"/>
      <c r="K27" s="199"/>
      <c r="L27" s="199"/>
      <c r="M27" s="199"/>
      <c r="N27" s="199"/>
      <c r="O27" s="199"/>
      <c r="P27" s="199"/>
      <c r="Q27" s="199"/>
      <c r="R27" s="199"/>
      <c r="S27" s="199"/>
      <c r="T27" s="199"/>
      <c r="U27" s="199"/>
      <c r="V27" s="199"/>
      <c r="W27" s="199"/>
      <c r="X27" s="199"/>
      <c r="Y27" s="199"/>
      <c r="Z27" s="199"/>
      <c r="AA27" s="199"/>
      <c r="AB27" s="199"/>
      <c r="AC27" s="199"/>
      <c r="AD27" s="199"/>
      <c r="AE27" s="199"/>
      <c r="AF27" s="199"/>
      <c r="AG27" s="199"/>
      <c r="AH27" s="200"/>
      <c r="AI27" s="110"/>
      <c r="AJ27" s="216" t="s">
        <v>251</v>
      </c>
      <c r="AK27" s="216"/>
      <c r="AL27" s="216"/>
      <c r="AM27" s="216"/>
      <c r="AN27" s="216"/>
      <c r="AO27" s="216"/>
      <c r="AP27" s="216"/>
      <c r="AQ27" s="216"/>
      <c r="AR27" s="216"/>
      <c r="AS27" s="216"/>
      <c r="AT27" s="216"/>
      <c r="AU27" s="216"/>
      <c r="AV27" s="216"/>
      <c r="AW27" s="216"/>
      <c r="AX27" s="216"/>
      <c r="AY27" s="216"/>
      <c r="AZ27" s="216"/>
      <c r="BA27" s="216"/>
      <c r="BB27" s="216"/>
      <c r="BC27" s="216"/>
      <c r="BD27" s="216"/>
      <c r="BE27" s="216"/>
      <c r="BF27" s="216"/>
      <c r="BG27" s="216"/>
      <c r="BH27" s="216"/>
      <c r="BI27" s="216"/>
    </row>
    <row r="28" spans="1:73" ht="22.5" customHeight="1" x14ac:dyDescent="0.25">
      <c r="A28" s="210" t="s">
        <v>173</v>
      </c>
      <c r="B28" s="211"/>
      <c r="C28" s="212"/>
      <c r="D28" s="84"/>
      <c r="E28" s="190" t="s">
        <v>1</v>
      </c>
      <c r="F28" s="190"/>
      <c r="G28" s="190" t="s">
        <v>2</v>
      </c>
      <c r="H28" s="190"/>
      <c r="I28" s="190" t="s">
        <v>3</v>
      </c>
      <c r="J28" s="190"/>
      <c r="K28" s="190" t="s">
        <v>4</v>
      </c>
      <c r="L28" s="190"/>
      <c r="M28" s="190" t="s">
        <v>5</v>
      </c>
      <c r="N28" s="190"/>
      <c r="O28" s="190" t="s">
        <v>6</v>
      </c>
      <c r="P28" s="190"/>
      <c r="Q28" s="190" t="s">
        <v>7</v>
      </c>
      <c r="R28" s="190"/>
      <c r="S28" s="190" t="s">
        <v>1</v>
      </c>
      <c r="T28" s="190"/>
      <c r="U28" s="190" t="s">
        <v>2</v>
      </c>
      <c r="V28" s="190"/>
      <c r="W28" s="190" t="s">
        <v>3</v>
      </c>
      <c r="X28" s="190"/>
      <c r="Y28" s="190" t="s">
        <v>4</v>
      </c>
      <c r="Z28" s="190"/>
      <c r="AA28" s="190" t="s">
        <v>5</v>
      </c>
      <c r="AB28" s="190"/>
      <c r="AC28" s="190" t="s">
        <v>6</v>
      </c>
      <c r="AD28" s="190"/>
      <c r="AE28" s="190" t="s">
        <v>7</v>
      </c>
      <c r="AF28" s="190"/>
      <c r="AG28" s="190" t="s">
        <v>1</v>
      </c>
      <c r="AH28" s="190"/>
      <c r="AI28" s="111"/>
      <c r="AJ28" s="133"/>
      <c r="AK28" s="190" t="s">
        <v>2</v>
      </c>
      <c r="AL28" s="191"/>
      <c r="AM28" s="190" t="s">
        <v>3</v>
      </c>
      <c r="AN28" s="191"/>
      <c r="AO28" s="190" t="s">
        <v>4</v>
      </c>
      <c r="AP28" s="191"/>
      <c r="AQ28" s="190" t="s">
        <v>5</v>
      </c>
      <c r="AR28" s="191"/>
      <c r="AS28" s="190" t="s">
        <v>6</v>
      </c>
      <c r="AT28" s="191"/>
      <c r="AU28" s="197" t="s">
        <v>8</v>
      </c>
      <c r="AV28" s="192" t="s">
        <v>9</v>
      </c>
      <c r="AW28" s="203"/>
      <c r="AX28" s="204"/>
      <c r="AY28" s="204"/>
      <c r="AZ28" s="204"/>
      <c r="BA28" s="204"/>
      <c r="BB28" s="204"/>
      <c r="BC28" s="204"/>
      <c r="BD28" s="204"/>
      <c r="BE28" s="204"/>
      <c r="BF28" s="204"/>
      <c r="BG28" s="204"/>
      <c r="BH28" s="204"/>
      <c r="BI28" s="205"/>
      <c r="BK28" s="202" t="s">
        <v>194</v>
      </c>
      <c r="BL28" s="202"/>
      <c r="BM28" s="202"/>
      <c r="BN28" s="202"/>
      <c r="BO28" s="202"/>
      <c r="BP28" s="202"/>
      <c r="BQ28" s="202"/>
      <c r="BR28" s="202"/>
      <c r="BS28" s="202"/>
      <c r="BT28" s="202"/>
      <c r="BU28" s="47"/>
    </row>
    <row r="29" spans="1:73" ht="22.5" customHeight="1" x14ac:dyDescent="0.25">
      <c r="A29" s="213"/>
      <c r="B29" s="214"/>
      <c r="C29" s="215"/>
      <c r="D29" s="84"/>
      <c r="E29" s="188">
        <v>46204</v>
      </c>
      <c r="F29" s="188"/>
      <c r="G29" s="188">
        <v>46205</v>
      </c>
      <c r="H29" s="188"/>
      <c r="I29" s="188">
        <v>46206</v>
      </c>
      <c r="J29" s="188"/>
      <c r="K29" s="188">
        <v>46207</v>
      </c>
      <c r="L29" s="188"/>
      <c r="M29" s="188">
        <v>46208</v>
      </c>
      <c r="N29" s="188"/>
      <c r="O29" s="188">
        <v>46209</v>
      </c>
      <c r="P29" s="188"/>
      <c r="Q29" s="188">
        <v>46210</v>
      </c>
      <c r="R29" s="188"/>
      <c r="S29" s="188">
        <v>46211</v>
      </c>
      <c r="T29" s="188"/>
      <c r="U29" s="188">
        <v>46212</v>
      </c>
      <c r="V29" s="188"/>
      <c r="W29" s="188">
        <v>46213</v>
      </c>
      <c r="X29" s="188"/>
      <c r="Y29" s="188">
        <v>46214</v>
      </c>
      <c r="Z29" s="188"/>
      <c r="AA29" s="188">
        <v>46215</v>
      </c>
      <c r="AB29" s="188"/>
      <c r="AC29" s="188">
        <v>46216</v>
      </c>
      <c r="AD29" s="188"/>
      <c r="AE29" s="188">
        <v>46217</v>
      </c>
      <c r="AF29" s="188"/>
      <c r="AG29" s="188">
        <v>46218</v>
      </c>
      <c r="AH29" s="188"/>
      <c r="AI29" s="112"/>
      <c r="AJ29" s="102"/>
      <c r="AK29" s="188">
        <v>46219</v>
      </c>
      <c r="AL29" s="189"/>
      <c r="AM29" s="188">
        <v>46220</v>
      </c>
      <c r="AN29" s="189"/>
      <c r="AO29" s="188">
        <v>46221</v>
      </c>
      <c r="AP29" s="189"/>
      <c r="AQ29" s="188">
        <v>46222</v>
      </c>
      <c r="AR29" s="189"/>
      <c r="AS29" s="188">
        <v>46223</v>
      </c>
      <c r="AT29" s="189"/>
      <c r="AU29" s="206"/>
      <c r="AV29" s="193"/>
      <c r="AW29" s="62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4"/>
      <c r="BK29" s="57" t="s">
        <v>249</v>
      </c>
      <c r="BL29" s="57"/>
      <c r="BM29" s="57"/>
      <c r="BN29" s="57"/>
      <c r="BO29" s="57"/>
      <c r="BP29" s="57"/>
      <c r="BQ29" s="57"/>
      <c r="BR29" s="57"/>
      <c r="BS29" s="57"/>
      <c r="BT29" s="57"/>
      <c r="BU29" s="47"/>
    </row>
    <row r="30" spans="1:73" ht="20.25" customHeight="1" x14ac:dyDescent="0.25">
      <c r="A30" s="4" t="s">
        <v>10</v>
      </c>
      <c r="B30" s="4" t="s">
        <v>11</v>
      </c>
      <c r="C30" s="4" t="s">
        <v>12</v>
      </c>
      <c r="D30" s="13"/>
      <c r="E30" s="13" t="s">
        <v>13</v>
      </c>
      <c r="F30" s="13" t="s">
        <v>14</v>
      </c>
      <c r="G30" s="13" t="s">
        <v>13</v>
      </c>
      <c r="H30" s="13" t="s">
        <v>14</v>
      </c>
      <c r="I30" s="13" t="s">
        <v>13</v>
      </c>
      <c r="J30" s="13" t="s">
        <v>14</v>
      </c>
      <c r="K30" s="13" t="s">
        <v>13</v>
      </c>
      <c r="L30" s="13" t="s">
        <v>14</v>
      </c>
      <c r="M30" s="13" t="s">
        <v>13</v>
      </c>
      <c r="N30" s="13" t="s">
        <v>14</v>
      </c>
      <c r="O30" s="13" t="s">
        <v>13</v>
      </c>
      <c r="P30" s="13" t="s">
        <v>14</v>
      </c>
      <c r="Q30" s="13" t="s">
        <v>13</v>
      </c>
      <c r="R30" s="13" t="s">
        <v>14</v>
      </c>
      <c r="S30" s="13" t="s">
        <v>13</v>
      </c>
      <c r="T30" s="13" t="s">
        <v>14</v>
      </c>
      <c r="U30" s="13" t="s">
        <v>13</v>
      </c>
      <c r="V30" s="13" t="s">
        <v>14</v>
      </c>
      <c r="W30" s="13" t="s">
        <v>13</v>
      </c>
      <c r="X30" s="13" t="s">
        <v>14</v>
      </c>
      <c r="Y30" s="4" t="s">
        <v>13</v>
      </c>
      <c r="Z30" s="4" t="s">
        <v>14</v>
      </c>
      <c r="AA30" s="4" t="s">
        <v>13</v>
      </c>
      <c r="AB30" s="4" t="s">
        <v>14</v>
      </c>
      <c r="AC30" s="4" t="s">
        <v>13</v>
      </c>
      <c r="AD30" s="4" t="s">
        <v>14</v>
      </c>
      <c r="AE30" s="4" t="s">
        <v>13</v>
      </c>
      <c r="AF30" s="4" t="s">
        <v>14</v>
      </c>
      <c r="AG30" s="4" t="s">
        <v>13</v>
      </c>
      <c r="AH30" s="4" t="s">
        <v>14</v>
      </c>
      <c r="AI30" s="113"/>
      <c r="AJ30" s="4"/>
      <c r="AK30" s="4" t="s">
        <v>13</v>
      </c>
      <c r="AL30" s="4" t="s">
        <v>14</v>
      </c>
      <c r="AM30" s="4" t="s">
        <v>13</v>
      </c>
      <c r="AN30" s="4" t="s">
        <v>14</v>
      </c>
      <c r="AO30" s="4" t="s">
        <v>13</v>
      </c>
      <c r="AP30" s="4" t="s">
        <v>14</v>
      </c>
      <c r="AQ30" s="4" t="s">
        <v>13</v>
      </c>
      <c r="AR30" s="4" t="s">
        <v>14</v>
      </c>
      <c r="AS30" s="4" t="s">
        <v>13</v>
      </c>
      <c r="AT30" s="4" t="s">
        <v>14</v>
      </c>
      <c r="AU30" s="206"/>
      <c r="AV30" s="194"/>
      <c r="AW30" s="59"/>
      <c r="AX30" s="91" t="s">
        <v>15</v>
      </c>
      <c r="AY30" s="89" t="s">
        <v>16</v>
      </c>
      <c r="AZ30" s="89" t="s">
        <v>17</v>
      </c>
      <c r="BA30" s="86" t="s">
        <v>18</v>
      </c>
      <c r="BB30" s="89" t="s">
        <v>19</v>
      </c>
      <c r="BC30" s="89" t="s">
        <v>20</v>
      </c>
      <c r="BD30" s="74" t="s">
        <v>174</v>
      </c>
      <c r="BE30" s="60" t="s">
        <v>22</v>
      </c>
      <c r="BF30" s="76" t="s">
        <v>23</v>
      </c>
      <c r="BG30" s="76" t="s">
        <v>24</v>
      </c>
      <c r="BH30" s="76" t="s">
        <v>25</v>
      </c>
      <c r="BI30" s="61" t="s">
        <v>26</v>
      </c>
      <c r="BK30" s="51" t="s">
        <v>16</v>
      </c>
      <c r="BL30" s="52" t="s">
        <v>17</v>
      </c>
      <c r="BM30" s="52" t="s">
        <v>18</v>
      </c>
      <c r="BN30" s="52" t="s">
        <v>19</v>
      </c>
      <c r="BO30" s="52" t="s">
        <v>20</v>
      </c>
      <c r="BP30" s="52" t="s">
        <v>21</v>
      </c>
      <c r="BQ30" s="52" t="s">
        <v>22</v>
      </c>
      <c r="BR30" s="52" t="s">
        <v>23</v>
      </c>
      <c r="BS30" s="52" t="s">
        <v>24</v>
      </c>
      <c r="BT30" s="52" t="s">
        <v>25</v>
      </c>
      <c r="BU30" s="53" t="s">
        <v>195</v>
      </c>
    </row>
    <row r="31" spans="1:73" ht="21.75" customHeight="1" x14ac:dyDescent="0.25">
      <c r="A31" s="45">
        <v>26</v>
      </c>
      <c r="B31" s="11" t="s">
        <v>81</v>
      </c>
      <c r="C31" s="77" t="s">
        <v>82</v>
      </c>
      <c r="D31" s="85">
        <v>41196</v>
      </c>
      <c r="E31" s="65">
        <v>0.3527777777777778</v>
      </c>
      <c r="F31" s="65">
        <v>0.97499999999999998</v>
      </c>
      <c r="G31" s="65">
        <v>0.35486111111111113</v>
      </c>
      <c r="H31" s="65">
        <v>0.99305555555555547</v>
      </c>
      <c r="I31" s="91" t="s">
        <v>15</v>
      </c>
      <c r="J31" s="91" t="s">
        <v>15</v>
      </c>
      <c r="K31" s="65">
        <v>0.35347222222222219</v>
      </c>
      <c r="L31" s="65">
        <v>0.95208333333333339</v>
      </c>
      <c r="M31" s="65">
        <v>0.35486111111111113</v>
      </c>
      <c r="N31" s="65">
        <v>0.95763888888888893</v>
      </c>
      <c r="O31" s="65">
        <v>0.35347222222222219</v>
      </c>
      <c r="P31" s="65">
        <v>0.96111111111111114</v>
      </c>
      <c r="Q31" s="65">
        <v>0.35416666666666669</v>
      </c>
      <c r="R31" s="65">
        <v>0.96805555555555556</v>
      </c>
      <c r="S31" s="65">
        <v>0.35416666666666669</v>
      </c>
      <c r="T31" s="65">
        <v>0.99375000000000002</v>
      </c>
      <c r="U31" s="65">
        <v>0.35555555555555557</v>
      </c>
      <c r="V31" s="65">
        <v>0.9819444444444444</v>
      </c>
      <c r="W31" s="98">
        <v>0.58194444444444449</v>
      </c>
      <c r="X31" s="98">
        <v>0.96527777777777779</v>
      </c>
      <c r="Y31" s="65">
        <v>0.3520833333333333</v>
      </c>
      <c r="Z31" s="65">
        <v>0.95277777777777783</v>
      </c>
      <c r="AA31" s="65">
        <v>0.34861111111111115</v>
      </c>
      <c r="AB31" s="65">
        <v>0.96458333333333324</v>
      </c>
      <c r="AC31" s="65">
        <v>0.3527777777777778</v>
      </c>
      <c r="AD31" s="65">
        <v>0.93611111111111101</v>
      </c>
      <c r="AE31" s="65">
        <v>0.35138888888888892</v>
      </c>
      <c r="AF31" s="65">
        <v>0.95624999999999993</v>
      </c>
      <c r="AG31" s="65">
        <v>0.3527777777777778</v>
      </c>
      <c r="AH31" s="65">
        <v>0.97499999999999998</v>
      </c>
      <c r="AI31" s="114"/>
      <c r="AJ31" s="45">
        <v>25</v>
      </c>
      <c r="AK31" s="65"/>
      <c r="AL31" s="65"/>
      <c r="AM31" s="65"/>
      <c r="AN31" s="65"/>
      <c r="AO31" s="65"/>
      <c r="AP31" s="65"/>
      <c r="AQ31" s="91"/>
      <c r="AR31" s="100"/>
      <c r="AS31" s="65"/>
      <c r="AT31" s="65"/>
      <c r="AU31" s="97">
        <f t="shared" ref="AU31:AU94" si="2">AW31+AX31+AZ31+BE31+BC31+BD31+BH31+AY31</f>
        <v>15</v>
      </c>
      <c r="AV31" s="68"/>
      <c r="AW31" s="1">
        <f t="shared" ref="AW31:AW61" si="3">COUNT(E31:AH31)/2+COUNT(AK31:AT31)/2</f>
        <v>14</v>
      </c>
      <c r="AX31" s="2">
        <f t="shared" ref="AX31:AX61" si="4">COUNTIF(E31:AT31,"OFF")/2</f>
        <v>1</v>
      </c>
      <c r="AY31" s="2">
        <f t="shared" ref="AY31:AY61" si="5">COUNTIF(E31:AT31,"MC")/2</f>
        <v>0</v>
      </c>
      <c r="AZ31" s="2">
        <f t="shared" ref="AZ31:AZ61" si="6">COUNTIF(E31:AT31,"EL")/2</f>
        <v>0</v>
      </c>
      <c r="BA31" s="2">
        <f t="shared" ref="BA31:BA61" si="7">COUNTIF(E31:AT31,"AL")/2</f>
        <v>0</v>
      </c>
      <c r="BB31" s="2">
        <f t="shared" ref="BB31:BB61" si="8">COUNTIF(E31:AT31,"SUS")/2</f>
        <v>0</v>
      </c>
      <c r="BC31" s="2">
        <f t="shared" ref="BC31:BC61" si="9">COUNTIF(E31:AT31,"FL")/2</f>
        <v>0</v>
      </c>
      <c r="BD31" s="2">
        <f t="shared" ref="BD31:BD61" si="10">COUNTIF(E31:AT31,"SICK")/2</f>
        <v>0</v>
      </c>
      <c r="BE31" s="2">
        <f t="shared" ref="BE31:BE61" si="11">COUNTIF(E31:AT31,"HD")/2</f>
        <v>0</v>
      </c>
      <c r="BF31" s="2">
        <f t="shared" ref="BF31:BF61" si="12">COUNTIF(E31:AT31,"AB")/2</f>
        <v>0</v>
      </c>
      <c r="BG31" s="2">
        <f t="shared" ref="BG31:BG61" si="13">COUNTIF(E31:AT31,"NL")/2</f>
        <v>0</v>
      </c>
      <c r="BH31" s="2">
        <f t="shared" ref="BH31:BH61" si="14">COUNTIF(E31:AT31,"SP")/2</f>
        <v>0</v>
      </c>
      <c r="BI31" s="3"/>
      <c r="BK31" s="122">
        <v>0</v>
      </c>
      <c r="BL31" s="123">
        <v>0</v>
      </c>
      <c r="BM31" s="123">
        <v>0</v>
      </c>
      <c r="BN31" s="123">
        <v>0</v>
      </c>
      <c r="BO31" s="123">
        <v>1</v>
      </c>
      <c r="BP31" s="123">
        <v>0</v>
      </c>
      <c r="BQ31" s="123">
        <v>0</v>
      </c>
      <c r="BR31" s="123">
        <v>0</v>
      </c>
      <c r="BS31" s="123">
        <v>0</v>
      </c>
      <c r="BT31" s="123">
        <v>0</v>
      </c>
      <c r="BU31" s="124">
        <f t="shared" ref="BU31:BU62" si="15">SUM(BK31:BT31)</f>
        <v>1</v>
      </c>
    </row>
    <row r="32" spans="1:73" ht="21.75" customHeight="1" x14ac:dyDescent="0.25">
      <c r="A32" s="45">
        <v>28</v>
      </c>
      <c r="B32" s="11" t="s">
        <v>85</v>
      </c>
      <c r="C32" s="77" t="s">
        <v>86</v>
      </c>
      <c r="D32" s="85">
        <v>43466</v>
      </c>
      <c r="E32" s="65">
        <v>0.35138888888888892</v>
      </c>
      <c r="F32" s="65">
        <v>0.94513888888888886</v>
      </c>
      <c r="G32" s="65">
        <v>0.35138888888888892</v>
      </c>
      <c r="H32" s="65">
        <v>0.96388888888888891</v>
      </c>
      <c r="I32" s="98">
        <v>0.57638888888888895</v>
      </c>
      <c r="J32" s="98">
        <v>0.9506944444444444</v>
      </c>
      <c r="K32" s="65">
        <v>0.35138888888888892</v>
      </c>
      <c r="L32" s="65">
        <v>0.96180555555555547</v>
      </c>
      <c r="M32" s="65">
        <v>0.35138888888888892</v>
      </c>
      <c r="N32" s="65">
        <v>0.94444444444444453</v>
      </c>
      <c r="O32" s="65">
        <v>0.35069444444444442</v>
      </c>
      <c r="P32" s="65">
        <v>0.94374999999999998</v>
      </c>
      <c r="Q32" s="65">
        <v>0.35138888888888892</v>
      </c>
      <c r="R32" s="65">
        <v>0.94097222222222221</v>
      </c>
      <c r="S32" s="65">
        <v>0.35138888888888892</v>
      </c>
      <c r="T32" s="65">
        <v>0.94652777777777775</v>
      </c>
      <c r="U32" s="65">
        <v>0.35138888888888892</v>
      </c>
      <c r="V32" s="65">
        <v>0.9770833333333333</v>
      </c>
      <c r="W32" s="91" t="s">
        <v>15</v>
      </c>
      <c r="X32" s="91" t="s">
        <v>15</v>
      </c>
      <c r="Y32" s="65">
        <v>0.35138888888888892</v>
      </c>
      <c r="Z32" s="65">
        <v>0.96111111111111114</v>
      </c>
      <c r="AA32" s="65">
        <v>0.34722222222222227</v>
      </c>
      <c r="AB32" s="65">
        <v>0.9458333333333333</v>
      </c>
      <c r="AC32" s="65">
        <v>0.35138888888888892</v>
      </c>
      <c r="AD32" s="65">
        <v>0.94305555555555554</v>
      </c>
      <c r="AE32" s="65">
        <v>0.35069444444444442</v>
      </c>
      <c r="AF32" s="65">
        <v>0.94513888888888886</v>
      </c>
      <c r="AG32" s="65">
        <v>0.35069444444444442</v>
      </c>
      <c r="AH32" s="65">
        <v>0.94652777777777775</v>
      </c>
      <c r="AI32" s="114"/>
      <c r="AJ32" s="45">
        <v>27</v>
      </c>
      <c r="AK32" s="65"/>
      <c r="AL32" s="65"/>
      <c r="AM32" s="65"/>
      <c r="AN32" s="65"/>
      <c r="AO32" s="65"/>
      <c r="AP32" s="65"/>
      <c r="AQ32" s="98"/>
      <c r="AR32" s="98"/>
      <c r="AS32" s="65"/>
      <c r="AT32" s="65"/>
      <c r="AU32" s="97">
        <f t="shared" si="2"/>
        <v>15</v>
      </c>
      <c r="AV32" s="68"/>
      <c r="AW32" s="1">
        <f t="shared" si="3"/>
        <v>14</v>
      </c>
      <c r="AX32" s="2">
        <f t="shared" si="4"/>
        <v>1</v>
      </c>
      <c r="AY32" s="2">
        <f t="shared" si="5"/>
        <v>0</v>
      </c>
      <c r="AZ32" s="2">
        <f t="shared" si="6"/>
        <v>0</v>
      </c>
      <c r="BA32" s="2">
        <f t="shared" si="7"/>
        <v>0</v>
      </c>
      <c r="BB32" s="2">
        <f t="shared" si="8"/>
        <v>0</v>
      </c>
      <c r="BC32" s="2">
        <f t="shared" si="9"/>
        <v>0</v>
      </c>
      <c r="BD32" s="2">
        <f t="shared" si="10"/>
        <v>0</v>
      </c>
      <c r="BE32" s="2">
        <f t="shared" si="11"/>
        <v>0</v>
      </c>
      <c r="BF32" s="2">
        <f t="shared" si="12"/>
        <v>0</v>
      </c>
      <c r="BG32" s="2">
        <f t="shared" si="13"/>
        <v>0</v>
      </c>
      <c r="BH32" s="2">
        <f t="shared" si="14"/>
        <v>0</v>
      </c>
      <c r="BI32" s="3"/>
      <c r="BK32" s="122">
        <v>0</v>
      </c>
      <c r="BL32" s="123">
        <v>0</v>
      </c>
      <c r="BM32" s="123">
        <v>13</v>
      </c>
      <c r="BN32" s="123">
        <v>0</v>
      </c>
      <c r="BO32" s="123">
        <v>0</v>
      </c>
      <c r="BP32" s="123">
        <v>0</v>
      </c>
      <c r="BQ32" s="123">
        <v>0</v>
      </c>
      <c r="BR32" s="123">
        <v>0</v>
      </c>
      <c r="BS32" s="123">
        <v>0</v>
      </c>
      <c r="BT32" s="123">
        <v>0</v>
      </c>
      <c r="BU32" s="125">
        <f t="shared" si="15"/>
        <v>13</v>
      </c>
    </row>
    <row r="33" spans="1:73" ht="21.75" customHeight="1" x14ac:dyDescent="0.25">
      <c r="A33" s="45">
        <v>29</v>
      </c>
      <c r="B33" s="11" t="s">
        <v>87</v>
      </c>
      <c r="C33" s="8" t="s">
        <v>88</v>
      </c>
      <c r="D33" s="77"/>
      <c r="E33" s="65">
        <v>0.35000000000000003</v>
      </c>
      <c r="F33" s="65">
        <v>0.9458333333333333</v>
      </c>
      <c r="G33" s="65">
        <v>0.34861111111111115</v>
      </c>
      <c r="H33" s="65">
        <v>0.96388888888888891</v>
      </c>
      <c r="I33" s="98">
        <v>0.58194444444444449</v>
      </c>
      <c r="J33" s="98">
        <v>0.93958333333333333</v>
      </c>
      <c r="K33" s="65">
        <v>0.34722222222222227</v>
      </c>
      <c r="L33" s="65">
        <v>0.95416666666666661</v>
      </c>
      <c r="M33" s="65">
        <v>0.34375</v>
      </c>
      <c r="N33" s="65">
        <v>0.95347222222222217</v>
      </c>
      <c r="O33" s="65">
        <v>0.35000000000000003</v>
      </c>
      <c r="P33" s="65">
        <v>0.9506944444444444</v>
      </c>
      <c r="Q33" s="65">
        <v>0.34861111111111115</v>
      </c>
      <c r="R33" s="65">
        <v>0.95486111111111116</v>
      </c>
      <c r="S33" s="65">
        <v>0.34722222222222227</v>
      </c>
      <c r="T33" s="65">
        <v>0.9770833333333333</v>
      </c>
      <c r="U33" s="65">
        <v>0.35138888888888892</v>
      </c>
      <c r="V33" s="65">
        <v>0.97499999999999998</v>
      </c>
      <c r="W33" s="91" t="s">
        <v>15</v>
      </c>
      <c r="X33" s="91" t="s">
        <v>15</v>
      </c>
      <c r="Y33" s="65">
        <v>0.34791666666666665</v>
      </c>
      <c r="Z33" s="65">
        <v>0.9555555555555556</v>
      </c>
      <c r="AA33" s="65">
        <v>0.34583333333333338</v>
      </c>
      <c r="AB33" s="65">
        <v>0.9472222222222223</v>
      </c>
      <c r="AC33" s="65">
        <v>0.34652777777777777</v>
      </c>
      <c r="AD33" s="65">
        <v>0.95000000000000007</v>
      </c>
      <c r="AE33" s="65">
        <v>0.3520833333333333</v>
      </c>
      <c r="AF33" s="65">
        <v>0.95138888888888884</v>
      </c>
      <c r="AG33" s="65">
        <v>0.35000000000000003</v>
      </c>
      <c r="AH33" s="65">
        <v>0.95763888888888893</v>
      </c>
      <c r="AI33" s="114"/>
      <c r="AJ33" s="45">
        <v>28</v>
      </c>
      <c r="AK33" s="65"/>
      <c r="AL33" s="65"/>
      <c r="AM33" s="65"/>
      <c r="AN33" s="65"/>
      <c r="AO33" s="65"/>
      <c r="AP33" s="65"/>
      <c r="AQ33" s="98"/>
      <c r="AR33" s="98"/>
      <c r="AS33" s="65"/>
      <c r="AT33" s="65"/>
      <c r="AU33" s="97">
        <f t="shared" si="2"/>
        <v>15</v>
      </c>
      <c r="AV33" s="68"/>
      <c r="AW33" s="1">
        <f t="shared" si="3"/>
        <v>14</v>
      </c>
      <c r="AX33" s="2">
        <f t="shared" si="4"/>
        <v>1</v>
      </c>
      <c r="AY33" s="2">
        <f t="shared" si="5"/>
        <v>0</v>
      </c>
      <c r="AZ33" s="2">
        <f t="shared" si="6"/>
        <v>0</v>
      </c>
      <c r="BA33" s="2">
        <f t="shared" si="7"/>
        <v>0</v>
      </c>
      <c r="BB33" s="2">
        <f t="shared" si="8"/>
        <v>0</v>
      </c>
      <c r="BC33" s="2">
        <f t="shared" si="9"/>
        <v>0</v>
      </c>
      <c r="BD33" s="2">
        <f t="shared" si="10"/>
        <v>0</v>
      </c>
      <c r="BE33" s="2">
        <f t="shared" si="11"/>
        <v>0</v>
      </c>
      <c r="BF33" s="2">
        <f t="shared" si="12"/>
        <v>0</v>
      </c>
      <c r="BG33" s="2">
        <f t="shared" si="13"/>
        <v>0</v>
      </c>
      <c r="BH33" s="2">
        <f t="shared" si="14"/>
        <v>0</v>
      </c>
      <c r="BI33" s="3"/>
      <c r="BK33" s="55">
        <v>0</v>
      </c>
      <c r="BL33" s="54">
        <v>0</v>
      </c>
      <c r="BM33" s="55">
        <v>4</v>
      </c>
      <c r="BN33" s="54">
        <v>0</v>
      </c>
      <c r="BO33" s="54">
        <v>0</v>
      </c>
      <c r="BP33" s="55">
        <v>11</v>
      </c>
      <c r="BQ33" s="54">
        <v>0</v>
      </c>
      <c r="BR33" s="55">
        <v>2</v>
      </c>
      <c r="BS33" s="54">
        <v>0</v>
      </c>
      <c r="BT33" s="54">
        <v>0</v>
      </c>
      <c r="BU33" s="126">
        <f t="shared" si="15"/>
        <v>17</v>
      </c>
    </row>
    <row r="34" spans="1:73" ht="21.75" customHeight="1" x14ac:dyDescent="0.25">
      <c r="A34" s="45">
        <v>30</v>
      </c>
      <c r="B34" s="11" t="s">
        <v>200</v>
      </c>
      <c r="C34" s="80" t="s">
        <v>245</v>
      </c>
      <c r="D34" s="85">
        <v>43468</v>
      </c>
      <c r="E34" s="65">
        <v>0.34861111111111115</v>
      </c>
      <c r="F34" s="65">
        <v>0.96875</v>
      </c>
      <c r="G34" s="65">
        <v>0.34861111111111115</v>
      </c>
      <c r="H34" s="65">
        <v>0.99305555555555547</v>
      </c>
      <c r="I34" s="91" t="s">
        <v>15</v>
      </c>
      <c r="J34" s="91" t="s">
        <v>15</v>
      </c>
      <c r="K34" s="65">
        <v>0.34652777777777777</v>
      </c>
      <c r="L34" s="65">
        <v>0.95624999999999993</v>
      </c>
      <c r="M34" s="65">
        <v>0.34861111111111115</v>
      </c>
      <c r="N34" s="65">
        <v>0.9590277777777777</v>
      </c>
      <c r="O34" s="65">
        <v>0.34652777777777777</v>
      </c>
      <c r="P34" s="65">
        <v>0.96111111111111114</v>
      </c>
      <c r="Q34" s="65">
        <v>0.34722222222222227</v>
      </c>
      <c r="R34" s="65">
        <v>0.97499999999999998</v>
      </c>
      <c r="S34" s="65">
        <v>0.34861111111111115</v>
      </c>
      <c r="T34" s="65">
        <v>2.0833333333333333E-3</v>
      </c>
      <c r="U34" s="65">
        <v>0.35069444444444442</v>
      </c>
      <c r="V34" s="65">
        <v>0.98472222222222217</v>
      </c>
      <c r="W34" s="98">
        <v>0.57986111111111105</v>
      </c>
      <c r="X34" s="98">
        <v>0.96527777777777779</v>
      </c>
      <c r="Y34" s="65">
        <v>0.34861111111111115</v>
      </c>
      <c r="Z34" s="65">
        <v>0.95208333333333339</v>
      </c>
      <c r="AA34" s="65">
        <v>0.3430555555555555</v>
      </c>
      <c r="AB34" s="65">
        <v>0.96527777777777779</v>
      </c>
      <c r="AC34" s="65">
        <v>0.3444444444444445</v>
      </c>
      <c r="AD34" s="65">
        <v>0.93611111111111101</v>
      </c>
      <c r="AE34" s="65">
        <v>0.34513888888888888</v>
      </c>
      <c r="AF34" s="65">
        <v>0.95833333333333337</v>
      </c>
      <c r="AG34" s="65">
        <v>0.34513888888888888</v>
      </c>
      <c r="AH34" s="65">
        <v>0.97430555555555554</v>
      </c>
      <c r="AI34" s="114"/>
      <c r="AJ34" s="45">
        <v>29</v>
      </c>
      <c r="AK34" s="65"/>
      <c r="AL34" s="65"/>
      <c r="AM34" s="65"/>
      <c r="AN34" s="65"/>
      <c r="AO34" s="65"/>
      <c r="AP34" s="65"/>
      <c r="AQ34" s="91"/>
      <c r="AR34" s="100"/>
      <c r="AS34" s="65"/>
      <c r="AT34" s="65"/>
      <c r="AU34" s="97">
        <f t="shared" si="2"/>
        <v>15</v>
      </c>
      <c r="AV34" s="68"/>
      <c r="AW34" s="1">
        <f t="shared" si="3"/>
        <v>14</v>
      </c>
      <c r="AX34" s="2">
        <f t="shared" si="4"/>
        <v>1</v>
      </c>
      <c r="AY34" s="2">
        <f t="shared" si="5"/>
        <v>0</v>
      </c>
      <c r="AZ34" s="2">
        <f t="shared" si="6"/>
        <v>0</v>
      </c>
      <c r="BA34" s="2">
        <f t="shared" si="7"/>
        <v>0</v>
      </c>
      <c r="BB34" s="2">
        <f t="shared" si="8"/>
        <v>0</v>
      </c>
      <c r="BC34" s="2">
        <f t="shared" si="9"/>
        <v>0</v>
      </c>
      <c r="BD34" s="2">
        <f t="shared" si="10"/>
        <v>0</v>
      </c>
      <c r="BE34" s="2">
        <f t="shared" si="11"/>
        <v>0</v>
      </c>
      <c r="BF34" s="2">
        <f t="shared" si="12"/>
        <v>0</v>
      </c>
      <c r="BG34" s="2">
        <f t="shared" si="13"/>
        <v>0</v>
      </c>
      <c r="BH34" s="2">
        <f t="shared" si="14"/>
        <v>0</v>
      </c>
      <c r="BI34" s="3"/>
      <c r="BK34" s="122">
        <v>0</v>
      </c>
      <c r="BL34" s="123">
        <v>0</v>
      </c>
      <c r="BM34" s="123">
        <v>0</v>
      </c>
      <c r="BN34" s="123">
        <v>0</v>
      </c>
      <c r="BO34" s="123">
        <v>0</v>
      </c>
      <c r="BP34" s="122">
        <v>6</v>
      </c>
      <c r="BQ34" s="123">
        <v>0</v>
      </c>
      <c r="BR34" s="123">
        <v>0</v>
      </c>
      <c r="BS34" s="123">
        <v>0</v>
      </c>
      <c r="BT34" s="123">
        <v>0</v>
      </c>
      <c r="BU34" s="125">
        <f t="shared" si="15"/>
        <v>6</v>
      </c>
    </row>
    <row r="35" spans="1:73" ht="21.75" customHeight="1" x14ac:dyDescent="0.25">
      <c r="A35" s="45">
        <v>31</v>
      </c>
      <c r="B35" s="11" t="s">
        <v>89</v>
      </c>
      <c r="C35" s="77" t="s">
        <v>90</v>
      </c>
      <c r="D35" s="85">
        <v>42522</v>
      </c>
      <c r="E35" s="65">
        <v>0.3520833333333333</v>
      </c>
      <c r="F35" s="69">
        <v>1</v>
      </c>
      <c r="G35" s="65">
        <v>0.35000000000000003</v>
      </c>
      <c r="H35" s="65">
        <v>0.9819444444444444</v>
      </c>
      <c r="I35" s="91" t="s">
        <v>15</v>
      </c>
      <c r="J35" s="91" t="s">
        <v>15</v>
      </c>
      <c r="K35" s="65">
        <v>0.3520833333333333</v>
      </c>
      <c r="L35" s="69">
        <v>1</v>
      </c>
      <c r="M35" s="65">
        <v>0.35138888888888892</v>
      </c>
      <c r="N35" s="65">
        <v>0.35138888888888892</v>
      </c>
      <c r="O35" s="65">
        <v>0.35069444444444442</v>
      </c>
      <c r="P35" s="69">
        <v>1</v>
      </c>
      <c r="Q35" s="65">
        <v>0.35486111111111113</v>
      </c>
      <c r="R35" s="65">
        <v>0.35486111111111113</v>
      </c>
      <c r="S35" s="65">
        <v>0.3520833333333333</v>
      </c>
      <c r="T35" s="65">
        <v>0.3527777777777778</v>
      </c>
      <c r="U35" s="65">
        <v>0.35138888888888892</v>
      </c>
      <c r="V35" s="65">
        <v>0.35138888888888892</v>
      </c>
      <c r="W35" s="98">
        <v>0.5805555555555556</v>
      </c>
      <c r="X35" s="98">
        <v>0.96597222222222223</v>
      </c>
      <c r="Y35" s="65">
        <v>0.34583333333333338</v>
      </c>
      <c r="Z35" s="65">
        <v>0.96111111111111114</v>
      </c>
      <c r="AA35" s="65">
        <v>0.34375</v>
      </c>
      <c r="AB35" s="65">
        <v>0.97361111111111109</v>
      </c>
      <c r="AC35" s="65">
        <v>0.3527777777777778</v>
      </c>
      <c r="AD35" s="65">
        <v>0.3527777777777778</v>
      </c>
      <c r="AE35" s="65">
        <v>0.3520833333333333</v>
      </c>
      <c r="AF35" s="65">
        <v>0.3520833333333333</v>
      </c>
      <c r="AG35" s="65">
        <v>0.35347222222222219</v>
      </c>
      <c r="AH35" s="65">
        <v>0.96319444444444446</v>
      </c>
      <c r="AI35" s="106"/>
      <c r="AJ35" s="45">
        <v>30</v>
      </c>
      <c r="AK35" s="65"/>
      <c r="AL35" s="69"/>
      <c r="AM35" s="65"/>
      <c r="AN35" s="69"/>
      <c r="AO35" s="65"/>
      <c r="AP35" s="65"/>
      <c r="AQ35" s="91"/>
      <c r="AR35" s="100"/>
      <c r="AS35" s="65"/>
      <c r="AT35" s="69"/>
      <c r="AU35" s="97">
        <f t="shared" si="2"/>
        <v>15</v>
      </c>
      <c r="AV35" s="68"/>
      <c r="AW35" s="1">
        <f t="shared" si="3"/>
        <v>14</v>
      </c>
      <c r="AX35" s="2">
        <f t="shared" si="4"/>
        <v>1</v>
      </c>
      <c r="AY35" s="2">
        <f t="shared" si="5"/>
        <v>0</v>
      </c>
      <c r="AZ35" s="2">
        <f t="shared" si="6"/>
        <v>0</v>
      </c>
      <c r="BA35" s="2">
        <f t="shared" si="7"/>
        <v>0</v>
      </c>
      <c r="BB35" s="2">
        <f t="shared" si="8"/>
        <v>0</v>
      </c>
      <c r="BC35" s="2">
        <f t="shared" si="9"/>
        <v>0</v>
      </c>
      <c r="BD35" s="2">
        <f t="shared" si="10"/>
        <v>0</v>
      </c>
      <c r="BE35" s="2">
        <f t="shared" si="11"/>
        <v>0</v>
      </c>
      <c r="BF35" s="2">
        <f t="shared" si="12"/>
        <v>0</v>
      </c>
      <c r="BG35" s="2">
        <f t="shared" si="13"/>
        <v>0</v>
      </c>
      <c r="BH35" s="2">
        <f t="shared" si="14"/>
        <v>0</v>
      </c>
      <c r="BI35" s="3"/>
      <c r="BK35" s="55">
        <v>0</v>
      </c>
      <c r="BL35" s="54">
        <v>0</v>
      </c>
      <c r="BM35" s="54">
        <v>0</v>
      </c>
      <c r="BN35" s="54">
        <v>0</v>
      </c>
      <c r="BO35" s="54">
        <v>0</v>
      </c>
      <c r="BP35" s="55">
        <v>2</v>
      </c>
      <c r="BQ35" s="54">
        <v>0</v>
      </c>
      <c r="BR35" s="55">
        <v>19</v>
      </c>
      <c r="BS35" s="54">
        <v>0</v>
      </c>
      <c r="BT35" s="54">
        <v>0</v>
      </c>
      <c r="BU35" s="126">
        <f t="shared" si="15"/>
        <v>21</v>
      </c>
    </row>
    <row r="36" spans="1:73" ht="21.75" customHeight="1" x14ac:dyDescent="0.25">
      <c r="A36" s="45">
        <v>32</v>
      </c>
      <c r="B36" s="11" t="s">
        <v>91</v>
      </c>
      <c r="C36" s="77" t="s">
        <v>92</v>
      </c>
      <c r="D36" s="85">
        <v>42439</v>
      </c>
      <c r="E36" s="65">
        <v>0.35416666666666669</v>
      </c>
      <c r="F36" s="65">
        <v>0.91319444444444453</v>
      </c>
      <c r="G36" s="65">
        <v>0.35416666666666669</v>
      </c>
      <c r="H36" s="65">
        <v>0.90138888888888891</v>
      </c>
      <c r="I36" s="98">
        <v>0.58819444444444446</v>
      </c>
      <c r="J36" s="98">
        <v>0.90347222222222223</v>
      </c>
      <c r="K36" s="65">
        <v>0.35347222222222219</v>
      </c>
      <c r="L36" s="65">
        <v>0.91111111111111109</v>
      </c>
      <c r="M36" s="65">
        <v>0.3520833333333333</v>
      </c>
      <c r="N36" s="69">
        <v>1</v>
      </c>
      <c r="O36" s="65">
        <v>0.35486111111111113</v>
      </c>
      <c r="P36" s="65">
        <v>0.8965277777777777</v>
      </c>
      <c r="Q36" s="65">
        <v>0.35347222222222219</v>
      </c>
      <c r="R36" s="65">
        <v>0.91249999999999998</v>
      </c>
      <c r="S36" s="65">
        <v>0.35486111111111113</v>
      </c>
      <c r="T36" s="69">
        <v>1</v>
      </c>
      <c r="U36" s="65">
        <v>0.35486111111111113</v>
      </c>
      <c r="V36" s="65">
        <v>0.97152777777777777</v>
      </c>
      <c r="W36" s="91" t="s">
        <v>15</v>
      </c>
      <c r="X36" s="91" t="s">
        <v>15</v>
      </c>
      <c r="Y36" s="65">
        <v>0.35555555555555557</v>
      </c>
      <c r="Z36" s="65">
        <v>0.89027777777777783</v>
      </c>
      <c r="AA36" s="65">
        <v>0.34791666666666665</v>
      </c>
      <c r="AB36" s="65">
        <v>0.8881944444444444</v>
      </c>
      <c r="AC36" s="65">
        <v>0.35347222222222219</v>
      </c>
      <c r="AD36" s="65">
        <v>0.91527777777777775</v>
      </c>
      <c r="AE36" s="65">
        <v>0.35416666666666669</v>
      </c>
      <c r="AF36" s="65">
        <v>0.89930555555555547</v>
      </c>
      <c r="AG36" s="76" t="s">
        <v>23</v>
      </c>
      <c r="AH36" s="76" t="s">
        <v>23</v>
      </c>
      <c r="AI36" s="106"/>
      <c r="AJ36" s="45">
        <v>31</v>
      </c>
      <c r="AK36" s="65"/>
      <c r="AL36" s="69"/>
      <c r="AM36" s="65"/>
      <c r="AN36" s="65"/>
      <c r="AO36" s="65"/>
      <c r="AP36" s="65"/>
      <c r="AQ36" s="98"/>
      <c r="AR36" s="98"/>
      <c r="AS36" s="65"/>
      <c r="AT36" s="65"/>
      <c r="AU36" s="97">
        <f t="shared" si="2"/>
        <v>14</v>
      </c>
      <c r="AV36" s="68"/>
      <c r="AW36" s="1">
        <f t="shared" si="3"/>
        <v>13</v>
      </c>
      <c r="AX36" s="2">
        <f t="shared" si="4"/>
        <v>1</v>
      </c>
      <c r="AY36" s="2">
        <f t="shared" si="5"/>
        <v>0</v>
      </c>
      <c r="AZ36" s="2">
        <f t="shared" si="6"/>
        <v>0</v>
      </c>
      <c r="BA36" s="2">
        <f t="shared" si="7"/>
        <v>0</v>
      </c>
      <c r="BB36" s="2">
        <f t="shared" si="8"/>
        <v>0</v>
      </c>
      <c r="BC36" s="2">
        <f t="shared" si="9"/>
        <v>0</v>
      </c>
      <c r="BD36" s="2">
        <f t="shared" si="10"/>
        <v>0</v>
      </c>
      <c r="BE36" s="2">
        <f t="shared" si="11"/>
        <v>0</v>
      </c>
      <c r="BF36" s="2">
        <f t="shared" si="12"/>
        <v>1</v>
      </c>
      <c r="BG36" s="2">
        <f t="shared" si="13"/>
        <v>0</v>
      </c>
      <c r="BH36" s="2">
        <f t="shared" si="14"/>
        <v>0</v>
      </c>
      <c r="BI36" s="3"/>
      <c r="BK36" s="122">
        <v>0</v>
      </c>
      <c r="BL36" s="123">
        <v>0</v>
      </c>
      <c r="BM36" s="122">
        <v>80</v>
      </c>
      <c r="BN36" s="123">
        <v>0</v>
      </c>
      <c r="BO36" s="123">
        <v>0</v>
      </c>
      <c r="BP36" s="122">
        <v>11</v>
      </c>
      <c r="BQ36" s="123">
        <v>0</v>
      </c>
      <c r="BR36" s="123">
        <v>1</v>
      </c>
      <c r="BS36" s="123">
        <v>0</v>
      </c>
      <c r="BT36" s="123">
        <v>0</v>
      </c>
      <c r="BU36" s="125">
        <f t="shared" si="15"/>
        <v>92</v>
      </c>
    </row>
    <row r="37" spans="1:73" ht="23.25" customHeight="1" x14ac:dyDescent="0.25">
      <c r="A37" s="45">
        <v>33</v>
      </c>
      <c r="B37" s="11" t="s">
        <v>93</v>
      </c>
      <c r="C37" s="77" t="s">
        <v>94</v>
      </c>
      <c r="D37" s="85">
        <v>43566</v>
      </c>
      <c r="E37" s="65">
        <v>0.3444444444444445</v>
      </c>
      <c r="F37" s="65">
        <v>0.96388888888888891</v>
      </c>
      <c r="G37" s="65">
        <v>0.3444444444444445</v>
      </c>
      <c r="H37" s="65">
        <v>0.99236111111111114</v>
      </c>
      <c r="I37" s="91" t="s">
        <v>15</v>
      </c>
      <c r="J37" s="91" t="s">
        <v>15</v>
      </c>
      <c r="K37" s="65">
        <v>0.3444444444444445</v>
      </c>
      <c r="L37" s="65">
        <v>0.93888888888888899</v>
      </c>
      <c r="M37" s="65">
        <v>0.3444444444444445</v>
      </c>
      <c r="N37" s="65">
        <v>0.96527777777777779</v>
      </c>
      <c r="O37" s="65">
        <v>0.35069444444444442</v>
      </c>
      <c r="P37" s="65">
        <v>0.96180555555555547</v>
      </c>
      <c r="Q37" s="65">
        <v>0.3444444444444445</v>
      </c>
      <c r="R37" s="65">
        <v>0.92569444444444438</v>
      </c>
      <c r="S37" s="65">
        <v>0.3444444444444445</v>
      </c>
      <c r="T37" s="65">
        <v>2.7777777777777779E-3</v>
      </c>
      <c r="U37" s="65">
        <v>0.34375</v>
      </c>
      <c r="V37" s="65">
        <v>0.98402777777777783</v>
      </c>
      <c r="W37" s="98">
        <v>0.58194444444444449</v>
      </c>
      <c r="X37" s="98">
        <v>0.96319444444444446</v>
      </c>
      <c r="Y37" s="65">
        <v>0.3444444444444445</v>
      </c>
      <c r="Z37" s="65">
        <v>0.94305555555555554</v>
      </c>
      <c r="AA37" s="65">
        <v>0.33819444444444446</v>
      </c>
      <c r="AB37" s="65">
        <v>0.97361111111111109</v>
      </c>
      <c r="AC37" s="65">
        <v>0.34375</v>
      </c>
      <c r="AD37" s="65">
        <v>0.93680555555555556</v>
      </c>
      <c r="AE37" s="65">
        <v>0.3444444444444445</v>
      </c>
      <c r="AF37" s="65">
        <v>0.96319444444444446</v>
      </c>
      <c r="AG37" s="65">
        <v>0.34583333333333338</v>
      </c>
      <c r="AH37" s="65">
        <v>0.97569444444444453</v>
      </c>
      <c r="AI37" s="114"/>
      <c r="AJ37" s="45">
        <v>32</v>
      </c>
      <c r="AK37" s="65"/>
      <c r="AL37" s="65"/>
      <c r="AM37" s="65"/>
      <c r="AN37" s="69"/>
      <c r="AO37" s="65"/>
      <c r="AP37" s="65"/>
      <c r="AQ37" s="91"/>
      <c r="AR37" s="100"/>
      <c r="AS37" s="65"/>
      <c r="AT37" s="65"/>
      <c r="AU37" s="97">
        <f t="shared" si="2"/>
        <v>15</v>
      </c>
      <c r="AV37" s="68"/>
      <c r="AW37" s="1">
        <f t="shared" si="3"/>
        <v>14</v>
      </c>
      <c r="AX37" s="2">
        <f t="shared" si="4"/>
        <v>1</v>
      </c>
      <c r="AY37" s="2">
        <f t="shared" si="5"/>
        <v>0</v>
      </c>
      <c r="AZ37" s="2">
        <f t="shared" si="6"/>
        <v>0</v>
      </c>
      <c r="BA37" s="2">
        <f t="shared" si="7"/>
        <v>0</v>
      </c>
      <c r="BB37" s="2">
        <f t="shared" si="8"/>
        <v>0</v>
      </c>
      <c r="BC37" s="2">
        <f t="shared" si="9"/>
        <v>0</v>
      </c>
      <c r="BD37" s="2">
        <f t="shared" si="10"/>
        <v>0</v>
      </c>
      <c r="BE37" s="2">
        <f t="shared" si="11"/>
        <v>0</v>
      </c>
      <c r="BF37" s="2">
        <f t="shared" si="12"/>
        <v>0</v>
      </c>
      <c r="BG37" s="2">
        <f t="shared" si="13"/>
        <v>0</v>
      </c>
      <c r="BH37" s="2">
        <f t="shared" si="14"/>
        <v>0</v>
      </c>
      <c r="BI37" s="3"/>
      <c r="BK37" s="55">
        <v>0</v>
      </c>
      <c r="BL37" s="54">
        <v>0</v>
      </c>
      <c r="BM37" s="54">
        <v>0</v>
      </c>
      <c r="BN37" s="55">
        <v>15</v>
      </c>
      <c r="BO37" s="54">
        <v>0</v>
      </c>
      <c r="BP37" s="55">
        <v>5</v>
      </c>
      <c r="BQ37" s="55">
        <v>2</v>
      </c>
      <c r="BR37" s="55">
        <v>1</v>
      </c>
      <c r="BS37" s="54">
        <v>0</v>
      </c>
      <c r="BT37" s="54">
        <v>0</v>
      </c>
      <c r="BU37" s="126">
        <f t="shared" si="15"/>
        <v>23</v>
      </c>
    </row>
    <row r="38" spans="1:73" ht="21.75" customHeight="1" x14ac:dyDescent="0.25">
      <c r="A38" s="45">
        <v>34</v>
      </c>
      <c r="B38" s="11" t="s">
        <v>95</v>
      </c>
      <c r="C38" s="77" t="s">
        <v>96</v>
      </c>
      <c r="D38" s="85">
        <v>45707</v>
      </c>
      <c r="E38" s="69">
        <v>1</v>
      </c>
      <c r="F38" s="69">
        <v>1</v>
      </c>
      <c r="G38" s="65">
        <v>0.35347222222222219</v>
      </c>
      <c r="H38" s="69">
        <v>1</v>
      </c>
      <c r="I38" s="98">
        <v>0.56944444444444442</v>
      </c>
      <c r="J38" s="99">
        <v>1</v>
      </c>
      <c r="K38" s="65">
        <v>0.33680555555555558</v>
      </c>
      <c r="L38" s="69">
        <v>1</v>
      </c>
      <c r="M38" s="65">
        <v>0.36041666666666666</v>
      </c>
      <c r="N38" s="69">
        <v>1</v>
      </c>
      <c r="O38" s="65">
        <v>0.33402777777777781</v>
      </c>
      <c r="P38" s="65">
        <v>0.33402777777777781</v>
      </c>
      <c r="Q38" s="65">
        <v>0.34375</v>
      </c>
      <c r="R38" s="65">
        <v>0.34375</v>
      </c>
      <c r="S38" s="65">
        <v>0.3430555555555555</v>
      </c>
      <c r="T38" s="69">
        <v>1</v>
      </c>
      <c r="U38" s="65">
        <v>0.3354166666666667</v>
      </c>
      <c r="V38" s="69">
        <v>1</v>
      </c>
      <c r="W38" s="99">
        <v>1</v>
      </c>
      <c r="X38" s="99">
        <v>1</v>
      </c>
      <c r="Y38" s="65">
        <v>0.34583333333333338</v>
      </c>
      <c r="Z38" s="69">
        <v>1</v>
      </c>
      <c r="AA38" s="65">
        <v>0.33263888888888887</v>
      </c>
      <c r="AB38" s="69">
        <v>1</v>
      </c>
      <c r="AC38" s="65">
        <v>0.33263888888888887</v>
      </c>
      <c r="AD38" s="69">
        <v>1</v>
      </c>
      <c r="AE38" s="65">
        <v>0.35069444444444442</v>
      </c>
      <c r="AF38" s="69">
        <v>1</v>
      </c>
      <c r="AG38" s="65">
        <v>0.33194444444444443</v>
      </c>
      <c r="AH38" s="69">
        <v>1</v>
      </c>
      <c r="AI38" s="106"/>
      <c r="AJ38" s="45">
        <v>33</v>
      </c>
      <c r="AK38" s="69"/>
      <c r="AL38" s="69"/>
      <c r="AM38" s="65"/>
      <c r="AN38" s="69"/>
      <c r="AO38" s="65"/>
      <c r="AP38" s="69"/>
      <c r="AQ38" s="98"/>
      <c r="AR38" s="99"/>
      <c r="AS38" s="65"/>
      <c r="AT38" s="69"/>
      <c r="AU38" s="97">
        <f t="shared" si="2"/>
        <v>15</v>
      </c>
      <c r="AV38" s="68"/>
      <c r="AW38" s="1">
        <f t="shared" si="3"/>
        <v>15</v>
      </c>
      <c r="AX38" s="2">
        <f t="shared" si="4"/>
        <v>0</v>
      </c>
      <c r="AY38" s="2">
        <f t="shared" si="5"/>
        <v>0</v>
      </c>
      <c r="AZ38" s="2">
        <f t="shared" si="6"/>
        <v>0</v>
      </c>
      <c r="BA38" s="2">
        <f t="shared" si="7"/>
        <v>0</v>
      </c>
      <c r="BB38" s="2">
        <f t="shared" si="8"/>
        <v>0</v>
      </c>
      <c r="BC38" s="2">
        <f t="shared" si="9"/>
        <v>0</v>
      </c>
      <c r="BD38" s="2">
        <f t="shared" si="10"/>
        <v>0</v>
      </c>
      <c r="BE38" s="2">
        <f t="shared" si="11"/>
        <v>0</v>
      </c>
      <c r="BF38" s="2">
        <f t="shared" si="12"/>
        <v>0</v>
      </c>
      <c r="BG38" s="2">
        <f t="shared" si="13"/>
        <v>0</v>
      </c>
      <c r="BH38" s="2">
        <f t="shared" si="14"/>
        <v>0</v>
      </c>
      <c r="BI38" s="3"/>
      <c r="BK38" s="122">
        <v>0</v>
      </c>
      <c r="BL38" s="123">
        <v>0</v>
      </c>
      <c r="BM38" s="123">
        <v>0</v>
      </c>
      <c r="BN38" s="123">
        <v>0</v>
      </c>
      <c r="BO38" s="123">
        <v>0</v>
      </c>
      <c r="BP38" s="122">
        <v>1</v>
      </c>
      <c r="BQ38" s="122">
        <v>0</v>
      </c>
      <c r="BR38" s="122">
        <v>3</v>
      </c>
      <c r="BS38" s="123">
        <v>0</v>
      </c>
      <c r="BT38" s="123">
        <v>0</v>
      </c>
      <c r="BU38" s="125">
        <f t="shared" si="15"/>
        <v>4</v>
      </c>
    </row>
    <row r="39" spans="1:73" ht="21.75" customHeight="1" x14ac:dyDescent="0.25">
      <c r="A39" s="45">
        <v>35</v>
      </c>
      <c r="B39" s="11" t="s">
        <v>97</v>
      </c>
      <c r="C39" s="77" t="s">
        <v>98</v>
      </c>
      <c r="D39" s="85">
        <v>42262</v>
      </c>
      <c r="E39" s="65">
        <v>0.9194444444444444</v>
      </c>
      <c r="F39" s="69">
        <v>1</v>
      </c>
      <c r="G39" s="65">
        <v>0.4694444444444445</v>
      </c>
      <c r="H39" s="65">
        <v>0.96944444444444444</v>
      </c>
      <c r="I39" s="98">
        <v>0.95416666666666661</v>
      </c>
      <c r="J39" s="99">
        <v>1</v>
      </c>
      <c r="K39" s="69">
        <v>1</v>
      </c>
      <c r="L39" s="69">
        <v>1</v>
      </c>
      <c r="M39" s="65">
        <v>0.3666666666666667</v>
      </c>
      <c r="N39" s="69">
        <v>1</v>
      </c>
      <c r="O39" s="65">
        <v>0.39374999999999999</v>
      </c>
      <c r="P39" s="69">
        <v>1</v>
      </c>
      <c r="Q39" s="65">
        <v>0.36319444444444443</v>
      </c>
      <c r="R39" s="69">
        <v>1</v>
      </c>
      <c r="S39" s="69">
        <v>1</v>
      </c>
      <c r="T39" s="69">
        <v>1</v>
      </c>
      <c r="U39" s="65">
        <v>0.35416666666666669</v>
      </c>
      <c r="V39" s="69">
        <v>1</v>
      </c>
      <c r="W39" s="99">
        <v>1</v>
      </c>
      <c r="X39" s="99">
        <v>1</v>
      </c>
      <c r="Y39" s="69">
        <v>1</v>
      </c>
      <c r="Z39" s="69">
        <v>1</v>
      </c>
      <c r="AA39" s="65">
        <v>0.40208333333333335</v>
      </c>
      <c r="AB39" s="65">
        <v>0.96805555555555556</v>
      </c>
      <c r="AC39" s="65">
        <v>0.39583333333333331</v>
      </c>
      <c r="AD39" s="69">
        <v>1</v>
      </c>
      <c r="AE39" s="65">
        <v>0.37847222222222227</v>
      </c>
      <c r="AF39" s="69">
        <v>1</v>
      </c>
      <c r="AG39" s="69">
        <v>1</v>
      </c>
      <c r="AH39" s="69">
        <v>1</v>
      </c>
      <c r="AI39" s="114"/>
      <c r="AJ39" s="45">
        <v>34</v>
      </c>
      <c r="AK39" s="65"/>
      <c r="AL39" s="69"/>
      <c r="AM39" s="65"/>
      <c r="AN39" s="69"/>
      <c r="AO39" s="65"/>
      <c r="AP39" s="69"/>
      <c r="AQ39" s="98"/>
      <c r="AR39" s="98"/>
      <c r="AS39" s="69"/>
      <c r="AT39" s="69"/>
      <c r="AU39" s="97">
        <f t="shared" si="2"/>
        <v>15</v>
      </c>
      <c r="AV39" s="68"/>
      <c r="AW39" s="1">
        <f t="shared" si="3"/>
        <v>15</v>
      </c>
      <c r="AX39" s="2">
        <f t="shared" si="4"/>
        <v>0</v>
      </c>
      <c r="AY39" s="2">
        <f t="shared" si="5"/>
        <v>0</v>
      </c>
      <c r="AZ39" s="2">
        <f t="shared" si="6"/>
        <v>0</v>
      </c>
      <c r="BA39" s="2">
        <f t="shared" si="7"/>
        <v>0</v>
      </c>
      <c r="BB39" s="2">
        <f t="shared" si="8"/>
        <v>0</v>
      </c>
      <c r="BC39" s="2">
        <f t="shared" si="9"/>
        <v>0</v>
      </c>
      <c r="BD39" s="2">
        <f t="shared" si="10"/>
        <v>0</v>
      </c>
      <c r="BE39" s="2">
        <f t="shared" si="11"/>
        <v>0</v>
      </c>
      <c r="BF39" s="2">
        <f t="shared" si="12"/>
        <v>0</v>
      </c>
      <c r="BG39" s="2">
        <f t="shared" si="13"/>
        <v>0</v>
      </c>
      <c r="BH39" s="2">
        <f t="shared" si="14"/>
        <v>0</v>
      </c>
      <c r="BI39" s="72"/>
      <c r="BK39" s="55">
        <v>0</v>
      </c>
      <c r="BL39" s="54">
        <v>0</v>
      </c>
      <c r="BM39" s="55">
        <v>14</v>
      </c>
      <c r="BN39" s="54">
        <v>0</v>
      </c>
      <c r="BO39" s="54">
        <v>0</v>
      </c>
      <c r="BP39" s="55">
        <v>1</v>
      </c>
      <c r="BQ39" s="55">
        <v>0</v>
      </c>
      <c r="BR39" s="54">
        <v>0</v>
      </c>
      <c r="BS39" s="54">
        <v>0</v>
      </c>
      <c r="BT39" s="54">
        <v>0</v>
      </c>
      <c r="BU39" s="126">
        <f t="shared" si="15"/>
        <v>15</v>
      </c>
    </row>
    <row r="40" spans="1:73" ht="21.75" customHeight="1" x14ac:dyDescent="0.25">
      <c r="A40" s="45">
        <v>36</v>
      </c>
      <c r="B40" s="11" t="s">
        <v>252</v>
      </c>
      <c r="C40" s="77" t="s">
        <v>101</v>
      </c>
      <c r="D40" s="85"/>
      <c r="E40" s="76" t="s">
        <v>24</v>
      </c>
      <c r="F40" s="76" t="s">
        <v>24</v>
      </c>
      <c r="G40" s="76" t="s">
        <v>24</v>
      </c>
      <c r="H40" s="76" t="s">
        <v>24</v>
      </c>
      <c r="I40" s="76" t="s">
        <v>24</v>
      </c>
      <c r="J40" s="76" t="s">
        <v>24</v>
      </c>
      <c r="K40" s="76" t="s">
        <v>24</v>
      </c>
      <c r="L40" s="76" t="s">
        <v>24</v>
      </c>
      <c r="M40" s="76" t="s">
        <v>24</v>
      </c>
      <c r="N40" s="76" t="s">
        <v>24</v>
      </c>
      <c r="O40" s="76" t="s">
        <v>24</v>
      </c>
      <c r="P40" s="76" t="s">
        <v>24</v>
      </c>
      <c r="Q40" s="76" t="s">
        <v>24</v>
      </c>
      <c r="R40" s="76" t="s">
        <v>24</v>
      </c>
      <c r="S40" s="76" t="s">
        <v>24</v>
      </c>
      <c r="T40" s="76" t="s">
        <v>24</v>
      </c>
      <c r="U40" s="76" t="s">
        <v>24</v>
      </c>
      <c r="V40" s="76" t="s">
        <v>24</v>
      </c>
      <c r="W40" s="76" t="s">
        <v>24</v>
      </c>
      <c r="X40" s="76" t="s">
        <v>24</v>
      </c>
      <c r="Y40" s="76" t="s">
        <v>24</v>
      </c>
      <c r="Z40" s="76" t="s">
        <v>24</v>
      </c>
      <c r="AA40" s="65">
        <v>0.35000000000000003</v>
      </c>
      <c r="AB40" s="65">
        <v>0.92569444444444438</v>
      </c>
      <c r="AC40" s="65">
        <v>0.3520833333333333</v>
      </c>
      <c r="AD40" s="65">
        <v>0.9291666666666667</v>
      </c>
      <c r="AE40" s="65">
        <v>0.34861111111111115</v>
      </c>
      <c r="AF40" s="65">
        <v>0.92013888888888884</v>
      </c>
      <c r="AG40" s="65">
        <v>0.35069444444444442</v>
      </c>
      <c r="AH40" s="65">
        <v>0.93263888888888891</v>
      </c>
      <c r="AI40" s="114"/>
      <c r="AJ40" s="45"/>
      <c r="AK40" s="65"/>
      <c r="AL40" s="69"/>
      <c r="AM40" s="65"/>
      <c r="AN40" s="69"/>
      <c r="AO40" s="65"/>
      <c r="AP40" s="69"/>
      <c r="AQ40" s="98"/>
      <c r="AR40" s="101"/>
      <c r="AS40" s="69"/>
      <c r="AT40" s="69"/>
      <c r="AU40" s="97">
        <f t="shared" si="2"/>
        <v>4</v>
      </c>
      <c r="AV40" s="68"/>
      <c r="AW40" s="1">
        <f t="shared" si="3"/>
        <v>4</v>
      </c>
      <c r="AX40" s="2">
        <f t="shared" si="4"/>
        <v>0</v>
      </c>
      <c r="AY40" s="2">
        <f t="shared" si="5"/>
        <v>0</v>
      </c>
      <c r="AZ40" s="2">
        <f t="shared" si="6"/>
        <v>0</v>
      </c>
      <c r="BA40" s="2">
        <f t="shared" si="7"/>
        <v>0</v>
      </c>
      <c r="BB40" s="2">
        <f t="shared" si="8"/>
        <v>0</v>
      </c>
      <c r="BC40" s="2">
        <f t="shared" si="9"/>
        <v>0</v>
      </c>
      <c r="BD40" s="2">
        <f t="shared" si="10"/>
        <v>0</v>
      </c>
      <c r="BE40" s="2">
        <f t="shared" si="11"/>
        <v>0</v>
      </c>
      <c r="BF40" s="2">
        <f t="shared" si="12"/>
        <v>0</v>
      </c>
      <c r="BG40" s="2">
        <f t="shared" si="13"/>
        <v>11</v>
      </c>
      <c r="BH40" s="2">
        <f t="shared" si="14"/>
        <v>0</v>
      </c>
      <c r="BI40" s="72"/>
      <c r="BK40" s="55"/>
      <c r="BL40" s="54"/>
      <c r="BM40" s="54"/>
      <c r="BN40" s="54"/>
      <c r="BO40" s="54"/>
      <c r="BP40" s="55"/>
      <c r="BQ40" s="55"/>
      <c r="BR40" s="54"/>
      <c r="BS40" s="54"/>
      <c r="BT40" s="54"/>
      <c r="BU40" s="126"/>
    </row>
    <row r="41" spans="1:73" ht="21.75" customHeight="1" x14ac:dyDescent="0.25">
      <c r="A41" s="45">
        <v>37</v>
      </c>
      <c r="B41" s="45" t="s">
        <v>102</v>
      </c>
      <c r="C41" s="77" t="s">
        <v>103</v>
      </c>
      <c r="D41" s="85">
        <v>44920</v>
      </c>
      <c r="E41" s="65">
        <v>0.36041666666666666</v>
      </c>
      <c r="F41" s="65">
        <v>0.97013888888888899</v>
      </c>
      <c r="G41" s="65">
        <v>0.35347222222222219</v>
      </c>
      <c r="H41" s="65">
        <v>0.96319444444444446</v>
      </c>
      <c r="I41" s="91" t="s">
        <v>15</v>
      </c>
      <c r="J41" s="91" t="s">
        <v>15</v>
      </c>
      <c r="K41" s="65">
        <v>0.35347222222222219</v>
      </c>
      <c r="L41" s="65">
        <v>0.93958333333333333</v>
      </c>
      <c r="M41" s="65">
        <v>0.35486111111111113</v>
      </c>
      <c r="N41" s="65">
        <v>0.97013888888888899</v>
      </c>
      <c r="O41" s="65">
        <v>0.35486111111111113</v>
      </c>
      <c r="P41" s="69">
        <v>1</v>
      </c>
      <c r="Q41" s="65">
        <v>0.35347222222222219</v>
      </c>
      <c r="R41" s="69">
        <v>1</v>
      </c>
      <c r="S41" s="65">
        <v>0.4291666666666667</v>
      </c>
      <c r="T41" s="65">
        <v>0.98472222222222217</v>
      </c>
      <c r="U41" s="65">
        <v>0.35555555555555557</v>
      </c>
      <c r="V41" s="65">
        <v>0.96111111111111114</v>
      </c>
      <c r="W41" s="98">
        <v>0.57430555555555551</v>
      </c>
      <c r="X41" s="69">
        <v>1</v>
      </c>
      <c r="Y41" s="65">
        <v>0.35555555555555557</v>
      </c>
      <c r="Z41" s="65">
        <v>0.95972222222222225</v>
      </c>
      <c r="AA41" s="65">
        <v>0.35000000000000003</v>
      </c>
      <c r="AB41" s="65">
        <v>0.9604166666666667</v>
      </c>
      <c r="AC41" s="65">
        <v>0.35555555555555557</v>
      </c>
      <c r="AD41" s="65">
        <v>0.9375</v>
      </c>
      <c r="AE41" s="65">
        <v>0.34583333333333338</v>
      </c>
      <c r="AF41" s="65">
        <v>0.9590277777777777</v>
      </c>
      <c r="AG41" s="65">
        <v>0.34930555555555554</v>
      </c>
      <c r="AH41" s="65">
        <v>0.96458333333333324</v>
      </c>
      <c r="AI41" s="106"/>
      <c r="AJ41" s="45">
        <v>35</v>
      </c>
      <c r="AK41" s="65"/>
      <c r="AL41" s="65"/>
      <c r="AM41" s="65"/>
      <c r="AN41" s="69"/>
      <c r="AO41" s="65"/>
      <c r="AP41" s="65"/>
      <c r="AQ41" s="91"/>
      <c r="AR41" s="100"/>
      <c r="AS41" s="65"/>
      <c r="AT41" s="65"/>
      <c r="AU41" s="97">
        <f t="shared" si="2"/>
        <v>15</v>
      </c>
      <c r="AV41" s="68"/>
      <c r="AW41" s="1">
        <f t="shared" si="3"/>
        <v>14</v>
      </c>
      <c r="AX41" s="2">
        <f t="shared" si="4"/>
        <v>1</v>
      </c>
      <c r="AY41" s="2">
        <f t="shared" si="5"/>
        <v>0</v>
      </c>
      <c r="AZ41" s="2">
        <f t="shared" si="6"/>
        <v>0</v>
      </c>
      <c r="BA41" s="2">
        <f t="shared" si="7"/>
        <v>0</v>
      </c>
      <c r="BB41" s="2">
        <f t="shared" si="8"/>
        <v>0</v>
      </c>
      <c r="BC41" s="2">
        <f t="shared" si="9"/>
        <v>0</v>
      </c>
      <c r="BD41" s="2">
        <f t="shared" si="10"/>
        <v>0</v>
      </c>
      <c r="BE41" s="2">
        <f t="shared" si="11"/>
        <v>0</v>
      </c>
      <c r="BF41" s="2">
        <f t="shared" si="12"/>
        <v>0</v>
      </c>
      <c r="BG41" s="2">
        <f t="shared" si="13"/>
        <v>0</v>
      </c>
      <c r="BH41" s="2">
        <f t="shared" si="14"/>
        <v>0</v>
      </c>
      <c r="BI41" s="3"/>
      <c r="BK41" s="122">
        <v>0</v>
      </c>
      <c r="BL41" s="123">
        <v>0</v>
      </c>
      <c r="BM41" s="123">
        <v>0</v>
      </c>
      <c r="BN41" s="122">
        <v>8</v>
      </c>
      <c r="BO41" s="123">
        <v>0</v>
      </c>
      <c r="BP41" s="122">
        <v>3</v>
      </c>
      <c r="BQ41" s="122">
        <v>0</v>
      </c>
      <c r="BR41" s="122">
        <v>4</v>
      </c>
      <c r="BS41" s="123">
        <v>0</v>
      </c>
      <c r="BT41" s="123">
        <v>0</v>
      </c>
      <c r="BU41" s="125">
        <f t="shared" si="15"/>
        <v>15</v>
      </c>
    </row>
    <row r="42" spans="1:73" ht="21.75" customHeight="1" x14ac:dyDescent="0.25">
      <c r="A42" s="45">
        <v>38</v>
      </c>
      <c r="B42" s="11" t="s">
        <v>104</v>
      </c>
      <c r="C42" s="77" t="s">
        <v>105</v>
      </c>
      <c r="D42" s="85">
        <v>44641</v>
      </c>
      <c r="E42" s="65">
        <v>0.34027777777777773</v>
      </c>
      <c r="F42" s="65">
        <v>0.97361111111111109</v>
      </c>
      <c r="G42" s="65">
        <v>0.3520833333333333</v>
      </c>
      <c r="H42" s="65">
        <v>0.9916666666666667</v>
      </c>
      <c r="I42" s="91" t="s">
        <v>15</v>
      </c>
      <c r="J42" s="91" t="s">
        <v>15</v>
      </c>
      <c r="K42" s="65">
        <v>0.34097222222222223</v>
      </c>
      <c r="L42" s="65">
        <v>0.95000000000000007</v>
      </c>
      <c r="M42" s="65">
        <v>0.34166666666666662</v>
      </c>
      <c r="N42" s="65">
        <v>0.96736111111111101</v>
      </c>
      <c r="O42" s="65">
        <v>0.34652777777777777</v>
      </c>
      <c r="P42" s="65">
        <v>0.9604166666666667</v>
      </c>
      <c r="Q42" s="65">
        <v>0.35347222222222219</v>
      </c>
      <c r="R42" s="69">
        <v>1</v>
      </c>
      <c r="S42" s="65">
        <v>0.3527777777777778</v>
      </c>
      <c r="T42" s="65">
        <v>2.0833333333333333E-3</v>
      </c>
      <c r="U42" s="65">
        <v>0.34791666666666665</v>
      </c>
      <c r="V42" s="65">
        <v>0.98472222222222217</v>
      </c>
      <c r="W42" s="98">
        <v>0.57500000000000007</v>
      </c>
      <c r="X42" s="98">
        <v>0.96250000000000002</v>
      </c>
      <c r="Y42" s="65">
        <v>0.35972222222222222</v>
      </c>
      <c r="Z42" s="65">
        <v>0.94444444444444453</v>
      </c>
      <c r="AA42" s="65">
        <v>0.35069444444444442</v>
      </c>
      <c r="AB42" s="65">
        <v>0.97361111111111109</v>
      </c>
      <c r="AC42" s="65">
        <v>0.3520833333333333</v>
      </c>
      <c r="AD42" s="65">
        <v>0.93125000000000002</v>
      </c>
      <c r="AE42" s="65">
        <v>0.34930555555555554</v>
      </c>
      <c r="AF42" s="65">
        <v>0.96319444444444446</v>
      </c>
      <c r="AG42" s="65">
        <v>0.3527777777777778</v>
      </c>
      <c r="AH42" s="65">
        <v>0.97499999999999998</v>
      </c>
      <c r="AI42" s="114"/>
      <c r="AJ42" s="45">
        <v>36</v>
      </c>
      <c r="AK42" s="65"/>
      <c r="AL42" s="65"/>
      <c r="AM42" s="65"/>
      <c r="AN42" s="65"/>
      <c r="AO42" s="65"/>
      <c r="AP42" s="65"/>
      <c r="AQ42" s="91"/>
      <c r="AR42" s="100"/>
      <c r="AS42" s="65"/>
      <c r="AT42" s="65"/>
      <c r="AU42" s="97">
        <f t="shared" si="2"/>
        <v>15</v>
      </c>
      <c r="AV42" s="68"/>
      <c r="AW42" s="1">
        <f t="shared" si="3"/>
        <v>14</v>
      </c>
      <c r="AX42" s="2">
        <f t="shared" si="4"/>
        <v>1</v>
      </c>
      <c r="AY42" s="2">
        <f t="shared" si="5"/>
        <v>0</v>
      </c>
      <c r="AZ42" s="2">
        <f t="shared" si="6"/>
        <v>0</v>
      </c>
      <c r="BA42" s="2">
        <f t="shared" si="7"/>
        <v>0</v>
      </c>
      <c r="BB42" s="2">
        <f t="shared" si="8"/>
        <v>0</v>
      </c>
      <c r="BC42" s="2">
        <f t="shared" si="9"/>
        <v>0</v>
      </c>
      <c r="BD42" s="2">
        <f t="shared" si="10"/>
        <v>0</v>
      </c>
      <c r="BE42" s="2">
        <f t="shared" si="11"/>
        <v>0</v>
      </c>
      <c r="BF42" s="2">
        <f t="shared" si="12"/>
        <v>0</v>
      </c>
      <c r="BG42" s="2">
        <f t="shared" si="13"/>
        <v>0</v>
      </c>
      <c r="BH42" s="2">
        <f t="shared" si="14"/>
        <v>0</v>
      </c>
      <c r="BI42" s="3"/>
      <c r="BK42" s="55">
        <v>0</v>
      </c>
      <c r="BL42" s="54">
        <v>0</v>
      </c>
      <c r="BM42" s="54">
        <v>0</v>
      </c>
      <c r="BN42" s="54">
        <v>0</v>
      </c>
      <c r="BO42" s="54">
        <v>0</v>
      </c>
      <c r="BP42" s="55">
        <v>1</v>
      </c>
      <c r="BQ42" s="55">
        <v>0</v>
      </c>
      <c r="BR42" s="55">
        <v>0</v>
      </c>
      <c r="BS42" s="54">
        <v>0</v>
      </c>
      <c r="BT42" s="54">
        <v>0</v>
      </c>
      <c r="BU42" s="126">
        <f t="shared" si="15"/>
        <v>1</v>
      </c>
    </row>
    <row r="43" spans="1:73" ht="21.75" customHeight="1" x14ac:dyDescent="0.25">
      <c r="A43" s="45">
        <v>39</v>
      </c>
      <c r="B43" s="11" t="s">
        <v>106</v>
      </c>
      <c r="C43" s="77" t="s">
        <v>107</v>
      </c>
      <c r="D43" s="85">
        <v>45283</v>
      </c>
      <c r="E43" s="65">
        <v>0.36180555555555555</v>
      </c>
      <c r="F43" s="65">
        <v>0.9458333333333333</v>
      </c>
      <c r="G43" s="65">
        <v>0.35347222222222219</v>
      </c>
      <c r="H43" s="65">
        <v>0.96458333333333324</v>
      </c>
      <c r="I43" s="91" t="s">
        <v>15</v>
      </c>
      <c r="J43" s="91" t="s">
        <v>15</v>
      </c>
      <c r="K43" s="65">
        <v>0.35625000000000001</v>
      </c>
      <c r="L43" s="65">
        <v>0.95000000000000007</v>
      </c>
      <c r="M43" s="65">
        <v>0.35833333333333334</v>
      </c>
      <c r="N43" s="65">
        <v>0.95000000000000007</v>
      </c>
      <c r="O43" s="65">
        <v>0.3576388888888889</v>
      </c>
      <c r="P43" s="65">
        <v>0.94791666666666663</v>
      </c>
      <c r="Q43" s="65">
        <v>0.3576388888888889</v>
      </c>
      <c r="R43" s="69">
        <v>1</v>
      </c>
      <c r="S43" s="65">
        <v>0.41805555555555557</v>
      </c>
      <c r="T43" s="65">
        <v>0.99097222222222225</v>
      </c>
      <c r="U43" s="65">
        <v>0.35972222222222222</v>
      </c>
      <c r="V43" s="65">
        <v>0.97569444444444453</v>
      </c>
      <c r="W43" s="98">
        <v>0.58194444444444449</v>
      </c>
      <c r="X43" s="98">
        <v>0.96527777777777779</v>
      </c>
      <c r="Y43" s="65">
        <v>0.35902777777777778</v>
      </c>
      <c r="Z43" s="65">
        <v>0.94374999999999998</v>
      </c>
      <c r="AA43" s="65">
        <v>0.35416666666666669</v>
      </c>
      <c r="AB43" s="65">
        <v>0.92847222222222225</v>
      </c>
      <c r="AC43" s="65">
        <v>0.35625000000000001</v>
      </c>
      <c r="AD43" s="65">
        <v>0.9194444444444444</v>
      </c>
      <c r="AE43" s="65">
        <v>0.3430555555555555</v>
      </c>
      <c r="AF43" s="65">
        <v>0.93888888888888899</v>
      </c>
      <c r="AG43" s="65">
        <v>0.45069444444444445</v>
      </c>
      <c r="AH43" s="65">
        <v>0.96250000000000002</v>
      </c>
      <c r="AI43" s="114"/>
      <c r="AJ43" s="45">
        <v>37</v>
      </c>
      <c r="AK43" s="65"/>
      <c r="AL43" s="65"/>
      <c r="AM43" s="65"/>
      <c r="AN43" s="65"/>
      <c r="AO43" s="65"/>
      <c r="AP43" s="65"/>
      <c r="AQ43" s="91"/>
      <c r="AR43" s="100"/>
      <c r="AS43" s="65"/>
      <c r="AT43" s="65"/>
      <c r="AU43" s="97">
        <f t="shared" si="2"/>
        <v>15</v>
      </c>
      <c r="AV43" s="68"/>
      <c r="AW43" s="1">
        <f t="shared" si="3"/>
        <v>14</v>
      </c>
      <c r="AX43" s="2">
        <f t="shared" si="4"/>
        <v>1</v>
      </c>
      <c r="AY43" s="2">
        <f t="shared" si="5"/>
        <v>0</v>
      </c>
      <c r="AZ43" s="2">
        <f t="shared" si="6"/>
        <v>0</v>
      </c>
      <c r="BA43" s="2">
        <f t="shared" si="7"/>
        <v>0</v>
      </c>
      <c r="BB43" s="2">
        <f t="shared" si="8"/>
        <v>0</v>
      </c>
      <c r="BC43" s="2">
        <f t="shared" si="9"/>
        <v>0</v>
      </c>
      <c r="BD43" s="2">
        <f t="shared" si="10"/>
        <v>0</v>
      </c>
      <c r="BE43" s="2">
        <f t="shared" si="11"/>
        <v>0</v>
      </c>
      <c r="BF43" s="2">
        <f t="shared" si="12"/>
        <v>0</v>
      </c>
      <c r="BG43" s="2">
        <f t="shared" si="13"/>
        <v>0</v>
      </c>
      <c r="BH43" s="2">
        <f t="shared" si="14"/>
        <v>0</v>
      </c>
      <c r="BI43" s="3"/>
      <c r="BK43" s="122">
        <v>0</v>
      </c>
      <c r="BL43" s="123">
        <v>0</v>
      </c>
      <c r="BM43" s="123">
        <v>0</v>
      </c>
      <c r="BN43" s="123">
        <v>0</v>
      </c>
      <c r="BO43" s="123">
        <v>0</v>
      </c>
      <c r="BP43" s="122">
        <v>3</v>
      </c>
      <c r="BQ43" s="122">
        <v>0</v>
      </c>
      <c r="BR43" s="122">
        <v>0</v>
      </c>
      <c r="BS43" s="123">
        <v>0</v>
      </c>
      <c r="BT43" s="123">
        <v>0</v>
      </c>
      <c r="BU43" s="125">
        <f t="shared" si="15"/>
        <v>3</v>
      </c>
    </row>
    <row r="44" spans="1:73" ht="21.75" customHeight="1" x14ac:dyDescent="0.25">
      <c r="A44" s="45">
        <v>40</v>
      </c>
      <c r="B44" s="11" t="s">
        <v>109</v>
      </c>
      <c r="C44" s="77" t="s">
        <v>110</v>
      </c>
      <c r="D44" s="85">
        <v>44990</v>
      </c>
      <c r="E44" s="65">
        <v>0.35972222222222222</v>
      </c>
      <c r="F44" s="65">
        <v>0.97361111111111109</v>
      </c>
      <c r="G44" s="65">
        <v>0.35486111111111113</v>
      </c>
      <c r="H44" s="65">
        <v>0.9916666666666667</v>
      </c>
      <c r="I44" s="91" t="s">
        <v>15</v>
      </c>
      <c r="J44" s="91" t="s">
        <v>15</v>
      </c>
      <c r="K44" s="65">
        <v>0.35416666666666669</v>
      </c>
      <c r="L44" s="65">
        <v>0.94861111111111107</v>
      </c>
      <c r="M44" s="65">
        <v>0.35555555555555557</v>
      </c>
      <c r="N44" s="65">
        <v>0.95833333333333337</v>
      </c>
      <c r="O44" s="65">
        <v>0.35416666666666669</v>
      </c>
      <c r="P44" s="65">
        <v>0.9604166666666667</v>
      </c>
      <c r="Q44" s="65">
        <v>0.35625000000000001</v>
      </c>
      <c r="R44" s="69">
        <v>1</v>
      </c>
      <c r="S44" s="65">
        <v>0.43124999999999997</v>
      </c>
      <c r="T44" s="65">
        <v>0.9868055555555556</v>
      </c>
      <c r="U44" s="65">
        <v>0.35416666666666669</v>
      </c>
      <c r="V44" s="65">
        <v>0.98333333333333339</v>
      </c>
      <c r="W44" s="98">
        <v>0.58124999999999993</v>
      </c>
      <c r="X44" s="98">
        <v>0.96527777777777779</v>
      </c>
      <c r="Y44" s="65">
        <v>0.35625000000000001</v>
      </c>
      <c r="Z44" s="65">
        <v>0.94444444444444453</v>
      </c>
      <c r="AA44" s="65">
        <v>0.34930555555555554</v>
      </c>
      <c r="AB44" s="65">
        <v>0.97361111111111109</v>
      </c>
      <c r="AC44" s="65">
        <v>0.3520833333333333</v>
      </c>
      <c r="AD44" s="65">
        <v>0.93055555555555547</v>
      </c>
      <c r="AE44" s="65">
        <v>0.3520833333333333</v>
      </c>
      <c r="AF44" s="65">
        <v>0.96180555555555547</v>
      </c>
      <c r="AG44" s="65">
        <v>0.35347222222222219</v>
      </c>
      <c r="AH44" s="65">
        <v>0.97499999999999998</v>
      </c>
      <c r="AI44" s="114"/>
      <c r="AJ44" s="45">
        <v>38</v>
      </c>
      <c r="AK44" s="65"/>
      <c r="AL44" s="65"/>
      <c r="AM44" s="65"/>
      <c r="AN44" s="65"/>
      <c r="AO44" s="65"/>
      <c r="AP44" s="65"/>
      <c r="AQ44" s="91"/>
      <c r="AR44" s="100"/>
      <c r="AS44" s="65"/>
      <c r="AT44" s="65"/>
      <c r="AU44" s="97">
        <f t="shared" si="2"/>
        <v>15</v>
      </c>
      <c r="AV44" s="68"/>
      <c r="AW44" s="1">
        <f t="shared" si="3"/>
        <v>14</v>
      </c>
      <c r="AX44" s="2">
        <f t="shared" si="4"/>
        <v>1</v>
      </c>
      <c r="AY44" s="2">
        <f t="shared" si="5"/>
        <v>0</v>
      </c>
      <c r="AZ44" s="2">
        <f t="shared" si="6"/>
        <v>0</v>
      </c>
      <c r="BA44" s="2">
        <f t="shared" si="7"/>
        <v>0</v>
      </c>
      <c r="BB44" s="2">
        <f t="shared" si="8"/>
        <v>0</v>
      </c>
      <c r="BC44" s="2">
        <f t="shared" si="9"/>
        <v>0</v>
      </c>
      <c r="BD44" s="2">
        <f t="shared" si="10"/>
        <v>0</v>
      </c>
      <c r="BE44" s="2">
        <f t="shared" si="11"/>
        <v>0</v>
      </c>
      <c r="BF44" s="2">
        <f t="shared" si="12"/>
        <v>0</v>
      </c>
      <c r="BG44" s="2">
        <f t="shared" si="13"/>
        <v>0</v>
      </c>
      <c r="BH44" s="2">
        <f t="shared" si="14"/>
        <v>0</v>
      </c>
      <c r="BI44" s="3"/>
      <c r="BK44" s="55">
        <v>0</v>
      </c>
      <c r="BL44" s="54">
        <v>0</v>
      </c>
      <c r="BM44" s="54">
        <v>0</v>
      </c>
      <c r="BN44" s="54">
        <v>0</v>
      </c>
      <c r="BO44" s="54">
        <v>0</v>
      </c>
      <c r="BP44" s="55">
        <v>1</v>
      </c>
      <c r="BQ44" s="55">
        <v>0</v>
      </c>
      <c r="BR44" s="55">
        <v>2</v>
      </c>
      <c r="BS44" s="54">
        <v>0</v>
      </c>
      <c r="BT44" s="54">
        <v>0</v>
      </c>
      <c r="BU44" s="126">
        <f t="shared" si="15"/>
        <v>3</v>
      </c>
    </row>
    <row r="45" spans="1:73" ht="21.75" customHeight="1" x14ac:dyDescent="0.25">
      <c r="A45" s="45">
        <v>41</v>
      </c>
      <c r="B45" s="11" t="s">
        <v>112</v>
      </c>
      <c r="C45" s="77" t="s">
        <v>178</v>
      </c>
      <c r="D45" s="85">
        <v>45243</v>
      </c>
      <c r="E45" s="65">
        <v>0.35347222222222219</v>
      </c>
      <c r="F45" s="65">
        <v>0.95833333333333337</v>
      </c>
      <c r="G45" s="65">
        <v>0.35416666666666669</v>
      </c>
      <c r="H45" s="65">
        <v>0.98749999999999993</v>
      </c>
      <c r="I45" s="98">
        <v>0.58263888888888882</v>
      </c>
      <c r="J45" s="98">
        <v>0.91736111111111107</v>
      </c>
      <c r="K45" s="65">
        <v>0.32708333333333334</v>
      </c>
      <c r="L45" s="65">
        <v>0.91875000000000007</v>
      </c>
      <c r="M45" s="65">
        <v>0.94097222222222221</v>
      </c>
      <c r="N45" s="65">
        <v>0.94097222222222221</v>
      </c>
      <c r="O45" s="65">
        <v>0.33680555555555558</v>
      </c>
      <c r="P45" s="65">
        <v>0.94791666666666663</v>
      </c>
      <c r="Q45" s="65">
        <v>0.33124999999999999</v>
      </c>
      <c r="R45" s="69">
        <v>1</v>
      </c>
      <c r="S45" s="65">
        <v>0.35347222222222219</v>
      </c>
      <c r="T45" s="65">
        <v>0.94513888888888886</v>
      </c>
      <c r="U45" s="65">
        <v>0.97499999999999998</v>
      </c>
      <c r="V45" s="69">
        <v>1</v>
      </c>
      <c r="W45" s="91" t="s">
        <v>15</v>
      </c>
      <c r="X45" s="91" t="s">
        <v>15</v>
      </c>
      <c r="Y45" s="65">
        <v>0.3520833333333333</v>
      </c>
      <c r="Z45" s="69">
        <v>1</v>
      </c>
      <c r="AA45" s="65">
        <v>0.34652777777777777</v>
      </c>
      <c r="AB45" s="65">
        <v>0.94097222222222221</v>
      </c>
      <c r="AC45" s="65">
        <v>0.34166666666666662</v>
      </c>
      <c r="AD45" s="65">
        <v>0.93263888888888891</v>
      </c>
      <c r="AE45" s="65">
        <v>0.35486111111111113</v>
      </c>
      <c r="AF45" s="65">
        <v>0.94305555555555554</v>
      </c>
      <c r="AG45" s="65">
        <v>0.35416666666666669</v>
      </c>
      <c r="AH45" s="69">
        <v>1</v>
      </c>
      <c r="AI45" s="114"/>
      <c r="AJ45" s="45">
        <v>39</v>
      </c>
      <c r="AK45" s="65"/>
      <c r="AL45" s="65"/>
      <c r="AM45" s="65"/>
      <c r="AN45" s="65"/>
      <c r="AO45" s="65"/>
      <c r="AP45" s="69"/>
      <c r="AQ45" s="98"/>
      <c r="AR45" s="98"/>
      <c r="AS45" s="65"/>
      <c r="AT45" s="65"/>
      <c r="AU45" s="97">
        <f t="shared" si="2"/>
        <v>15</v>
      </c>
      <c r="AV45" s="68"/>
      <c r="AW45" s="1">
        <f t="shared" si="3"/>
        <v>14</v>
      </c>
      <c r="AX45" s="2">
        <f t="shared" si="4"/>
        <v>1</v>
      </c>
      <c r="AY45" s="2">
        <f t="shared" si="5"/>
        <v>0</v>
      </c>
      <c r="AZ45" s="2">
        <f t="shared" si="6"/>
        <v>0</v>
      </c>
      <c r="BA45" s="2">
        <f t="shared" si="7"/>
        <v>0</v>
      </c>
      <c r="BB45" s="2">
        <f t="shared" si="8"/>
        <v>0</v>
      </c>
      <c r="BC45" s="2">
        <f t="shared" si="9"/>
        <v>0</v>
      </c>
      <c r="BD45" s="2">
        <f t="shared" si="10"/>
        <v>0</v>
      </c>
      <c r="BE45" s="2">
        <f t="shared" si="11"/>
        <v>0</v>
      </c>
      <c r="BF45" s="2">
        <f t="shared" si="12"/>
        <v>0</v>
      </c>
      <c r="BG45" s="2">
        <f t="shared" si="13"/>
        <v>0</v>
      </c>
      <c r="BH45" s="2">
        <f t="shared" si="14"/>
        <v>0</v>
      </c>
      <c r="BI45" s="3"/>
      <c r="BK45" s="122">
        <v>0</v>
      </c>
      <c r="BL45" s="123">
        <v>0</v>
      </c>
      <c r="BM45" s="123">
        <v>0</v>
      </c>
      <c r="BN45" s="123">
        <v>0</v>
      </c>
      <c r="BO45" s="123">
        <v>0</v>
      </c>
      <c r="BP45" s="123">
        <v>0</v>
      </c>
      <c r="BQ45" s="123">
        <v>0</v>
      </c>
      <c r="BR45" s="123">
        <v>0</v>
      </c>
      <c r="BS45" s="123">
        <v>0</v>
      </c>
      <c r="BT45" s="123">
        <v>0</v>
      </c>
      <c r="BU45" s="125">
        <f t="shared" si="15"/>
        <v>0</v>
      </c>
    </row>
    <row r="46" spans="1:73" ht="21.75" customHeight="1" x14ac:dyDescent="0.25">
      <c r="A46" s="45">
        <v>42</v>
      </c>
      <c r="B46" s="11" t="s">
        <v>113</v>
      </c>
      <c r="C46" s="8" t="s">
        <v>181</v>
      </c>
      <c r="E46" s="65">
        <v>0.35416666666666669</v>
      </c>
      <c r="F46" s="65">
        <v>0.94236111111111109</v>
      </c>
      <c r="G46" s="65">
        <v>0.35416666666666669</v>
      </c>
      <c r="H46" s="65">
        <v>0.96319444444444446</v>
      </c>
      <c r="I46" s="91" t="s">
        <v>15</v>
      </c>
      <c r="J46" s="91" t="s">
        <v>15</v>
      </c>
      <c r="K46" s="65">
        <v>0.35416666666666669</v>
      </c>
      <c r="L46" s="65">
        <v>0.96180555555555547</v>
      </c>
      <c r="M46" s="65">
        <v>0.35416666666666669</v>
      </c>
      <c r="N46" s="65">
        <v>0.94374999999999998</v>
      </c>
      <c r="O46" s="65">
        <v>0.35486111111111113</v>
      </c>
      <c r="P46" s="65">
        <v>0.94374999999999998</v>
      </c>
      <c r="Q46" s="65">
        <v>0.35486111111111113</v>
      </c>
      <c r="R46" s="65">
        <v>0.94305555555555554</v>
      </c>
      <c r="S46" s="65">
        <v>0.35486111111111113</v>
      </c>
      <c r="T46" s="65">
        <v>0.94374999999999998</v>
      </c>
      <c r="U46" s="65">
        <v>0.35347222222222219</v>
      </c>
      <c r="V46" s="65">
        <v>0.96875</v>
      </c>
      <c r="W46" s="98">
        <v>0.57986111111111105</v>
      </c>
      <c r="X46" s="98">
        <v>0.94861111111111107</v>
      </c>
      <c r="Y46" s="65">
        <v>0.35347222222222219</v>
      </c>
      <c r="Z46" s="65">
        <v>0.95833333333333337</v>
      </c>
      <c r="AA46" s="65">
        <v>0.35000000000000003</v>
      </c>
      <c r="AB46" s="65">
        <v>0.94305555555555554</v>
      </c>
      <c r="AC46" s="65">
        <v>0.35347222222222219</v>
      </c>
      <c r="AD46" s="65">
        <v>0.94374999999999998</v>
      </c>
      <c r="AE46" s="65">
        <v>0.35347222222222219</v>
      </c>
      <c r="AF46" s="65">
        <v>0.94513888888888886</v>
      </c>
      <c r="AG46" s="65">
        <v>0.35347222222222219</v>
      </c>
      <c r="AH46" s="65">
        <v>0.94374999999999998</v>
      </c>
      <c r="AI46" s="114"/>
      <c r="AJ46" s="45">
        <v>40</v>
      </c>
      <c r="AK46" s="65"/>
      <c r="AL46" s="65"/>
      <c r="AM46" s="65"/>
      <c r="AN46" s="65"/>
      <c r="AO46" s="65"/>
      <c r="AP46" s="65"/>
      <c r="AQ46" s="91"/>
      <c r="AR46" s="100"/>
      <c r="AS46" s="65"/>
      <c r="AT46" s="65"/>
      <c r="AU46" s="97">
        <f t="shared" si="2"/>
        <v>15</v>
      </c>
      <c r="AV46" s="68"/>
      <c r="AW46" s="1">
        <f t="shared" si="3"/>
        <v>14</v>
      </c>
      <c r="AX46" s="2">
        <f t="shared" si="4"/>
        <v>1</v>
      </c>
      <c r="AY46" s="2">
        <f t="shared" si="5"/>
        <v>0</v>
      </c>
      <c r="AZ46" s="2">
        <f t="shared" si="6"/>
        <v>0</v>
      </c>
      <c r="BA46" s="2">
        <f t="shared" si="7"/>
        <v>0</v>
      </c>
      <c r="BB46" s="2">
        <f t="shared" si="8"/>
        <v>0</v>
      </c>
      <c r="BC46" s="2">
        <f t="shared" si="9"/>
        <v>0</v>
      </c>
      <c r="BD46" s="2">
        <f t="shared" si="10"/>
        <v>0</v>
      </c>
      <c r="BE46" s="2">
        <f t="shared" si="11"/>
        <v>0</v>
      </c>
      <c r="BF46" s="2">
        <f t="shared" si="12"/>
        <v>0</v>
      </c>
      <c r="BG46" s="2">
        <f t="shared" si="13"/>
        <v>0</v>
      </c>
      <c r="BH46" s="2">
        <f t="shared" si="14"/>
        <v>0</v>
      </c>
      <c r="BI46" s="3"/>
      <c r="BK46" s="55">
        <v>0</v>
      </c>
      <c r="BL46" s="54">
        <v>0</v>
      </c>
      <c r="BM46" s="54">
        <v>0</v>
      </c>
      <c r="BN46" s="54">
        <v>0</v>
      </c>
      <c r="BO46" s="54">
        <v>0</v>
      </c>
      <c r="BP46" s="55">
        <v>-1</v>
      </c>
      <c r="BQ46" s="55">
        <v>0</v>
      </c>
      <c r="BR46" s="55">
        <v>-2</v>
      </c>
      <c r="BS46" s="54">
        <v>0</v>
      </c>
      <c r="BT46" s="54">
        <v>0</v>
      </c>
      <c r="BU46" s="126">
        <f t="shared" si="15"/>
        <v>-3</v>
      </c>
    </row>
    <row r="47" spans="1:73" ht="21.75" customHeight="1" x14ac:dyDescent="0.25">
      <c r="A47" s="45">
        <v>43</v>
      </c>
      <c r="B47" s="11" t="s">
        <v>118</v>
      </c>
      <c r="C47" s="77" t="s">
        <v>119</v>
      </c>
      <c r="D47" s="85">
        <v>45371</v>
      </c>
      <c r="E47" s="65">
        <v>0.34861111111111115</v>
      </c>
      <c r="F47" s="65">
        <v>0.95000000000000007</v>
      </c>
      <c r="G47" s="65">
        <v>0.34583333333333338</v>
      </c>
      <c r="H47" s="65">
        <v>0.9604166666666667</v>
      </c>
      <c r="I47" s="91" t="s">
        <v>15</v>
      </c>
      <c r="J47" s="91" t="s">
        <v>15</v>
      </c>
      <c r="K47" s="65">
        <v>0.34652777777777777</v>
      </c>
      <c r="L47" s="65">
        <v>0.96666666666666667</v>
      </c>
      <c r="M47" s="65">
        <v>0.34861111111111115</v>
      </c>
      <c r="N47" s="65">
        <v>0.94236111111111109</v>
      </c>
      <c r="O47" s="65">
        <v>0.34861111111111115</v>
      </c>
      <c r="P47" s="65">
        <v>0.95208333333333339</v>
      </c>
      <c r="Q47" s="65">
        <v>0.34652777777777777</v>
      </c>
      <c r="R47" s="65">
        <v>0.94027777777777777</v>
      </c>
      <c r="S47" s="65">
        <v>0.34236111111111112</v>
      </c>
      <c r="T47" s="69">
        <v>1</v>
      </c>
      <c r="U47" s="65">
        <v>0.34791666666666665</v>
      </c>
      <c r="V47" s="65">
        <v>0.97291666666666676</v>
      </c>
      <c r="W47" s="98">
        <v>0.5756944444444444</v>
      </c>
      <c r="X47" s="98">
        <v>0.94374999999999998</v>
      </c>
      <c r="Y47" s="65">
        <v>0.33958333333333335</v>
      </c>
      <c r="Z47" s="65">
        <v>0.9555555555555556</v>
      </c>
      <c r="AA47" s="65">
        <v>0.33819444444444446</v>
      </c>
      <c r="AB47" s="65">
        <v>0.94444444444444453</v>
      </c>
      <c r="AC47" s="65">
        <v>0.34791666666666665</v>
      </c>
      <c r="AD47" s="65">
        <v>0.94305555555555554</v>
      </c>
      <c r="AE47" s="65">
        <v>0.34652777777777777</v>
      </c>
      <c r="AF47" s="65">
        <v>0.94791666666666663</v>
      </c>
      <c r="AG47" s="65">
        <v>0.34791666666666665</v>
      </c>
      <c r="AH47" s="65">
        <v>0.9506944444444444</v>
      </c>
      <c r="AI47" s="114"/>
      <c r="AJ47" s="45">
        <v>41</v>
      </c>
      <c r="AK47" s="65"/>
      <c r="AL47" s="65"/>
      <c r="AM47" s="65"/>
      <c r="AN47" s="65"/>
      <c r="AO47" s="65"/>
      <c r="AP47" s="65"/>
      <c r="AQ47" s="91"/>
      <c r="AR47" s="100"/>
      <c r="AS47" s="65"/>
      <c r="AT47" s="65"/>
      <c r="AU47" s="97">
        <f t="shared" si="2"/>
        <v>15</v>
      </c>
      <c r="AV47" s="68"/>
      <c r="AW47" s="1">
        <f t="shared" si="3"/>
        <v>14</v>
      </c>
      <c r="AX47" s="2">
        <f t="shared" si="4"/>
        <v>1</v>
      </c>
      <c r="AY47" s="2">
        <f t="shared" si="5"/>
        <v>0</v>
      </c>
      <c r="AZ47" s="2">
        <f t="shared" si="6"/>
        <v>0</v>
      </c>
      <c r="BA47" s="2">
        <f t="shared" si="7"/>
        <v>0</v>
      </c>
      <c r="BB47" s="2">
        <f t="shared" si="8"/>
        <v>0</v>
      </c>
      <c r="BC47" s="2">
        <f t="shared" si="9"/>
        <v>0</v>
      </c>
      <c r="BD47" s="2">
        <f t="shared" si="10"/>
        <v>0</v>
      </c>
      <c r="BE47" s="2">
        <f t="shared" si="11"/>
        <v>0</v>
      </c>
      <c r="BF47" s="2">
        <f t="shared" si="12"/>
        <v>0</v>
      </c>
      <c r="BG47" s="2">
        <f t="shared" si="13"/>
        <v>0</v>
      </c>
      <c r="BH47" s="2">
        <f t="shared" si="14"/>
        <v>0</v>
      </c>
      <c r="BI47" s="3"/>
      <c r="BK47" s="55">
        <v>0</v>
      </c>
      <c r="BL47" s="54">
        <v>0</v>
      </c>
      <c r="BM47" s="54">
        <v>0</v>
      </c>
      <c r="BN47" s="54">
        <v>0</v>
      </c>
      <c r="BO47" s="54">
        <v>0</v>
      </c>
      <c r="BP47" s="54">
        <v>7</v>
      </c>
      <c r="BQ47" s="55">
        <v>0</v>
      </c>
      <c r="BR47" s="55">
        <v>4</v>
      </c>
      <c r="BS47" s="54">
        <v>0</v>
      </c>
      <c r="BT47" s="54">
        <v>0</v>
      </c>
      <c r="BU47" s="126">
        <f t="shared" si="15"/>
        <v>11</v>
      </c>
    </row>
    <row r="48" spans="1:73" ht="21.75" customHeight="1" x14ac:dyDescent="0.25">
      <c r="A48" s="45">
        <v>44</v>
      </c>
      <c r="B48" s="49" t="s">
        <v>193</v>
      </c>
      <c r="C48" s="81" t="s">
        <v>192</v>
      </c>
      <c r="D48" s="85">
        <v>45371</v>
      </c>
      <c r="E48" s="65">
        <v>0.34722222222222227</v>
      </c>
      <c r="F48" s="65">
        <v>0.95624999999999993</v>
      </c>
      <c r="G48" s="65">
        <v>0.34722222222222227</v>
      </c>
      <c r="H48" s="65">
        <v>0.92152777777777783</v>
      </c>
      <c r="I48" s="98">
        <v>0.56944444444444442</v>
      </c>
      <c r="J48" s="98">
        <v>0.91736111111111107</v>
      </c>
      <c r="K48" s="65">
        <v>0.35069444444444442</v>
      </c>
      <c r="L48" s="65">
        <v>0.90972222222222221</v>
      </c>
      <c r="M48" s="65">
        <v>0.34861111111111115</v>
      </c>
      <c r="N48" s="65">
        <v>0.9458333333333333</v>
      </c>
      <c r="O48" s="65">
        <v>0.3520833333333333</v>
      </c>
      <c r="P48" s="65">
        <v>0.90763888888888899</v>
      </c>
      <c r="Q48" s="65">
        <v>0.34027777777777773</v>
      </c>
      <c r="R48" s="65">
        <v>0.91249999999999998</v>
      </c>
      <c r="S48" s="65">
        <v>0.34652777777777777</v>
      </c>
      <c r="T48" s="65">
        <v>0.9472222222222223</v>
      </c>
      <c r="U48" s="65">
        <v>0.34375</v>
      </c>
      <c r="V48" s="65">
        <v>0.97361111111111109</v>
      </c>
      <c r="W48" s="91" t="s">
        <v>15</v>
      </c>
      <c r="X48" s="91" t="s">
        <v>15</v>
      </c>
      <c r="Y48" s="65">
        <v>0.3520833333333333</v>
      </c>
      <c r="Z48" s="65">
        <v>0.9291666666666667</v>
      </c>
      <c r="AA48" s="65">
        <v>0.34861111111111115</v>
      </c>
      <c r="AB48" s="65">
        <v>0.90486111111111101</v>
      </c>
      <c r="AC48" s="65">
        <v>0.34375</v>
      </c>
      <c r="AD48" s="69">
        <v>1</v>
      </c>
      <c r="AE48" s="65">
        <v>0.34236111111111112</v>
      </c>
      <c r="AF48" s="65">
        <v>0.89236111111111116</v>
      </c>
      <c r="AG48" s="65">
        <v>0.34513888888888888</v>
      </c>
      <c r="AH48" s="65">
        <v>0.89374999999999993</v>
      </c>
      <c r="AI48" s="114"/>
      <c r="AJ48" s="45">
        <v>42</v>
      </c>
      <c r="AK48" s="65"/>
      <c r="AL48" s="65"/>
      <c r="AM48" s="65"/>
      <c r="AN48" s="65"/>
      <c r="AO48" s="65"/>
      <c r="AP48" s="69"/>
      <c r="AQ48" s="98"/>
      <c r="AR48" s="98"/>
      <c r="AS48" s="76"/>
      <c r="AT48" s="65"/>
      <c r="AU48" s="97">
        <f t="shared" si="2"/>
        <v>15</v>
      </c>
      <c r="AV48" s="68"/>
      <c r="AW48" s="1">
        <f t="shared" si="3"/>
        <v>14</v>
      </c>
      <c r="AX48" s="2">
        <f t="shared" si="4"/>
        <v>1</v>
      </c>
      <c r="AY48" s="2">
        <f t="shared" si="5"/>
        <v>0</v>
      </c>
      <c r="AZ48" s="2">
        <f t="shared" si="6"/>
        <v>0</v>
      </c>
      <c r="BA48" s="2">
        <f t="shared" si="7"/>
        <v>0</v>
      </c>
      <c r="BB48" s="2">
        <f t="shared" si="8"/>
        <v>0</v>
      </c>
      <c r="BC48" s="2">
        <f t="shared" si="9"/>
        <v>0</v>
      </c>
      <c r="BD48" s="2">
        <f t="shared" si="10"/>
        <v>0</v>
      </c>
      <c r="BE48" s="2">
        <f t="shared" si="11"/>
        <v>0</v>
      </c>
      <c r="BF48" s="2">
        <f t="shared" si="12"/>
        <v>0</v>
      </c>
      <c r="BG48" s="2">
        <f t="shared" si="13"/>
        <v>0</v>
      </c>
      <c r="BH48" s="2">
        <f t="shared" si="14"/>
        <v>0</v>
      </c>
      <c r="BI48" s="3"/>
      <c r="BK48" s="122">
        <v>0</v>
      </c>
      <c r="BL48" s="123">
        <v>0</v>
      </c>
      <c r="BM48" s="123">
        <v>0</v>
      </c>
      <c r="BN48" s="123">
        <v>0</v>
      </c>
      <c r="BO48" s="123">
        <v>0</v>
      </c>
      <c r="BP48" s="122">
        <v>6</v>
      </c>
      <c r="BQ48" s="122">
        <v>1</v>
      </c>
      <c r="BR48" s="122">
        <v>1</v>
      </c>
      <c r="BS48" s="123">
        <v>0</v>
      </c>
      <c r="BT48" s="123">
        <v>0</v>
      </c>
      <c r="BU48" s="125">
        <f t="shared" si="15"/>
        <v>8</v>
      </c>
    </row>
    <row r="49" spans="1:73" ht="21.75" customHeight="1" x14ac:dyDescent="0.25">
      <c r="A49" s="45">
        <v>45</v>
      </c>
      <c r="B49" s="11" t="s">
        <v>120</v>
      </c>
      <c r="C49" s="77" t="s">
        <v>121</v>
      </c>
      <c r="D49" s="85">
        <v>45382</v>
      </c>
      <c r="E49" s="65">
        <v>0.34791666666666665</v>
      </c>
      <c r="F49" s="65">
        <v>0.95694444444444438</v>
      </c>
      <c r="G49" s="65">
        <v>0.33124999999999999</v>
      </c>
      <c r="H49" s="65">
        <v>0.96250000000000002</v>
      </c>
      <c r="I49" s="98">
        <v>0.56111111111111112</v>
      </c>
      <c r="J49" s="98">
        <v>0.94027777777777777</v>
      </c>
      <c r="K49" s="65">
        <v>0.34375</v>
      </c>
      <c r="L49" s="65">
        <v>0.95486111111111116</v>
      </c>
      <c r="M49" s="65">
        <v>0.33819444444444446</v>
      </c>
      <c r="N49" s="65">
        <v>0.94236111111111109</v>
      </c>
      <c r="O49" s="65">
        <v>0.3347222222222222</v>
      </c>
      <c r="P49" s="65">
        <v>0.95277777777777783</v>
      </c>
      <c r="Q49" s="65">
        <v>0.34236111111111112</v>
      </c>
      <c r="R49" s="65">
        <v>0.94513888888888886</v>
      </c>
      <c r="S49" s="65">
        <v>0.34166666666666662</v>
      </c>
      <c r="T49" s="65">
        <v>0.94444444444444453</v>
      </c>
      <c r="U49" s="65">
        <v>0.3430555555555555</v>
      </c>
      <c r="V49" s="65">
        <v>0.97499999999999998</v>
      </c>
      <c r="W49" s="91" t="s">
        <v>15</v>
      </c>
      <c r="X49" s="91" t="s">
        <v>15</v>
      </c>
      <c r="Y49" s="65">
        <v>0.34583333333333338</v>
      </c>
      <c r="Z49" s="65">
        <v>0.94791666666666663</v>
      </c>
      <c r="AA49" s="65">
        <v>0.33749999999999997</v>
      </c>
      <c r="AB49" s="65">
        <v>0.94444444444444453</v>
      </c>
      <c r="AC49" s="65">
        <v>0.34583333333333338</v>
      </c>
      <c r="AD49" s="65">
        <v>0.94166666666666676</v>
      </c>
      <c r="AE49" s="65">
        <v>0.3430555555555555</v>
      </c>
      <c r="AF49" s="65">
        <v>0.95833333333333337</v>
      </c>
      <c r="AG49" s="65">
        <v>0.34652777777777777</v>
      </c>
      <c r="AH49" s="69">
        <v>1</v>
      </c>
      <c r="AI49" s="114"/>
      <c r="AJ49" s="45">
        <v>43</v>
      </c>
      <c r="AK49" s="65"/>
      <c r="AL49" s="65"/>
      <c r="AM49" s="65"/>
      <c r="AN49" s="65"/>
      <c r="AO49" s="65"/>
      <c r="AP49" s="65"/>
      <c r="AQ49" s="98"/>
      <c r="AR49" s="98"/>
      <c r="AS49" s="65"/>
      <c r="AT49" s="65"/>
      <c r="AU49" s="97">
        <f t="shared" si="2"/>
        <v>15</v>
      </c>
      <c r="AV49" s="68"/>
      <c r="AW49" s="1">
        <f t="shared" si="3"/>
        <v>14</v>
      </c>
      <c r="AX49" s="2">
        <f t="shared" si="4"/>
        <v>1</v>
      </c>
      <c r="AY49" s="2">
        <f t="shared" si="5"/>
        <v>0</v>
      </c>
      <c r="AZ49" s="2">
        <f t="shared" si="6"/>
        <v>0</v>
      </c>
      <c r="BA49" s="2">
        <f t="shared" si="7"/>
        <v>0</v>
      </c>
      <c r="BB49" s="2">
        <f t="shared" si="8"/>
        <v>0</v>
      </c>
      <c r="BC49" s="2">
        <f t="shared" si="9"/>
        <v>0</v>
      </c>
      <c r="BD49" s="2">
        <f t="shared" si="10"/>
        <v>0</v>
      </c>
      <c r="BE49" s="2">
        <f t="shared" si="11"/>
        <v>0</v>
      </c>
      <c r="BF49" s="2">
        <f t="shared" si="12"/>
        <v>0</v>
      </c>
      <c r="BG49" s="2">
        <f t="shared" si="13"/>
        <v>0</v>
      </c>
      <c r="BH49" s="2">
        <f t="shared" si="14"/>
        <v>0</v>
      </c>
      <c r="BI49" s="3"/>
      <c r="BK49" s="55">
        <v>0</v>
      </c>
      <c r="BL49" s="54">
        <v>0</v>
      </c>
      <c r="BM49" s="54">
        <v>0</v>
      </c>
      <c r="BN49" s="54">
        <v>0</v>
      </c>
      <c r="BO49" s="54">
        <v>0</v>
      </c>
      <c r="BP49" s="55">
        <v>11</v>
      </c>
      <c r="BQ49" s="54">
        <v>0</v>
      </c>
      <c r="BR49" s="54">
        <v>0</v>
      </c>
      <c r="BS49" s="54">
        <v>0</v>
      </c>
      <c r="BT49" s="54">
        <v>0</v>
      </c>
      <c r="BU49" s="126">
        <f t="shared" si="15"/>
        <v>11</v>
      </c>
    </row>
    <row r="50" spans="1:73" ht="21.75" customHeight="1" x14ac:dyDescent="0.25">
      <c r="A50" s="45">
        <v>46</v>
      </c>
      <c r="B50" s="11" t="s">
        <v>122</v>
      </c>
      <c r="C50" s="77" t="s">
        <v>123</v>
      </c>
      <c r="D50" s="85">
        <v>45401</v>
      </c>
      <c r="E50" s="65">
        <v>0.3527777777777778</v>
      </c>
      <c r="F50" s="65">
        <v>0.97430555555555554</v>
      </c>
      <c r="G50" s="65">
        <v>0.35416666666666669</v>
      </c>
      <c r="H50" s="65">
        <v>0.99236111111111114</v>
      </c>
      <c r="I50" s="91" t="s">
        <v>15</v>
      </c>
      <c r="J50" s="91" t="s">
        <v>15</v>
      </c>
      <c r="K50" s="65">
        <v>0.35416666666666669</v>
      </c>
      <c r="L50" s="65">
        <v>0.94930555555555562</v>
      </c>
      <c r="M50" s="65">
        <v>0.35486111111111113</v>
      </c>
      <c r="N50" s="65">
        <v>0.9590277777777777</v>
      </c>
      <c r="O50" s="65">
        <v>0.35000000000000003</v>
      </c>
      <c r="P50" s="65">
        <v>0.96111111111111114</v>
      </c>
      <c r="Q50" s="65">
        <v>0.35555555555555557</v>
      </c>
      <c r="R50" s="69">
        <v>1</v>
      </c>
      <c r="S50" s="65">
        <v>0.35416666666666669</v>
      </c>
      <c r="T50" s="65">
        <v>0.9868055555555556</v>
      </c>
      <c r="U50" s="65">
        <v>0.3527777777777778</v>
      </c>
      <c r="V50" s="65">
        <v>0.98263888888888884</v>
      </c>
      <c r="W50" s="98">
        <v>0.58263888888888882</v>
      </c>
      <c r="X50" s="98">
        <v>0.96319444444444446</v>
      </c>
      <c r="Y50" s="65">
        <v>0.35347222222222219</v>
      </c>
      <c r="Z50" s="65">
        <v>0.9458333333333333</v>
      </c>
      <c r="AA50" s="65">
        <v>0.34722222222222227</v>
      </c>
      <c r="AB50" s="65">
        <v>0.97291666666666676</v>
      </c>
      <c r="AC50" s="65">
        <v>0.35347222222222219</v>
      </c>
      <c r="AD50" s="65">
        <v>0.93055555555555547</v>
      </c>
      <c r="AE50" s="65">
        <v>0.3527777777777778</v>
      </c>
      <c r="AF50" s="65">
        <v>0.96250000000000002</v>
      </c>
      <c r="AG50" s="65">
        <v>0.35347222222222219</v>
      </c>
      <c r="AH50" s="65">
        <v>0.97499999999999998</v>
      </c>
      <c r="AI50" s="106"/>
      <c r="AJ50" s="45">
        <v>44</v>
      </c>
      <c r="AK50" s="65"/>
      <c r="AL50" s="65"/>
      <c r="AM50" s="65"/>
      <c r="AN50" s="65"/>
      <c r="AO50" s="65"/>
      <c r="AP50" s="65"/>
      <c r="AQ50" s="91"/>
      <c r="AR50" s="100"/>
      <c r="AS50" s="65"/>
      <c r="AT50" s="65"/>
      <c r="AU50" s="97">
        <f t="shared" si="2"/>
        <v>15</v>
      </c>
      <c r="AV50" s="68"/>
      <c r="AW50" s="1">
        <f t="shared" si="3"/>
        <v>14</v>
      </c>
      <c r="AX50" s="2">
        <f t="shared" si="4"/>
        <v>1</v>
      </c>
      <c r="AY50" s="2">
        <f t="shared" si="5"/>
        <v>0</v>
      </c>
      <c r="AZ50" s="2">
        <f t="shared" si="6"/>
        <v>0</v>
      </c>
      <c r="BA50" s="2">
        <f t="shared" si="7"/>
        <v>0</v>
      </c>
      <c r="BB50" s="2">
        <f t="shared" si="8"/>
        <v>0</v>
      </c>
      <c r="BC50" s="2">
        <f t="shared" si="9"/>
        <v>0</v>
      </c>
      <c r="BD50" s="2">
        <f t="shared" si="10"/>
        <v>0</v>
      </c>
      <c r="BE50" s="2">
        <f t="shared" si="11"/>
        <v>0</v>
      </c>
      <c r="BF50" s="2">
        <f t="shared" si="12"/>
        <v>0</v>
      </c>
      <c r="BG50" s="2">
        <f t="shared" si="13"/>
        <v>0</v>
      </c>
      <c r="BH50" s="2">
        <f t="shared" si="14"/>
        <v>0</v>
      </c>
      <c r="BI50" s="3"/>
      <c r="BK50" s="122">
        <v>0</v>
      </c>
      <c r="BL50" s="123">
        <v>0</v>
      </c>
      <c r="BM50" s="123">
        <v>0</v>
      </c>
      <c r="BN50" s="123">
        <v>0</v>
      </c>
      <c r="BO50" s="123">
        <v>0</v>
      </c>
      <c r="BP50" s="122">
        <v>1</v>
      </c>
      <c r="BQ50" s="122">
        <v>1</v>
      </c>
      <c r="BR50" s="123">
        <v>0</v>
      </c>
      <c r="BS50" s="123">
        <v>0</v>
      </c>
      <c r="BT50" s="123">
        <v>0</v>
      </c>
      <c r="BU50" s="125">
        <f t="shared" si="15"/>
        <v>2</v>
      </c>
    </row>
    <row r="51" spans="1:73" ht="21.75" customHeight="1" x14ac:dyDescent="0.25">
      <c r="A51" s="45">
        <v>47</v>
      </c>
      <c r="B51" s="11" t="s">
        <v>124</v>
      </c>
      <c r="C51" s="77" t="s">
        <v>125</v>
      </c>
      <c r="D51" s="85">
        <v>45401</v>
      </c>
      <c r="E51" s="65">
        <v>0.34861111111111115</v>
      </c>
      <c r="F51" s="65">
        <v>0.93611111111111101</v>
      </c>
      <c r="G51" s="65">
        <v>0.3520833333333333</v>
      </c>
      <c r="H51" s="65">
        <v>0.9555555555555556</v>
      </c>
      <c r="I51" s="91" t="s">
        <v>15</v>
      </c>
      <c r="J51" s="91" t="s">
        <v>15</v>
      </c>
      <c r="K51" s="65">
        <v>0.3527777777777778</v>
      </c>
      <c r="L51" s="65">
        <v>0.95138888888888884</v>
      </c>
      <c r="M51" s="65">
        <v>0.34861111111111115</v>
      </c>
      <c r="N51" s="65">
        <v>0.92708333333333337</v>
      </c>
      <c r="O51" s="65">
        <v>0.35486111111111113</v>
      </c>
      <c r="P51" s="65">
        <v>0.92569444444444438</v>
      </c>
      <c r="Q51" s="65">
        <v>0.34791666666666665</v>
      </c>
      <c r="R51" s="65">
        <v>0.96388888888888891</v>
      </c>
      <c r="S51" s="65">
        <v>0.35138888888888892</v>
      </c>
      <c r="T51" s="65">
        <v>0.93680555555555556</v>
      </c>
      <c r="U51" s="65">
        <v>0.3527777777777778</v>
      </c>
      <c r="V51" s="65">
        <v>0.98333333333333339</v>
      </c>
      <c r="W51" s="98">
        <v>0.57916666666666672</v>
      </c>
      <c r="X51" s="98">
        <v>0.94444444444444453</v>
      </c>
      <c r="Y51" s="65">
        <v>0.35138888888888892</v>
      </c>
      <c r="Z51" s="65">
        <v>0.95000000000000007</v>
      </c>
      <c r="AA51" s="65">
        <v>0.34513888888888888</v>
      </c>
      <c r="AB51" s="65">
        <v>0.91388888888888886</v>
      </c>
      <c r="AC51" s="65">
        <v>0.34930555555555554</v>
      </c>
      <c r="AD51" s="65">
        <v>0.92291666666666661</v>
      </c>
      <c r="AE51" s="65">
        <v>0.3520833333333333</v>
      </c>
      <c r="AF51" s="65">
        <v>0.93680555555555556</v>
      </c>
      <c r="AG51" s="65">
        <v>0.34583333333333338</v>
      </c>
      <c r="AH51" s="65">
        <v>0.92152777777777783</v>
      </c>
      <c r="AI51" s="114"/>
      <c r="AJ51" s="45">
        <v>45</v>
      </c>
      <c r="AK51" s="65"/>
      <c r="AL51" s="65"/>
      <c r="AM51" s="65"/>
      <c r="AN51" s="65"/>
      <c r="AO51" s="65"/>
      <c r="AP51" s="65"/>
      <c r="AQ51" s="91"/>
      <c r="AR51" s="100"/>
      <c r="AS51" s="65"/>
      <c r="AT51" s="65"/>
      <c r="AU51" s="97">
        <f t="shared" si="2"/>
        <v>15</v>
      </c>
      <c r="AV51" s="68"/>
      <c r="AW51" s="1">
        <f t="shared" si="3"/>
        <v>14</v>
      </c>
      <c r="AX51" s="2">
        <f t="shared" si="4"/>
        <v>1</v>
      </c>
      <c r="AY51" s="2">
        <f t="shared" si="5"/>
        <v>0</v>
      </c>
      <c r="AZ51" s="2">
        <f t="shared" si="6"/>
        <v>0</v>
      </c>
      <c r="BA51" s="2">
        <f t="shared" si="7"/>
        <v>0</v>
      </c>
      <c r="BB51" s="2">
        <f t="shared" si="8"/>
        <v>0</v>
      </c>
      <c r="BC51" s="2">
        <f t="shared" si="9"/>
        <v>0</v>
      </c>
      <c r="BD51" s="2">
        <f t="shared" si="10"/>
        <v>0</v>
      </c>
      <c r="BE51" s="2">
        <f t="shared" si="11"/>
        <v>0</v>
      </c>
      <c r="BF51" s="2">
        <f t="shared" si="12"/>
        <v>0</v>
      </c>
      <c r="BG51" s="2">
        <f t="shared" si="13"/>
        <v>0</v>
      </c>
      <c r="BH51" s="2">
        <f t="shared" si="14"/>
        <v>0</v>
      </c>
      <c r="BI51" s="3"/>
      <c r="BK51" s="55">
        <v>0</v>
      </c>
      <c r="BL51" s="54">
        <v>0</v>
      </c>
      <c r="BM51" s="54">
        <v>0</v>
      </c>
      <c r="BN51" s="54">
        <v>0</v>
      </c>
      <c r="BO51" s="54">
        <v>0</v>
      </c>
      <c r="BP51" s="55">
        <v>2</v>
      </c>
      <c r="BQ51" s="54">
        <v>0</v>
      </c>
      <c r="BR51" s="54">
        <v>0</v>
      </c>
      <c r="BS51" s="54">
        <v>0</v>
      </c>
      <c r="BT51" s="54">
        <v>0</v>
      </c>
      <c r="BU51" s="126">
        <f t="shared" si="15"/>
        <v>2</v>
      </c>
    </row>
    <row r="52" spans="1:73" ht="21.75" customHeight="1" x14ac:dyDescent="0.25">
      <c r="A52" s="45">
        <v>48</v>
      </c>
      <c r="B52" s="11" t="s">
        <v>127</v>
      </c>
      <c r="C52" s="77" t="s">
        <v>182</v>
      </c>
      <c r="D52" s="85">
        <v>45447</v>
      </c>
      <c r="E52" s="65">
        <v>0.34791666666666665</v>
      </c>
      <c r="F52" s="65">
        <v>0.91319444444444453</v>
      </c>
      <c r="G52" s="65">
        <v>0.35000000000000003</v>
      </c>
      <c r="H52" s="65">
        <v>0.92291666666666661</v>
      </c>
      <c r="I52" s="98">
        <v>0.57777777777777783</v>
      </c>
      <c r="J52" s="98">
        <v>0.87847222222222221</v>
      </c>
      <c r="K52" s="65">
        <v>0.35069444444444442</v>
      </c>
      <c r="L52" s="65">
        <v>0.93541666666666667</v>
      </c>
      <c r="M52" s="65">
        <v>0.34722222222222227</v>
      </c>
      <c r="N52" s="65">
        <v>0.89722222222222225</v>
      </c>
      <c r="O52" s="65">
        <v>0.34930555555555554</v>
      </c>
      <c r="P52" s="65">
        <v>0.89930555555555547</v>
      </c>
      <c r="Q52" s="65">
        <v>0.34791666666666665</v>
      </c>
      <c r="R52" s="65">
        <v>0.8965277777777777</v>
      </c>
      <c r="S52" s="65">
        <v>0.34930555555555554</v>
      </c>
      <c r="T52" s="65">
        <v>0.90416666666666667</v>
      </c>
      <c r="U52" s="65">
        <v>0.34791666666666665</v>
      </c>
      <c r="V52" s="65">
        <v>0.94166666666666676</v>
      </c>
      <c r="W52" s="91" t="s">
        <v>15</v>
      </c>
      <c r="X52" s="91" t="s">
        <v>15</v>
      </c>
      <c r="Y52" s="65">
        <v>0.34930555555555554</v>
      </c>
      <c r="Z52" s="65">
        <v>0.92291666666666661</v>
      </c>
      <c r="AA52" s="65">
        <v>0.34375</v>
      </c>
      <c r="AB52" s="65">
        <v>0.91180555555555554</v>
      </c>
      <c r="AC52" s="65">
        <v>0.35000000000000003</v>
      </c>
      <c r="AD52" s="65">
        <v>0.90208333333333324</v>
      </c>
      <c r="AE52" s="65">
        <v>0.35138888888888892</v>
      </c>
      <c r="AF52" s="65">
        <v>0.91249999999999998</v>
      </c>
      <c r="AG52" s="65">
        <v>0.34583333333333338</v>
      </c>
      <c r="AH52" s="65">
        <v>0.92152777777777783</v>
      </c>
      <c r="AI52" s="114"/>
      <c r="AJ52" s="45">
        <v>46</v>
      </c>
      <c r="AK52" s="65"/>
      <c r="AL52" s="65"/>
      <c r="AM52" s="65"/>
      <c r="AN52" s="65"/>
      <c r="AO52" s="65"/>
      <c r="AP52" s="65"/>
      <c r="AQ52" s="98"/>
      <c r="AR52" s="98"/>
      <c r="AS52" s="65"/>
      <c r="AT52" s="65"/>
      <c r="AU52" s="97">
        <f t="shared" si="2"/>
        <v>15</v>
      </c>
      <c r="AV52" s="68"/>
      <c r="AW52" s="1">
        <f t="shared" si="3"/>
        <v>14</v>
      </c>
      <c r="AX52" s="2">
        <f t="shared" si="4"/>
        <v>1</v>
      </c>
      <c r="AY52" s="2">
        <f t="shared" si="5"/>
        <v>0</v>
      </c>
      <c r="AZ52" s="2">
        <f t="shared" si="6"/>
        <v>0</v>
      </c>
      <c r="BA52" s="2">
        <f t="shared" si="7"/>
        <v>0</v>
      </c>
      <c r="BB52" s="2">
        <f t="shared" si="8"/>
        <v>0</v>
      </c>
      <c r="BC52" s="2">
        <f t="shared" si="9"/>
        <v>0</v>
      </c>
      <c r="BD52" s="2">
        <f t="shared" si="10"/>
        <v>0</v>
      </c>
      <c r="BE52" s="2">
        <f t="shared" si="11"/>
        <v>0</v>
      </c>
      <c r="BF52" s="2">
        <f t="shared" si="12"/>
        <v>0</v>
      </c>
      <c r="BG52" s="2">
        <f t="shared" si="13"/>
        <v>0</v>
      </c>
      <c r="BH52" s="2">
        <f t="shared" si="14"/>
        <v>0</v>
      </c>
      <c r="BI52" s="3"/>
      <c r="BK52" s="122">
        <v>0</v>
      </c>
      <c r="BL52" s="123">
        <v>0</v>
      </c>
      <c r="BM52" s="123">
        <v>0</v>
      </c>
      <c r="BN52" s="123">
        <v>0</v>
      </c>
      <c r="BO52" s="123">
        <v>0</v>
      </c>
      <c r="BP52" s="122">
        <v>1</v>
      </c>
      <c r="BQ52" s="123">
        <v>0</v>
      </c>
      <c r="BR52" s="123">
        <v>0</v>
      </c>
      <c r="BS52" s="123">
        <v>0</v>
      </c>
      <c r="BT52" s="123">
        <v>0</v>
      </c>
      <c r="BU52" s="125">
        <f t="shared" si="15"/>
        <v>1</v>
      </c>
    </row>
    <row r="53" spans="1:73" ht="21.75" customHeight="1" x14ac:dyDescent="0.25">
      <c r="A53" s="45">
        <v>49</v>
      </c>
      <c r="B53" s="11" t="s">
        <v>128</v>
      </c>
      <c r="C53" s="77" t="s">
        <v>183</v>
      </c>
      <c r="D53" s="85">
        <v>45467</v>
      </c>
      <c r="E53" s="65">
        <v>0.35555555555555557</v>
      </c>
      <c r="F53" s="69">
        <v>1</v>
      </c>
      <c r="G53" s="65">
        <v>0.35625000000000001</v>
      </c>
      <c r="H53" s="65">
        <v>0.96944444444444444</v>
      </c>
      <c r="I53" s="91" t="s">
        <v>15</v>
      </c>
      <c r="J53" s="91" t="s">
        <v>15</v>
      </c>
      <c r="K53" s="65">
        <v>0.35555555555555557</v>
      </c>
      <c r="L53" s="69">
        <v>1</v>
      </c>
      <c r="M53" s="65">
        <v>0.35625000000000001</v>
      </c>
      <c r="N53" s="65">
        <v>0.95486111111111116</v>
      </c>
      <c r="O53" s="65">
        <v>0.35833333333333334</v>
      </c>
      <c r="P53" s="69">
        <v>1</v>
      </c>
      <c r="Q53" s="65">
        <v>0.35555555555555557</v>
      </c>
      <c r="R53" s="65">
        <v>0.94374999999999998</v>
      </c>
      <c r="S53" s="65">
        <v>0.35625000000000001</v>
      </c>
      <c r="T53" s="65">
        <v>0.95277777777777783</v>
      </c>
      <c r="U53" s="65">
        <v>0.35555555555555557</v>
      </c>
      <c r="V53" s="65">
        <v>0.97638888888888886</v>
      </c>
      <c r="W53" s="98">
        <v>0.5854166666666667</v>
      </c>
      <c r="X53" s="98">
        <v>0.95694444444444438</v>
      </c>
      <c r="Y53" s="65">
        <v>0.35625000000000001</v>
      </c>
      <c r="Z53" s="65">
        <v>0.35625000000000001</v>
      </c>
      <c r="AA53" s="65">
        <v>0.35138888888888892</v>
      </c>
      <c r="AB53" s="65">
        <v>0.94652777777777775</v>
      </c>
      <c r="AC53" s="65">
        <v>0.35486111111111113</v>
      </c>
      <c r="AD53" s="65">
        <v>0.95138888888888884</v>
      </c>
      <c r="AE53" s="65">
        <v>0.35486111111111113</v>
      </c>
      <c r="AF53" s="65">
        <v>0.94444444444444453</v>
      </c>
      <c r="AG53" s="65">
        <v>0.35486111111111113</v>
      </c>
      <c r="AH53" s="65">
        <v>0.94930555555555562</v>
      </c>
      <c r="AI53" s="106"/>
      <c r="AJ53" s="45">
        <v>47</v>
      </c>
      <c r="AK53" s="65"/>
      <c r="AL53" s="65"/>
      <c r="AM53" s="65"/>
      <c r="AN53" s="65"/>
      <c r="AO53" s="65"/>
      <c r="AP53" s="69"/>
      <c r="AQ53" s="91"/>
      <c r="AR53" s="100"/>
      <c r="AS53" s="65"/>
      <c r="AT53" s="65"/>
      <c r="AU53" s="97">
        <f t="shared" si="2"/>
        <v>15</v>
      </c>
      <c r="AV53" s="68"/>
      <c r="AW53" s="1">
        <f t="shared" si="3"/>
        <v>14</v>
      </c>
      <c r="AX53" s="2">
        <f t="shared" si="4"/>
        <v>1</v>
      </c>
      <c r="AY53" s="2">
        <f t="shared" si="5"/>
        <v>0</v>
      </c>
      <c r="AZ53" s="2">
        <f t="shared" si="6"/>
        <v>0</v>
      </c>
      <c r="BA53" s="2">
        <f t="shared" si="7"/>
        <v>0</v>
      </c>
      <c r="BB53" s="2">
        <f t="shared" si="8"/>
        <v>0</v>
      </c>
      <c r="BC53" s="2">
        <f t="shared" si="9"/>
        <v>0</v>
      </c>
      <c r="BD53" s="2">
        <f t="shared" si="10"/>
        <v>0</v>
      </c>
      <c r="BE53" s="2">
        <f t="shared" si="11"/>
        <v>0</v>
      </c>
      <c r="BF53" s="2">
        <f t="shared" si="12"/>
        <v>0</v>
      </c>
      <c r="BG53" s="2">
        <f t="shared" si="13"/>
        <v>0</v>
      </c>
      <c r="BH53" s="2">
        <f t="shared" si="14"/>
        <v>0</v>
      </c>
      <c r="BI53" s="3"/>
      <c r="BK53" s="55">
        <v>0</v>
      </c>
      <c r="BL53" s="54">
        <v>0</v>
      </c>
      <c r="BM53" s="54">
        <v>0</v>
      </c>
      <c r="BN53" s="54">
        <v>0</v>
      </c>
      <c r="BO53" s="54">
        <v>0</v>
      </c>
      <c r="BP53" s="55">
        <v>1</v>
      </c>
      <c r="BQ53" s="54">
        <v>0</v>
      </c>
      <c r="BR53" s="54">
        <v>0</v>
      </c>
      <c r="BS53" s="54">
        <v>0</v>
      </c>
      <c r="BT53" s="54">
        <v>0</v>
      </c>
      <c r="BU53" s="126">
        <f t="shared" si="15"/>
        <v>1</v>
      </c>
    </row>
    <row r="54" spans="1:73" ht="21.75" customHeight="1" x14ac:dyDescent="0.25">
      <c r="A54" s="45">
        <v>50</v>
      </c>
      <c r="B54" s="11" t="s">
        <v>129</v>
      </c>
      <c r="C54" s="77" t="s">
        <v>130</v>
      </c>
      <c r="D54" s="85">
        <v>45491</v>
      </c>
      <c r="E54" s="65">
        <v>0.35486111111111113</v>
      </c>
      <c r="F54" s="65">
        <v>0.97430555555555554</v>
      </c>
      <c r="G54" s="65">
        <v>0.35555555555555557</v>
      </c>
      <c r="H54" s="65">
        <v>0.99236111111111114</v>
      </c>
      <c r="I54" s="91" t="s">
        <v>15</v>
      </c>
      <c r="J54" s="91" t="s">
        <v>15</v>
      </c>
      <c r="K54" s="65">
        <v>0.35486111111111113</v>
      </c>
      <c r="L54" s="65">
        <v>0.94930555555555562</v>
      </c>
      <c r="M54" s="65">
        <v>0.35486111111111113</v>
      </c>
      <c r="N54" s="65">
        <v>0.95833333333333337</v>
      </c>
      <c r="O54" s="65">
        <v>0.35555555555555557</v>
      </c>
      <c r="P54" s="69">
        <v>1</v>
      </c>
      <c r="Q54" s="65">
        <v>0.35486111111111113</v>
      </c>
      <c r="R54" s="65">
        <v>0.97361111111111109</v>
      </c>
      <c r="S54" s="65">
        <v>0.35416666666666669</v>
      </c>
      <c r="T54" s="65">
        <v>2.0833333333333333E-3</v>
      </c>
      <c r="U54" s="65">
        <v>0.35486111111111113</v>
      </c>
      <c r="V54" s="65">
        <v>0.98402777777777783</v>
      </c>
      <c r="W54" s="98">
        <v>0.58402777777777781</v>
      </c>
      <c r="X54" s="98">
        <v>0.96736111111111101</v>
      </c>
      <c r="Y54" s="65">
        <v>0.3520833333333333</v>
      </c>
      <c r="Z54" s="65">
        <v>0.95208333333333339</v>
      </c>
      <c r="AA54" s="65">
        <v>0.34930555555555554</v>
      </c>
      <c r="AB54" s="65">
        <v>0.97430555555555554</v>
      </c>
      <c r="AC54" s="65">
        <v>0.3527777777777778</v>
      </c>
      <c r="AD54" s="65">
        <v>0.93055555555555547</v>
      </c>
      <c r="AE54" s="65">
        <v>0.3527777777777778</v>
      </c>
      <c r="AF54" s="65">
        <v>0.96250000000000002</v>
      </c>
      <c r="AG54" s="65">
        <v>0.35347222222222219</v>
      </c>
      <c r="AH54" s="65">
        <v>0.97499999999999998</v>
      </c>
      <c r="AI54" s="114"/>
      <c r="AJ54" s="45">
        <v>48</v>
      </c>
      <c r="AK54" s="65"/>
      <c r="AL54" s="65"/>
      <c r="AM54" s="65"/>
      <c r="AN54" s="65"/>
      <c r="AO54" s="65"/>
      <c r="AP54" s="65"/>
      <c r="AQ54" s="91"/>
      <c r="AR54" s="100"/>
      <c r="AS54" s="65"/>
      <c r="AT54" s="65"/>
      <c r="AU54" s="97">
        <f t="shared" si="2"/>
        <v>15</v>
      </c>
      <c r="AV54" s="68"/>
      <c r="AW54" s="1">
        <f t="shared" si="3"/>
        <v>14</v>
      </c>
      <c r="AX54" s="2">
        <f t="shared" si="4"/>
        <v>1</v>
      </c>
      <c r="AY54" s="2">
        <f t="shared" si="5"/>
        <v>0</v>
      </c>
      <c r="AZ54" s="2">
        <f t="shared" si="6"/>
        <v>0</v>
      </c>
      <c r="BA54" s="2">
        <f t="shared" si="7"/>
        <v>0</v>
      </c>
      <c r="BB54" s="2">
        <f t="shared" si="8"/>
        <v>0</v>
      </c>
      <c r="BC54" s="2">
        <f t="shared" si="9"/>
        <v>0</v>
      </c>
      <c r="BD54" s="2">
        <f t="shared" si="10"/>
        <v>0</v>
      </c>
      <c r="BE54" s="2">
        <f t="shared" si="11"/>
        <v>0</v>
      </c>
      <c r="BF54" s="2">
        <f t="shared" si="12"/>
        <v>0</v>
      </c>
      <c r="BG54" s="2">
        <f t="shared" si="13"/>
        <v>0</v>
      </c>
      <c r="BH54" s="2">
        <f t="shared" si="14"/>
        <v>0</v>
      </c>
      <c r="BI54" s="3"/>
      <c r="BK54" s="122">
        <v>0</v>
      </c>
      <c r="BL54" s="123">
        <v>0</v>
      </c>
      <c r="BM54" s="123">
        <v>0</v>
      </c>
      <c r="BN54" s="123">
        <v>0</v>
      </c>
      <c r="BO54" s="123">
        <v>0</v>
      </c>
      <c r="BP54" s="122">
        <v>4</v>
      </c>
      <c r="BQ54" s="123">
        <v>0</v>
      </c>
      <c r="BR54" s="122">
        <v>5</v>
      </c>
      <c r="BS54" s="123">
        <v>0</v>
      </c>
      <c r="BT54" s="123">
        <v>0</v>
      </c>
      <c r="BU54" s="125">
        <f t="shared" si="15"/>
        <v>9</v>
      </c>
    </row>
    <row r="55" spans="1:73" ht="21.75" customHeight="1" x14ac:dyDescent="0.25">
      <c r="A55" s="45">
        <v>51</v>
      </c>
      <c r="B55" s="11" t="s">
        <v>131</v>
      </c>
      <c r="C55" s="77" t="s">
        <v>132</v>
      </c>
      <c r="D55" s="85">
        <v>45512</v>
      </c>
      <c r="E55" s="65">
        <v>0.35347222222222219</v>
      </c>
      <c r="F55" s="65">
        <v>0.95000000000000007</v>
      </c>
      <c r="G55" s="65">
        <v>0.3527777777777778</v>
      </c>
      <c r="H55" s="65">
        <v>0.97222222222222221</v>
      </c>
      <c r="I55" s="98">
        <v>0.58194444444444449</v>
      </c>
      <c r="J55" s="98">
        <v>0.94930555555555562</v>
      </c>
      <c r="K55" s="65">
        <v>0.3527777777777778</v>
      </c>
      <c r="L55" s="65">
        <v>0.97083333333333333</v>
      </c>
      <c r="M55" s="65">
        <v>0.35416666666666669</v>
      </c>
      <c r="N55" s="65">
        <v>0.95277777777777783</v>
      </c>
      <c r="O55" s="65">
        <v>0.35416666666666669</v>
      </c>
      <c r="P55" s="65">
        <v>0.95208333333333339</v>
      </c>
      <c r="Q55" s="65">
        <v>0.35347222222222219</v>
      </c>
      <c r="R55" s="65">
        <v>0.94791666666666663</v>
      </c>
      <c r="S55" s="65">
        <v>0.3527777777777778</v>
      </c>
      <c r="T55" s="65">
        <v>0.95208333333333339</v>
      </c>
      <c r="U55" s="65">
        <v>0.35069444444444442</v>
      </c>
      <c r="V55" s="65">
        <v>0.97638888888888886</v>
      </c>
      <c r="W55" s="91" t="s">
        <v>15</v>
      </c>
      <c r="X55" s="91" t="s">
        <v>15</v>
      </c>
      <c r="Y55" s="65">
        <v>0.35069444444444442</v>
      </c>
      <c r="Z55" s="65">
        <v>0.96666666666666667</v>
      </c>
      <c r="AA55" s="65">
        <v>0.34791666666666665</v>
      </c>
      <c r="AB55" s="65">
        <v>0.9555555555555556</v>
      </c>
      <c r="AC55" s="65">
        <v>0.35069444444444442</v>
      </c>
      <c r="AD55" s="65">
        <v>0.95138888888888884</v>
      </c>
      <c r="AE55" s="65">
        <v>0.3520833333333333</v>
      </c>
      <c r="AF55" s="65">
        <v>0.95138888888888884</v>
      </c>
      <c r="AG55" s="65">
        <v>0.3527777777777778</v>
      </c>
      <c r="AH55" s="65">
        <v>0.95624999999999993</v>
      </c>
      <c r="AI55" s="114"/>
      <c r="AJ55" s="45">
        <v>49</v>
      </c>
      <c r="AK55" s="65"/>
      <c r="AL55" s="65"/>
      <c r="AM55" s="74"/>
      <c r="AN55" s="74"/>
      <c r="AO55" s="65"/>
      <c r="AP55" s="65"/>
      <c r="AQ55" s="98"/>
      <c r="AR55" s="98"/>
      <c r="AS55" s="65"/>
      <c r="AT55" s="65"/>
      <c r="AU55" s="97">
        <f t="shared" si="2"/>
        <v>15</v>
      </c>
      <c r="AV55" s="68"/>
      <c r="AW55" s="1">
        <f t="shared" si="3"/>
        <v>14</v>
      </c>
      <c r="AX55" s="2">
        <f t="shared" si="4"/>
        <v>1</v>
      </c>
      <c r="AY55" s="2">
        <f t="shared" si="5"/>
        <v>0</v>
      </c>
      <c r="AZ55" s="2">
        <f t="shared" si="6"/>
        <v>0</v>
      </c>
      <c r="BA55" s="2">
        <f t="shared" si="7"/>
        <v>0</v>
      </c>
      <c r="BB55" s="2">
        <f t="shared" si="8"/>
        <v>0</v>
      </c>
      <c r="BC55" s="2">
        <f t="shared" si="9"/>
        <v>0</v>
      </c>
      <c r="BD55" s="2">
        <f t="shared" si="10"/>
        <v>0</v>
      </c>
      <c r="BE55" s="2">
        <f t="shared" si="11"/>
        <v>0</v>
      </c>
      <c r="BF55" s="2">
        <f t="shared" si="12"/>
        <v>0</v>
      </c>
      <c r="BG55" s="2">
        <f t="shared" si="13"/>
        <v>0</v>
      </c>
      <c r="BH55" s="2">
        <f t="shared" si="14"/>
        <v>0</v>
      </c>
      <c r="BI55" s="3"/>
      <c r="BK55" s="55">
        <v>0</v>
      </c>
      <c r="BL55" s="54">
        <v>0</v>
      </c>
      <c r="BM55" s="54">
        <v>0</v>
      </c>
      <c r="BN55" s="54">
        <v>0</v>
      </c>
      <c r="BO55" s="54">
        <v>0</v>
      </c>
      <c r="BP55" s="54">
        <v>6</v>
      </c>
      <c r="BQ55" s="54">
        <v>0</v>
      </c>
      <c r="BR55" s="55">
        <v>1</v>
      </c>
      <c r="BS55" s="54">
        <v>0</v>
      </c>
      <c r="BT55" s="54">
        <v>0</v>
      </c>
      <c r="BU55" s="126">
        <f t="shared" si="15"/>
        <v>7</v>
      </c>
    </row>
    <row r="56" spans="1:73" ht="21.75" customHeight="1" x14ac:dyDescent="0.25">
      <c r="A56" s="45">
        <v>52</v>
      </c>
      <c r="B56" s="11" t="s">
        <v>133</v>
      </c>
      <c r="C56" s="77" t="s">
        <v>234</v>
      </c>
      <c r="D56" s="85">
        <v>45536</v>
      </c>
      <c r="E56" s="65">
        <v>0.36041666666666666</v>
      </c>
      <c r="F56" s="65">
        <v>0.97361111111111109</v>
      </c>
      <c r="G56" s="65">
        <v>0.35555555555555557</v>
      </c>
      <c r="H56" s="65">
        <v>0.9916666666666667</v>
      </c>
      <c r="I56" s="98">
        <v>0.58263888888888882</v>
      </c>
      <c r="J56" s="98">
        <v>0.93680555555555556</v>
      </c>
      <c r="K56" s="65">
        <v>0.35833333333333334</v>
      </c>
      <c r="L56" s="65">
        <v>0.95138888888888884</v>
      </c>
      <c r="M56" s="65">
        <v>0.35555555555555557</v>
      </c>
      <c r="N56" s="65">
        <v>0.95833333333333337</v>
      </c>
      <c r="O56" s="65">
        <v>0.35486111111111113</v>
      </c>
      <c r="P56" s="65">
        <v>0.9604166666666667</v>
      </c>
      <c r="Q56" s="65">
        <v>0.35555555555555557</v>
      </c>
      <c r="R56" s="65">
        <v>0.97291666666666676</v>
      </c>
      <c r="S56" s="65">
        <v>0.35416666666666669</v>
      </c>
      <c r="T56" s="65">
        <v>2.0833333333333333E-3</v>
      </c>
      <c r="U56" s="65">
        <v>0.35833333333333334</v>
      </c>
      <c r="V56" s="65">
        <v>0.98402777777777783</v>
      </c>
      <c r="W56" s="91" t="s">
        <v>15</v>
      </c>
      <c r="X56" s="91" t="s">
        <v>15</v>
      </c>
      <c r="Y56" s="65">
        <v>0.35138888888888892</v>
      </c>
      <c r="Z56" s="65">
        <v>0.94444444444444453</v>
      </c>
      <c r="AA56" s="65">
        <v>0.34722222222222227</v>
      </c>
      <c r="AB56" s="65">
        <v>0.97430555555555554</v>
      </c>
      <c r="AC56" s="65">
        <v>0.35138888888888892</v>
      </c>
      <c r="AD56" s="65">
        <v>0.93333333333333324</v>
      </c>
      <c r="AE56" s="65">
        <v>0.3520833333333333</v>
      </c>
      <c r="AF56" s="65">
        <v>0.96250000000000002</v>
      </c>
      <c r="AG56" s="65">
        <v>0.3527777777777778</v>
      </c>
      <c r="AH56" s="65">
        <v>0.97499999999999998</v>
      </c>
      <c r="AI56" s="114"/>
      <c r="AJ56" s="45">
        <v>50</v>
      </c>
      <c r="AK56" s="65"/>
      <c r="AL56" s="65"/>
      <c r="AM56" s="65"/>
      <c r="AN56" s="65"/>
      <c r="AO56" s="65"/>
      <c r="AP56" s="65"/>
      <c r="AQ56" s="98"/>
      <c r="AR56" s="98"/>
      <c r="AS56" s="65"/>
      <c r="AT56" s="65"/>
      <c r="AU56" s="97">
        <f t="shared" si="2"/>
        <v>15</v>
      </c>
      <c r="AV56" s="68"/>
      <c r="AW56" s="1">
        <f t="shared" si="3"/>
        <v>14</v>
      </c>
      <c r="AX56" s="2">
        <f t="shared" si="4"/>
        <v>1</v>
      </c>
      <c r="AY56" s="2">
        <f t="shared" si="5"/>
        <v>0</v>
      </c>
      <c r="AZ56" s="2">
        <f t="shared" si="6"/>
        <v>0</v>
      </c>
      <c r="BA56" s="2">
        <f t="shared" si="7"/>
        <v>0</v>
      </c>
      <c r="BB56" s="2">
        <f t="shared" si="8"/>
        <v>0</v>
      </c>
      <c r="BC56" s="2">
        <f t="shared" si="9"/>
        <v>0</v>
      </c>
      <c r="BD56" s="2">
        <f t="shared" si="10"/>
        <v>0</v>
      </c>
      <c r="BE56" s="2">
        <f t="shared" si="11"/>
        <v>0</v>
      </c>
      <c r="BF56" s="2">
        <f t="shared" si="12"/>
        <v>0</v>
      </c>
      <c r="BG56" s="2">
        <f t="shared" si="13"/>
        <v>0</v>
      </c>
      <c r="BH56" s="2">
        <f t="shared" si="14"/>
        <v>0</v>
      </c>
      <c r="BI56" s="3"/>
      <c r="BK56" s="122">
        <v>0</v>
      </c>
      <c r="BL56" s="123">
        <v>0</v>
      </c>
      <c r="BM56" s="123">
        <v>0</v>
      </c>
      <c r="BN56" s="122">
        <v>8</v>
      </c>
      <c r="BO56" s="123">
        <v>0</v>
      </c>
      <c r="BP56" s="122">
        <v>4</v>
      </c>
      <c r="BQ56" s="123">
        <v>0</v>
      </c>
      <c r="BR56" s="123">
        <v>0</v>
      </c>
      <c r="BS56" s="123">
        <v>0</v>
      </c>
      <c r="BT56" s="123">
        <v>0</v>
      </c>
      <c r="BU56" s="125">
        <f t="shared" si="15"/>
        <v>12</v>
      </c>
    </row>
    <row r="57" spans="1:73" ht="21.75" customHeight="1" x14ac:dyDescent="0.25">
      <c r="A57" s="45">
        <v>53</v>
      </c>
      <c r="B57" s="11" t="s">
        <v>134</v>
      </c>
      <c r="C57" s="77" t="s">
        <v>135</v>
      </c>
      <c r="D57" s="85">
        <v>45562</v>
      </c>
      <c r="E57" s="65">
        <v>0.41805555555555557</v>
      </c>
      <c r="F57" s="69">
        <v>1</v>
      </c>
      <c r="G57" s="65">
        <v>0.47222222222222227</v>
      </c>
      <c r="H57" s="65">
        <v>0.95416666666666661</v>
      </c>
      <c r="I57" s="98">
        <v>0.5625</v>
      </c>
      <c r="J57" s="99">
        <v>1</v>
      </c>
      <c r="K57" s="65">
        <v>0.32430555555555557</v>
      </c>
      <c r="L57" s="65">
        <v>0.91666666666666663</v>
      </c>
      <c r="M57" s="65">
        <v>0.34791666666666665</v>
      </c>
      <c r="N57" s="65">
        <v>0.93263888888888891</v>
      </c>
      <c r="O57" s="65">
        <v>0.34583333333333338</v>
      </c>
      <c r="P57" s="65">
        <v>0.92083333333333339</v>
      </c>
      <c r="Q57" s="65">
        <v>0.34513888888888888</v>
      </c>
      <c r="R57" s="65">
        <v>0.91875000000000007</v>
      </c>
      <c r="S57" s="65">
        <v>0.34791666666666665</v>
      </c>
      <c r="T57" s="65">
        <v>0.96527777777777779</v>
      </c>
      <c r="U57" s="65">
        <v>0.34791666666666665</v>
      </c>
      <c r="V57" s="65">
        <v>0.98402777777777783</v>
      </c>
      <c r="W57" s="98">
        <v>0.57708333333333328</v>
      </c>
      <c r="X57" s="98">
        <v>0.92986111111111114</v>
      </c>
      <c r="Y57" s="65">
        <v>0.35069444444444442</v>
      </c>
      <c r="Z57" s="65">
        <v>0.92291666666666661</v>
      </c>
      <c r="AA57" s="65">
        <v>0.3430555555555555</v>
      </c>
      <c r="AB57" s="65">
        <v>0.94444444444444453</v>
      </c>
      <c r="AC57" s="65">
        <v>0.65277777777777779</v>
      </c>
      <c r="AD57" s="65">
        <v>0.92083333333333339</v>
      </c>
      <c r="AE57" s="65">
        <v>0.34722222222222227</v>
      </c>
      <c r="AF57" s="65">
        <v>0.93611111111111101</v>
      </c>
      <c r="AG57" s="65">
        <v>0.34930555555555554</v>
      </c>
      <c r="AH57" s="69">
        <v>1</v>
      </c>
      <c r="AI57" s="106"/>
      <c r="AJ57" s="45">
        <v>51</v>
      </c>
      <c r="AK57" s="65"/>
      <c r="AL57" s="69"/>
      <c r="AM57" s="65"/>
      <c r="AN57" s="69"/>
      <c r="AO57" s="65"/>
      <c r="AP57" s="69"/>
      <c r="AQ57" s="91"/>
      <c r="AR57" s="100"/>
      <c r="AS57" s="65"/>
      <c r="AT57" s="65"/>
      <c r="AU57" s="97">
        <f t="shared" si="2"/>
        <v>15</v>
      </c>
      <c r="AV57" s="68"/>
      <c r="AW57" s="1">
        <f t="shared" si="3"/>
        <v>15</v>
      </c>
      <c r="AX57" s="2">
        <f t="shared" si="4"/>
        <v>0</v>
      </c>
      <c r="AY57" s="2">
        <f t="shared" si="5"/>
        <v>0</v>
      </c>
      <c r="AZ57" s="2">
        <f t="shared" si="6"/>
        <v>0</v>
      </c>
      <c r="BA57" s="2">
        <f t="shared" si="7"/>
        <v>0</v>
      </c>
      <c r="BB57" s="2">
        <f t="shared" si="8"/>
        <v>0</v>
      </c>
      <c r="BC57" s="2">
        <f t="shared" si="9"/>
        <v>0</v>
      </c>
      <c r="BD57" s="2">
        <f t="shared" si="10"/>
        <v>0</v>
      </c>
      <c r="BE57" s="2">
        <f t="shared" si="11"/>
        <v>0</v>
      </c>
      <c r="BF57" s="2">
        <f t="shared" si="12"/>
        <v>0</v>
      </c>
      <c r="BG57" s="2">
        <f t="shared" si="13"/>
        <v>0</v>
      </c>
      <c r="BH57" s="2">
        <f t="shared" si="14"/>
        <v>0</v>
      </c>
      <c r="BI57" s="72"/>
      <c r="BK57" s="55">
        <v>0</v>
      </c>
      <c r="BL57" s="54">
        <v>0</v>
      </c>
      <c r="BM57" s="54">
        <v>0</v>
      </c>
      <c r="BN57" s="54">
        <v>0</v>
      </c>
      <c r="BO57" s="54">
        <v>0</v>
      </c>
      <c r="BP57" s="54">
        <v>0</v>
      </c>
      <c r="BQ57" s="54">
        <v>0</v>
      </c>
      <c r="BR57" s="54">
        <v>0</v>
      </c>
      <c r="BS57" s="54">
        <v>0</v>
      </c>
      <c r="BT57" s="54">
        <v>0</v>
      </c>
      <c r="BU57" s="126">
        <f t="shared" si="15"/>
        <v>0</v>
      </c>
    </row>
    <row r="58" spans="1:73" ht="21.75" customHeight="1" x14ac:dyDescent="0.25">
      <c r="A58" s="45">
        <v>54</v>
      </c>
      <c r="B58" s="11" t="s">
        <v>176</v>
      </c>
      <c r="C58" s="77" t="s">
        <v>175</v>
      </c>
      <c r="D58" s="85">
        <v>45562</v>
      </c>
      <c r="E58" s="65">
        <v>0.34722222222222227</v>
      </c>
      <c r="F58" s="65">
        <v>0.95694444444444438</v>
      </c>
      <c r="G58" s="65">
        <v>0.92986111111111114</v>
      </c>
      <c r="H58" s="69">
        <v>1</v>
      </c>
      <c r="I58" s="91" t="s">
        <v>15</v>
      </c>
      <c r="J58" s="91" t="s">
        <v>15</v>
      </c>
      <c r="K58" s="65">
        <v>0.34861111111111115</v>
      </c>
      <c r="L58" s="65">
        <v>0.93819444444444444</v>
      </c>
      <c r="M58" s="65">
        <v>0.34930555555555554</v>
      </c>
      <c r="N58" s="65">
        <v>0.95347222222222217</v>
      </c>
      <c r="O58" s="65">
        <v>0.34791666666666665</v>
      </c>
      <c r="P58" s="65">
        <v>0.92361111111111116</v>
      </c>
      <c r="Q58" s="65">
        <v>0.3444444444444445</v>
      </c>
      <c r="R58" s="65">
        <v>0.91875000000000007</v>
      </c>
      <c r="S58" s="65">
        <v>0.34930555555555554</v>
      </c>
      <c r="T58" s="65">
        <v>0.95416666666666661</v>
      </c>
      <c r="U58" s="65">
        <v>0.3444444444444445</v>
      </c>
      <c r="V58" s="65">
        <v>0.98472222222222217</v>
      </c>
      <c r="W58" s="98">
        <v>0.5756944444444444</v>
      </c>
      <c r="X58" s="99">
        <v>1</v>
      </c>
      <c r="Y58" s="65">
        <v>0.34652777777777777</v>
      </c>
      <c r="Z58" s="65">
        <v>0.95208333333333339</v>
      </c>
      <c r="AA58" s="65">
        <v>0.3430555555555555</v>
      </c>
      <c r="AB58" s="65">
        <v>0.92499999999999993</v>
      </c>
      <c r="AC58" s="65">
        <v>0.34722222222222227</v>
      </c>
      <c r="AD58" s="65">
        <v>0.9291666666666667</v>
      </c>
      <c r="AE58" s="65">
        <v>0.34513888888888888</v>
      </c>
      <c r="AF58" s="65">
        <v>0.92013888888888884</v>
      </c>
      <c r="AG58" s="65">
        <v>0.34513888888888888</v>
      </c>
      <c r="AH58" s="65">
        <v>0.93263888888888891</v>
      </c>
      <c r="AI58" s="114"/>
      <c r="AJ58" s="45">
        <v>52</v>
      </c>
      <c r="AK58" s="65"/>
      <c r="AL58" s="65"/>
      <c r="AM58" s="65"/>
      <c r="AN58" s="65"/>
      <c r="AO58" s="65"/>
      <c r="AP58" s="65"/>
      <c r="AQ58" s="91"/>
      <c r="AR58" s="100"/>
      <c r="AS58" s="65"/>
      <c r="AT58" s="65"/>
      <c r="AU58" s="97">
        <f t="shared" si="2"/>
        <v>15</v>
      </c>
      <c r="AV58" s="68"/>
      <c r="AW58" s="1">
        <f t="shared" si="3"/>
        <v>14</v>
      </c>
      <c r="AX58" s="2">
        <f t="shared" si="4"/>
        <v>1</v>
      </c>
      <c r="AY58" s="2">
        <f t="shared" si="5"/>
        <v>0</v>
      </c>
      <c r="AZ58" s="2">
        <f t="shared" si="6"/>
        <v>0</v>
      </c>
      <c r="BA58" s="2">
        <f t="shared" si="7"/>
        <v>0</v>
      </c>
      <c r="BB58" s="2">
        <f t="shared" si="8"/>
        <v>0</v>
      </c>
      <c r="BC58" s="2">
        <f t="shared" si="9"/>
        <v>0</v>
      </c>
      <c r="BD58" s="2">
        <f t="shared" si="10"/>
        <v>0</v>
      </c>
      <c r="BE58" s="2">
        <f t="shared" si="11"/>
        <v>0</v>
      </c>
      <c r="BF58" s="2">
        <f t="shared" si="12"/>
        <v>0</v>
      </c>
      <c r="BG58" s="2">
        <f t="shared" si="13"/>
        <v>0</v>
      </c>
      <c r="BH58" s="2">
        <f t="shared" si="14"/>
        <v>0</v>
      </c>
      <c r="BI58" s="3"/>
      <c r="BK58" s="122">
        <v>0</v>
      </c>
      <c r="BL58" s="123">
        <v>0</v>
      </c>
      <c r="BM58" s="123">
        <v>0</v>
      </c>
      <c r="BN58" s="123">
        <v>0</v>
      </c>
      <c r="BO58" s="123">
        <v>0</v>
      </c>
      <c r="BP58" s="122">
        <v>3</v>
      </c>
      <c r="BQ58" s="123">
        <v>0</v>
      </c>
      <c r="BR58" s="123">
        <v>0</v>
      </c>
      <c r="BS58" s="123">
        <v>0</v>
      </c>
      <c r="BT58" s="123">
        <v>0</v>
      </c>
      <c r="BU58" s="125">
        <f t="shared" si="15"/>
        <v>3</v>
      </c>
    </row>
    <row r="59" spans="1:73" s="73" customFormat="1" ht="21.75" customHeight="1" x14ac:dyDescent="0.25">
      <c r="A59" s="45">
        <v>55</v>
      </c>
      <c r="B59" s="95" t="s">
        <v>136</v>
      </c>
      <c r="C59" s="77" t="s">
        <v>137</v>
      </c>
      <c r="D59" s="96">
        <v>45648</v>
      </c>
      <c r="E59" s="65">
        <v>0.35138888888888892</v>
      </c>
      <c r="F59" s="69">
        <v>1</v>
      </c>
      <c r="G59" s="69">
        <v>1</v>
      </c>
      <c r="H59" s="69">
        <v>1</v>
      </c>
      <c r="I59" s="99">
        <v>1</v>
      </c>
      <c r="J59" s="99">
        <v>1</v>
      </c>
      <c r="K59" s="65">
        <v>0.35069444444444442</v>
      </c>
      <c r="L59" s="65">
        <v>0.95277777777777783</v>
      </c>
      <c r="M59" s="65">
        <v>0.35138888888888892</v>
      </c>
      <c r="N59" s="65">
        <v>0.93958333333333333</v>
      </c>
      <c r="O59" s="65">
        <v>0.35138888888888892</v>
      </c>
      <c r="P59" s="65">
        <v>0.9375</v>
      </c>
      <c r="Q59" s="65">
        <v>0.35138888888888892</v>
      </c>
      <c r="R59" s="65">
        <v>0.9590277777777777</v>
      </c>
      <c r="S59" s="65">
        <v>0.35138888888888892</v>
      </c>
      <c r="T59" s="65">
        <v>0.93819444444444444</v>
      </c>
      <c r="U59" s="65">
        <v>0.35069444444444442</v>
      </c>
      <c r="V59" s="65">
        <v>0.93263888888888891</v>
      </c>
      <c r="W59" s="98">
        <v>0.57430555555555551</v>
      </c>
      <c r="X59" s="98">
        <v>0.94374999999999998</v>
      </c>
      <c r="Y59" s="65">
        <v>0.35138888888888892</v>
      </c>
      <c r="Z59" s="69">
        <v>1</v>
      </c>
      <c r="AA59" s="65">
        <v>0.34722222222222227</v>
      </c>
      <c r="AB59" s="69">
        <v>1</v>
      </c>
      <c r="AC59" s="65">
        <v>0.3444444444444445</v>
      </c>
      <c r="AD59" s="69">
        <v>1</v>
      </c>
      <c r="AE59" s="69">
        <v>1</v>
      </c>
      <c r="AF59" s="69">
        <v>1</v>
      </c>
      <c r="AG59" s="69">
        <v>1</v>
      </c>
      <c r="AH59" s="69">
        <v>1</v>
      </c>
      <c r="AI59" s="105"/>
      <c r="AJ59" s="45">
        <v>54</v>
      </c>
      <c r="AK59" s="76"/>
      <c r="AL59" s="76"/>
      <c r="AM59" s="65"/>
      <c r="AN59" s="65"/>
      <c r="AO59" s="65"/>
      <c r="AP59" s="69"/>
      <c r="AQ59" s="98"/>
      <c r="AR59" s="98"/>
      <c r="AS59" s="65"/>
      <c r="AT59" s="65"/>
      <c r="AU59" s="97">
        <f t="shared" si="2"/>
        <v>15</v>
      </c>
      <c r="AV59" s="68"/>
      <c r="AW59" s="1">
        <f t="shared" si="3"/>
        <v>15</v>
      </c>
      <c r="AX59" s="2">
        <f t="shared" si="4"/>
        <v>0</v>
      </c>
      <c r="AY59" s="2">
        <f t="shared" si="5"/>
        <v>0</v>
      </c>
      <c r="AZ59" s="2">
        <f t="shared" si="6"/>
        <v>0</v>
      </c>
      <c r="BA59" s="2">
        <f t="shared" si="7"/>
        <v>0</v>
      </c>
      <c r="BB59" s="2">
        <f t="shared" si="8"/>
        <v>0</v>
      </c>
      <c r="BC59" s="2">
        <f t="shared" si="9"/>
        <v>0</v>
      </c>
      <c r="BD59" s="2">
        <f t="shared" si="10"/>
        <v>0</v>
      </c>
      <c r="BE59" s="2">
        <f t="shared" si="11"/>
        <v>0</v>
      </c>
      <c r="BF59" s="2">
        <f t="shared" si="12"/>
        <v>0</v>
      </c>
      <c r="BG59" s="2">
        <f t="shared" si="13"/>
        <v>0</v>
      </c>
      <c r="BH59" s="2">
        <f t="shared" si="14"/>
        <v>0</v>
      </c>
      <c r="BI59" s="94"/>
      <c r="BK59" s="122">
        <v>0</v>
      </c>
      <c r="BL59" s="123">
        <v>0</v>
      </c>
      <c r="BM59" s="123">
        <v>30</v>
      </c>
      <c r="BN59" s="123">
        <v>0</v>
      </c>
      <c r="BO59" s="123">
        <v>0</v>
      </c>
      <c r="BP59" s="122">
        <v>0</v>
      </c>
      <c r="BQ59" s="123">
        <v>0</v>
      </c>
      <c r="BR59" s="123">
        <v>0</v>
      </c>
      <c r="BS59" s="123">
        <v>6</v>
      </c>
      <c r="BT59" s="123">
        <v>0</v>
      </c>
      <c r="BU59" s="125">
        <f t="shared" si="15"/>
        <v>36</v>
      </c>
    </row>
    <row r="60" spans="1:73" ht="21.75" customHeight="1" x14ac:dyDescent="0.25">
      <c r="A60" s="45">
        <v>56</v>
      </c>
      <c r="B60" s="11" t="s">
        <v>138</v>
      </c>
      <c r="C60" s="77" t="s">
        <v>139</v>
      </c>
      <c r="D60" s="85">
        <v>45653</v>
      </c>
      <c r="E60" s="65">
        <v>0.36180555555555555</v>
      </c>
      <c r="F60" s="65">
        <v>0.97361111111111109</v>
      </c>
      <c r="G60" s="65">
        <v>0.35416666666666669</v>
      </c>
      <c r="H60" s="65">
        <v>0.98888888888888893</v>
      </c>
      <c r="I60" s="98">
        <v>0.57430555555555551</v>
      </c>
      <c r="J60" s="98">
        <v>0.9375</v>
      </c>
      <c r="K60" s="65">
        <v>0.35069444444444442</v>
      </c>
      <c r="L60" s="65">
        <v>0.95138888888888884</v>
      </c>
      <c r="M60" s="65">
        <v>0.35347222222222219</v>
      </c>
      <c r="N60" s="65">
        <v>0.95833333333333337</v>
      </c>
      <c r="O60" s="65">
        <v>0.35138888888888892</v>
      </c>
      <c r="P60" s="65">
        <v>0.95972222222222225</v>
      </c>
      <c r="Q60" s="65">
        <v>0.3520833333333333</v>
      </c>
      <c r="R60" s="69">
        <v>1</v>
      </c>
      <c r="S60" s="65">
        <v>0.41666666666666669</v>
      </c>
      <c r="T60" s="65">
        <v>0.9868055555555556</v>
      </c>
      <c r="U60" s="65">
        <v>0.35416666666666669</v>
      </c>
      <c r="V60" s="65">
        <v>0.98402777777777783</v>
      </c>
      <c r="W60" s="91" t="s">
        <v>15</v>
      </c>
      <c r="X60" s="91" t="s">
        <v>15</v>
      </c>
      <c r="Y60" s="65">
        <v>0.35486111111111113</v>
      </c>
      <c r="Z60" s="65">
        <v>0.94444444444444453</v>
      </c>
      <c r="AA60" s="65">
        <v>0.35138888888888892</v>
      </c>
      <c r="AB60" s="65">
        <v>0.97430555555555554</v>
      </c>
      <c r="AC60" s="65">
        <v>0.35625000000000001</v>
      </c>
      <c r="AD60" s="65">
        <v>0.93194444444444446</v>
      </c>
      <c r="AE60" s="65">
        <v>0.35138888888888892</v>
      </c>
      <c r="AF60" s="65">
        <v>0.96250000000000002</v>
      </c>
      <c r="AG60" s="65">
        <v>0.35347222222222219</v>
      </c>
      <c r="AH60" s="65">
        <v>0.97499999999999998</v>
      </c>
      <c r="AI60" s="114"/>
      <c r="AJ60" s="45">
        <v>55</v>
      </c>
      <c r="AK60" s="65"/>
      <c r="AL60" s="65"/>
      <c r="AM60" s="65"/>
      <c r="AN60" s="65"/>
      <c r="AO60" s="65"/>
      <c r="AP60" s="65"/>
      <c r="AQ60" s="98"/>
      <c r="AR60" s="98"/>
      <c r="AS60" s="65"/>
      <c r="AT60" s="65"/>
      <c r="AU60" s="97">
        <f t="shared" si="2"/>
        <v>15</v>
      </c>
      <c r="AV60" s="68"/>
      <c r="AW60" s="1">
        <f t="shared" si="3"/>
        <v>14</v>
      </c>
      <c r="AX60" s="2">
        <f t="shared" si="4"/>
        <v>1</v>
      </c>
      <c r="AY60" s="2">
        <f t="shared" si="5"/>
        <v>0</v>
      </c>
      <c r="AZ60" s="2">
        <f t="shared" si="6"/>
        <v>0</v>
      </c>
      <c r="BA60" s="2">
        <f t="shared" si="7"/>
        <v>0</v>
      </c>
      <c r="BB60" s="2">
        <f t="shared" si="8"/>
        <v>0</v>
      </c>
      <c r="BC60" s="2">
        <f t="shared" si="9"/>
        <v>0</v>
      </c>
      <c r="BD60" s="2">
        <f t="shared" si="10"/>
        <v>0</v>
      </c>
      <c r="BE60" s="2">
        <f t="shared" si="11"/>
        <v>0</v>
      </c>
      <c r="BF60" s="2">
        <f t="shared" si="12"/>
        <v>0</v>
      </c>
      <c r="BG60" s="2">
        <f t="shared" si="13"/>
        <v>0</v>
      </c>
      <c r="BH60" s="2">
        <f t="shared" si="14"/>
        <v>0</v>
      </c>
      <c r="BI60" s="3"/>
      <c r="BK60" s="122">
        <v>0</v>
      </c>
      <c r="BL60" s="123">
        <v>0</v>
      </c>
      <c r="BM60" s="123">
        <v>0</v>
      </c>
      <c r="BN60" s="123">
        <v>0</v>
      </c>
      <c r="BO60" s="123">
        <v>0</v>
      </c>
      <c r="BP60" s="122">
        <v>6</v>
      </c>
      <c r="BQ60" s="123">
        <v>0</v>
      </c>
      <c r="BR60" s="123">
        <v>0</v>
      </c>
      <c r="BS60" s="123">
        <v>0</v>
      </c>
      <c r="BT60" s="123">
        <v>0</v>
      </c>
      <c r="BU60" s="125">
        <f t="shared" si="15"/>
        <v>6</v>
      </c>
    </row>
    <row r="61" spans="1:73" ht="21.75" customHeight="1" x14ac:dyDescent="0.25">
      <c r="A61" s="45">
        <v>57</v>
      </c>
      <c r="B61" s="11" t="s">
        <v>140</v>
      </c>
      <c r="C61" s="77" t="s">
        <v>141</v>
      </c>
      <c r="D61" s="85">
        <v>45670</v>
      </c>
      <c r="E61" s="65">
        <v>0.32777777777777778</v>
      </c>
      <c r="F61" s="65">
        <v>0.97499999999999998</v>
      </c>
      <c r="G61" s="65">
        <v>0.32569444444444445</v>
      </c>
      <c r="H61" s="65">
        <v>0.32569444444444445</v>
      </c>
      <c r="I61" s="91" t="s">
        <v>15</v>
      </c>
      <c r="J61" s="91" t="s">
        <v>15</v>
      </c>
      <c r="K61" s="65">
        <v>0.33263888888888887</v>
      </c>
      <c r="L61" s="65">
        <v>0.96944444444444444</v>
      </c>
      <c r="M61" s="65">
        <v>0.32777777777777778</v>
      </c>
      <c r="N61" s="65">
        <v>0.96597222222222223</v>
      </c>
      <c r="O61" s="65">
        <v>0.33333333333333331</v>
      </c>
      <c r="P61" s="65">
        <v>0.96597222222222223</v>
      </c>
      <c r="Q61" s="65">
        <v>0.33611111111111108</v>
      </c>
      <c r="R61" s="69">
        <v>1</v>
      </c>
      <c r="S61" s="65">
        <v>0.33680555555555558</v>
      </c>
      <c r="T61" s="65">
        <v>0.98125000000000007</v>
      </c>
      <c r="U61" s="65">
        <v>0.33124999999999999</v>
      </c>
      <c r="V61" s="65">
        <v>0.98402777777777783</v>
      </c>
      <c r="W61" s="98">
        <v>0.58124999999999993</v>
      </c>
      <c r="X61" s="98">
        <v>0.96527777777777779</v>
      </c>
      <c r="Y61" s="65">
        <v>0.33958333333333335</v>
      </c>
      <c r="Z61" s="65">
        <v>0.96388888888888891</v>
      </c>
      <c r="AA61" s="65">
        <v>0.33333333333333331</v>
      </c>
      <c r="AB61" s="65">
        <v>0.97291666666666676</v>
      </c>
      <c r="AC61" s="65">
        <v>0.33888888888888885</v>
      </c>
      <c r="AD61" s="65">
        <v>0.96111111111111114</v>
      </c>
      <c r="AE61" s="65">
        <v>0.33263888888888887</v>
      </c>
      <c r="AF61" s="65">
        <v>0.95624999999999993</v>
      </c>
      <c r="AG61" s="65">
        <v>0.32847222222222222</v>
      </c>
      <c r="AH61" s="65">
        <v>0.97777777777777775</v>
      </c>
      <c r="AI61" s="114"/>
      <c r="AJ61" s="45">
        <v>56</v>
      </c>
      <c r="AK61" s="65"/>
      <c r="AL61" s="65"/>
      <c r="AM61" s="65"/>
      <c r="AN61" s="65"/>
      <c r="AO61" s="65"/>
      <c r="AP61" s="65"/>
      <c r="AQ61" s="91"/>
      <c r="AR61" s="100"/>
      <c r="AS61" s="65"/>
      <c r="AT61" s="65"/>
      <c r="AU61" s="97">
        <f t="shared" si="2"/>
        <v>15</v>
      </c>
      <c r="AV61" s="68"/>
      <c r="AW61" s="1">
        <f t="shared" si="3"/>
        <v>14</v>
      </c>
      <c r="AX61" s="2">
        <f t="shared" si="4"/>
        <v>1</v>
      </c>
      <c r="AY61" s="2">
        <f t="shared" si="5"/>
        <v>0</v>
      </c>
      <c r="AZ61" s="2">
        <f t="shared" si="6"/>
        <v>0</v>
      </c>
      <c r="BA61" s="2">
        <f t="shared" si="7"/>
        <v>0</v>
      </c>
      <c r="BB61" s="2">
        <f t="shared" si="8"/>
        <v>0</v>
      </c>
      <c r="BC61" s="2">
        <f t="shared" si="9"/>
        <v>0</v>
      </c>
      <c r="BD61" s="2">
        <f t="shared" si="10"/>
        <v>0</v>
      </c>
      <c r="BE61" s="2">
        <f t="shared" si="11"/>
        <v>0</v>
      </c>
      <c r="BF61" s="2">
        <f t="shared" si="12"/>
        <v>0</v>
      </c>
      <c r="BG61" s="2">
        <f t="shared" si="13"/>
        <v>0</v>
      </c>
      <c r="BH61" s="2">
        <f t="shared" si="14"/>
        <v>0</v>
      </c>
      <c r="BI61" s="3"/>
      <c r="BK61" s="55">
        <v>0</v>
      </c>
      <c r="BL61" s="54">
        <v>0</v>
      </c>
      <c r="BM61" s="54">
        <v>0</v>
      </c>
      <c r="BN61" s="54">
        <v>0</v>
      </c>
      <c r="BO61" s="54">
        <v>0</v>
      </c>
      <c r="BP61" s="54">
        <v>0</v>
      </c>
      <c r="BQ61" s="54">
        <v>0</v>
      </c>
      <c r="BR61" s="54">
        <v>0</v>
      </c>
      <c r="BS61" s="54">
        <v>0</v>
      </c>
      <c r="BT61" s="54">
        <v>0</v>
      </c>
      <c r="BU61" s="126">
        <f t="shared" si="15"/>
        <v>0</v>
      </c>
    </row>
    <row r="62" spans="1:73" ht="21.75" customHeight="1" x14ac:dyDescent="0.25">
      <c r="A62" s="45">
        <v>58</v>
      </c>
      <c r="B62" s="11" t="s">
        <v>142</v>
      </c>
      <c r="C62" s="77" t="s">
        <v>143</v>
      </c>
      <c r="D62" s="85">
        <v>45670</v>
      </c>
      <c r="E62" s="65">
        <v>0.39652777777777781</v>
      </c>
      <c r="F62" s="65">
        <v>0.90277777777777779</v>
      </c>
      <c r="G62" s="65">
        <v>0.42152777777777778</v>
      </c>
      <c r="H62" s="65">
        <v>0.94027777777777777</v>
      </c>
      <c r="I62" s="98">
        <v>0.56944444444444442</v>
      </c>
      <c r="J62" s="98">
        <v>0.90555555555555556</v>
      </c>
      <c r="K62" s="65">
        <v>0.41180555555555554</v>
      </c>
      <c r="L62" s="65">
        <v>0.96250000000000002</v>
      </c>
      <c r="M62" s="65">
        <v>0.42291666666666666</v>
      </c>
      <c r="N62" s="65">
        <v>0.9472222222222223</v>
      </c>
      <c r="O62" s="65">
        <v>0.40138888888888885</v>
      </c>
      <c r="P62" s="65">
        <v>0.94791666666666663</v>
      </c>
      <c r="Q62" s="65">
        <v>0.4152777777777778</v>
      </c>
      <c r="R62" s="65">
        <v>0.9472222222222223</v>
      </c>
      <c r="S62" s="65">
        <v>0.4145833333333333</v>
      </c>
      <c r="T62" s="65">
        <v>0.94444444444444453</v>
      </c>
      <c r="U62" s="65">
        <v>0.41805555555555557</v>
      </c>
      <c r="V62" s="65">
        <v>0.9590277777777777</v>
      </c>
      <c r="W62" s="98">
        <v>0.56944444444444442</v>
      </c>
      <c r="X62" s="98">
        <v>0.92986111111111114</v>
      </c>
      <c r="Y62" s="65">
        <v>0.39930555555555558</v>
      </c>
      <c r="Z62" s="65">
        <v>0.96250000000000002</v>
      </c>
      <c r="AA62" s="65">
        <v>0.42152777777777778</v>
      </c>
      <c r="AB62" s="65">
        <v>0.94652777777777775</v>
      </c>
      <c r="AC62" s="65">
        <v>0.41388888888888892</v>
      </c>
      <c r="AD62" s="65">
        <v>0.94097222222222221</v>
      </c>
      <c r="AE62" s="65">
        <v>0.40069444444444446</v>
      </c>
      <c r="AF62" s="65">
        <v>0.9472222222222223</v>
      </c>
      <c r="AG62" s="65">
        <v>0.40486111111111112</v>
      </c>
      <c r="AH62" s="65">
        <v>0.94652777777777775</v>
      </c>
      <c r="AI62" s="106"/>
      <c r="AJ62" s="45">
        <v>57</v>
      </c>
      <c r="AK62" s="65"/>
      <c r="AL62" s="65"/>
      <c r="AM62" s="65"/>
      <c r="AN62" s="65"/>
      <c r="AO62" s="65"/>
      <c r="AP62" s="65"/>
      <c r="AQ62" s="98"/>
      <c r="AR62" s="98"/>
      <c r="AS62" s="65"/>
      <c r="AT62" s="65"/>
      <c r="AU62" s="97">
        <f t="shared" si="2"/>
        <v>15</v>
      </c>
      <c r="AV62" s="68"/>
      <c r="AW62" s="1">
        <f t="shared" ref="AW62:AW96" si="16">COUNT(E62:AH62)/2+COUNT(AK62:AT62)/2</f>
        <v>15</v>
      </c>
      <c r="AX62" s="2">
        <f t="shared" ref="AX62:AX96" si="17">COUNTIF(E62:AT62,"OFF")/2</f>
        <v>0</v>
      </c>
      <c r="AY62" s="2">
        <f t="shared" ref="AY62:AY96" si="18">COUNTIF(E62:AT62,"MC")/2</f>
        <v>0</v>
      </c>
      <c r="AZ62" s="2">
        <f t="shared" ref="AZ62:AZ96" si="19">COUNTIF(E62:AT62,"EL")/2</f>
        <v>0</v>
      </c>
      <c r="BA62" s="2">
        <f t="shared" ref="BA62:BA96" si="20">COUNTIF(E62:AT62,"AL")/2</f>
        <v>0</v>
      </c>
      <c r="BB62" s="2">
        <f t="shared" ref="BB62:BB96" si="21">COUNTIF(E62:AT62,"SUS")/2</f>
        <v>0</v>
      </c>
      <c r="BC62" s="2">
        <f t="shared" ref="BC62:BC96" si="22">COUNTIF(E62:AT62,"FL")/2</f>
        <v>0</v>
      </c>
      <c r="BD62" s="2">
        <f t="shared" ref="BD62:BD96" si="23">COUNTIF(E62:AT62,"SICK")/2</f>
        <v>0</v>
      </c>
      <c r="BE62" s="2">
        <f t="shared" ref="BE62:BE96" si="24">COUNTIF(E62:AT62,"HD")/2</f>
        <v>0</v>
      </c>
      <c r="BF62" s="2">
        <f t="shared" ref="BF62:BF96" si="25">COUNTIF(E62:AT62,"AB")/2</f>
        <v>0</v>
      </c>
      <c r="BG62" s="2">
        <f t="shared" ref="BG62:BG96" si="26">COUNTIF(E62:AT62,"NL")/2</f>
        <v>0</v>
      </c>
      <c r="BH62" s="2">
        <f t="shared" ref="BH62:BH96" si="27">COUNTIF(E62:AT62,"SP")/2</f>
        <v>0</v>
      </c>
      <c r="BI62" s="3"/>
      <c r="BK62" s="122">
        <v>0</v>
      </c>
      <c r="BL62" s="123">
        <v>0</v>
      </c>
      <c r="BM62" s="123">
        <v>0</v>
      </c>
      <c r="BN62" s="123">
        <v>0</v>
      </c>
      <c r="BO62" s="123">
        <v>0</v>
      </c>
      <c r="BP62" s="123">
        <v>0</v>
      </c>
      <c r="BQ62" s="123">
        <v>0</v>
      </c>
      <c r="BR62" s="123">
        <v>0</v>
      </c>
      <c r="BS62" s="123">
        <v>0</v>
      </c>
      <c r="BT62" s="123">
        <v>0</v>
      </c>
      <c r="BU62" s="125">
        <f t="shared" si="15"/>
        <v>0</v>
      </c>
    </row>
    <row r="63" spans="1:73" ht="21.75" customHeight="1" x14ac:dyDescent="0.25">
      <c r="A63" s="45">
        <v>59</v>
      </c>
      <c r="B63" s="11" t="s">
        <v>144</v>
      </c>
      <c r="C63" s="77" t="s">
        <v>145</v>
      </c>
      <c r="D63" s="85">
        <v>45670</v>
      </c>
      <c r="E63" s="65">
        <v>0.34097222222222223</v>
      </c>
      <c r="F63" s="65">
        <v>0.97361111111111109</v>
      </c>
      <c r="G63" s="65">
        <v>0.3444444444444445</v>
      </c>
      <c r="H63" s="65">
        <v>0.9916666666666667</v>
      </c>
      <c r="I63" s="91" t="s">
        <v>15</v>
      </c>
      <c r="J63" s="91" t="s">
        <v>15</v>
      </c>
      <c r="K63" s="65">
        <v>0.34166666666666662</v>
      </c>
      <c r="L63" s="65">
        <v>0.94930555555555562</v>
      </c>
      <c r="M63" s="65">
        <v>0.3520833333333333</v>
      </c>
      <c r="N63" s="65">
        <v>0.96736111111111101</v>
      </c>
      <c r="O63" s="65">
        <v>0.35347222222222219</v>
      </c>
      <c r="P63" s="65">
        <v>0.95972222222222225</v>
      </c>
      <c r="Q63" s="65">
        <v>0.34513888888888888</v>
      </c>
      <c r="R63" s="69">
        <v>1</v>
      </c>
      <c r="S63" s="65">
        <v>0.34097222222222223</v>
      </c>
      <c r="T63" s="65">
        <v>0.96111111111111114</v>
      </c>
      <c r="U63" s="65">
        <v>0.34375</v>
      </c>
      <c r="V63" s="65">
        <v>0.98402777777777783</v>
      </c>
      <c r="W63" s="98">
        <v>0.5805555555555556</v>
      </c>
      <c r="X63" s="98">
        <v>0.96527777777777779</v>
      </c>
      <c r="Y63" s="65">
        <v>0.34236111111111112</v>
      </c>
      <c r="Z63" s="65">
        <v>0.95208333333333339</v>
      </c>
      <c r="AA63" s="65">
        <v>0.34236111111111112</v>
      </c>
      <c r="AB63" s="65">
        <v>0.97430555555555554</v>
      </c>
      <c r="AC63" s="65">
        <v>0.3430555555555555</v>
      </c>
      <c r="AD63" s="65">
        <v>0.93194444444444446</v>
      </c>
      <c r="AE63" s="65">
        <v>0.3444444444444445</v>
      </c>
      <c r="AF63" s="65">
        <v>0.96250000000000002</v>
      </c>
      <c r="AG63" s="65">
        <v>0.34097222222222223</v>
      </c>
      <c r="AH63" s="65">
        <v>0.97499999999999998</v>
      </c>
      <c r="AI63" s="114"/>
      <c r="AJ63" s="45">
        <v>58</v>
      </c>
      <c r="AK63" s="65"/>
      <c r="AL63" s="65"/>
      <c r="AM63" s="65"/>
      <c r="AN63" s="65"/>
      <c r="AO63" s="65"/>
      <c r="AP63" s="65"/>
      <c r="AQ63" s="91"/>
      <c r="AR63" s="100"/>
      <c r="AS63" s="65"/>
      <c r="AT63" s="65"/>
      <c r="AU63" s="97">
        <f t="shared" si="2"/>
        <v>15</v>
      </c>
      <c r="AV63" s="68"/>
      <c r="AW63" s="1">
        <f t="shared" si="16"/>
        <v>14</v>
      </c>
      <c r="AX63" s="2">
        <f t="shared" si="17"/>
        <v>1</v>
      </c>
      <c r="AY63" s="2">
        <f t="shared" si="18"/>
        <v>0</v>
      </c>
      <c r="AZ63" s="2">
        <f t="shared" si="19"/>
        <v>0</v>
      </c>
      <c r="BA63" s="2">
        <f t="shared" si="20"/>
        <v>0</v>
      </c>
      <c r="BB63" s="2">
        <f t="shared" si="21"/>
        <v>0</v>
      </c>
      <c r="BC63" s="2">
        <f t="shared" si="22"/>
        <v>0</v>
      </c>
      <c r="BD63" s="2">
        <f t="shared" si="23"/>
        <v>0</v>
      </c>
      <c r="BE63" s="2">
        <f t="shared" si="24"/>
        <v>0</v>
      </c>
      <c r="BF63" s="2">
        <f t="shared" si="25"/>
        <v>0</v>
      </c>
      <c r="BG63" s="2">
        <f t="shared" si="26"/>
        <v>0</v>
      </c>
      <c r="BH63" s="2">
        <f t="shared" si="27"/>
        <v>0</v>
      </c>
      <c r="BI63" s="3"/>
      <c r="BK63" s="55">
        <v>0</v>
      </c>
      <c r="BL63" s="54">
        <v>0</v>
      </c>
      <c r="BM63" s="54">
        <v>30</v>
      </c>
      <c r="BN63" s="54">
        <v>0</v>
      </c>
      <c r="BO63" s="54">
        <v>0</v>
      </c>
      <c r="BP63" s="54">
        <v>0</v>
      </c>
      <c r="BQ63" s="54">
        <v>0</v>
      </c>
      <c r="BR63" s="54">
        <v>0</v>
      </c>
      <c r="BS63" s="54">
        <v>0</v>
      </c>
      <c r="BT63" s="54">
        <v>0</v>
      </c>
      <c r="BU63" s="126">
        <f t="shared" ref="BU63:BU94" si="28">SUM(BK63:BT63)</f>
        <v>30</v>
      </c>
    </row>
    <row r="64" spans="1:73" ht="21.75" customHeight="1" x14ac:dyDescent="0.25">
      <c r="A64" s="45">
        <v>60</v>
      </c>
      <c r="B64" s="11" t="s">
        <v>146</v>
      </c>
      <c r="C64" s="77" t="s">
        <v>147</v>
      </c>
      <c r="D64" s="85">
        <v>45673</v>
      </c>
      <c r="E64" s="65">
        <v>0.35347222222222219</v>
      </c>
      <c r="F64" s="65">
        <v>0.95000000000000007</v>
      </c>
      <c r="G64" s="65">
        <v>0.3527777777777778</v>
      </c>
      <c r="H64" s="65">
        <v>0.97222222222222221</v>
      </c>
      <c r="I64" s="91" t="s">
        <v>15</v>
      </c>
      <c r="J64" s="91" t="s">
        <v>15</v>
      </c>
      <c r="K64" s="65">
        <v>0.3527777777777778</v>
      </c>
      <c r="L64" s="65">
        <v>0.97083333333333333</v>
      </c>
      <c r="M64" s="65">
        <v>0.3520833333333333</v>
      </c>
      <c r="N64" s="65">
        <v>0.95277777777777783</v>
      </c>
      <c r="O64" s="65">
        <v>0.35416666666666669</v>
      </c>
      <c r="P64" s="65">
        <v>0.95208333333333339</v>
      </c>
      <c r="Q64" s="65">
        <v>0.35347222222222219</v>
      </c>
      <c r="R64" s="65">
        <v>0.94791666666666663</v>
      </c>
      <c r="S64" s="65">
        <v>0.3520833333333333</v>
      </c>
      <c r="T64" s="65">
        <v>0.95208333333333339</v>
      </c>
      <c r="U64" s="65">
        <v>0.35000000000000003</v>
      </c>
      <c r="V64" s="65">
        <v>0.97638888888888886</v>
      </c>
      <c r="W64" s="98">
        <v>0.58124999999999993</v>
      </c>
      <c r="X64" s="98">
        <v>0.95763888888888893</v>
      </c>
      <c r="Y64" s="65">
        <v>0.35069444444444442</v>
      </c>
      <c r="Z64" s="65">
        <v>0.96666666666666667</v>
      </c>
      <c r="AA64" s="65">
        <v>0.34791666666666665</v>
      </c>
      <c r="AB64" s="65">
        <v>0.9555555555555556</v>
      </c>
      <c r="AC64" s="65">
        <v>0.35069444444444442</v>
      </c>
      <c r="AD64" s="65">
        <v>0.95138888888888884</v>
      </c>
      <c r="AE64" s="65">
        <v>0.3520833333333333</v>
      </c>
      <c r="AF64" s="65">
        <v>0.95208333333333339</v>
      </c>
      <c r="AG64" s="65">
        <v>0.3527777777777778</v>
      </c>
      <c r="AH64" s="65">
        <v>0.95624999999999993</v>
      </c>
      <c r="AI64" s="114"/>
      <c r="AJ64" s="45">
        <v>59</v>
      </c>
      <c r="AK64" s="65"/>
      <c r="AL64" s="65"/>
      <c r="AM64" s="65"/>
      <c r="AN64" s="65"/>
      <c r="AO64" s="65"/>
      <c r="AP64" s="65"/>
      <c r="AQ64" s="91"/>
      <c r="AR64" s="100"/>
      <c r="AS64" s="65"/>
      <c r="AT64" s="65"/>
      <c r="AU64" s="97">
        <f t="shared" si="2"/>
        <v>15</v>
      </c>
      <c r="AV64" s="68"/>
      <c r="AW64" s="1">
        <f t="shared" si="16"/>
        <v>14</v>
      </c>
      <c r="AX64" s="2">
        <f t="shared" si="17"/>
        <v>1</v>
      </c>
      <c r="AY64" s="2">
        <f t="shared" si="18"/>
        <v>0</v>
      </c>
      <c r="AZ64" s="2">
        <f t="shared" si="19"/>
        <v>0</v>
      </c>
      <c r="BA64" s="2">
        <f t="shared" si="20"/>
        <v>0</v>
      </c>
      <c r="BB64" s="2">
        <f t="shared" si="21"/>
        <v>0</v>
      </c>
      <c r="BC64" s="2">
        <f t="shared" si="22"/>
        <v>0</v>
      </c>
      <c r="BD64" s="2">
        <f t="shared" si="23"/>
        <v>0</v>
      </c>
      <c r="BE64" s="2">
        <f t="shared" si="24"/>
        <v>0</v>
      </c>
      <c r="BF64" s="2">
        <f t="shared" si="25"/>
        <v>0</v>
      </c>
      <c r="BG64" s="2">
        <f t="shared" si="26"/>
        <v>0</v>
      </c>
      <c r="BH64" s="2">
        <f t="shared" si="27"/>
        <v>0</v>
      </c>
      <c r="BI64" s="3"/>
      <c r="BK64" s="122">
        <v>0</v>
      </c>
      <c r="BL64" s="123">
        <v>0</v>
      </c>
      <c r="BM64" s="123">
        <v>0</v>
      </c>
      <c r="BN64" s="123">
        <v>0</v>
      </c>
      <c r="BO64" s="123">
        <v>0</v>
      </c>
      <c r="BP64" s="123">
        <v>1</v>
      </c>
      <c r="BQ64" s="123">
        <v>0</v>
      </c>
      <c r="BR64" s="123">
        <v>0</v>
      </c>
      <c r="BS64" s="123">
        <v>0</v>
      </c>
      <c r="BT64" s="123">
        <v>0</v>
      </c>
      <c r="BU64" s="125">
        <f t="shared" si="28"/>
        <v>1</v>
      </c>
    </row>
    <row r="65" spans="1:73" ht="21.75" customHeight="1" x14ac:dyDescent="0.25">
      <c r="A65" s="45">
        <v>61</v>
      </c>
      <c r="B65" s="11" t="s">
        <v>148</v>
      </c>
      <c r="C65" s="77" t="s">
        <v>149</v>
      </c>
      <c r="D65" s="85">
        <v>45679</v>
      </c>
      <c r="E65" s="65">
        <v>0.3520833333333333</v>
      </c>
      <c r="F65" s="65">
        <v>0.94305555555555554</v>
      </c>
      <c r="G65" s="65">
        <v>0.3520833333333333</v>
      </c>
      <c r="H65" s="65">
        <v>0.96458333333333324</v>
      </c>
      <c r="I65" s="91" t="s">
        <v>15</v>
      </c>
      <c r="J65" s="91" t="s">
        <v>15</v>
      </c>
      <c r="K65" s="65">
        <v>0.3520833333333333</v>
      </c>
      <c r="L65" s="65">
        <v>0.96875</v>
      </c>
      <c r="M65" s="65">
        <v>0.3520833333333333</v>
      </c>
      <c r="N65" s="65">
        <v>0.95138888888888884</v>
      </c>
      <c r="O65" s="65">
        <v>0.3520833333333333</v>
      </c>
      <c r="P65" s="65">
        <v>0.94652777777777775</v>
      </c>
      <c r="Q65" s="65">
        <v>0.3527777777777778</v>
      </c>
      <c r="R65" s="65">
        <v>0.93958333333333333</v>
      </c>
      <c r="S65" s="65">
        <v>0.3527777777777778</v>
      </c>
      <c r="T65" s="65">
        <v>0.94652777777777775</v>
      </c>
      <c r="U65" s="65">
        <v>0.3527777777777778</v>
      </c>
      <c r="V65" s="65">
        <v>0.9770833333333333</v>
      </c>
      <c r="W65" s="98">
        <v>0.57777777777777783</v>
      </c>
      <c r="X65" s="98">
        <v>0.95694444444444438</v>
      </c>
      <c r="Y65" s="65">
        <v>0.3527777777777778</v>
      </c>
      <c r="Z65" s="65">
        <v>0.96458333333333324</v>
      </c>
      <c r="AA65" s="65">
        <v>0.34861111111111115</v>
      </c>
      <c r="AB65" s="65">
        <v>0.95138888888888884</v>
      </c>
      <c r="AC65" s="65">
        <v>0.3527777777777778</v>
      </c>
      <c r="AD65" s="65">
        <v>0.94374999999999998</v>
      </c>
      <c r="AE65" s="65">
        <v>0.3520833333333333</v>
      </c>
      <c r="AF65" s="65">
        <v>0.94513888888888886</v>
      </c>
      <c r="AG65" s="65">
        <v>0.3520833333333333</v>
      </c>
      <c r="AH65" s="65">
        <v>0.94861111111111107</v>
      </c>
      <c r="AI65" s="114"/>
      <c r="AJ65" s="45">
        <v>60</v>
      </c>
      <c r="AK65" s="65"/>
      <c r="AL65" s="65"/>
      <c r="AM65" s="65"/>
      <c r="AN65" s="65"/>
      <c r="AO65" s="65"/>
      <c r="AP65" s="65"/>
      <c r="AQ65" s="91"/>
      <c r="AR65" s="100"/>
      <c r="AS65" s="65"/>
      <c r="AT65" s="65"/>
      <c r="AU65" s="97">
        <f t="shared" si="2"/>
        <v>15</v>
      </c>
      <c r="AV65" s="68"/>
      <c r="AW65" s="1">
        <f t="shared" si="16"/>
        <v>14</v>
      </c>
      <c r="AX65" s="2">
        <f t="shared" si="17"/>
        <v>1</v>
      </c>
      <c r="AY65" s="2">
        <f t="shared" si="18"/>
        <v>0</v>
      </c>
      <c r="AZ65" s="2">
        <f t="shared" si="19"/>
        <v>0</v>
      </c>
      <c r="BA65" s="2">
        <f t="shared" si="20"/>
        <v>0</v>
      </c>
      <c r="BB65" s="2">
        <f t="shared" si="21"/>
        <v>0</v>
      </c>
      <c r="BC65" s="2">
        <f t="shared" si="22"/>
        <v>0</v>
      </c>
      <c r="BD65" s="2">
        <f t="shared" si="23"/>
        <v>0</v>
      </c>
      <c r="BE65" s="2">
        <f t="shared" si="24"/>
        <v>0</v>
      </c>
      <c r="BF65" s="2">
        <f t="shared" si="25"/>
        <v>0</v>
      </c>
      <c r="BG65" s="2">
        <f t="shared" si="26"/>
        <v>0</v>
      </c>
      <c r="BH65" s="2">
        <f t="shared" si="27"/>
        <v>0</v>
      </c>
      <c r="BI65" s="3"/>
      <c r="BK65" s="55">
        <v>0</v>
      </c>
      <c r="BL65" s="54">
        <v>0</v>
      </c>
      <c r="BM65" s="54">
        <v>0</v>
      </c>
      <c r="BN65" s="54">
        <v>0</v>
      </c>
      <c r="BO65" s="54">
        <v>0</v>
      </c>
      <c r="BP65" s="54">
        <v>0</v>
      </c>
      <c r="BQ65" s="54">
        <v>0</v>
      </c>
      <c r="BR65" s="54">
        <v>0</v>
      </c>
      <c r="BS65" s="54">
        <v>0</v>
      </c>
      <c r="BT65" s="54">
        <v>0</v>
      </c>
      <c r="BU65" s="126">
        <f t="shared" si="28"/>
        <v>0</v>
      </c>
    </row>
    <row r="66" spans="1:73" ht="21.75" customHeight="1" x14ac:dyDescent="0.25">
      <c r="A66" s="45">
        <v>62</v>
      </c>
      <c r="B66" s="11" t="s">
        <v>150</v>
      </c>
      <c r="C66" s="77" t="s">
        <v>151</v>
      </c>
      <c r="D66" s="85">
        <v>45679</v>
      </c>
      <c r="E66" s="65">
        <v>0.35416666666666669</v>
      </c>
      <c r="F66" s="65">
        <v>0.9770833333333333</v>
      </c>
      <c r="G66" s="65">
        <v>0.35416666666666669</v>
      </c>
      <c r="H66" s="65">
        <v>0.97083333333333333</v>
      </c>
      <c r="I66" s="98">
        <v>0.58124999999999993</v>
      </c>
      <c r="J66" s="98">
        <v>0.93541666666666667</v>
      </c>
      <c r="K66" s="65">
        <v>0.35416666666666669</v>
      </c>
      <c r="L66" s="65">
        <v>0.95624999999999993</v>
      </c>
      <c r="M66" s="65">
        <v>0.35347222222222219</v>
      </c>
      <c r="N66" s="65">
        <v>0.93472222222222223</v>
      </c>
      <c r="O66" s="65">
        <v>0.35347222222222219</v>
      </c>
      <c r="P66" s="65">
        <v>0.9604166666666667</v>
      </c>
      <c r="Q66" s="65">
        <v>0.35347222222222219</v>
      </c>
      <c r="R66" s="69">
        <v>1</v>
      </c>
      <c r="S66" s="65">
        <v>0.35486111111111113</v>
      </c>
      <c r="T66" s="65">
        <v>1.3888888888888889E-3</v>
      </c>
      <c r="U66" s="65">
        <v>0.35416666666666669</v>
      </c>
      <c r="V66" s="65">
        <v>0.98611111111111116</v>
      </c>
      <c r="W66" s="91" t="s">
        <v>15</v>
      </c>
      <c r="X66" s="91" t="s">
        <v>15</v>
      </c>
      <c r="Y66" s="65">
        <v>0.35486111111111113</v>
      </c>
      <c r="Z66" s="65">
        <v>0.95208333333333339</v>
      </c>
      <c r="AA66" s="65">
        <v>0.35000000000000003</v>
      </c>
      <c r="AB66" s="65">
        <v>0.95347222222222217</v>
      </c>
      <c r="AC66" s="65">
        <v>0.35416666666666669</v>
      </c>
      <c r="AD66" s="65">
        <v>0.93611111111111101</v>
      </c>
      <c r="AE66" s="65">
        <v>0.3520833333333333</v>
      </c>
      <c r="AF66" s="65">
        <v>0.95694444444444438</v>
      </c>
      <c r="AG66" s="65">
        <v>0.35347222222222219</v>
      </c>
      <c r="AH66" s="65">
        <v>0.97430555555555554</v>
      </c>
      <c r="AI66" s="114"/>
      <c r="AJ66" s="45">
        <v>61</v>
      </c>
      <c r="AK66" s="65"/>
      <c r="AL66" s="65"/>
      <c r="AM66" s="65"/>
      <c r="AN66" s="65"/>
      <c r="AO66" s="65"/>
      <c r="AP66" s="65"/>
      <c r="AQ66" s="98"/>
      <c r="AR66" s="98"/>
      <c r="AS66" s="65"/>
      <c r="AT66" s="65"/>
      <c r="AU66" s="97">
        <f t="shared" si="2"/>
        <v>15</v>
      </c>
      <c r="AV66" s="68"/>
      <c r="AW66" s="1">
        <f t="shared" si="16"/>
        <v>14</v>
      </c>
      <c r="AX66" s="2">
        <f t="shared" si="17"/>
        <v>1</v>
      </c>
      <c r="AY66" s="2">
        <f t="shared" si="18"/>
        <v>0</v>
      </c>
      <c r="AZ66" s="2">
        <f t="shared" si="19"/>
        <v>0</v>
      </c>
      <c r="BA66" s="2">
        <f t="shared" si="20"/>
        <v>0</v>
      </c>
      <c r="BB66" s="2">
        <f t="shared" si="21"/>
        <v>0</v>
      </c>
      <c r="BC66" s="2">
        <f t="shared" si="22"/>
        <v>0</v>
      </c>
      <c r="BD66" s="2">
        <f t="shared" si="23"/>
        <v>0</v>
      </c>
      <c r="BE66" s="2">
        <f t="shared" si="24"/>
        <v>0</v>
      </c>
      <c r="BF66" s="2">
        <f t="shared" si="25"/>
        <v>0</v>
      </c>
      <c r="BG66" s="2">
        <f t="shared" si="26"/>
        <v>0</v>
      </c>
      <c r="BH66" s="2">
        <f t="shared" si="27"/>
        <v>0</v>
      </c>
      <c r="BI66" s="3"/>
      <c r="BK66" s="122">
        <v>0</v>
      </c>
      <c r="BL66" s="123">
        <v>0</v>
      </c>
      <c r="BM66" s="123">
        <v>0</v>
      </c>
      <c r="BN66" s="123">
        <v>0</v>
      </c>
      <c r="BO66" s="123">
        <v>0</v>
      </c>
      <c r="BP66" s="123">
        <v>0</v>
      </c>
      <c r="BQ66" s="123">
        <v>0</v>
      </c>
      <c r="BR66" s="123">
        <v>0</v>
      </c>
      <c r="BS66" s="123">
        <v>0</v>
      </c>
      <c r="BT66" s="123">
        <v>0</v>
      </c>
      <c r="BU66" s="125">
        <f t="shared" si="28"/>
        <v>0</v>
      </c>
    </row>
    <row r="67" spans="1:73" ht="21.75" customHeight="1" x14ac:dyDescent="0.25">
      <c r="A67" s="45">
        <v>63</v>
      </c>
      <c r="B67" s="11" t="s">
        <v>152</v>
      </c>
      <c r="C67" s="77" t="s">
        <v>235</v>
      </c>
      <c r="D67" s="85">
        <v>45679</v>
      </c>
      <c r="E67" s="65">
        <v>0.33819444444444446</v>
      </c>
      <c r="F67" s="65">
        <v>0.94166666666666676</v>
      </c>
      <c r="G67" s="65">
        <v>0.33888888888888885</v>
      </c>
      <c r="H67" s="65">
        <v>0.96458333333333324</v>
      </c>
      <c r="I67" s="98">
        <v>0.58124999999999993</v>
      </c>
      <c r="J67" s="98">
        <v>0.94930555555555562</v>
      </c>
      <c r="K67" s="65">
        <v>0.33819444444444446</v>
      </c>
      <c r="L67" s="65">
        <v>0.96250000000000002</v>
      </c>
      <c r="M67" s="65">
        <v>0.33819444444444446</v>
      </c>
      <c r="N67" s="65">
        <v>0.9472222222222223</v>
      </c>
      <c r="O67" s="65">
        <v>0.33819444444444446</v>
      </c>
      <c r="P67" s="65">
        <v>0.94861111111111107</v>
      </c>
      <c r="Q67" s="65">
        <v>0.33819444444444446</v>
      </c>
      <c r="R67" s="65">
        <v>0.94791666666666663</v>
      </c>
      <c r="S67" s="65">
        <v>0.33888888888888885</v>
      </c>
      <c r="T67" s="65">
        <v>0.94513888888888886</v>
      </c>
      <c r="U67" s="65">
        <v>0.34375</v>
      </c>
      <c r="V67" s="65">
        <v>0.97430555555555554</v>
      </c>
      <c r="W67" s="91" t="s">
        <v>15</v>
      </c>
      <c r="X67" s="91" t="s">
        <v>15</v>
      </c>
      <c r="Y67" s="65">
        <v>0.34027777777777773</v>
      </c>
      <c r="Z67" s="65">
        <v>0.96319444444444446</v>
      </c>
      <c r="AA67" s="65">
        <v>0.3354166666666667</v>
      </c>
      <c r="AB67" s="65">
        <v>0.9472222222222223</v>
      </c>
      <c r="AC67" s="65">
        <v>0.33680555555555558</v>
      </c>
      <c r="AD67" s="65">
        <v>0.94791666666666663</v>
      </c>
      <c r="AE67" s="65">
        <v>0.33680555555555558</v>
      </c>
      <c r="AF67" s="65">
        <v>0.95277777777777783</v>
      </c>
      <c r="AG67" s="65">
        <v>0.33958333333333335</v>
      </c>
      <c r="AH67" s="65">
        <v>0.94861111111111107</v>
      </c>
      <c r="AI67" s="114"/>
      <c r="AJ67" s="45">
        <v>62</v>
      </c>
      <c r="AK67" s="65"/>
      <c r="AL67" s="65"/>
      <c r="AM67" s="65"/>
      <c r="AN67" s="65"/>
      <c r="AO67" s="65"/>
      <c r="AP67" s="65"/>
      <c r="AQ67" s="98"/>
      <c r="AR67" s="98"/>
      <c r="AS67" s="65"/>
      <c r="AT67" s="65"/>
      <c r="AU67" s="97">
        <f t="shared" si="2"/>
        <v>15</v>
      </c>
      <c r="AV67" s="68"/>
      <c r="AW67" s="1">
        <f t="shared" si="16"/>
        <v>14</v>
      </c>
      <c r="AX67" s="2">
        <f t="shared" si="17"/>
        <v>1</v>
      </c>
      <c r="AY67" s="2">
        <f t="shared" si="18"/>
        <v>0</v>
      </c>
      <c r="AZ67" s="2">
        <f t="shared" si="19"/>
        <v>0</v>
      </c>
      <c r="BA67" s="2">
        <f t="shared" si="20"/>
        <v>0</v>
      </c>
      <c r="BB67" s="2">
        <f t="shared" si="21"/>
        <v>0</v>
      </c>
      <c r="BC67" s="2">
        <f t="shared" si="22"/>
        <v>0</v>
      </c>
      <c r="BD67" s="2">
        <f t="shared" si="23"/>
        <v>0</v>
      </c>
      <c r="BE67" s="2">
        <f t="shared" si="24"/>
        <v>0</v>
      </c>
      <c r="BF67" s="2">
        <f t="shared" si="25"/>
        <v>0</v>
      </c>
      <c r="BG67" s="2">
        <f t="shared" si="26"/>
        <v>0</v>
      </c>
      <c r="BH67" s="2">
        <f t="shared" si="27"/>
        <v>0</v>
      </c>
      <c r="BI67" s="3"/>
      <c r="BK67" s="55">
        <v>0</v>
      </c>
      <c r="BL67" s="54">
        <v>0</v>
      </c>
      <c r="BM67" s="54">
        <v>0</v>
      </c>
      <c r="BN67" s="54">
        <v>0</v>
      </c>
      <c r="BO67" s="54">
        <v>0</v>
      </c>
      <c r="BP67" s="55">
        <v>14</v>
      </c>
      <c r="BQ67" s="55">
        <v>1</v>
      </c>
      <c r="BR67" s="54">
        <v>0</v>
      </c>
      <c r="BS67" s="54">
        <v>0</v>
      </c>
      <c r="BT67" s="54">
        <v>0</v>
      </c>
      <c r="BU67" s="126">
        <f t="shared" si="28"/>
        <v>15</v>
      </c>
    </row>
    <row r="68" spans="1:73" ht="21.75" customHeight="1" x14ac:dyDescent="0.25">
      <c r="A68" s="45">
        <v>64</v>
      </c>
      <c r="B68" s="11" t="s">
        <v>153</v>
      </c>
      <c r="C68" s="77" t="s">
        <v>154</v>
      </c>
      <c r="D68" s="85">
        <v>45812</v>
      </c>
      <c r="E68" s="65">
        <v>0.3520833333333333</v>
      </c>
      <c r="F68" s="65">
        <v>0.91249999999999998</v>
      </c>
      <c r="G68" s="65">
        <v>0.3527777777777778</v>
      </c>
      <c r="H68" s="65">
        <v>0.92222222222222217</v>
      </c>
      <c r="I68" s="98">
        <v>0.57986111111111105</v>
      </c>
      <c r="J68" s="98">
        <v>0.87847222222222221</v>
      </c>
      <c r="K68" s="65">
        <v>0.35138888888888892</v>
      </c>
      <c r="L68" s="65">
        <v>0.93541666666666667</v>
      </c>
      <c r="M68" s="74" t="s">
        <v>174</v>
      </c>
      <c r="N68" s="74" t="s">
        <v>174</v>
      </c>
      <c r="O68" s="65">
        <v>0.3520833333333333</v>
      </c>
      <c r="P68" s="65">
        <v>0.89930555555555547</v>
      </c>
      <c r="Q68" s="65">
        <v>0.35138888888888892</v>
      </c>
      <c r="R68" s="65">
        <v>0.89722222222222225</v>
      </c>
      <c r="S68" s="65">
        <v>0.35138888888888892</v>
      </c>
      <c r="T68" s="65">
        <v>0.93819444444444444</v>
      </c>
      <c r="U68" s="65">
        <v>0.34652777777777777</v>
      </c>
      <c r="V68" s="65">
        <v>0.98055555555555562</v>
      </c>
      <c r="W68" s="91" t="s">
        <v>15</v>
      </c>
      <c r="X68" s="91" t="s">
        <v>15</v>
      </c>
      <c r="Y68" s="65">
        <v>0.34652777777777777</v>
      </c>
      <c r="Z68" s="65">
        <v>0.93958333333333333</v>
      </c>
      <c r="AA68" s="65">
        <v>0.34583333333333338</v>
      </c>
      <c r="AB68" s="65">
        <v>0.91180555555555554</v>
      </c>
      <c r="AC68" s="65">
        <v>0.34861111111111115</v>
      </c>
      <c r="AD68" s="65">
        <v>0.90347222222222223</v>
      </c>
      <c r="AE68" s="65">
        <v>0.34861111111111115</v>
      </c>
      <c r="AF68" s="65">
        <v>0.91249999999999998</v>
      </c>
      <c r="AG68" s="65">
        <v>0.34861111111111115</v>
      </c>
      <c r="AH68" s="65">
        <v>0.92222222222222217</v>
      </c>
      <c r="AI68" s="114"/>
      <c r="AJ68" s="45">
        <v>63</v>
      </c>
      <c r="AK68" s="65"/>
      <c r="AL68" s="65"/>
      <c r="AM68" s="65"/>
      <c r="AN68" s="65"/>
      <c r="AO68" s="65"/>
      <c r="AP68" s="65"/>
      <c r="AQ68" s="98"/>
      <c r="AR68" s="98"/>
      <c r="AS68" s="65"/>
      <c r="AT68" s="65"/>
      <c r="AU68" s="97">
        <f t="shared" si="2"/>
        <v>15</v>
      </c>
      <c r="AV68" s="68"/>
      <c r="AW68" s="1">
        <f t="shared" si="16"/>
        <v>13</v>
      </c>
      <c r="AX68" s="2">
        <f t="shared" si="17"/>
        <v>1</v>
      </c>
      <c r="AY68" s="2">
        <f t="shared" si="18"/>
        <v>0</v>
      </c>
      <c r="AZ68" s="2">
        <f t="shared" si="19"/>
        <v>0</v>
      </c>
      <c r="BA68" s="2">
        <f t="shared" si="20"/>
        <v>0</v>
      </c>
      <c r="BB68" s="2">
        <f t="shared" si="21"/>
        <v>0</v>
      </c>
      <c r="BC68" s="2">
        <f t="shared" si="22"/>
        <v>0</v>
      </c>
      <c r="BD68" s="2">
        <f t="shared" si="23"/>
        <v>1</v>
      </c>
      <c r="BE68" s="2">
        <f t="shared" si="24"/>
        <v>0</v>
      </c>
      <c r="BF68" s="2">
        <f t="shared" si="25"/>
        <v>0</v>
      </c>
      <c r="BG68" s="2">
        <f t="shared" si="26"/>
        <v>0</v>
      </c>
      <c r="BH68" s="2">
        <f t="shared" si="27"/>
        <v>0</v>
      </c>
      <c r="BI68" s="3"/>
      <c r="BK68" s="122">
        <v>0</v>
      </c>
      <c r="BL68" s="123">
        <v>0</v>
      </c>
      <c r="BM68" s="123">
        <v>0</v>
      </c>
      <c r="BN68" s="123">
        <v>0</v>
      </c>
      <c r="BO68" s="123">
        <v>0</v>
      </c>
      <c r="BP68" s="123">
        <v>2</v>
      </c>
      <c r="BQ68" s="123">
        <v>0</v>
      </c>
      <c r="BR68" s="122">
        <v>1</v>
      </c>
      <c r="BS68" s="123">
        <v>0</v>
      </c>
      <c r="BT68" s="123">
        <v>0</v>
      </c>
      <c r="BU68" s="125">
        <f t="shared" si="28"/>
        <v>3</v>
      </c>
    </row>
    <row r="69" spans="1:73" ht="21.75" customHeight="1" x14ac:dyDescent="0.25">
      <c r="A69" s="45">
        <v>65</v>
      </c>
      <c r="B69" s="11" t="s">
        <v>155</v>
      </c>
      <c r="C69" s="77" t="s">
        <v>156</v>
      </c>
      <c r="D69" s="85">
        <v>45826</v>
      </c>
      <c r="E69" s="65">
        <v>0.35416666666666669</v>
      </c>
      <c r="F69" s="69">
        <v>1</v>
      </c>
      <c r="G69" s="65">
        <v>0.3611111111111111</v>
      </c>
      <c r="H69" s="65">
        <v>0.9555555555555556</v>
      </c>
      <c r="I69" s="98">
        <v>0.58333333333333337</v>
      </c>
      <c r="J69" s="98">
        <v>0.94374999999999998</v>
      </c>
      <c r="K69" s="65">
        <v>0.35625000000000001</v>
      </c>
      <c r="L69" s="65">
        <v>0.9604166666666667</v>
      </c>
      <c r="M69" s="65">
        <v>0.35416666666666669</v>
      </c>
      <c r="N69" s="65">
        <v>0.95208333333333339</v>
      </c>
      <c r="O69" s="65">
        <v>0.35555555555555557</v>
      </c>
      <c r="P69" s="65">
        <v>0.95277777777777783</v>
      </c>
      <c r="Q69" s="65">
        <v>0.35625000000000001</v>
      </c>
      <c r="R69" s="65">
        <v>0.96944444444444444</v>
      </c>
      <c r="S69" s="65">
        <v>0.35972222222222222</v>
      </c>
      <c r="T69" s="65">
        <v>0.96527777777777779</v>
      </c>
      <c r="U69" s="65">
        <v>0.3520833333333333</v>
      </c>
      <c r="V69" s="65">
        <v>0.97361111111111109</v>
      </c>
      <c r="W69" s="98">
        <v>0.65763888888888888</v>
      </c>
      <c r="X69" s="98">
        <v>0.94861111111111107</v>
      </c>
      <c r="Y69" s="65">
        <v>0.35625000000000001</v>
      </c>
      <c r="Z69" s="69">
        <v>1</v>
      </c>
      <c r="AA69" s="65">
        <v>0.3576388888888889</v>
      </c>
      <c r="AB69" s="69">
        <v>1</v>
      </c>
      <c r="AC69" s="65">
        <v>0.35416666666666669</v>
      </c>
      <c r="AD69" s="65">
        <v>0.93611111111111101</v>
      </c>
      <c r="AE69" s="65">
        <v>0.35486111111111113</v>
      </c>
      <c r="AF69" s="65">
        <v>0.94791666666666663</v>
      </c>
      <c r="AG69" s="65">
        <v>0.35694444444444445</v>
      </c>
      <c r="AH69" s="65">
        <v>0.97152777777777777</v>
      </c>
      <c r="AI69" s="114"/>
      <c r="AJ69" s="45">
        <v>64</v>
      </c>
      <c r="AK69" s="65"/>
      <c r="AL69" s="65"/>
      <c r="AM69" s="65"/>
      <c r="AN69" s="65"/>
      <c r="AO69" s="65"/>
      <c r="AP69" s="69"/>
      <c r="AQ69" s="98"/>
      <c r="AR69" s="98"/>
      <c r="AS69" s="65"/>
      <c r="AT69" s="65"/>
      <c r="AU69" s="97">
        <f t="shared" si="2"/>
        <v>15</v>
      </c>
      <c r="AV69" s="68"/>
      <c r="AW69" s="1">
        <f t="shared" si="16"/>
        <v>15</v>
      </c>
      <c r="AX69" s="2">
        <f t="shared" si="17"/>
        <v>0</v>
      </c>
      <c r="AY69" s="2">
        <f t="shared" si="18"/>
        <v>0</v>
      </c>
      <c r="AZ69" s="2">
        <f t="shared" si="19"/>
        <v>0</v>
      </c>
      <c r="BA69" s="2">
        <f t="shared" si="20"/>
        <v>0</v>
      </c>
      <c r="BB69" s="2">
        <f t="shared" si="21"/>
        <v>0</v>
      </c>
      <c r="BC69" s="2">
        <f t="shared" si="22"/>
        <v>0</v>
      </c>
      <c r="BD69" s="2">
        <f t="shared" si="23"/>
        <v>0</v>
      </c>
      <c r="BE69" s="2">
        <f t="shared" si="24"/>
        <v>0</v>
      </c>
      <c r="BF69" s="2">
        <f t="shared" si="25"/>
        <v>0</v>
      </c>
      <c r="BG69" s="2">
        <f t="shared" si="26"/>
        <v>0</v>
      </c>
      <c r="BH69" s="2">
        <f t="shared" si="27"/>
        <v>0</v>
      </c>
      <c r="BI69" s="72"/>
      <c r="BK69" s="55">
        <v>0</v>
      </c>
      <c r="BL69" s="54">
        <v>0</v>
      </c>
      <c r="BM69" s="54">
        <v>0</v>
      </c>
      <c r="BN69" s="54">
        <v>0</v>
      </c>
      <c r="BO69" s="54">
        <v>0</v>
      </c>
      <c r="BP69" s="54">
        <v>0</v>
      </c>
      <c r="BQ69" s="54">
        <v>0</v>
      </c>
      <c r="BR69" s="54">
        <v>0</v>
      </c>
      <c r="BS69" s="54">
        <v>0</v>
      </c>
      <c r="BT69" s="54">
        <v>0</v>
      </c>
      <c r="BU69" s="126">
        <f t="shared" si="28"/>
        <v>0</v>
      </c>
    </row>
    <row r="70" spans="1:73" ht="21.75" customHeight="1" x14ac:dyDescent="0.25">
      <c r="A70" s="45">
        <v>66</v>
      </c>
      <c r="B70" s="11" t="s">
        <v>157</v>
      </c>
      <c r="C70" s="77" t="s">
        <v>236</v>
      </c>
      <c r="D70" s="85">
        <v>45841</v>
      </c>
      <c r="E70" s="65">
        <v>0.35138888888888892</v>
      </c>
      <c r="F70" s="65">
        <v>0.97569444444444453</v>
      </c>
      <c r="G70" s="65">
        <v>0.35138888888888892</v>
      </c>
      <c r="H70" s="65">
        <v>0.97083333333333333</v>
      </c>
      <c r="I70" s="98">
        <v>0.57986111111111105</v>
      </c>
      <c r="J70" s="98">
        <v>0.93819444444444444</v>
      </c>
      <c r="K70" s="65">
        <v>0.35000000000000003</v>
      </c>
      <c r="L70" s="65">
        <v>0.95624999999999993</v>
      </c>
      <c r="M70" s="65">
        <v>0.35069444444444442</v>
      </c>
      <c r="N70" s="65">
        <v>0.95972222222222225</v>
      </c>
      <c r="O70" s="65">
        <v>0.3527777777777778</v>
      </c>
      <c r="P70" s="65">
        <v>0.9604166666666667</v>
      </c>
      <c r="Q70" s="65">
        <v>0.35138888888888892</v>
      </c>
      <c r="R70" s="65">
        <v>0.97083333333333333</v>
      </c>
      <c r="S70" s="65">
        <v>0.35138888888888892</v>
      </c>
      <c r="T70" s="65">
        <v>3.472222222222222E-3</v>
      </c>
      <c r="U70" s="65">
        <v>0.35069444444444442</v>
      </c>
      <c r="V70" s="65">
        <v>0.98611111111111116</v>
      </c>
      <c r="W70" s="91" t="s">
        <v>15</v>
      </c>
      <c r="X70" s="91" t="s">
        <v>15</v>
      </c>
      <c r="Y70" s="65">
        <v>0.3520833333333333</v>
      </c>
      <c r="Z70" s="69">
        <v>1</v>
      </c>
      <c r="AA70" s="74" t="s">
        <v>174</v>
      </c>
      <c r="AB70" s="74" t="s">
        <v>174</v>
      </c>
      <c r="AC70" s="65">
        <v>0.35000000000000003</v>
      </c>
      <c r="AD70" s="65">
        <v>0.93888888888888899</v>
      </c>
      <c r="AE70" s="65">
        <v>0.35000000000000003</v>
      </c>
      <c r="AF70" s="65">
        <v>0.95694444444444438</v>
      </c>
      <c r="AG70" s="65">
        <v>0.35069444444444442</v>
      </c>
      <c r="AH70" s="65">
        <v>0.97499999999999998</v>
      </c>
      <c r="AI70" s="114"/>
      <c r="AJ70" s="45">
        <v>65</v>
      </c>
      <c r="AK70" s="65"/>
      <c r="AL70" s="65"/>
      <c r="AM70" s="65"/>
      <c r="AN70" s="65"/>
      <c r="AO70" s="65"/>
      <c r="AP70" s="65"/>
      <c r="AQ70" s="98"/>
      <c r="AR70" s="98"/>
      <c r="AS70" s="65"/>
      <c r="AT70" s="65"/>
      <c r="AU70" s="97">
        <f t="shared" si="2"/>
        <v>15</v>
      </c>
      <c r="AV70" s="68"/>
      <c r="AW70" s="1">
        <f t="shared" si="16"/>
        <v>13</v>
      </c>
      <c r="AX70" s="2">
        <f t="shared" si="17"/>
        <v>1</v>
      </c>
      <c r="AY70" s="2">
        <f t="shared" si="18"/>
        <v>0</v>
      </c>
      <c r="AZ70" s="2">
        <f t="shared" si="19"/>
        <v>0</v>
      </c>
      <c r="BA70" s="2">
        <f t="shared" si="20"/>
        <v>0</v>
      </c>
      <c r="BB70" s="2">
        <f t="shared" si="21"/>
        <v>0</v>
      </c>
      <c r="BC70" s="2">
        <f t="shared" si="22"/>
        <v>0</v>
      </c>
      <c r="BD70" s="2">
        <f t="shared" si="23"/>
        <v>1</v>
      </c>
      <c r="BE70" s="2">
        <f t="shared" si="24"/>
        <v>0</v>
      </c>
      <c r="BF70" s="2">
        <f t="shared" si="25"/>
        <v>0</v>
      </c>
      <c r="BG70" s="2">
        <f t="shared" si="26"/>
        <v>0</v>
      </c>
      <c r="BH70" s="2">
        <f t="shared" si="27"/>
        <v>0</v>
      </c>
      <c r="BI70" s="3"/>
      <c r="BK70" s="122">
        <v>0</v>
      </c>
      <c r="BL70" s="123">
        <v>0</v>
      </c>
      <c r="BM70" s="123">
        <v>0</v>
      </c>
      <c r="BN70" s="123">
        <v>0</v>
      </c>
      <c r="BO70" s="123">
        <v>0</v>
      </c>
      <c r="BP70" s="123">
        <v>2</v>
      </c>
      <c r="BQ70" s="123">
        <v>0</v>
      </c>
      <c r="BR70" s="123">
        <v>0</v>
      </c>
      <c r="BS70" s="123">
        <v>0</v>
      </c>
      <c r="BT70" s="123">
        <v>0</v>
      </c>
      <c r="BU70" s="125">
        <f t="shared" si="28"/>
        <v>2</v>
      </c>
    </row>
    <row r="71" spans="1:73" ht="21.75" customHeight="1" x14ac:dyDescent="0.25">
      <c r="A71" s="45">
        <v>67</v>
      </c>
      <c r="B71" s="11" t="s">
        <v>158</v>
      </c>
      <c r="C71" s="77" t="s">
        <v>159</v>
      </c>
      <c r="D71" s="85">
        <v>45841</v>
      </c>
      <c r="E71" s="65">
        <v>0.35347222222222219</v>
      </c>
      <c r="F71" s="65">
        <v>0.94444444444444453</v>
      </c>
      <c r="G71" s="65">
        <v>0.35486111111111113</v>
      </c>
      <c r="H71" s="65">
        <v>0.96388888888888891</v>
      </c>
      <c r="I71" s="98">
        <v>0.5805555555555556</v>
      </c>
      <c r="J71" s="98">
        <v>0.9472222222222223</v>
      </c>
      <c r="K71" s="65">
        <v>0.35416666666666669</v>
      </c>
      <c r="L71" s="69">
        <v>1</v>
      </c>
      <c r="M71" s="65">
        <v>0.35416666666666669</v>
      </c>
      <c r="N71" s="65">
        <v>0.94374999999999998</v>
      </c>
      <c r="O71" s="65">
        <v>0.35486111111111113</v>
      </c>
      <c r="P71" s="65">
        <v>0.94374999999999998</v>
      </c>
      <c r="Q71" s="65">
        <v>0.35486111111111113</v>
      </c>
      <c r="R71" s="65">
        <v>0.94027777777777777</v>
      </c>
      <c r="S71" s="65">
        <v>0.35416666666666669</v>
      </c>
      <c r="T71" s="65">
        <v>0.94444444444444453</v>
      </c>
      <c r="U71" s="65">
        <v>0.35138888888888892</v>
      </c>
      <c r="V71" s="65">
        <v>0.96944444444444444</v>
      </c>
      <c r="W71" s="91" t="s">
        <v>15</v>
      </c>
      <c r="X71" s="91" t="s">
        <v>15</v>
      </c>
      <c r="Y71" s="65">
        <v>0.3527777777777778</v>
      </c>
      <c r="Z71" s="65">
        <v>0.96111111111111114</v>
      </c>
      <c r="AA71" s="65">
        <v>0.34930555555555554</v>
      </c>
      <c r="AB71" s="65">
        <v>0.94513888888888886</v>
      </c>
      <c r="AC71" s="65">
        <v>0.35416666666666669</v>
      </c>
      <c r="AD71" s="65">
        <v>0.94374999999999998</v>
      </c>
      <c r="AE71" s="65">
        <v>0.3527777777777778</v>
      </c>
      <c r="AF71" s="65">
        <v>0.94513888888888886</v>
      </c>
      <c r="AG71" s="65">
        <v>0.3520833333333333</v>
      </c>
      <c r="AH71" s="69">
        <v>1</v>
      </c>
      <c r="AI71" s="114"/>
      <c r="AJ71" s="45">
        <v>66</v>
      </c>
      <c r="AK71" s="65"/>
      <c r="AL71" s="65"/>
      <c r="AM71" s="65"/>
      <c r="AN71" s="65"/>
      <c r="AO71" s="65"/>
      <c r="AP71" s="65"/>
      <c r="AQ71" s="98"/>
      <c r="AR71" s="98"/>
      <c r="AS71" s="65"/>
      <c r="AT71" s="65"/>
      <c r="AU71" s="97">
        <f t="shared" si="2"/>
        <v>15</v>
      </c>
      <c r="AV71" s="68"/>
      <c r="AW71" s="1">
        <f t="shared" si="16"/>
        <v>14</v>
      </c>
      <c r="AX71" s="2">
        <f t="shared" si="17"/>
        <v>1</v>
      </c>
      <c r="AY71" s="2">
        <f t="shared" si="18"/>
        <v>0</v>
      </c>
      <c r="AZ71" s="2">
        <f t="shared" si="19"/>
        <v>0</v>
      </c>
      <c r="BA71" s="2">
        <f t="shared" si="20"/>
        <v>0</v>
      </c>
      <c r="BB71" s="2">
        <f t="shared" si="21"/>
        <v>0</v>
      </c>
      <c r="BC71" s="2">
        <f t="shared" si="22"/>
        <v>0</v>
      </c>
      <c r="BD71" s="2">
        <f t="shared" si="23"/>
        <v>0</v>
      </c>
      <c r="BE71" s="2">
        <f t="shared" si="24"/>
        <v>0</v>
      </c>
      <c r="BF71" s="2">
        <f t="shared" si="25"/>
        <v>0</v>
      </c>
      <c r="BG71" s="2">
        <f t="shared" si="26"/>
        <v>0</v>
      </c>
      <c r="BH71" s="2">
        <f t="shared" si="27"/>
        <v>0</v>
      </c>
      <c r="BI71" s="3"/>
      <c r="BK71" s="55">
        <v>0</v>
      </c>
      <c r="BL71" s="54">
        <v>0</v>
      </c>
      <c r="BM71" s="54">
        <v>0</v>
      </c>
      <c r="BN71" s="54">
        <v>0</v>
      </c>
      <c r="BO71" s="54">
        <v>0</v>
      </c>
      <c r="BP71" s="55">
        <v>1</v>
      </c>
      <c r="BQ71" s="54">
        <v>0</v>
      </c>
      <c r="BR71" s="54">
        <v>0</v>
      </c>
      <c r="BS71" s="54">
        <v>0</v>
      </c>
      <c r="BT71" s="54">
        <v>0</v>
      </c>
      <c r="BU71" s="126">
        <f t="shared" si="28"/>
        <v>1</v>
      </c>
    </row>
    <row r="72" spans="1:73" ht="21.75" customHeight="1" x14ac:dyDescent="0.25">
      <c r="A72" s="45">
        <v>68</v>
      </c>
      <c r="B72" s="11" t="s">
        <v>160</v>
      </c>
      <c r="C72" s="77" t="s">
        <v>161</v>
      </c>
      <c r="D72" s="85">
        <v>45912</v>
      </c>
      <c r="E72" s="65">
        <v>0.35625000000000001</v>
      </c>
      <c r="F72" s="65">
        <v>0.9784722222222223</v>
      </c>
      <c r="G72" s="65">
        <v>0.3659722222222222</v>
      </c>
      <c r="H72" s="65">
        <v>0.99861111111111101</v>
      </c>
      <c r="I72" s="98">
        <v>0.58194444444444449</v>
      </c>
      <c r="J72" s="98">
        <v>0.97152777777777777</v>
      </c>
      <c r="K72" s="65">
        <v>0.36319444444444443</v>
      </c>
      <c r="L72" s="65">
        <v>0.9868055555555556</v>
      </c>
      <c r="M72" s="65">
        <v>0.3576388888888889</v>
      </c>
      <c r="N72" s="65">
        <v>0.97013888888888899</v>
      </c>
      <c r="O72" s="65">
        <v>0.36180555555555555</v>
      </c>
      <c r="P72" s="65">
        <v>0.96875</v>
      </c>
      <c r="Q72" s="69">
        <v>1</v>
      </c>
      <c r="R72" s="69">
        <v>1</v>
      </c>
      <c r="S72" s="65">
        <v>0.35486111111111113</v>
      </c>
      <c r="T72" s="65">
        <v>9.0277777777777787E-3</v>
      </c>
      <c r="U72" s="65">
        <v>0.35347222222222219</v>
      </c>
      <c r="V72" s="65">
        <v>0.98611111111111116</v>
      </c>
      <c r="W72" s="91" t="s">
        <v>15</v>
      </c>
      <c r="X72" s="91" t="s">
        <v>15</v>
      </c>
      <c r="Y72" s="65">
        <v>0.35347222222222219</v>
      </c>
      <c r="Z72" s="65">
        <v>0.97638888888888886</v>
      </c>
      <c r="AA72" s="65">
        <v>0.35069444444444442</v>
      </c>
      <c r="AB72" s="65">
        <v>0.97499999999999998</v>
      </c>
      <c r="AC72" s="65">
        <v>0.34861111111111115</v>
      </c>
      <c r="AD72" s="65">
        <v>0.9868055555555556</v>
      </c>
      <c r="AE72" s="65">
        <v>0.34652777777777777</v>
      </c>
      <c r="AF72" s="65">
        <v>0.96527777777777779</v>
      </c>
      <c r="AG72" s="65">
        <v>0.40625</v>
      </c>
      <c r="AH72" s="65">
        <v>0.97986111111111107</v>
      </c>
      <c r="AI72" s="114"/>
      <c r="AJ72" s="45">
        <v>67</v>
      </c>
      <c r="AK72" s="65"/>
      <c r="AL72" s="69"/>
      <c r="AM72" s="65"/>
      <c r="AN72" s="65"/>
      <c r="AO72" s="65"/>
      <c r="AP72" s="65"/>
      <c r="AQ72" s="98"/>
      <c r="AR72" s="98"/>
      <c r="AS72" s="65"/>
      <c r="AT72" s="65"/>
      <c r="AU72" s="97">
        <f t="shared" si="2"/>
        <v>15</v>
      </c>
      <c r="AV72" s="68"/>
      <c r="AW72" s="1">
        <f t="shared" si="16"/>
        <v>14</v>
      </c>
      <c r="AX72" s="2">
        <f t="shared" si="17"/>
        <v>1</v>
      </c>
      <c r="AY72" s="2">
        <f t="shared" si="18"/>
        <v>0</v>
      </c>
      <c r="AZ72" s="2">
        <f t="shared" si="19"/>
        <v>0</v>
      </c>
      <c r="BA72" s="2">
        <f t="shared" si="20"/>
        <v>0</v>
      </c>
      <c r="BB72" s="2">
        <f t="shared" si="21"/>
        <v>0</v>
      </c>
      <c r="BC72" s="2">
        <f t="shared" si="22"/>
        <v>0</v>
      </c>
      <c r="BD72" s="2">
        <f t="shared" si="23"/>
        <v>0</v>
      </c>
      <c r="BE72" s="2">
        <f t="shared" si="24"/>
        <v>0</v>
      </c>
      <c r="BF72" s="2">
        <f t="shared" si="25"/>
        <v>0</v>
      </c>
      <c r="BG72" s="2">
        <f t="shared" si="26"/>
        <v>0</v>
      </c>
      <c r="BH72" s="2">
        <f t="shared" si="27"/>
        <v>0</v>
      </c>
      <c r="BI72" s="3"/>
      <c r="BK72" s="122">
        <v>0</v>
      </c>
      <c r="BL72" s="123">
        <v>0</v>
      </c>
      <c r="BM72" s="123">
        <v>0</v>
      </c>
      <c r="BN72" s="123">
        <v>0</v>
      </c>
      <c r="BO72" s="123">
        <v>0</v>
      </c>
      <c r="BP72" s="123">
        <v>3</v>
      </c>
      <c r="BQ72" s="123">
        <v>0</v>
      </c>
      <c r="BR72" s="123">
        <v>0</v>
      </c>
      <c r="BS72" s="123">
        <v>0</v>
      </c>
      <c r="BT72" s="123">
        <v>0</v>
      </c>
      <c r="BU72" s="125">
        <f t="shared" si="28"/>
        <v>3</v>
      </c>
    </row>
    <row r="73" spans="1:73" ht="21.75" customHeight="1" x14ac:dyDescent="0.25">
      <c r="A73" s="45">
        <v>69</v>
      </c>
      <c r="B73" s="11" t="s">
        <v>162</v>
      </c>
      <c r="C73" s="77" t="s">
        <v>163</v>
      </c>
      <c r="D73" s="85">
        <v>45882</v>
      </c>
      <c r="E73" s="65">
        <v>0.34861111111111115</v>
      </c>
      <c r="F73" s="65">
        <v>0.95416666666666661</v>
      </c>
      <c r="G73" s="65">
        <v>0.34652777777777777</v>
      </c>
      <c r="H73" s="65">
        <v>0.91666666666666663</v>
      </c>
      <c r="I73" s="91" t="s">
        <v>15</v>
      </c>
      <c r="J73" s="91" t="s">
        <v>15</v>
      </c>
      <c r="K73" s="65">
        <v>0.3520833333333333</v>
      </c>
      <c r="L73" s="65">
        <v>0.94236111111111109</v>
      </c>
      <c r="M73" s="65">
        <v>0.35069444444444442</v>
      </c>
      <c r="N73" s="65">
        <v>0.92986111111111114</v>
      </c>
      <c r="O73" s="65">
        <v>0.3527777777777778</v>
      </c>
      <c r="P73" s="65">
        <v>0.94027777777777777</v>
      </c>
      <c r="Q73" s="65">
        <v>0.3527777777777778</v>
      </c>
      <c r="R73" s="65">
        <v>0.91388888888888886</v>
      </c>
      <c r="S73" s="65">
        <v>0.34722222222222227</v>
      </c>
      <c r="T73" s="65">
        <v>0.98402777777777783</v>
      </c>
      <c r="U73" s="65">
        <v>0.34722222222222227</v>
      </c>
      <c r="V73" s="65">
        <v>0.96875</v>
      </c>
      <c r="W73" s="98">
        <v>0.57152777777777775</v>
      </c>
      <c r="X73" s="98">
        <v>0.91805555555555562</v>
      </c>
      <c r="Y73" s="65">
        <v>0.34652777777777777</v>
      </c>
      <c r="Z73" s="65">
        <v>0.93958333333333333</v>
      </c>
      <c r="AA73" s="65">
        <v>0.3430555555555555</v>
      </c>
      <c r="AB73" s="65">
        <v>0.92013888888888884</v>
      </c>
      <c r="AC73" s="65">
        <v>0.34652777777777777</v>
      </c>
      <c r="AD73" s="65">
        <v>0.92152777777777783</v>
      </c>
      <c r="AE73" s="65">
        <v>0.34513888888888888</v>
      </c>
      <c r="AF73" s="65">
        <v>0.91319444444444453</v>
      </c>
      <c r="AG73" s="65">
        <v>0.34930555555555554</v>
      </c>
      <c r="AH73" s="65">
        <v>0.92152777777777783</v>
      </c>
      <c r="AI73" s="114"/>
      <c r="AJ73" s="45">
        <v>68</v>
      </c>
      <c r="AK73" s="74"/>
      <c r="AL73" s="74"/>
      <c r="AM73" s="65"/>
      <c r="AN73" s="69"/>
      <c r="AO73" s="65"/>
      <c r="AP73" s="65"/>
      <c r="AQ73" s="91"/>
      <c r="AR73" s="100"/>
      <c r="AS73" s="65"/>
      <c r="AT73" s="65"/>
      <c r="AU73" s="97">
        <f t="shared" si="2"/>
        <v>15</v>
      </c>
      <c r="AV73" s="68"/>
      <c r="AW73" s="1">
        <f t="shared" si="16"/>
        <v>14</v>
      </c>
      <c r="AX73" s="2">
        <f t="shared" si="17"/>
        <v>1</v>
      </c>
      <c r="AY73" s="2">
        <f t="shared" si="18"/>
        <v>0</v>
      </c>
      <c r="AZ73" s="2">
        <f t="shared" si="19"/>
        <v>0</v>
      </c>
      <c r="BA73" s="2">
        <f t="shared" si="20"/>
        <v>0</v>
      </c>
      <c r="BB73" s="2">
        <f t="shared" si="21"/>
        <v>0</v>
      </c>
      <c r="BC73" s="2">
        <f t="shared" si="22"/>
        <v>0</v>
      </c>
      <c r="BD73" s="2">
        <f t="shared" si="23"/>
        <v>0</v>
      </c>
      <c r="BE73" s="2">
        <f t="shared" si="24"/>
        <v>0</v>
      </c>
      <c r="BF73" s="2">
        <f t="shared" si="25"/>
        <v>0</v>
      </c>
      <c r="BG73" s="2">
        <f t="shared" si="26"/>
        <v>0</v>
      </c>
      <c r="BH73" s="2">
        <f t="shared" si="27"/>
        <v>0</v>
      </c>
      <c r="BI73" s="3"/>
      <c r="BK73" s="55">
        <v>0</v>
      </c>
      <c r="BL73" s="54">
        <v>0</v>
      </c>
      <c r="BM73" s="54">
        <v>0</v>
      </c>
      <c r="BN73" s="54">
        <v>0</v>
      </c>
      <c r="BO73" s="54">
        <v>0</v>
      </c>
      <c r="BP73" s="55">
        <v>13</v>
      </c>
      <c r="BQ73" s="54">
        <v>0</v>
      </c>
      <c r="BR73" s="54">
        <v>0</v>
      </c>
      <c r="BS73" s="54">
        <v>0</v>
      </c>
      <c r="BT73" s="54">
        <v>0</v>
      </c>
      <c r="BU73" s="126">
        <f t="shared" si="28"/>
        <v>13</v>
      </c>
    </row>
    <row r="74" spans="1:73" ht="22.5" customHeight="1" x14ac:dyDescent="0.25">
      <c r="A74" s="45">
        <v>70</v>
      </c>
      <c r="B74" s="11" t="s">
        <v>164</v>
      </c>
      <c r="C74" s="78" t="s">
        <v>237</v>
      </c>
      <c r="D74" s="85">
        <v>45935</v>
      </c>
      <c r="E74" s="65">
        <v>0.34791666666666665</v>
      </c>
      <c r="F74" s="65">
        <v>0.95416666666666661</v>
      </c>
      <c r="G74" s="65">
        <v>0.34722222222222227</v>
      </c>
      <c r="H74" s="65">
        <v>0.97083333333333333</v>
      </c>
      <c r="I74" s="98">
        <v>0.57916666666666672</v>
      </c>
      <c r="J74" s="98">
        <v>0.94374999999999998</v>
      </c>
      <c r="K74" s="65">
        <v>0.34861111111111115</v>
      </c>
      <c r="L74" s="65">
        <v>0.96944444444444444</v>
      </c>
      <c r="M74" s="65">
        <v>0.34722222222222227</v>
      </c>
      <c r="N74" s="69">
        <v>1</v>
      </c>
      <c r="O74" s="65">
        <v>0.3354166666666667</v>
      </c>
      <c r="P74" s="69">
        <v>1</v>
      </c>
      <c r="Q74" s="65">
        <v>0.34652777777777777</v>
      </c>
      <c r="R74" s="65">
        <v>0.94374999999999998</v>
      </c>
      <c r="S74" s="65">
        <v>0.35625000000000001</v>
      </c>
      <c r="T74" s="65">
        <v>0.95486111111111116</v>
      </c>
      <c r="U74" s="65">
        <v>0.34861111111111115</v>
      </c>
      <c r="V74" s="65">
        <v>0.9770833333333333</v>
      </c>
      <c r="W74" s="91" t="s">
        <v>15</v>
      </c>
      <c r="X74" s="91" t="s">
        <v>15</v>
      </c>
      <c r="Y74" s="65">
        <v>0.35138888888888892</v>
      </c>
      <c r="Z74" s="65">
        <v>0.96666666666666667</v>
      </c>
      <c r="AA74" s="65">
        <v>0.34583333333333338</v>
      </c>
      <c r="AB74" s="65">
        <v>0.95000000000000007</v>
      </c>
      <c r="AC74" s="65">
        <v>0.34791666666666665</v>
      </c>
      <c r="AD74" s="65">
        <v>0.95277777777777783</v>
      </c>
      <c r="AE74" s="65">
        <v>0.34513888888888888</v>
      </c>
      <c r="AF74" s="65">
        <v>0.94444444444444453</v>
      </c>
      <c r="AG74" s="65">
        <v>0.34722222222222227</v>
      </c>
      <c r="AH74" s="65">
        <v>0.95138888888888884</v>
      </c>
      <c r="AI74" s="106"/>
      <c r="AJ74" s="45">
        <v>69</v>
      </c>
      <c r="AK74" s="65"/>
      <c r="AL74" s="65"/>
      <c r="AM74" s="65"/>
      <c r="AN74" s="69"/>
      <c r="AO74" s="65"/>
      <c r="AP74" s="65"/>
      <c r="AQ74" s="98"/>
      <c r="AR74" s="99"/>
      <c r="AS74" s="65"/>
      <c r="AT74" s="65"/>
      <c r="AU74" s="97">
        <f t="shared" si="2"/>
        <v>15</v>
      </c>
      <c r="AV74" s="68"/>
      <c r="AW74" s="1">
        <f t="shared" si="16"/>
        <v>14</v>
      </c>
      <c r="AX74" s="2">
        <f t="shared" si="17"/>
        <v>1</v>
      </c>
      <c r="AY74" s="2">
        <f t="shared" si="18"/>
        <v>0</v>
      </c>
      <c r="AZ74" s="2">
        <f t="shared" si="19"/>
        <v>0</v>
      </c>
      <c r="BA74" s="2">
        <f t="shared" si="20"/>
        <v>0</v>
      </c>
      <c r="BB74" s="2">
        <f t="shared" si="21"/>
        <v>0</v>
      </c>
      <c r="BC74" s="2">
        <f t="shared" si="22"/>
        <v>0</v>
      </c>
      <c r="BD74" s="2">
        <f t="shared" si="23"/>
        <v>0</v>
      </c>
      <c r="BE74" s="2">
        <f t="shared" si="24"/>
        <v>0</v>
      </c>
      <c r="BF74" s="2">
        <f t="shared" si="25"/>
        <v>0</v>
      </c>
      <c r="BG74" s="2">
        <f t="shared" si="26"/>
        <v>0</v>
      </c>
      <c r="BH74" s="2">
        <f t="shared" si="27"/>
        <v>0</v>
      </c>
      <c r="BI74" s="3"/>
      <c r="BK74" s="122">
        <v>0</v>
      </c>
      <c r="BL74" s="123">
        <v>0</v>
      </c>
      <c r="BM74" s="123">
        <v>0</v>
      </c>
      <c r="BN74" s="123">
        <v>0</v>
      </c>
      <c r="BO74" s="123">
        <v>0</v>
      </c>
      <c r="BP74" s="122">
        <v>1</v>
      </c>
      <c r="BQ74" s="123">
        <v>0</v>
      </c>
      <c r="BR74" s="123">
        <v>0</v>
      </c>
      <c r="BS74" s="123">
        <v>0</v>
      </c>
      <c r="BT74" s="123">
        <v>0</v>
      </c>
      <c r="BU74" s="125">
        <f t="shared" si="28"/>
        <v>1</v>
      </c>
    </row>
    <row r="75" spans="1:73" ht="21.75" customHeight="1" x14ac:dyDescent="0.25">
      <c r="A75" s="45">
        <v>71</v>
      </c>
      <c r="B75" s="11" t="s">
        <v>165</v>
      </c>
      <c r="C75" s="82" t="s">
        <v>166</v>
      </c>
      <c r="D75" s="85">
        <v>45929</v>
      </c>
      <c r="E75" s="65">
        <v>0.35416666666666669</v>
      </c>
      <c r="F75" s="69">
        <v>1</v>
      </c>
      <c r="G75" s="65">
        <v>0.3527777777777778</v>
      </c>
      <c r="H75" s="65">
        <v>0.96180555555555547</v>
      </c>
      <c r="I75" s="98">
        <v>0.56458333333333333</v>
      </c>
      <c r="J75" s="98">
        <v>0.94097222222222221</v>
      </c>
      <c r="K75" s="65">
        <v>0.35138888888888892</v>
      </c>
      <c r="L75" s="65">
        <v>0.95833333333333337</v>
      </c>
      <c r="M75" s="65">
        <v>0.35416666666666669</v>
      </c>
      <c r="N75" s="65">
        <v>0.96111111111111114</v>
      </c>
      <c r="O75" s="65">
        <v>0.35138888888888892</v>
      </c>
      <c r="P75" s="65">
        <v>0.95486111111111116</v>
      </c>
      <c r="Q75" s="65">
        <v>0.35347222222222219</v>
      </c>
      <c r="R75" s="65">
        <v>0.96875</v>
      </c>
      <c r="S75" s="65">
        <v>0.3527777777777778</v>
      </c>
      <c r="T75" s="65">
        <v>0.9291666666666667</v>
      </c>
      <c r="U75" s="65">
        <v>0.35138888888888892</v>
      </c>
      <c r="V75" s="65">
        <v>0.95833333333333337</v>
      </c>
      <c r="W75" s="91" t="s">
        <v>15</v>
      </c>
      <c r="X75" s="91" t="s">
        <v>15</v>
      </c>
      <c r="Y75" s="65">
        <v>0.35416666666666669</v>
      </c>
      <c r="Z75" s="65">
        <v>0.95763888888888893</v>
      </c>
      <c r="AA75" s="65">
        <v>0.34930555555555554</v>
      </c>
      <c r="AB75" s="69">
        <v>1</v>
      </c>
      <c r="AC75" s="65">
        <v>0.35347222222222219</v>
      </c>
      <c r="AD75" s="65">
        <v>0.94097222222222221</v>
      </c>
      <c r="AE75" s="65">
        <v>0.35416666666666669</v>
      </c>
      <c r="AF75" s="65">
        <v>0.9590277777777777</v>
      </c>
      <c r="AG75" s="65">
        <v>0.34930555555555554</v>
      </c>
      <c r="AH75" s="65">
        <v>0.93819444444444444</v>
      </c>
      <c r="AI75" s="114"/>
      <c r="AJ75" s="45">
        <v>70</v>
      </c>
      <c r="AK75" s="65"/>
      <c r="AL75" s="65"/>
      <c r="AM75" s="65"/>
      <c r="AN75" s="65"/>
      <c r="AO75" s="65"/>
      <c r="AP75" s="65"/>
      <c r="AQ75" s="98"/>
      <c r="AR75" s="98"/>
      <c r="AS75" s="65"/>
      <c r="AT75" s="65"/>
      <c r="AU75" s="97">
        <f t="shared" si="2"/>
        <v>15</v>
      </c>
      <c r="AV75" s="68"/>
      <c r="AW75" s="1">
        <f t="shared" si="16"/>
        <v>14</v>
      </c>
      <c r="AX75" s="2">
        <f t="shared" si="17"/>
        <v>1</v>
      </c>
      <c r="AY75" s="2">
        <f t="shared" si="18"/>
        <v>0</v>
      </c>
      <c r="AZ75" s="2">
        <f t="shared" si="19"/>
        <v>0</v>
      </c>
      <c r="BA75" s="2">
        <f t="shared" si="20"/>
        <v>0</v>
      </c>
      <c r="BB75" s="2">
        <f t="shared" si="21"/>
        <v>0</v>
      </c>
      <c r="BC75" s="2">
        <f t="shared" si="22"/>
        <v>0</v>
      </c>
      <c r="BD75" s="2">
        <f t="shared" si="23"/>
        <v>0</v>
      </c>
      <c r="BE75" s="2">
        <f t="shared" si="24"/>
        <v>0</v>
      </c>
      <c r="BF75" s="2">
        <f t="shared" si="25"/>
        <v>0</v>
      </c>
      <c r="BG75" s="2">
        <f t="shared" si="26"/>
        <v>0</v>
      </c>
      <c r="BH75" s="2">
        <f t="shared" si="27"/>
        <v>0</v>
      </c>
      <c r="BI75" s="3"/>
      <c r="BK75" s="55">
        <v>0</v>
      </c>
      <c r="BL75" s="54">
        <v>0</v>
      </c>
      <c r="BM75" s="54">
        <v>0</v>
      </c>
      <c r="BN75" s="54">
        <v>0</v>
      </c>
      <c r="BO75" s="54">
        <v>0</v>
      </c>
      <c r="BP75" s="54">
        <v>0</v>
      </c>
      <c r="BQ75" s="54">
        <v>0</v>
      </c>
      <c r="BR75" s="54">
        <v>0</v>
      </c>
      <c r="BS75" s="54">
        <v>0</v>
      </c>
      <c r="BT75" s="54">
        <v>0</v>
      </c>
      <c r="BU75" s="126">
        <f t="shared" si="28"/>
        <v>0</v>
      </c>
    </row>
    <row r="76" spans="1:73" ht="21.75" customHeight="1" x14ac:dyDescent="0.25">
      <c r="A76" s="45">
        <v>72</v>
      </c>
      <c r="B76" s="11" t="s">
        <v>167</v>
      </c>
      <c r="C76" s="78" t="s">
        <v>168</v>
      </c>
      <c r="D76" s="85">
        <v>45944</v>
      </c>
      <c r="E76" s="65">
        <v>0.34652777777777777</v>
      </c>
      <c r="F76" s="65">
        <v>0.95833333333333337</v>
      </c>
      <c r="G76" s="65">
        <v>0.3444444444444445</v>
      </c>
      <c r="H76" s="65">
        <v>0.91875000000000007</v>
      </c>
      <c r="I76" s="91" t="s">
        <v>15</v>
      </c>
      <c r="J76" s="91" t="s">
        <v>15</v>
      </c>
      <c r="K76" s="65">
        <v>0.34375</v>
      </c>
      <c r="L76" s="65">
        <v>0.94027777777777777</v>
      </c>
      <c r="M76" s="65">
        <v>0.34375</v>
      </c>
      <c r="N76" s="65">
        <v>0.94652777777777775</v>
      </c>
      <c r="O76" s="65">
        <v>0.34722222222222227</v>
      </c>
      <c r="P76" s="65">
        <v>0.90694444444444444</v>
      </c>
      <c r="Q76" s="65">
        <v>0.35138888888888892</v>
      </c>
      <c r="R76" s="65">
        <v>0.91249999999999998</v>
      </c>
      <c r="S76" s="65">
        <v>0.35069444444444442</v>
      </c>
      <c r="T76" s="65">
        <v>0.99097222222222225</v>
      </c>
      <c r="U76" s="65">
        <v>0.34930555555555554</v>
      </c>
      <c r="V76" s="65">
        <v>0.98472222222222217</v>
      </c>
      <c r="W76" s="98">
        <v>0.57986111111111105</v>
      </c>
      <c r="X76" s="98">
        <v>0.93611111111111101</v>
      </c>
      <c r="Y76" s="65">
        <v>0.34513888888888888</v>
      </c>
      <c r="Z76" s="65">
        <v>0.93333333333333324</v>
      </c>
      <c r="AA76" s="65">
        <v>0.3444444444444445</v>
      </c>
      <c r="AB76" s="65">
        <v>0.94236111111111109</v>
      </c>
      <c r="AC76" s="65">
        <v>0.34861111111111115</v>
      </c>
      <c r="AD76" s="65">
        <v>0.93333333333333324</v>
      </c>
      <c r="AE76" s="65">
        <v>0.34722222222222227</v>
      </c>
      <c r="AF76" s="65">
        <v>0.93055555555555547</v>
      </c>
      <c r="AG76" s="65">
        <v>0.34791666666666665</v>
      </c>
      <c r="AH76" s="65">
        <v>0.93263888888888891</v>
      </c>
      <c r="AI76" s="114"/>
      <c r="AJ76" s="45">
        <v>71</v>
      </c>
      <c r="AK76" s="65"/>
      <c r="AL76" s="65"/>
      <c r="AM76" s="65"/>
      <c r="AN76" s="65"/>
      <c r="AO76" s="65"/>
      <c r="AP76" s="65"/>
      <c r="AQ76" s="91"/>
      <c r="AR76" s="100"/>
      <c r="AS76" s="65"/>
      <c r="AT76" s="65"/>
      <c r="AU76" s="97">
        <f t="shared" si="2"/>
        <v>15</v>
      </c>
      <c r="AV76" s="68"/>
      <c r="AW76" s="1">
        <f t="shared" si="16"/>
        <v>14</v>
      </c>
      <c r="AX76" s="2">
        <f t="shared" si="17"/>
        <v>1</v>
      </c>
      <c r="AY76" s="2">
        <f t="shared" si="18"/>
        <v>0</v>
      </c>
      <c r="AZ76" s="2">
        <f t="shared" si="19"/>
        <v>0</v>
      </c>
      <c r="BA76" s="2">
        <f t="shared" si="20"/>
        <v>0</v>
      </c>
      <c r="BB76" s="2">
        <f t="shared" si="21"/>
        <v>0</v>
      </c>
      <c r="BC76" s="2">
        <f t="shared" si="22"/>
        <v>0</v>
      </c>
      <c r="BD76" s="2">
        <f t="shared" si="23"/>
        <v>0</v>
      </c>
      <c r="BE76" s="2">
        <f t="shared" si="24"/>
        <v>0</v>
      </c>
      <c r="BF76" s="2">
        <f t="shared" si="25"/>
        <v>0</v>
      </c>
      <c r="BG76" s="2">
        <f t="shared" si="26"/>
        <v>0</v>
      </c>
      <c r="BH76" s="2">
        <f t="shared" si="27"/>
        <v>0</v>
      </c>
      <c r="BI76" s="3"/>
      <c r="BK76" s="122">
        <v>0</v>
      </c>
      <c r="BL76" s="123">
        <v>0</v>
      </c>
      <c r="BM76" s="123">
        <v>0</v>
      </c>
      <c r="BN76" s="123">
        <v>0</v>
      </c>
      <c r="BO76" s="123">
        <v>0</v>
      </c>
      <c r="BP76" s="123">
        <v>2</v>
      </c>
      <c r="BQ76" s="123">
        <v>0</v>
      </c>
      <c r="BR76" s="123">
        <v>0</v>
      </c>
      <c r="BS76" s="123">
        <v>0</v>
      </c>
      <c r="BT76" s="123">
        <v>0</v>
      </c>
      <c r="BU76" s="125">
        <f t="shared" si="28"/>
        <v>2</v>
      </c>
    </row>
    <row r="77" spans="1:73" ht="21.75" customHeight="1" x14ac:dyDescent="0.25">
      <c r="A77" s="45">
        <v>73</v>
      </c>
      <c r="B77" s="48" t="s">
        <v>171</v>
      </c>
      <c r="C77" s="83" t="s">
        <v>172</v>
      </c>
      <c r="D77" s="85">
        <v>45956</v>
      </c>
      <c r="E77" s="65">
        <v>0.35416666666666669</v>
      </c>
      <c r="F77" s="65">
        <v>0.95208333333333339</v>
      </c>
      <c r="G77" s="65">
        <v>0.35347222222222219</v>
      </c>
      <c r="H77" s="69">
        <v>1</v>
      </c>
      <c r="I77" s="98">
        <v>0.58124999999999993</v>
      </c>
      <c r="J77" s="98">
        <v>0.94374999999999998</v>
      </c>
      <c r="K77" s="65">
        <v>0.35347222222222219</v>
      </c>
      <c r="L77" s="65">
        <v>0.96597222222222223</v>
      </c>
      <c r="M77" s="65">
        <v>0.35486111111111113</v>
      </c>
      <c r="N77" s="65">
        <v>0.95277777777777783</v>
      </c>
      <c r="O77" s="65">
        <v>0.35347222222222219</v>
      </c>
      <c r="P77" s="65">
        <v>0.95000000000000007</v>
      </c>
      <c r="Q77" s="65">
        <v>0.35416666666666669</v>
      </c>
      <c r="R77" s="65">
        <v>0.94236111111111109</v>
      </c>
      <c r="S77" s="65">
        <v>0.35486111111111113</v>
      </c>
      <c r="T77" s="69">
        <v>1</v>
      </c>
      <c r="U77" s="65">
        <v>0.36458333333333331</v>
      </c>
      <c r="V77" s="69">
        <v>1</v>
      </c>
      <c r="W77" s="91" t="s">
        <v>15</v>
      </c>
      <c r="X77" s="91" t="s">
        <v>15</v>
      </c>
      <c r="Y77" s="65">
        <v>0.3520833333333333</v>
      </c>
      <c r="Z77" s="65">
        <v>0.96597222222222223</v>
      </c>
      <c r="AA77" s="65">
        <v>0.34861111111111115</v>
      </c>
      <c r="AB77" s="65">
        <v>0.94791666666666663</v>
      </c>
      <c r="AC77" s="65">
        <v>0.3527777777777778</v>
      </c>
      <c r="AD77" s="65">
        <v>0.95138888888888884</v>
      </c>
      <c r="AE77" s="65">
        <v>0.3520833333333333</v>
      </c>
      <c r="AF77" s="65">
        <v>0.94444444444444453</v>
      </c>
      <c r="AG77" s="65">
        <v>0.3527777777777778</v>
      </c>
      <c r="AH77" s="65">
        <v>0.94930555555555562</v>
      </c>
      <c r="AI77" s="106"/>
      <c r="AJ77" s="45">
        <v>72</v>
      </c>
      <c r="AK77" s="65"/>
      <c r="AL77" s="65"/>
      <c r="AM77" s="65"/>
      <c r="AN77" s="69"/>
      <c r="AO77" s="65"/>
      <c r="AP77" s="65"/>
      <c r="AQ77" s="98"/>
      <c r="AR77" s="98"/>
      <c r="AS77" s="65"/>
      <c r="AT77" s="65"/>
      <c r="AU77" s="97">
        <f t="shared" si="2"/>
        <v>15</v>
      </c>
      <c r="AV77" s="68"/>
      <c r="AW77" s="1">
        <f t="shared" si="16"/>
        <v>14</v>
      </c>
      <c r="AX77" s="2">
        <f t="shared" si="17"/>
        <v>1</v>
      </c>
      <c r="AY77" s="2">
        <f t="shared" si="18"/>
        <v>0</v>
      </c>
      <c r="AZ77" s="2">
        <f t="shared" si="19"/>
        <v>0</v>
      </c>
      <c r="BA77" s="2">
        <f t="shared" si="20"/>
        <v>0</v>
      </c>
      <c r="BB77" s="2">
        <f t="shared" si="21"/>
        <v>0</v>
      </c>
      <c r="BC77" s="2">
        <f t="shared" si="22"/>
        <v>0</v>
      </c>
      <c r="BD77" s="2">
        <f t="shared" si="23"/>
        <v>0</v>
      </c>
      <c r="BE77" s="2">
        <f t="shared" si="24"/>
        <v>0</v>
      </c>
      <c r="BF77" s="2">
        <f t="shared" si="25"/>
        <v>0</v>
      </c>
      <c r="BG77" s="2">
        <f t="shared" si="26"/>
        <v>0</v>
      </c>
      <c r="BH77" s="2">
        <f t="shared" si="27"/>
        <v>0</v>
      </c>
      <c r="BI77" s="3"/>
      <c r="BK77" s="55">
        <v>0</v>
      </c>
      <c r="BL77" s="54">
        <v>0</v>
      </c>
      <c r="BM77" s="54">
        <v>0</v>
      </c>
      <c r="BN77" s="54">
        <v>0</v>
      </c>
      <c r="BO77" s="54">
        <v>0</v>
      </c>
      <c r="BP77" s="54">
        <v>0</v>
      </c>
      <c r="BQ77" s="54">
        <v>0</v>
      </c>
      <c r="BR77" s="54">
        <v>0</v>
      </c>
      <c r="BS77" s="54">
        <v>0</v>
      </c>
      <c r="BT77" s="54">
        <v>0</v>
      </c>
      <c r="BU77" s="126">
        <f t="shared" si="28"/>
        <v>0</v>
      </c>
    </row>
    <row r="78" spans="1:73" ht="21.75" customHeight="1" x14ac:dyDescent="0.25">
      <c r="A78" s="45">
        <v>74</v>
      </c>
      <c r="B78" s="45" t="s">
        <v>184</v>
      </c>
      <c r="C78" s="79" t="s">
        <v>185</v>
      </c>
      <c r="D78" s="85">
        <v>45971</v>
      </c>
      <c r="E78" s="65">
        <v>0.35138888888888892</v>
      </c>
      <c r="F78" s="65">
        <v>0.35138888888888892</v>
      </c>
      <c r="G78" s="65">
        <v>0.56180555555555556</v>
      </c>
      <c r="H78" s="65">
        <v>0.56180555555555556</v>
      </c>
      <c r="I78" s="98">
        <v>0.58333333333333337</v>
      </c>
      <c r="J78" s="98">
        <v>0.93819444444444444</v>
      </c>
      <c r="K78" s="65">
        <v>0.35138888888888892</v>
      </c>
      <c r="L78" s="65">
        <v>0.95833333333333337</v>
      </c>
      <c r="M78" s="65">
        <v>0.35138888888888892</v>
      </c>
      <c r="N78" s="65">
        <v>0.93819444444444444</v>
      </c>
      <c r="O78" s="65">
        <v>0.35138888888888892</v>
      </c>
      <c r="P78" s="65">
        <v>0.94166666666666676</v>
      </c>
      <c r="Q78" s="65">
        <v>0.3520833333333333</v>
      </c>
      <c r="R78" s="65">
        <v>0.94097222222222221</v>
      </c>
      <c r="S78" s="65">
        <v>0.3520833333333333</v>
      </c>
      <c r="T78" s="65">
        <v>0.93819444444444444</v>
      </c>
      <c r="U78" s="65">
        <v>0.35138888888888892</v>
      </c>
      <c r="V78" s="65">
        <v>0.95972222222222225</v>
      </c>
      <c r="W78" s="98">
        <v>0.56180555555555556</v>
      </c>
      <c r="X78" s="99">
        <v>1</v>
      </c>
      <c r="Y78" s="65">
        <v>0.3520833333333333</v>
      </c>
      <c r="Z78" s="65">
        <v>0.3520833333333333</v>
      </c>
      <c r="AA78" s="65">
        <v>0.34861111111111115</v>
      </c>
      <c r="AB78" s="65">
        <v>0.9555555555555556</v>
      </c>
      <c r="AC78" s="65">
        <v>0.33263888888888887</v>
      </c>
      <c r="AD78" s="65">
        <v>0.95833333333333337</v>
      </c>
      <c r="AE78" s="65">
        <v>0.35069444444444442</v>
      </c>
      <c r="AF78" s="65">
        <v>0.9375</v>
      </c>
      <c r="AG78" s="65">
        <v>0.35069444444444442</v>
      </c>
      <c r="AH78" s="65">
        <v>0.9375</v>
      </c>
      <c r="AI78" s="114"/>
      <c r="AJ78" s="45">
        <v>73</v>
      </c>
      <c r="AK78" s="65"/>
      <c r="AL78" s="65"/>
      <c r="AM78" s="65"/>
      <c r="AN78" s="65"/>
      <c r="AO78" s="65"/>
      <c r="AP78" s="65"/>
      <c r="AQ78" s="98"/>
      <c r="AR78" s="98"/>
      <c r="AS78" s="65"/>
      <c r="AT78" s="65"/>
      <c r="AU78" s="97">
        <f t="shared" si="2"/>
        <v>15</v>
      </c>
      <c r="AV78" s="68"/>
      <c r="AW78" s="1">
        <f t="shared" si="16"/>
        <v>15</v>
      </c>
      <c r="AX78" s="2">
        <f t="shared" si="17"/>
        <v>0</v>
      </c>
      <c r="AY78" s="2">
        <f t="shared" si="18"/>
        <v>0</v>
      </c>
      <c r="AZ78" s="2">
        <f t="shared" si="19"/>
        <v>0</v>
      </c>
      <c r="BA78" s="2">
        <f t="shared" si="20"/>
        <v>0</v>
      </c>
      <c r="BB78" s="2">
        <f t="shared" si="21"/>
        <v>0</v>
      </c>
      <c r="BC78" s="2">
        <f t="shared" si="22"/>
        <v>0</v>
      </c>
      <c r="BD78" s="2">
        <f t="shared" si="23"/>
        <v>0</v>
      </c>
      <c r="BE78" s="2">
        <f t="shared" si="24"/>
        <v>0</v>
      </c>
      <c r="BF78" s="2">
        <f t="shared" si="25"/>
        <v>0</v>
      </c>
      <c r="BG78" s="2">
        <f t="shared" si="26"/>
        <v>0</v>
      </c>
      <c r="BH78" s="2">
        <f t="shared" si="27"/>
        <v>0</v>
      </c>
      <c r="BI78" s="3"/>
      <c r="BK78" s="122">
        <v>0</v>
      </c>
      <c r="BL78" s="123">
        <v>0</v>
      </c>
      <c r="BM78" s="123">
        <v>0</v>
      </c>
      <c r="BN78" s="123">
        <v>0</v>
      </c>
      <c r="BO78" s="123">
        <v>0</v>
      </c>
      <c r="BP78" s="123">
        <v>0</v>
      </c>
      <c r="BQ78" s="123">
        <v>0</v>
      </c>
      <c r="BR78" s="123">
        <v>0</v>
      </c>
      <c r="BS78" s="123">
        <v>0</v>
      </c>
      <c r="BT78" s="123">
        <v>0</v>
      </c>
      <c r="BU78" s="125">
        <f t="shared" si="28"/>
        <v>0</v>
      </c>
    </row>
    <row r="79" spans="1:73" ht="21.75" customHeight="1" x14ac:dyDescent="0.25">
      <c r="A79" s="45">
        <v>75</v>
      </c>
      <c r="B79" s="45" t="s">
        <v>186</v>
      </c>
      <c r="C79" s="79" t="s">
        <v>187</v>
      </c>
      <c r="D79" s="85">
        <v>45987</v>
      </c>
      <c r="E79" s="65">
        <v>0.3527777777777778</v>
      </c>
      <c r="F79" s="65">
        <v>0.9506944444444444</v>
      </c>
      <c r="G79" s="65">
        <v>0.34861111111111115</v>
      </c>
      <c r="H79" s="65">
        <v>0.92986111111111114</v>
      </c>
      <c r="I79" s="98">
        <v>0.57916666666666672</v>
      </c>
      <c r="J79" s="98">
        <v>0.91319444444444453</v>
      </c>
      <c r="K79" s="65">
        <v>0.34930555555555554</v>
      </c>
      <c r="L79" s="65">
        <v>0.92222222222222217</v>
      </c>
      <c r="M79" s="65">
        <v>0.34791666666666665</v>
      </c>
      <c r="N79" s="65">
        <v>0.94513888888888886</v>
      </c>
      <c r="O79" s="65">
        <v>0.35347222222222219</v>
      </c>
      <c r="P79" s="65">
        <v>0.89374999999999993</v>
      </c>
      <c r="Q79" s="65">
        <v>0.34652777777777777</v>
      </c>
      <c r="R79" s="65">
        <v>0.88958333333333339</v>
      </c>
      <c r="S79" s="65">
        <v>0.35069444444444442</v>
      </c>
      <c r="T79" s="65">
        <v>0.98958333333333337</v>
      </c>
      <c r="U79" s="65">
        <v>0.34722222222222227</v>
      </c>
      <c r="V79" s="65">
        <v>0.96875</v>
      </c>
      <c r="W79" s="91" t="s">
        <v>15</v>
      </c>
      <c r="X79" s="91" t="s">
        <v>15</v>
      </c>
      <c r="Y79" s="65">
        <v>0.35000000000000003</v>
      </c>
      <c r="Z79" s="65">
        <v>0.92847222222222225</v>
      </c>
      <c r="AA79" s="65">
        <v>0.34513888888888888</v>
      </c>
      <c r="AB79" s="65">
        <v>0.97361111111111109</v>
      </c>
      <c r="AC79" s="65">
        <v>0.34861111111111115</v>
      </c>
      <c r="AD79" s="65">
        <v>0.93125000000000002</v>
      </c>
      <c r="AE79" s="65">
        <v>0.35069444444444442</v>
      </c>
      <c r="AF79" s="65">
        <v>0.96250000000000002</v>
      </c>
      <c r="AG79" s="65">
        <v>0.34652777777777777</v>
      </c>
      <c r="AH79" s="65">
        <v>0.97499999999999998</v>
      </c>
      <c r="AI79" s="114"/>
      <c r="AJ79" s="45">
        <v>74</v>
      </c>
      <c r="AK79" s="65"/>
      <c r="AL79" s="65"/>
      <c r="AM79" s="65"/>
      <c r="AN79" s="65"/>
      <c r="AO79" s="65"/>
      <c r="AP79" s="65"/>
      <c r="AQ79" s="98"/>
      <c r="AR79" s="98"/>
      <c r="AS79" s="65"/>
      <c r="AT79" s="65"/>
      <c r="AU79" s="97">
        <f t="shared" si="2"/>
        <v>15</v>
      </c>
      <c r="AV79" s="68"/>
      <c r="AW79" s="1">
        <f t="shared" si="16"/>
        <v>14</v>
      </c>
      <c r="AX79" s="2">
        <f t="shared" si="17"/>
        <v>1</v>
      </c>
      <c r="AY79" s="2">
        <f t="shared" si="18"/>
        <v>0</v>
      </c>
      <c r="AZ79" s="2">
        <f t="shared" si="19"/>
        <v>0</v>
      </c>
      <c r="BA79" s="2">
        <f t="shared" si="20"/>
        <v>0</v>
      </c>
      <c r="BB79" s="2">
        <f t="shared" si="21"/>
        <v>0</v>
      </c>
      <c r="BC79" s="2">
        <f t="shared" si="22"/>
        <v>0</v>
      </c>
      <c r="BD79" s="2">
        <f t="shared" si="23"/>
        <v>0</v>
      </c>
      <c r="BE79" s="2">
        <f t="shared" si="24"/>
        <v>0</v>
      </c>
      <c r="BF79" s="2">
        <f t="shared" si="25"/>
        <v>0</v>
      </c>
      <c r="BG79" s="2">
        <f t="shared" si="26"/>
        <v>0</v>
      </c>
      <c r="BH79" s="2">
        <f t="shared" si="27"/>
        <v>0</v>
      </c>
      <c r="BI79" s="3"/>
      <c r="BK79" s="55">
        <v>0</v>
      </c>
      <c r="BL79" s="54">
        <v>0</v>
      </c>
      <c r="BM79" s="54">
        <v>0</v>
      </c>
      <c r="BN79" s="54">
        <v>0</v>
      </c>
      <c r="BO79" s="54">
        <v>0</v>
      </c>
      <c r="BP79" s="54">
        <v>0</v>
      </c>
      <c r="BQ79" s="54">
        <v>0</v>
      </c>
      <c r="BR79" s="54">
        <v>0</v>
      </c>
      <c r="BS79" s="54">
        <v>0</v>
      </c>
      <c r="BT79" s="54">
        <v>0</v>
      </c>
      <c r="BU79" s="126">
        <f t="shared" si="28"/>
        <v>0</v>
      </c>
    </row>
    <row r="80" spans="1:73" ht="21.75" customHeight="1" x14ac:dyDescent="0.25">
      <c r="A80" s="45">
        <v>76</v>
      </c>
      <c r="B80" s="45" t="s">
        <v>188</v>
      </c>
      <c r="C80" s="79" t="s">
        <v>189</v>
      </c>
      <c r="D80" s="85"/>
      <c r="E80" s="65">
        <v>0.35069444444444442</v>
      </c>
      <c r="F80" s="69">
        <v>1</v>
      </c>
      <c r="G80" s="65">
        <v>0.33194444444444443</v>
      </c>
      <c r="H80" s="69">
        <v>1</v>
      </c>
      <c r="I80" s="98">
        <v>0.58194444444444449</v>
      </c>
      <c r="J80" s="99">
        <v>1</v>
      </c>
      <c r="K80" s="65">
        <v>0.3444444444444445</v>
      </c>
      <c r="L80" s="69">
        <v>1</v>
      </c>
      <c r="M80" s="65">
        <v>0.33263888888888887</v>
      </c>
      <c r="N80" s="69">
        <v>1</v>
      </c>
      <c r="O80" s="65">
        <v>0.33958333333333335</v>
      </c>
      <c r="P80" s="69">
        <v>1</v>
      </c>
      <c r="Q80" s="65">
        <v>0.33263888888888887</v>
      </c>
      <c r="R80" s="69">
        <v>1</v>
      </c>
      <c r="S80" s="65">
        <v>0.34027777777777773</v>
      </c>
      <c r="T80" s="69">
        <v>1</v>
      </c>
      <c r="U80" s="65">
        <v>0.33333333333333331</v>
      </c>
      <c r="V80" s="69">
        <v>1</v>
      </c>
      <c r="W80" s="98">
        <v>0.58194444444444449</v>
      </c>
      <c r="X80" s="99">
        <v>1</v>
      </c>
      <c r="Y80" s="65">
        <v>0.33749999999999997</v>
      </c>
      <c r="Z80" s="69">
        <v>1</v>
      </c>
      <c r="AA80" s="65">
        <v>0.33402777777777781</v>
      </c>
      <c r="AB80" s="65">
        <v>0.3430555555555555</v>
      </c>
      <c r="AC80" s="65">
        <v>0.33194444444444443</v>
      </c>
      <c r="AD80" s="69">
        <v>1</v>
      </c>
      <c r="AE80" s="65">
        <v>0.3520833333333333</v>
      </c>
      <c r="AF80" s="69">
        <v>1</v>
      </c>
      <c r="AG80" s="65">
        <v>0.33263888888888887</v>
      </c>
      <c r="AH80" s="69">
        <v>1</v>
      </c>
      <c r="AI80" s="106"/>
      <c r="AJ80" s="45">
        <v>75</v>
      </c>
      <c r="AK80" s="65"/>
      <c r="AL80" s="69"/>
      <c r="AM80" s="65"/>
      <c r="AN80" s="69"/>
      <c r="AO80" s="65"/>
      <c r="AP80" s="69"/>
      <c r="AQ80" s="98"/>
      <c r="AR80" s="99"/>
      <c r="AS80" s="65"/>
      <c r="AT80" s="65"/>
      <c r="AU80" s="97">
        <f t="shared" si="2"/>
        <v>15</v>
      </c>
      <c r="AV80" s="68"/>
      <c r="AW80" s="1">
        <f t="shared" si="16"/>
        <v>15</v>
      </c>
      <c r="AX80" s="2">
        <f t="shared" si="17"/>
        <v>0</v>
      </c>
      <c r="AY80" s="2">
        <f t="shared" si="18"/>
        <v>0</v>
      </c>
      <c r="AZ80" s="2">
        <f t="shared" si="19"/>
        <v>0</v>
      </c>
      <c r="BA80" s="2">
        <f t="shared" si="20"/>
        <v>0</v>
      </c>
      <c r="BB80" s="2">
        <f t="shared" si="21"/>
        <v>0</v>
      </c>
      <c r="BC80" s="2">
        <f t="shared" si="22"/>
        <v>0</v>
      </c>
      <c r="BD80" s="2">
        <f t="shared" si="23"/>
        <v>0</v>
      </c>
      <c r="BE80" s="2">
        <f t="shared" si="24"/>
        <v>0</v>
      </c>
      <c r="BF80" s="2">
        <f t="shared" si="25"/>
        <v>0</v>
      </c>
      <c r="BG80" s="2">
        <f t="shared" si="26"/>
        <v>0</v>
      </c>
      <c r="BH80" s="2">
        <f t="shared" si="27"/>
        <v>0</v>
      </c>
      <c r="BI80" s="3"/>
      <c r="BK80" s="122">
        <v>0</v>
      </c>
      <c r="BL80" s="123">
        <v>0</v>
      </c>
      <c r="BM80" s="123">
        <v>0</v>
      </c>
      <c r="BN80" s="123">
        <v>0</v>
      </c>
      <c r="BO80" s="123">
        <v>0</v>
      </c>
      <c r="BP80" s="123">
        <v>0</v>
      </c>
      <c r="BQ80" s="123">
        <v>0</v>
      </c>
      <c r="BR80" s="123">
        <v>0</v>
      </c>
      <c r="BS80" s="123">
        <v>0</v>
      </c>
      <c r="BT80" s="123">
        <v>0</v>
      </c>
      <c r="BU80" s="125">
        <f t="shared" si="28"/>
        <v>0</v>
      </c>
    </row>
    <row r="81" spans="1:73" ht="21.75" customHeight="1" x14ac:dyDescent="0.25">
      <c r="A81" s="45">
        <v>77</v>
      </c>
      <c r="B81" s="45" t="s">
        <v>190</v>
      </c>
      <c r="C81" s="79" t="s">
        <v>191</v>
      </c>
      <c r="D81" s="85">
        <v>45973</v>
      </c>
      <c r="E81" s="65">
        <v>0.35625000000000001</v>
      </c>
      <c r="F81" s="65">
        <v>0.95833333333333337</v>
      </c>
      <c r="G81" s="65">
        <v>0.35486111111111113</v>
      </c>
      <c r="H81" s="65">
        <v>0.96319444444444446</v>
      </c>
      <c r="I81" s="98">
        <v>0.58263888888888882</v>
      </c>
      <c r="J81" s="98">
        <v>0.95138888888888884</v>
      </c>
      <c r="K81" s="65">
        <v>0.35486111111111113</v>
      </c>
      <c r="L81" s="65">
        <v>0.95833333333333337</v>
      </c>
      <c r="M81" s="65">
        <v>0.3611111111111111</v>
      </c>
      <c r="N81" s="65">
        <v>0.95833333333333337</v>
      </c>
      <c r="O81" s="65">
        <v>0.35972222222222222</v>
      </c>
      <c r="P81" s="65">
        <v>0.97916666666666663</v>
      </c>
      <c r="Q81" s="65">
        <v>0.3527777777777778</v>
      </c>
      <c r="R81" s="65">
        <v>0.94930555555555562</v>
      </c>
      <c r="S81" s="65">
        <v>0.35486111111111113</v>
      </c>
      <c r="T81" s="65">
        <v>0.9472222222222223</v>
      </c>
      <c r="U81" s="65">
        <v>0.35694444444444445</v>
      </c>
      <c r="V81" s="65">
        <v>0.9604166666666667</v>
      </c>
      <c r="W81" s="91" t="s">
        <v>15</v>
      </c>
      <c r="X81" s="91" t="s">
        <v>15</v>
      </c>
      <c r="Y81" s="65">
        <v>0.3576388888888889</v>
      </c>
      <c r="Z81" s="65">
        <v>0.96597222222222223</v>
      </c>
      <c r="AA81" s="65">
        <v>0.3520833333333333</v>
      </c>
      <c r="AB81" s="65">
        <v>0.95000000000000007</v>
      </c>
      <c r="AC81" s="65">
        <v>0.3527777777777778</v>
      </c>
      <c r="AD81" s="65">
        <v>0.96527777777777779</v>
      </c>
      <c r="AE81" s="65">
        <v>0.35486111111111113</v>
      </c>
      <c r="AF81" s="65">
        <v>0.94930555555555562</v>
      </c>
      <c r="AG81" s="65">
        <v>0.35347222222222219</v>
      </c>
      <c r="AH81" s="65">
        <v>0.95833333333333337</v>
      </c>
      <c r="AI81" s="106"/>
      <c r="AJ81" s="45">
        <v>76</v>
      </c>
      <c r="AK81" s="65"/>
      <c r="AL81" s="69"/>
      <c r="AM81" s="65"/>
      <c r="AN81" s="65"/>
      <c r="AO81" s="74"/>
      <c r="AP81" s="74"/>
      <c r="AQ81" s="98"/>
      <c r="AR81" s="98"/>
      <c r="AS81" s="65"/>
      <c r="AT81" s="65"/>
      <c r="AU81" s="97">
        <f t="shared" si="2"/>
        <v>15</v>
      </c>
      <c r="AV81" s="68"/>
      <c r="AW81" s="1">
        <f t="shared" si="16"/>
        <v>14</v>
      </c>
      <c r="AX81" s="2">
        <f t="shared" si="17"/>
        <v>1</v>
      </c>
      <c r="AY81" s="2">
        <f t="shared" si="18"/>
        <v>0</v>
      </c>
      <c r="AZ81" s="2">
        <f t="shared" si="19"/>
        <v>0</v>
      </c>
      <c r="BA81" s="2">
        <f t="shared" si="20"/>
        <v>0</v>
      </c>
      <c r="BB81" s="2">
        <f t="shared" si="21"/>
        <v>0</v>
      </c>
      <c r="BC81" s="2">
        <f t="shared" si="22"/>
        <v>0</v>
      </c>
      <c r="BD81" s="2">
        <f t="shared" si="23"/>
        <v>0</v>
      </c>
      <c r="BE81" s="2">
        <f t="shared" si="24"/>
        <v>0</v>
      </c>
      <c r="BF81" s="2">
        <f t="shared" si="25"/>
        <v>0</v>
      </c>
      <c r="BG81" s="2">
        <f t="shared" si="26"/>
        <v>0</v>
      </c>
      <c r="BH81" s="2">
        <f t="shared" si="27"/>
        <v>0</v>
      </c>
      <c r="BI81" s="3"/>
      <c r="BK81" s="55">
        <v>0</v>
      </c>
      <c r="BL81" s="54">
        <v>0</v>
      </c>
      <c r="BM81" s="54">
        <v>0</v>
      </c>
      <c r="BN81" s="54">
        <v>0</v>
      </c>
      <c r="BO81" s="54">
        <v>0</v>
      </c>
      <c r="BP81" s="54">
        <v>1</v>
      </c>
      <c r="BQ81" s="54">
        <v>0</v>
      </c>
      <c r="BR81" s="54">
        <v>0</v>
      </c>
      <c r="BS81" s="54">
        <v>0</v>
      </c>
      <c r="BT81" s="54">
        <v>0</v>
      </c>
      <c r="BU81" s="126">
        <f t="shared" si="28"/>
        <v>1</v>
      </c>
    </row>
    <row r="82" spans="1:73" ht="19.5" customHeight="1" x14ac:dyDescent="0.25">
      <c r="A82" s="45">
        <v>78</v>
      </c>
      <c r="B82" s="45" t="s">
        <v>196</v>
      </c>
      <c r="C82" s="79" t="s">
        <v>197</v>
      </c>
      <c r="D82" s="85">
        <v>45995</v>
      </c>
      <c r="E82" s="65">
        <v>0.35347222222222219</v>
      </c>
      <c r="F82" s="65">
        <v>0.9604166666666667</v>
      </c>
      <c r="G82" s="65">
        <v>0.35555555555555557</v>
      </c>
      <c r="H82" s="69">
        <v>1</v>
      </c>
      <c r="I82" s="98">
        <v>0.57847222222222217</v>
      </c>
      <c r="J82" s="98">
        <v>0.9555555555555556</v>
      </c>
      <c r="K82" s="65">
        <v>0.3527777777777778</v>
      </c>
      <c r="L82" s="65">
        <v>0.97430555555555554</v>
      </c>
      <c r="M82" s="65">
        <v>0.35486111111111113</v>
      </c>
      <c r="N82" s="65">
        <v>0.95833333333333337</v>
      </c>
      <c r="O82" s="65">
        <v>0.35347222222222219</v>
      </c>
      <c r="P82" s="65">
        <v>0.95624999999999993</v>
      </c>
      <c r="Q82" s="65">
        <v>0.35694444444444445</v>
      </c>
      <c r="R82" s="65">
        <v>0.95416666666666661</v>
      </c>
      <c r="S82" s="65">
        <v>0.35694444444444445</v>
      </c>
      <c r="T82" s="65">
        <v>0.95624999999999993</v>
      </c>
      <c r="U82" s="65">
        <v>0.35069444444444442</v>
      </c>
      <c r="V82" s="65">
        <v>0.97777777777777775</v>
      </c>
      <c r="W82" s="91" t="s">
        <v>15</v>
      </c>
      <c r="X82" s="91" t="s">
        <v>15</v>
      </c>
      <c r="Y82" s="65">
        <v>0.35694444444444445</v>
      </c>
      <c r="Z82" s="65">
        <v>0.96944444444444444</v>
      </c>
      <c r="AA82" s="65">
        <v>0.34722222222222227</v>
      </c>
      <c r="AB82" s="65">
        <v>0.95486111111111116</v>
      </c>
      <c r="AC82" s="65">
        <v>0.35138888888888892</v>
      </c>
      <c r="AD82" s="69">
        <v>1</v>
      </c>
      <c r="AE82" s="65">
        <v>0.35486111111111113</v>
      </c>
      <c r="AF82" s="65">
        <v>0.9506944444444444</v>
      </c>
      <c r="AG82" s="65">
        <v>0.35347222222222219</v>
      </c>
      <c r="AH82" s="65">
        <v>0.96666666666666667</v>
      </c>
      <c r="AI82" s="106"/>
      <c r="AJ82" s="45">
        <v>77</v>
      </c>
      <c r="AK82" s="65"/>
      <c r="AL82" s="65"/>
      <c r="AM82" s="65"/>
      <c r="AN82" s="65"/>
      <c r="AO82" s="65"/>
      <c r="AP82" s="65"/>
      <c r="AQ82" s="99"/>
      <c r="AR82" s="99"/>
      <c r="AS82" s="65"/>
      <c r="AT82" s="65"/>
      <c r="AU82" s="97">
        <f t="shared" si="2"/>
        <v>15</v>
      </c>
      <c r="AV82" s="68"/>
      <c r="AW82" s="1">
        <f t="shared" si="16"/>
        <v>14</v>
      </c>
      <c r="AX82" s="2">
        <f t="shared" si="17"/>
        <v>1</v>
      </c>
      <c r="AY82" s="2">
        <f t="shared" si="18"/>
        <v>0</v>
      </c>
      <c r="AZ82" s="2">
        <f t="shared" si="19"/>
        <v>0</v>
      </c>
      <c r="BA82" s="2">
        <f t="shared" si="20"/>
        <v>0</v>
      </c>
      <c r="BB82" s="2">
        <f t="shared" si="21"/>
        <v>0</v>
      </c>
      <c r="BC82" s="2">
        <f t="shared" si="22"/>
        <v>0</v>
      </c>
      <c r="BD82" s="2">
        <f t="shared" si="23"/>
        <v>0</v>
      </c>
      <c r="BE82" s="2">
        <f t="shared" si="24"/>
        <v>0</v>
      </c>
      <c r="BF82" s="2">
        <f t="shared" si="25"/>
        <v>0</v>
      </c>
      <c r="BG82" s="2">
        <f t="shared" si="26"/>
        <v>0</v>
      </c>
      <c r="BH82" s="2">
        <f t="shared" si="27"/>
        <v>0</v>
      </c>
      <c r="BI82" s="3"/>
      <c r="BK82" s="122">
        <v>0</v>
      </c>
      <c r="BL82" s="122">
        <v>0</v>
      </c>
      <c r="BM82" s="122">
        <v>0</v>
      </c>
      <c r="BN82" s="122">
        <v>0</v>
      </c>
      <c r="BO82" s="122">
        <v>0</v>
      </c>
      <c r="BP82" s="122">
        <v>2</v>
      </c>
      <c r="BQ82" s="122">
        <v>0</v>
      </c>
      <c r="BR82" s="122">
        <v>0</v>
      </c>
      <c r="BS82" s="122">
        <v>0</v>
      </c>
      <c r="BT82" s="122">
        <v>0</v>
      </c>
      <c r="BU82" s="125">
        <f t="shared" si="28"/>
        <v>2</v>
      </c>
    </row>
    <row r="83" spans="1:73" ht="21.75" customHeight="1" x14ac:dyDescent="0.25">
      <c r="A83" s="45">
        <v>79</v>
      </c>
      <c r="B83" s="45" t="s">
        <v>198</v>
      </c>
      <c r="C83" s="79" t="s">
        <v>199</v>
      </c>
      <c r="D83" s="85">
        <v>46004</v>
      </c>
      <c r="E83" s="65">
        <v>0.35347222222222219</v>
      </c>
      <c r="F83" s="65">
        <v>0.95347222222222217</v>
      </c>
      <c r="G83" s="65">
        <v>0.35902777777777778</v>
      </c>
      <c r="H83" s="69">
        <v>1</v>
      </c>
      <c r="I83" s="98">
        <v>0.58333333333333337</v>
      </c>
      <c r="J83" s="98">
        <v>0.95486111111111116</v>
      </c>
      <c r="K83" s="65">
        <v>0.35416666666666669</v>
      </c>
      <c r="L83" s="69">
        <v>1</v>
      </c>
      <c r="M83" s="65">
        <v>0.35416666666666669</v>
      </c>
      <c r="N83" s="65">
        <v>0.95833333333333337</v>
      </c>
      <c r="O83" s="65">
        <v>0.35833333333333334</v>
      </c>
      <c r="P83" s="69">
        <v>1</v>
      </c>
      <c r="Q83" s="65">
        <v>0.35486111111111113</v>
      </c>
      <c r="R83" s="65">
        <v>0.95277777777777783</v>
      </c>
      <c r="S83" s="65">
        <v>0.95624999999999993</v>
      </c>
      <c r="T83" s="69">
        <v>1</v>
      </c>
      <c r="U83" s="65">
        <v>0.35138888888888892</v>
      </c>
      <c r="V83" s="65">
        <v>0.9784722222222223</v>
      </c>
      <c r="W83" s="91" t="s">
        <v>15</v>
      </c>
      <c r="X83" s="91" t="s">
        <v>15</v>
      </c>
      <c r="Y83" s="65">
        <v>0.3527777777777778</v>
      </c>
      <c r="Z83" s="69">
        <v>1</v>
      </c>
      <c r="AA83" s="65">
        <v>0.34722222222222227</v>
      </c>
      <c r="AB83" s="65">
        <v>0.95277777777777783</v>
      </c>
      <c r="AC83" s="65">
        <v>0.3527777777777778</v>
      </c>
      <c r="AD83" s="65">
        <v>0.95138888888888884</v>
      </c>
      <c r="AE83" s="65">
        <v>0.3520833333333333</v>
      </c>
      <c r="AF83" s="65">
        <v>0.94444444444444453</v>
      </c>
      <c r="AG83" s="65">
        <v>0.3520833333333333</v>
      </c>
      <c r="AH83" s="69">
        <v>1</v>
      </c>
      <c r="AI83" s="106"/>
      <c r="AJ83" s="45">
        <v>78</v>
      </c>
      <c r="AK83" s="65"/>
      <c r="AL83" s="65"/>
      <c r="AM83" s="65"/>
      <c r="AN83" s="69"/>
      <c r="AO83" s="65"/>
      <c r="AP83" s="65"/>
      <c r="AQ83" s="98"/>
      <c r="AR83" s="99"/>
      <c r="AS83" s="65"/>
      <c r="AT83" s="65"/>
      <c r="AU83" s="97">
        <f t="shared" si="2"/>
        <v>15</v>
      </c>
      <c r="AV83" s="68"/>
      <c r="AW83" s="1">
        <f t="shared" si="16"/>
        <v>14</v>
      </c>
      <c r="AX83" s="2">
        <f t="shared" si="17"/>
        <v>1</v>
      </c>
      <c r="AY83" s="2">
        <f t="shared" si="18"/>
        <v>0</v>
      </c>
      <c r="AZ83" s="2">
        <f t="shared" si="19"/>
        <v>0</v>
      </c>
      <c r="BA83" s="2">
        <f t="shared" si="20"/>
        <v>0</v>
      </c>
      <c r="BB83" s="2">
        <f t="shared" si="21"/>
        <v>0</v>
      </c>
      <c r="BC83" s="2">
        <f t="shared" si="22"/>
        <v>0</v>
      </c>
      <c r="BD83" s="2">
        <f t="shared" si="23"/>
        <v>0</v>
      </c>
      <c r="BE83" s="2">
        <f t="shared" si="24"/>
        <v>0</v>
      </c>
      <c r="BF83" s="2">
        <f t="shared" si="25"/>
        <v>0</v>
      </c>
      <c r="BG83" s="2">
        <f t="shared" si="26"/>
        <v>0</v>
      </c>
      <c r="BH83" s="2">
        <f t="shared" si="27"/>
        <v>0</v>
      </c>
      <c r="BI83" s="3"/>
      <c r="BK83" s="70">
        <v>0</v>
      </c>
      <c r="BL83" s="70">
        <v>0</v>
      </c>
      <c r="BM83" s="70">
        <v>0</v>
      </c>
      <c r="BN83" s="70">
        <v>0</v>
      </c>
      <c r="BO83" s="70">
        <v>0</v>
      </c>
      <c r="BP83" s="70">
        <v>3</v>
      </c>
      <c r="BQ83" s="70">
        <v>0</v>
      </c>
      <c r="BR83" s="70">
        <v>0</v>
      </c>
      <c r="BS83" s="70">
        <v>0</v>
      </c>
      <c r="BT83" s="70">
        <v>0</v>
      </c>
      <c r="BU83" s="127">
        <f t="shared" si="28"/>
        <v>3</v>
      </c>
    </row>
    <row r="84" spans="1:73" ht="21.75" customHeight="1" x14ac:dyDescent="0.25">
      <c r="A84" s="45">
        <v>80</v>
      </c>
      <c r="B84" s="45" t="s">
        <v>201</v>
      </c>
      <c r="C84" s="79" t="s">
        <v>203</v>
      </c>
      <c r="D84" s="85">
        <v>46007</v>
      </c>
      <c r="E84" s="65">
        <v>0.34652777777777777</v>
      </c>
      <c r="F84" s="65">
        <v>0.97291666666666676</v>
      </c>
      <c r="G84" s="65">
        <v>0.35138888888888892</v>
      </c>
      <c r="H84" s="65">
        <v>0.98958333333333337</v>
      </c>
      <c r="I84" s="98">
        <v>0.57847222222222217</v>
      </c>
      <c r="J84" s="98">
        <v>0.93472222222222223</v>
      </c>
      <c r="K84" s="65">
        <v>0.34930555555555554</v>
      </c>
      <c r="L84" s="65">
        <v>0.95138888888888884</v>
      </c>
      <c r="M84" s="65">
        <v>0.35416666666666669</v>
      </c>
      <c r="N84" s="65">
        <v>0.95833333333333337</v>
      </c>
      <c r="O84" s="65">
        <v>0.3520833333333333</v>
      </c>
      <c r="P84" s="65">
        <v>0.9604166666666667</v>
      </c>
      <c r="Q84" s="65">
        <v>0.35416666666666669</v>
      </c>
      <c r="R84" s="65">
        <v>0.97291666666666676</v>
      </c>
      <c r="S84" s="65">
        <v>0.34583333333333338</v>
      </c>
      <c r="T84" s="65">
        <v>2.7777777777777779E-3</v>
      </c>
      <c r="U84" s="65">
        <v>0.3520833333333333</v>
      </c>
      <c r="V84" s="65">
        <v>0.98472222222222217</v>
      </c>
      <c r="W84" s="91" t="s">
        <v>15</v>
      </c>
      <c r="X84" s="91" t="s">
        <v>15</v>
      </c>
      <c r="Y84" s="65">
        <v>0.35347222222222219</v>
      </c>
      <c r="Z84" s="65">
        <v>0.95138888888888884</v>
      </c>
      <c r="AA84" s="65">
        <v>0.34722222222222227</v>
      </c>
      <c r="AB84" s="65">
        <v>0.97361111111111109</v>
      </c>
      <c r="AC84" s="65">
        <v>0.34652777777777777</v>
      </c>
      <c r="AD84" s="65">
        <v>0.93263888888888891</v>
      </c>
      <c r="AE84" s="65">
        <v>0.34513888888888888</v>
      </c>
      <c r="AF84" s="65">
        <v>0.96319444444444446</v>
      </c>
      <c r="AG84" s="65">
        <v>0.34652777777777777</v>
      </c>
      <c r="AH84" s="69">
        <v>1</v>
      </c>
      <c r="AI84" s="114"/>
      <c r="AJ84" s="45">
        <v>79</v>
      </c>
      <c r="AK84" s="65"/>
      <c r="AL84" s="65"/>
      <c r="AM84" s="65"/>
      <c r="AN84" s="65"/>
      <c r="AO84" s="65"/>
      <c r="AP84" s="65"/>
      <c r="AQ84" s="98"/>
      <c r="AR84" s="98"/>
      <c r="AS84" s="65"/>
      <c r="AT84" s="65"/>
      <c r="AU84" s="97">
        <f t="shared" si="2"/>
        <v>15</v>
      </c>
      <c r="AV84" s="68"/>
      <c r="AW84" s="1">
        <f t="shared" si="16"/>
        <v>14</v>
      </c>
      <c r="AX84" s="2">
        <f t="shared" si="17"/>
        <v>1</v>
      </c>
      <c r="AY84" s="2">
        <f t="shared" si="18"/>
        <v>0</v>
      </c>
      <c r="AZ84" s="2">
        <f t="shared" si="19"/>
        <v>0</v>
      </c>
      <c r="BA84" s="2">
        <f t="shared" si="20"/>
        <v>0</v>
      </c>
      <c r="BB84" s="2">
        <f t="shared" si="21"/>
        <v>0</v>
      </c>
      <c r="BC84" s="2">
        <f t="shared" si="22"/>
        <v>0</v>
      </c>
      <c r="BD84" s="2">
        <f t="shared" si="23"/>
        <v>0</v>
      </c>
      <c r="BE84" s="2">
        <f t="shared" si="24"/>
        <v>0</v>
      </c>
      <c r="BF84" s="2">
        <f t="shared" si="25"/>
        <v>0</v>
      </c>
      <c r="BG84" s="2">
        <f t="shared" si="26"/>
        <v>0</v>
      </c>
      <c r="BH84" s="2">
        <f t="shared" si="27"/>
        <v>0</v>
      </c>
      <c r="BI84" s="3"/>
      <c r="BK84" s="122">
        <v>0</v>
      </c>
      <c r="BL84" s="122">
        <v>0</v>
      </c>
      <c r="BM84" s="122">
        <v>0</v>
      </c>
      <c r="BN84" s="122">
        <v>0</v>
      </c>
      <c r="BO84" s="122">
        <v>0</v>
      </c>
      <c r="BP84" s="122">
        <v>1</v>
      </c>
      <c r="BQ84" s="122">
        <v>0</v>
      </c>
      <c r="BR84" s="122">
        <v>0</v>
      </c>
      <c r="BS84" s="122">
        <v>0</v>
      </c>
      <c r="BT84" s="122">
        <v>0</v>
      </c>
      <c r="BU84" s="125">
        <f t="shared" si="28"/>
        <v>1</v>
      </c>
    </row>
    <row r="85" spans="1:73" ht="22.5" customHeight="1" x14ac:dyDescent="0.25">
      <c r="A85" s="45">
        <v>81</v>
      </c>
      <c r="B85" s="45" t="s">
        <v>202</v>
      </c>
      <c r="C85" s="79" t="s">
        <v>204</v>
      </c>
      <c r="D85" s="85">
        <v>46007</v>
      </c>
      <c r="E85" s="65">
        <v>0.35347222222222219</v>
      </c>
      <c r="F85" s="65">
        <v>0.95972222222222225</v>
      </c>
      <c r="G85" s="65">
        <v>0.35416666666666669</v>
      </c>
      <c r="H85" s="69">
        <v>1</v>
      </c>
      <c r="I85" s="91" t="s">
        <v>15</v>
      </c>
      <c r="J85" s="91" t="s">
        <v>15</v>
      </c>
      <c r="K85" s="65">
        <v>0.35416666666666669</v>
      </c>
      <c r="L85" s="65">
        <v>0.97152777777777777</v>
      </c>
      <c r="M85" s="65">
        <v>0.35416666666666669</v>
      </c>
      <c r="N85" s="69">
        <v>1</v>
      </c>
      <c r="O85" s="65">
        <v>0.35416666666666669</v>
      </c>
      <c r="P85" s="65">
        <v>0.95208333333333339</v>
      </c>
      <c r="Q85" s="65">
        <v>0.35416666666666669</v>
      </c>
      <c r="R85" s="65">
        <v>0.95138888888888884</v>
      </c>
      <c r="S85" s="65">
        <v>0.35486111111111113</v>
      </c>
      <c r="T85" s="65">
        <v>0.95624999999999993</v>
      </c>
      <c r="U85" s="65">
        <v>0.35138888888888892</v>
      </c>
      <c r="V85" s="65">
        <v>0.97430555555555554</v>
      </c>
      <c r="W85" s="98">
        <v>0.57916666666666672</v>
      </c>
      <c r="X85" s="98">
        <v>0.95833333333333337</v>
      </c>
      <c r="Y85" s="65">
        <v>0.3520833333333333</v>
      </c>
      <c r="Z85" s="65">
        <v>0.97013888888888899</v>
      </c>
      <c r="AA85" s="65">
        <v>0.34791666666666665</v>
      </c>
      <c r="AB85" s="65">
        <v>0.95416666666666661</v>
      </c>
      <c r="AC85" s="65">
        <v>0.35347222222222219</v>
      </c>
      <c r="AD85" s="65">
        <v>0.95763888888888893</v>
      </c>
      <c r="AE85" s="65">
        <v>0.3527777777777778</v>
      </c>
      <c r="AF85" s="65">
        <v>0.9506944444444444</v>
      </c>
      <c r="AG85" s="65">
        <v>0.3520833333333333</v>
      </c>
      <c r="AH85" s="65">
        <v>0.96666666666666667</v>
      </c>
      <c r="AI85" s="114"/>
      <c r="AJ85" s="45">
        <v>80</v>
      </c>
      <c r="AK85" s="89"/>
      <c r="AL85" s="89"/>
      <c r="AM85" s="89"/>
      <c r="AN85" s="89"/>
      <c r="AO85" s="65"/>
      <c r="AP85" s="65"/>
      <c r="AQ85" s="91"/>
      <c r="AR85" s="100"/>
      <c r="AS85" s="65"/>
      <c r="AT85" s="65"/>
      <c r="AU85" s="97">
        <f t="shared" si="2"/>
        <v>15</v>
      </c>
      <c r="AV85" s="68"/>
      <c r="AW85" s="1">
        <f t="shared" si="16"/>
        <v>14</v>
      </c>
      <c r="AX85" s="2">
        <f t="shared" si="17"/>
        <v>1</v>
      </c>
      <c r="AY85" s="2">
        <f t="shared" si="18"/>
        <v>0</v>
      </c>
      <c r="AZ85" s="2">
        <f t="shared" si="19"/>
        <v>0</v>
      </c>
      <c r="BA85" s="2">
        <f t="shared" si="20"/>
        <v>0</v>
      </c>
      <c r="BB85" s="2">
        <f t="shared" si="21"/>
        <v>0</v>
      </c>
      <c r="BC85" s="2">
        <f t="shared" si="22"/>
        <v>0</v>
      </c>
      <c r="BD85" s="2">
        <f t="shared" si="23"/>
        <v>0</v>
      </c>
      <c r="BE85" s="2">
        <f t="shared" si="24"/>
        <v>0</v>
      </c>
      <c r="BF85" s="2">
        <f t="shared" si="25"/>
        <v>0</v>
      </c>
      <c r="BG85" s="2">
        <f t="shared" si="26"/>
        <v>0</v>
      </c>
      <c r="BH85" s="2">
        <f t="shared" si="27"/>
        <v>0</v>
      </c>
      <c r="BI85" s="3"/>
      <c r="BK85" s="70">
        <v>0</v>
      </c>
      <c r="BL85" s="70">
        <v>0</v>
      </c>
      <c r="BM85" s="70">
        <v>0</v>
      </c>
      <c r="BN85" s="70">
        <v>0</v>
      </c>
      <c r="BO85" s="70">
        <v>0</v>
      </c>
      <c r="BP85" s="70">
        <v>0</v>
      </c>
      <c r="BQ85" s="70">
        <v>0</v>
      </c>
      <c r="BR85" s="70">
        <v>0</v>
      </c>
      <c r="BS85" s="70">
        <v>0</v>
      </c>
      <c r="BT85" s="70">
        <v>0</v>
      </c>
      <c r="BU85" s="127">
        <f t="shared" si="28"/>
        <v>0</v>
      </c>
    </row>
    <row r="86" spans="1:73" ht="22.5" customHeight="1" x14ac:dyDescent="0.25">
      <c r="A86" s="45">
        <v>82</v>
      </c>
      <c r="B86" s="45" t="s">
        <v>205</v>
      </c>
      <c r="C86" s="79" t="s">
        <v>206</v>
      </c>
      <c r="D86" s="85">
        <v>46008</v>
      </c>
      <c r="E86" s="65">
        <v>0.3527777777777778</v>
      </c>
      <c r="F86" s="65">
        <v>0.94791666666666663</v>
      </c>
      <c r="G86" s="65">
        <v>0.35347222222222219</v>
      </c>
      <c r="H86" s="65">
        <v>0.9590277777777777</v>
      </c>
      <c r="I86" s="91" t="s">
        <v>15</v>
      </c>
      <c r="J86" s="91" t="s">
        <v>15</v>
      </c>
      <c r="K86" s="65">
        <v>0.35347222222222219</v>
      </c>
      <c r="L86" s="65">
        <v>0.9604166666666667</v>
      </c>
      <c r="M86" s="65">
        <v>0.3527777777777778</v>
      </c>
      <c r="N86" s="65">
        <v>0.93888888888888899</v>
      </c>
      <c r="O86" s="65">
        <v>0.35138888888888892</v>
      </c>
      <c r="P86" s="65">
        <v>0.9375</v>
      </c>
      <c r="Q86" s="65">
        <v>0.3527777777777778</v>
      </c>
      <c r="R86" s="65">
        <v>0.96388888888888891</v>
      </c>
      <c r="S86" s="65">
        <v>0.35347222222222219</v>
      </c>
      <c r="T86" s="65">
        <v>0.96805555555555556</v>
      </c>
      <c r="U86" s="65">
        <v>0.3527777777777778</v>
      </c>
      <c r="V86" s="65">
        <v>0.98333333333333339</v>
      </c>
      <c r="W86" s="98">
        <v>0.57291666666666663</v>
      </c>
      <c r="X86" s="98">
        <v>0.9590277777777777</v>
      </c>
      <c r="Y86" s="65">
        <v>0.3527777777777778</v>
      </c>
      <c r="Z86" s="65">
        <v>0.9590277777777777</v>
      </c>
      <c r="AA86" s="65">
        <v>0.34513888888888888</v>
      </c>
      <c r="AB86" s="65">
        <v>0.93888888888888899</v>
      </c>
      <c r="AC86" s="65">
        <v>0.3527777777777778</v>
      </c>
      <c r="AD86" s="65">
        <v>0.93819444444444444</v>
      </c>
      <c r="AE86" s="65">
        <v>0.35138888888888892</v>
      </c>
      <c r="AF86" s="65">
        <v>0.9375</v>
      </c>
      <c r="AG86" s="65">
        <v>0.3520833333333333</v>
      </c>
      <c r="AH86" s="65">
        <v>0.95833333333333337</v>
      </c>
      <c r="AI86" s="114"/>
      <c r="AJ86" s="45">
        <v>81</v>
      </c>
      <c r="AK86" s="65"/>
      <c r="AL86" s="65"/>
      <c r="AM86" s="65"/>
      <c r="AN86" s="65"/>
      <c r="AO86" s="65"/>
      <c r="AP86" s="65"/>
      <c r="AQ86" s="91"/>
      <c r="AR86" s="100"/>
      <c r="AS86" s="65"/>
      <c r="AT86" s="65"/>
      <c r="AU86" s="97">
        <f t="shared" si="2"/>
        <v>15</v>
      </c>
      <c r="AV86" s="68"/>
      <c r="AW86" s="1">
        <f t="shared" si="16"/>
        <v>14</v>
      </c>
      <c r="AX86" s="2">
        <f t="shared" si="17"/>
        <v>1</v>
      </c>
      <c r="AY86" s="2">
        <f t="shared" si="18"/>
        <v>0</v>
      </c>
      <c r="AZ86" s="2">
        <f t="shared" si="19"/>
        <v>0</v>
      </c>
      <c r="BA86" s="2">
        <f t="shared" si="20"/>
        <v>0</v>
      </c>
      <c r="BB86" s="2">
        <f t="shared" si="21"/>
        <v>0</v>
      </c>
      <c r="BC86" s="2">
        <f t="shared" si="22"/>
        <v>0</v>
      </c>
      <c r="BD86" s="2">
        <f t="shared" si="23"/>
        <v>0</v>
      </c>
      <c r="BE86" s="2">
        <f t="shared" si="24"/>
        <v>0</v>
      </c>
      <c r="BF86" s="2">
        <f t="shared" si="25"/>
        <v>0</v>
      </c>
      <c r="BG86" s="2">
        <f t="shared" si="26"/>
        <v>0</v>
      </c>
      <c r="BH86" s="2">
        <f t="shared" si="27"/>
        <v>0</v>
      </c>
      <c r="BI86" s="3"/>
      <c r="BK86" s="122">
        <v>0</v>
      </c>
      <c r="BL86" s="122">
        <v>0</v>
      </c>
      <c r="BM86" s="122">
        <v>0</v>
      </c>
      <c r="BN86" s="122">
        <v>0</v>
      </c>
      <c r="BO86" s="122">
        <v>0</v>
      </c>
      <c r="BP86" s="122">
        <v>12</v>
      </c>
      <c r="BQ86" s="122">
        <v>0</v>
      </c>
      <c r="BR86" s="122">
        <v>0</v>
      </c>
      <c r="BS86" s="122">
        <v>0</v>
      </c>
      <c r="BT86" s="122">
        <v>0</v>
      </c>
      <c r="BU86" s="125">
        <f t="shared" si="28"/>
        <v>12</v>
      </c>
    </row>
    <row r="87" spans="1:73" ht="22.5" customHeight="1" x14ac:dyDescent="0.25">
      <c r="A87" s="45">
        <v>83</v>
      </c>
      <c r="B87" s="45" t="s">
        <v>207</v>
      </c>
      <c r="C87" s="79" t="s">
        <v>208</v>
      </c>
      <c r="D87" s="85">
        <v>46018</v>
      </c>
      <c r="E87" s="65">
        <v>0.3520833333333333</v>
      </c>
      <c r="F87" s="65">
        <v>0.95000000000000007</v>
      </c>
      <c r="G87" s="65">
        <v>0.3520833333333333</v>
      </c>
      <c r="H87" s="65">
        <v>0.97083333333333333</v>
      </c>
      <c r="I87" s="98">
        <v>0.57916666666666672</v>
      </c>
      <c r="J87" s="98">
        <v>0.94930555555555562</v>
      </c>
      <c r="K87" s="65">
        <v>0.3520833333333333</v>
      </c>
      <c r="L87" s="65">
        <v>0.97361111111111109</v>
      </c>
      <c r="M87" s="65">
        <v>0.3520833333333333</v>
      </c>
      <c r="N87" s="65">
        <v>0.95138888888888884</v>
      </c>
      <c r="O87" s="65">
        <v>0.3527777777777778</v>
      </c>
      <c r="P87" s="65">
        <v>0.95000000000000007</v>
      </c>
      <c r="Q87" s="65">
        <v>0.3527777777777778</v>
      </c>
      <c r="R87" s="65">
        <v>0.94652777777777775</v>
      </c>
      <c r="S87" s="65">
        <v>0.3527777777777778</v>
      </c>
      <c r="T87" s="65">
        <v>0.95208333333333339</v>
      </c>
      <c r="U87" s="65">
        <v>0.34791666666666665</v>
      </c>
      <c r="V87" s="65">
        <v>0.97638888888888886</v>
      </c>
      <c r="W87" s="98">
        <v>0.57777777777777783</v>
      </c>
      <c r="X87" s="98">
        <v>0.95624999999999993</v>
      </c>
      <c r="Y87" s="65">
        <v>0.3520833333333333</v>
      </c>
      <c r="Z87" s="65">
        <v>0.96666666666666667</v>
      </c>
      <c r="AA87" s="65">
        <v>0.34861111111111115</v>
      </c>
      <c r="AB87" s="65">
        <v>0.9555555555555556</v>
      </c>
      <c r="AC87" s="65">
        <v>0.3520833333333333</v>
      </c>
      <c r="AD87" s="65">
        <v>0.94930555555555562</v>
      </c>
      <c r="AE87" s="65">
        <v>0.35138888888888892</v>
      </c>
      <c r="AF87" s="65">
        <v>0.9506944444444444</v>
      </c>
      <c r="AG87" s="65">
        <v>0.3520833333333333</v>
      </c>
      <c r="AH87" s="65">
        <v>0.95277777777777783</v>
      </c>
      <c r="AI87" s="114"/>
      <c r="AJ87" s="45">
        <v>82</v>
      </c>
      <c r="AK87" s="65"/>
      <c r="AL87" s="65"/>
      <c r="AM87" s="65"/>
      <c r="AN87" s="65"/>
      <c r="AO87" s="65"/>
      <c r="AP87" s="65"/>
      <c r="AQ87" s="91"/>
      <c r="AR87" s="100"/>
      <c r="AS87" s="65"/>
      <c r="AT87" s="65"/>
      <c r="AU87" s="97">
        <f t="shared" si="2"/>
        <v>15</v>
      </c>
      <c r="AV87" s="68"/>
      <c r="AW87" s="1">
        <f t="shared" si="16"/>
        <v>15</v>
      </c>
      <c r="AX87" s="2">
        <f t="shared" si="17"/>
        <v>0</v>
      </c>
      <c r="AY87" s="2">
        <f t="shared" si="18"/>
        <v>0</v>
      </c>
      <c r="AZ87" s="2">
        <f t="shared" si="19"/>
        <v>0</v>
      </c>
      <c r="BA87" s="2">
        <f t="shared" si="20"/>
        <v>0</v>
      </c>
      <c r="BB87" s="2">
        <f t="shared" si="21"/>
        <v>0</v>
      </c>
      <c r="BC87" s="2">
        <f t="shared" si="22"/>
        <v>0</v>
      </c>
      <c r="BD87" s="2">
        <f t="shared" si="23"/>
        <v>0</v>
      </c>
      <c r="BE87" s="2">
        <f t="shared" si="24"/>
        <v>0</v>
      </c>
      <c r="BF87" s="2">
        <f t="shared" si="25"/>
        <v>0</v>
      </c>
      <c r="BG87" s="2">
        <f t="shared" si="26"/>
        <v>0</v>
      </c>
      <c r="BH87" s="2">
        <f t="shared" si="27"/>
        <v>0</v>
      </c>
      <c r="BI87" s="3"/>
      <c r="BK87" s="70">
        <v>0</v>
      </c>
      <c r="BL87" s="70">
        <v>0</v>
      </c>
      <c r="BM87" s="70">
        <v>0</v>
      </c>
      <c r="BN87" s="70">
        <v>0</v>
      </c>
      <c r="BO87" s="70">
        <v>0</v>
      </c>
      <c r="BP87" s="70">
        <v>0</v>
      </c>
      <c r="BQ87" s="70">
        <v>0</v>
      </c>
      <c r="BR87" s="70">
        <v>0</v>
      </c>
      <c r="BS87" s="70">
        <v>0</v>
      </c>
      <c r="BT87" s="70">
        <v>0</v>
      </c>
      <c r="BU87" s="127">
        <f t="shared" si="28"/>
        <v>0</v>
      </c>
    </row>
    <row r="88" spans="1:73" ht="22.5" customHeight="1" x14ac:dyDescent="0.25">
      <c r="A88" s="45">
        <v>84</v>
      </c>
      <c r="B88" s="45" t="s">
        <v>209</v>
      </c>
      <c r="C88" s="79" t="s">
        <v>211</v>
      </c>
      <c r="D88" s="85">
        <v>46022</v>
      </c>
      <c r="E88" s="65">
        <v>0.34513888888888888</v>
      </c>
      <c r="F88" s="65">
        <v>0.97361111111111109</v>
      </c>
      <c r="G88" s="65">
        <v>0.3444444444444445</v>
      </c>
      <c r="H88" s="65">
        <v>0.99236111111111114</v>
      </c>
      <c r="I88" s="98">
        <v>0.58194444444444449</v>
      </c>
      <c r="J88" s="98">
        <v>0.93402777777777779</v>
      </c>
      <c r="K88" s="65">
        <v>0.3430555555555555</v>
      </c>
      <c r="L88" s="65">
        <v>0.9506944444444444</v>
      </c>
      <c r="M88" s="65">
        <v>0.3444444444444445</v>
      </c>
      <c r="N88" s="65">
        <v>0.9590277777777777</v>
      </c>
      <c r="O88" s="65">
        <v>0.3430555555555555</v>
      </c>
      <c r="P88" s="65">
        <v>0.96111111111111114</v>
      </c>
      <c r="Q88" s="65">
        <v>0.34375</v>
      </c>
      <c r="R88" s="65">
        <v>0.97291666666666676</v>
      </c>
      <c r="S88" s="65">
        <v>0.3430555555555555</v>
      </c>
      <c r="T88" s="65">
        <v>2.7777777777777779E-3</v>
      </c>
      <c r="U88" s="65">
        <v>0.34791666666666665</v>
      </c>
      <c r="V88" s="65">
        <v>0.98402777777777783</v>
      </c>
      <c r="W88" s="91" t="s">
        <v>15</v>
      </c>
      <c r="X88" s="91" t="s">
        <v>15</v>
      </c>
      <c r="Y88" s="65">
        <v>0.3430555555555555</v>
      </c>
      <c r="Z88" s="65">
        <v>0.95486111111111116</v>
      </c>
      <c r="AA88" s="65">
        <v>0.34166666666666662</v>
      </c>
      <c r="AB88" s="65">
        <v>0.97430555555555554</v>
      </c>
      <c r="AC88" s="65">
        <v>0.3430555555555555</v>
      </c>
      <c r="AD88" s="65">
        <v>0.93680555555555556</v>
      </c>
      <c r="AE88" s="65">
        <v>0.34375</v>
      </c>
      <c r="AF88" s="65">
        <v>0.96250000000000002</v>
      </c>
      <c r="AG88" s="65">
        <v>0.3430555555555555</v>
      </c>
      <c r="AH88" s="65">
        <v>0.97499999999999998</v>
      </c>
      <c r="AI88" s="114"/>
      <c r="AJ88" s="45">
        <v>83</v>
      </c>
      <c r="AK88" s="65"/>
      <c r="AL88" s="65"/>
      <c r="AM88" s="65"/>
      <c r="AN88" s="65"/>
      <c r="AO88" s="65"/>
      <c r="AP88" s="65"/>
      <c r="AQ88" s="98"/>
      <c r="AR88" s="98"/>
      <c r="AS88" s="65"/>
      <c r="AT88" s="65"/>
      <c r="AU88" s="97">
        <f t="shared" si="2"/>
        <v>15</v>
      </c>
      <c r="AV88" s="68"/>
      <c r="AW88" s="1">
        <f t="shared" si="16"/>
        <v>14</v>
      </c>
      <c r="AX88" s="2">
        <f t="shared" si="17"/>
        <v>1</v>
      </c>
      <c r="AY88" s="2">
        <f t="shared" si="18"/>
        <v>0</v>
      </c>
      <c r="AZ88" s="2">
        <f t="shared" si="19"/>
        <v>0</v>
      </c>
      <c r="BA88" s="2">
        <f t="shared" si="20"/>
        <v>0</v>
      </c>
      <c r="BB88" s="2">
        <f t="shared" si="21"/>
        <v>0</v>
      </c>
      <c r="BC88" s="2">
        <f t="shared" si="22"/>
        <v>0</v>
      </c>
      <c r="BD88" s="2">
        <f t="shared" si="23"/>
        <v>0</v>
      </c>
      <c r="BE88" s="2">
        <f t="shared" si="24"/>
        <v>0</v>
      </c>
      <c r="BF88" s="2">
        <f t="shared" si="25"/>
        <v>0</v>
      </c>
      <c r="BG88" s="2">
        <f t="shared" si="26"/>
        <v>0</v>
      </c>
      <c r="BH88" s="2">
        <f t="shared" si="27"/>
        <v>0</v>
      </c>
      <c r="BI88" s="3"/>
      <c r="BK88" s="122">
        <v>0</v>
      </c>
      <c r="BL88" s="122">
        <v>0</v>
      </c>
      <c r="BM88" s="122">
        <v>0</v>
      </c>
      <c r="BN88" s="122">
        <v>0</v>
      </c>
      <c r="BO88" s="122">
        <v>0</v>
      </c>
      <c r="BP88" s="122">
        <v>0</v>
      </c>
      <c r="BQ88" s="122">
        <v>0</v>
      </c>
      <c r="BR88" s="122">
        <v>0</v>
      </c>
      <c r="BS88" s="122">
        <v>0</v>
      </c>
      <c r="BT88" s="122">
        <v>0</v>
      </c>
      <c r="BU88" s="125">
        <f t="shared" si="28"/>
        <v>0</v>
      </c>
    </row>
    <row r="89" spans="1:73" ht="22.5" customHeight="1" x14ac:dyDescent="0.25">
      <c r="A89" s="45">
        <v>85</v>
      </c>
      <c r="B89" s="45" t="s">
        <v>210</v>
      </c>
      <c r="C89" s="79" t="s">
        <v>212</v>
      </c>
      <c r="D89" s="85">
        <v>46022</v>
      </c>
      <c r="E89" s="65">
        <v>0.3430555555555555</v>
      </c>
      <c r="F89" s="65">
        <v>0.97361111111111109</v>
      </c>
      <c r="G89" s="65">
        <v>0.33402777777777781</v>
      </c>
      <c r="H89" s="65">
        <v>0.9916666666666667</v>
      </c>
      <c r="I89" s="91" t="s">
        <v>15</v>
      </c>
      <c r="J89" s="91" t="s">
        <v>15</v>
      </c>
      <c r="K89" s="65">
        <v>0.34375</v>
      </c>
      <c r="L89" s="65">
        <v>0.95138888888888884</v>
      </c>
      <c r="M89" s="65">
        <v>0.33749999999999997</v>
      </c>
      <c r="N89" s="65">
        <v>0.9590277777777777</v>
      </c>
      <c r="O89" s="65">
        <v>0.33611111111111108</v>
      </c>
      <c r="P89" s="65">
        <v>0.96111111111111114</v>
      </c>
      <c r="Q89" s="65">
        <v>0.34236111111111112</v>
      </c>
      <c r="R89" s="65">
        <v>0.97291666666666676</v>
      </c>
      <c r="S89" s="65">
        <v>0.34166666666666662</v>
      </c>
      <c r="T89" s="65">
        <v>2.7777777777777779E-3</v>
      </c>
      <c r="U89" s="65">
        <v>0.3430555555555555</v>
      </c>
      <c r="V89" s="65">
        <v>0.98402777777777783</v>
      </c>
      <c r="W89" s="98">
        <v>0.58263888888888882</v>
      </c>
      <c r="X89" s="98">
        <v>0.96527777777777779</v>
      </c>
      <c r="Y89" s="65">
        <v>0.34513888888888888</v>
      </c>
      <c r="Z89" s="65">
        <v>0.9458333333333333</v>
      </c>
      <c r="AA89" s="65">
        <v>0.33888888888888885</v>
      </c>
      <c r="AB89" s="65">
        <v>0.97430555555555554</v>
      </c>
      <c r="AC89" s="65">
        <v>0.34583333333333338</v>
      </c>
      <c r="AD89" s="65">
        <v>0.9375</v>
      </c>
      <c r="AE89" s="65">
        <v>0.3430555555555555</v>
      </c>
      <c r="AF89" s="65">
        <v>0.96319444444444446</v>
      </c>
      <c r="AG89" s="65">
        <v>0.34513888888888888</v>
      </c>
      <c r="AH89" s="65">
        <v>0.97569444444444453</v>
      </c>
      <c r="AI89" s="114"/>
      <c r="AJ89" s="45">
        <v>84</v>
      </c>
      <c r="AK89" s="65"/>
      <c r="AL89" s="65"/>
      <c r="AM89" s="74"/>
      <c r="AN89" s="74"/>
      <c r="AO89" s="74"/>
      <c r="AP89" s="74"/>
      <c r="AQ89" s="98"/>
      <c r="AR89" s="98"/>
      <c r="AS89" s="65"/>
      <c r="AT89" s="65"/>
      <c r="AU89" s="97">
        <f t="shared" si="2"/>
        <v>15</v>
      </c>
      <c r="AV89" s="68"/>
      <c r="AW89" s="1">
        <f t="shared" si="16"/>
        <v>14</v>
      </c>
      <c r="AX89" s="2">
        <f t="shared" si="17"/>
        <v>1</v>
      </c>
      <c r="AY89" s="2">
        <f t="shared" si="18"/>
        <v>0</v>
      </c>
      <c r="AZ89" s="2">
        <f t="shared" si="19"/>
        <v>0</v>
      </c>
      <c r="BA89" s="2">
        <f t="shared" si="20"/>
        <v>0</v>
      </c>
      <c r="BB89" s="2">
        <f t="shared" si="21"/>
        <v>0</v>
      </c>
      <c r="BC89" s="2">
        <f t="shared" si="22"/>
        <v>0</v>
      </c>
      <c r="BD89" s="2">
        <f t="shared" si="23"/>
        <v>0</v>
      </c>
      <c r="BE89" s="2">
        <f t="shared" si="24"/>
        <v>0</v>
      </c>
      <c r="BF89" s="2">
        <f t="shared" si="25"/>
        <v>0</v>
      </c>
      <c r="BG89" s="2">
        <f t="shared" si="26"/>
        <v>0</v>
      </c>
      <c r="BH89" s="2">
        <f t="shared" si="27"/>
        <v>0</v>
      </c>
      <c r="BI89" s="3"/>
      <c r="BK89" s="55">
        <v>0</v>
      </c>
      <c r="BL89" s="54">
        <v>0</v>
      </c>
      <c r="BM89" s="54">
        <v>0</v>
      </c>
      <c r="BN89" s="54">
        <v>0</v>
      </c>
      <c r="BO89" s="54">
        <v>0</v>
      </c>
      <c r="BP89" s="54">
        <v>2</v>
      </c>
      <c r="BQ89" s="54">
        <v>0</v>
      </c>
      <c r="BR89" s="54">
        <v>0</v>
      </c>
      <c r="BS89" s="54">
        <v>0</v>
      </c>
      <c r="BT89" s="54">
        <v>0</v>
      </c>
      <c r="BU89" s="126">
        <f t="shared" si="28"/>
        <v>2</v>
      </c>
    </row>
    <row r="90" spans="1:73" ht="22.5" customHeight="1" x14ac:dyDescent="0.25">
      <c r="A90" s="45">
        <v>86</v>
      </c>
      <c r="B90" s="45" t="s">
        <v>213</v>
      </c>
      <c r="C90" s="79" t="s">
        <v>214</v>
      </c>
      <c r="D90" s="85">
        <v>46038</v>
      </c>
      <c r="E90" s="65">
        <v>0.35833333333333334</v>
      </c>
      <c r="F90" s="65">
        <v>0.95486111111111116</v>
      </c>
      <c r="G90" s="65">
        <v>0.35694444444444445</v>
      </c>
      <c r="H90" s="65">
        <v>0.97916666666666663</v>
      </c>
      <c r="I90" s="91" t="s">
        <v>15</v>
      </c>
      <c r="J90" s="91" t="s">
        <v>15</v>
      </c>
      <c r="K90" s="65">
        <v>0.35555555555555557</v>
      </c>
      <c r="L90" s="65">
        <v>0.96805555555555556</v>
      </c>
      <c r="M90" s="65">
        <v>0.35833333333333334</v>
      </c>
      <c r="N90" s="65">
        <v>0.95486111111111116</v>
      </c>
      <c r="O90" s="65">
        <v>0.35555555555555557</v>
      </c>
      <c r="P90" s="65">
        <v>0.95486111111111116</v>
      </c>
      <c r="Q90" s="65">
        <v>0.3576388888888889</v>
      </c>
      <c r="R90" s="65">
        <v>0.95138888888888884</v>
      </c>
      <c r="S90" s="65">
        <v>0.35694444444444445</v>
      </c>
      <c r="T90" s="69">
        <v>1</v>
      </c>
      <c r="U90" s="65">
        <v>0.35416666666666669</v>
      </c>
      <c r="V90" s="65">
        <v>0.97222222222222221</v>
      </c>
      <c r="W90" s="91" t="s">
        <v>15</v>
      </c>
      <c r="X90" s="91" t="s">
        <v>15</v>
      </c>
      <c r="Y90" s="65">
        <v>0.35486111111111113</v>
      </c>
      <c r="Z90" s="65">
        <v>0.96666666666666667</v>
      </c>
      <c r="AA90" s="65">
        <v>0.35000000000000003</v>
      </c>
      <c r="AB90" s="69">
        <v>1</v>
      </c>
      <c r="AC90" s="74" t="s">
        <v>174</v>
      </c>
      <c r="AD90" s="74" t="s">
        <v>174</v>
      </c>
      <c r="AE90" s="74" t="s">
        <v>174</v>
      </c>
      <c r="AF90" s="74" t="s">
        <v>174</v>
      </c>
      <c r="AG90" s="74" t="s">
        <v>174</v>
      </c>
      <c r="AH90" s="74" t="s">
        <v>174</v>
      </c>
      <c r="AI90" s="106"/>
      <c r="AJ90" s="45">
        <v>85</v>
      </c>
      <c r="AK90" s="65"/>
      <c r="AL90" s="65"/>
      <c r="AM90" s="65"/>
      <c r="AN90" s="65"/>
      <c r="AO90" s="65"/>
      <c r="AP90" s="65"/>
      <c r="AQ90" s="91"/>
      <c r="AR90" s="100"/>
      <c r="AS90" s="65"/>
      <c r="AT90" s="65"/>
      <c r="AU90" s="97">
        <f t="shared" si="2"/>
        <v>15</v>
      </c>
      <c r="AV90" s="68"/>
      <c r="AW90" s="1">
        <f t="shared" si="16"/>
        <v>10</v>
      </c>
      <c r="AX90" s="2">
        <f t="shared" si="17"/>
        <v>2</v>
      </c>
      <c r="AY90" s="2">
        <f t="shared" si="18"/>
        <v>0</v>
      </c>
      <c r="AZ90" s="2">
        <f t="shared" si="19"/>
        <v>0</v>
      </c>
      <c r="BA90" s="2">
        <f t="shared" si="20"/>
        <v>0</v>
      </c>
      <c r="BB90" s="2">
        <f t="shared" si="21"/>
        <v>0</v>
      </c>
      <c r="BC90" s="2">
        <f t="shared" si="22"/>
        <v>0</v>
      </c>
      <c r="BD90" s="2">
        <f t="shared" si="23"/>
        <v>3</v>
      </c>
      <c r="BE90" s="2">
        <f t="shared" si="24"/>
        <v>0</v>
      </c>
      <c r="BF90" s="2">
        <f t="shared" si="25"/>
        <v>0</v>
      </c>
      <c r="BG90" s="2">
        <f t="shared" si="26"/>
        <v>0</v>
      </c>
      <c r="BH90" s="2">
        <f t="shared" si="27"/>
        <v>0</v>
      </c>
      <c r="BI90" s="3"/>
      <c r="BK90" s="128">
        <v>0</v>
      </c>
      <c r="BL90" s="129">
        <v>0</v>
      </c>
      <c r="BM90" s="129">
        <v>0</v>
      </c>
      <c r="BN90" s="129">
        <v>0</v>
      </c>
      <c r="BO90" s="129">
        <v>0</v>
      </c>
      <c r="BP90" s="129">
        <v>1</v>
      </c>
      <c r="BQ90" s="129">
        <v>0</v>
      </c>
      <c r="BR90" s="129">
        <v>0</v>
      </c>
      <c r="BS90" s="129">
        <v>0</v>
      </c>
      <c r="BT90" s="129">
        <v>0</v>
      </c>
      <c r="BU90" s="125">
        <f t="shared" si="28"/>
        <v>1</v>
      </c>
    </row>
    <row r="91" spans="1:73" ht="22.5" customHeight="1" x14ac:dyDescent="0.25">
      <c r="A91" s="45">
        <v>87</v>
      </c>
      <c r="B91" s="45" t="s">
        <v>216</v>
      </c>
      <c r="C91" s="79" t="s">
        <v>218</v>
      </c>
      <c r="D91" s="85">
        <v>46051</v>
      </c>
      <c r="E91" s="65">
        <v>0.35347222222222219</v>
      </c>
      <c r="F91" s="69">
        <v>1</v>
      </c>
      <c r="G91" s="65">
        <v>0.35625000000000001</v>
      </c>
      <c r="H91" s="65">
        <v>0.98958333333333337</v>
      </c>
      <c r="I91" s="91" t="s">
        <v>15</v>
      </c>
      <c r="J91" s="91" t="s">
        <v>15</v>
      </c>
      <c r="K91" s="65">
        <v>0.3527777777777778</v>
      </c>
      <c r="L91" s="65">
        <v>0.96250000000000002</v>
      </c>
      <c r="M91" s="65">
        <v>0.3520833333333333</v>
      </c>
      <c r="N91" s="65">
        <v>0.95833333333333337</v>
      </c>
      <c r="O91" s="65">
        <v>0.35486111111111113</v>
      </c>
      <c r="P91" s="65">
        <v>0.94513888888888886</v>
      </c>
      <c r="Q91" s="65">
        <v>0.35416666666666669</v>
      </c>
      <c r="R91" s="65">
        <v>0.95416666666666661</v>
      </c>
      <c r="S91" s="65">
        <v>0.35347222222222219</v>
      </c>
      <c r="T91" s="65">
        <v>0.97986111111111107</v>
      </c>
      <c r="U91" s="65">
        <v>0.35138888888888892</v>
      </c>
      <c r="V91" s="65">
        <v>0.97916666666666663</v>
      </c>
      <c r="W91" s="98">
        <v>0.56111111111111112</v>
      </c>
      <c r="X91" s="98">
        <v>0.94652777777777775</v>
      </c>
      <c r="Y91" s="65">
        <v>0.33124999999999999</v>
      </c>
      <c r="Z91" s="65">
        <v>0.92083333333333339</v>
      </c>
      <c r="AA91" s="65">
        <v>0.32777777777777778</v>
      </c>
      <c r="AB91" s="65">
        <v>0.94861111111111107</v>
      </c>
      <c r="AC91" s="65">
        <v>0.33124999999999999</v>
      </c>
      <c r="AD91" s="65">
        <v>0.91666666666666663</v>
      </c>
      <c r="AE91" s="65">
        <v>0.33124999999999999</v>
      </c>
      <c r="AF91" s="65">
        <v>0.92361111111111116</v>
      </c>
      <c r="AG91" s="65">
        <v>0.3298611111111111</v>
      </c>
      <c r="AH91" s="65">
        <v>0.92361111111111116</v>
      </c>
      <c r="AI91" s="114"/>
      <c r="AJ91" s="45">
        <v>86</v>
      </c>
      <c r="AK91" s="65"/>
      <c r="AL91" s="65"/>
      <c r="AM91" s="65"/>
      <c r="AN91" s="65"/>
      <c r="AO91" s="65"/>
      <c r="AP91" s="65"/>
      <c r="AQ91" s="91"/>
      <c r="AR91" s="100"/>
      <c r="AS91" s="65"/>
      <c r="AT91" s="65"/>
      <c r="AU91" s="97">
        <f t="shared" si="2"/>
        <v>15</v>
      </c>
      <c r="AV91" s="68"/>
      <c r="AW91" s="1">
        <f t="shared" si="16"/>
        <v>14</v>
      </c>
      <c r="AX91" s="2">
        <f t="shared" si="17"/>
        <v>1</v>
      </c>
      <c r="AY91" s="2">
        <f t="shared" si="18"/>
        <v>0</v>
      </c>
      <c r="AZ91" s="2">
        <f t="shared" si="19"/>
        <v>0</v>
      </c>
      <c r="BA91" s="2">
        <f t="shared" si="20"/>
        <v>0</v>
      </c>
      <c r="BB91" s="2">
        <f t="shared" si="21"/>
        <v>0</v>
      </c>
      <c r="BC91" s="2">
        <f t="shared" si="22"/>
        <v>0</v>
      </c>
      <c r="BD91" s="2">
        <f t="shared" si="23"/>
        <v>0</v>
      </c>
      <c r="BE91" s="2">
        <f t="shared" si="24"/>
        <v>0</v>
      </c>
      <c r="BF91" s="2">
        <f t="shared" si="25"/>
        <v>0</v>
      </c>
      <c r="BG91" s="2">
        <f t="shared" si="26"/>
        <v>0</v>
      </c>
      <c r="BH91" s="2">
        <f t="shared" si="27"/>
        <v>0</v>
      </c>
      <c r="BI91" s="3"/>
      <c r="BK91" s="55">
        <v>0</v>
      </c>
      <c r="BL91" s="54">
        <v>0</v>
      </c>
      <c r="BM91" s="54">
        <v>0</v>
      </c>
      <c r="BN91" s="54">
        <v>0</v>
      </c>
      <c r="BO91" s="54">
        <v>0</v>
      </c>
      <c r="BP91" s="54">
        <v>2</v>
      </c>
      <c r="BQ91" s="54">
        <v>0</v>
      </c>
      <c r="BR91" s="54">
        <v>1</v>
      </c>
      <c r="BS91" s="54">
        <v>0</v>
      </c>
      <c r="BT91" s="54">
        <v>0</v>
      </c>
      <c r="BU91" s="126">
        <f t="shared" si="28"/>
        <v>3</v>
      </c>
    </row>
    <row r="92" spans="1:73" ht="22.5" customHeight="1" x14ac:dyDescent="0.25">
      <c r="A92" s="45">
        <v>88</v>
      </c>
      <c r="B92" s="45" t="s">
        <v>220</v>
      </c>
      <c r="C92" s="79" t="s">
        <v>221</v>
      </c>
      <c r="D92" s="85">
        <v>46065</v>
      </c>
      <c r="E92" s="65">
        <v>0.34652777777777777</v>
      </c>
      <c r="F92" s="65">
        <v>0.95000000000000007</v>
      </c>
      <c r="G92" s="65">
        <v>0.34722222222222227</v>
      </c>
      <c r="H92" s="65">
        <v>0.9604166666666667</v>
      </c>
      <c r="I92" s="98">
        <v>0.5805555555555556</v>
      </c>
      <c r="J92" s="98">
        <v>0.94027777777777777</v>
      </c>
      <c r="K92" s="65">
        <v>0.34652777777777777</v>
      </c>
      <c r="L92" s="65">
        <v>0.95972222222222225</v>
      </c>
      <c r="M92" s="65">
        <v>0.34861111111111115</v>
      </c>
      <c r="N92" s="65">
        <v>0.94236111111111109</v>
      </c>
      <c r="O92" s="65">
        <v>0.35069444444444442</v>
      </c>
      <c r="P92" s="65">
        <v>0.95208333333333339</v>
      </c>
      <c r="Q92" s="65">
        <v>0.34722222222222227</v>
      </c>
      <c r="R92" s="65">
        <v>0.94652777777777775</v>
      </c>
      <c r="S92" s="65">
        <v>0.34652777777777777</v>
      </c>
      <c r="T92" s="65">
        <v>0.94861111111111107</v>
      </c>
      <c r="U92" s="65">
        <v>0.34375</v>
      </c>
      <c r="V92" s="65">
        <v>0.97291666666666676</v>
      </c>
      <c r="W92" s="91" t="s">
        <v>15</v>
      </c>
      <c r="X92" s="91" t="s">
        <v>15</v>
      </c>
      <c r="Y92" s="65">
        <v>0.34097222222222223</v>
      </c>
      <c r="Z92" s="65">
        <v>0.94513888888888886</v>
      </c>
      <c r="AA92" s="65">
        <v>0.34375</v>
      </c>
      <c r="AB92" s="65">
        <v>0.94444444444444453</v>
      </c>
      <c r="AC92" s="65">
        <v>0.34513888888888888</v>
      </c>
      <c r="AD92" s="65">
        <v>0.94236111111111109</v>
      </c>
      <c r="AE92" s="65">
        <v>0.34513888888888888</v>
      </c>
      <c r="AF92" s="65">
        <v>0.94791666666666663</v>
      </c>
      <c r="AG92" s="65">
        <v>0.34513888888888888</v>
      </c>
      <c r="AH92" s="65">
        <v>0.9506944444444444</v>
      </c>
      <c r="AI92" s="114"/>
      <c r="AJ92" s="45">
        <v>87</v>
      </c>
      <c r="AK92" s="65"/>
      <c r="AL92" s="65"/>
      <c r="AM92" s="65"/>
      <c r="AN92" s="65"/>
      <c r="AO92" s="65"/>
      <c r="AP92" s="65"/>
      <c r="AQ92" s="98"/>
      <c r="AR92" s="98"/>
      <c r="AS92" s="65"/>
      <c r="AT92" s="65"/>
      <c r="AU92" s="97">
        <f t="shared" si="2"/>
        <v>15</v>
      </c>
      <c r="AV92" s="68"/>
      <c r="AW92" s="1">
        <f t="shared" si="16"/>
        <v>14</v>
      </c>
      <c r="AX92" s="2">
        <f t="shared" si="17"/>
        <v>1</v>
      </c>
      <c r="AY92" s="2">
        <f t="shared" si="18"/>
        <v>0</v>
      </c>
      <c r="AZ92" s="2">
        <f t="shared" si="19"/>
        <v>0</v>
      </c>
      <c r="BA92" s="2">
        <f t="shared" si="20"/>
        <v>0</v>
      </c>
      <c r="BB92" s="2">
        <f t="shared" si="21"/>
        <v>0</v>
      </c>
      <c r="BC92" s="2">
        <f t="shared" si="22"/>
        <v>0</v>
      </c>
      <c r="BD92" s="2">
        <f t="shared" si="23"/>
        <v>0</v>
      </c>
      <c r="BE92" s="2">
        <f t="shared" si="24"/>
        <v>0</v>
      </c>
      <c r="BF92" s="2">
        <f t="shared" si="25"/>
        <v>0</v>
      </c>
      <c r="BG92" s="2">
        <f t="shared" si="26"/>
        <v>0</v>
      </c>
      <c r="BH92" s="2">
        <f t="shared" si="27"/>
        <v>0</v>
      </c>
      <c r="BI92" s="3"/>
      <c r="BK92" s="128">
        <v>0</v>
      </c>
      <c r="BL92" s="129">
        <v>0</v>
      </c>
      <c r="BM92" s="129">
        <v>0</v>
      </c>
      <c r="BN92" s="129">
        <v>0</v>
      </c>
      <c r="BO92" s="129">
        <v>0</v>
      </c>
      <c r="BP92" s="129">
        <v>1</v>
      </c>
      <c r="BQ92" s="129">
        <v>0</v>
      </c>
      <c r="BR92" s="129">
        <v>0</v>
      </c>
      <c r="BS92" s="129">
        <v>0</v>
      </c>
      <c r="BT92" s="129">
        <v>0</v>
      </c>
      <c r="BU92" s="125">
        <f t="shared" si="28"/>
        <v>1</v>
      </c>
    </row>
    <row r="93" spans="1:73" ht="22.5" customHeight="1" x14ac:dyDescent="0.25">
      <c r="A93" s="45">
        <v>89</v>
      </c>
      <c r="B93" s="45" t="s">
        <v>224</v>
      </c>
      <c r="C93" s="79" t="s">
        <v>226</v>
      </c>
      <c r="D93" s="85">
        <v>46069</v>
      </c>
      <c r="E93" s="65">
        <v>0.34930555555555554</v>
      </c>
      <c r="F93" s="65">
        <v>0.91249999999999998</v>
      </c>
      <c r="G93" s="65">
        <v>0.35347222222222219</v>
      </c>
      <c r="H93" s="65">
        <v>0.92222222222222217</v>
      </c>
      <c r="I93" s="91" t="s">
        <v>15</v>
      </c>
      <c r="J93" s="91" t="s">
        <v>15</v>
      </c>
      <c r="K93" s="65">
        <v>0.35347222222222219</v>
      </c>
      <c r="L93" s="65">
        <v>0.93611111111111101</v>
      </c>
      <c r="M93" s="65">
        <v>0.35138888888888892</v>
      </c>
      <c r="N93" s="65">
        <v>0.90902777777777777</v>
      </c>
      <c r="O93" s="65">
        <v>0.35069444444444442</v>
      </c>
      <c r="P93" s="65">
        <v>0.90069444444444446</v>
      </c>
      <c r="Q93" s="65">
        <v>0.35000000000000003</v>
      </c>
      <c r="R93" s="65">
        <v>0.89722222222222225</v>
      </c>
      <c r="S93" s="65">
        <v>0.35138888888888892</v>
      </c>
      <c r="T93" s="65">
        <v>0.99097222222222225</v>
      </c>
      <c r="U93" s="65">
        <v>0.34166666666666662</v>
      </c>
      <c r="V93" s="65">
        <v>0.98125000000000007</v>
      </c>
      <c r="W93" s="98">
        <v>0.56388888888888888</v>
      </c>
      <c r="X93" s="98">
        <v>0.93333333333333324</v>
      </c>
      <c r="Y93" s="65">
        <v>0.34930555555555554</v>
      </c>
      <c r="Z93" s="65">
        <v>0.93958333333333333</v>
      </c>
      <c r="AA93" s="65">
        <v>0.34791666666666665</v>
      </c>
      <c r="AB93" s="65">
        <v>0.91180555555555554</v>
      </c>
      <c r="AC93" s="65">
        <v>0.3527777777777778</v>
      </c>
      <c r="AD93" s="65">
        <v>0.90208333333333324</v>
      </c>
      <c r="AE93" s="65">
        <v>0.35138888888888892</v>
      </c>
      <c r="AF93" s="65">
        <v>0.91249999999999998</v>
      </c>
      <c r="AG93" s="65">
        <v>0.3430555555555555</v>
      </c>
      <c r="AH93" s="65">
        <v>0.92152777777777783</v>
      </c>
      <c r="AI93" s="114"/>
      <c r="AJ93" s="45">
        <v>88</v>
      </c>
      <c r="AK93" s="65"/>
      <c r="AL93" s="65"/>
      <c r="AM93" s="65"/>
      <c r="AN93" s="65"/>
      <c r="AO93" s="65"/>
      <c r="AP93" s="65"/>
      <c r="AQ93" s="91"/>
      <c r="AR93" s="100"/>
      <c r="AS93" s="65"/>
      <c r="AT93" s="65"/>
      <c r="AU93" s="97">
        <f t="shared" si="2"/>
        <v>15</v>
      </c>
      <c r="AV93" s="68"/>
      <c r="AW93" s="1">
        <f t="shared" si="16"/>
        <v>14</v>
      </c>
      <c r="AX93" s="2">
        <f t="shared" si="17"/>
        <v>1</v>
      </c>
      <c r="AY93" s="2">
        <f t="shared" si="18"/>
        <v>0</v>
      </c>
      <c r="AZ93" s="2">
        <f t="shared" si="19"/>
        <v>0</v>
      </c>
      <c r="BA93" s="2">
        <f t="shared" si="20"/>
        <v>0</v>
      </c>
      <c r="BB93" s="2">
        <f t="shared" si="21"/>
        <v>0</v>
      </c>
      <c r="BC93" s="2">
        <f t="shared" si="22"/>
        <v>0</v>
      </c>
      <c r="BD93" s="2">
        <f t="shared" si="23"/>
        <v>0</v>
      </c>
      <c r="BE93" s="2">
        <f t="shared" si="24"/>
        <v>0</v>
      </c>
      <c r="BF93" s="2">
        <f t="shared" si="25"/>
        <v>0</v>
      </c>
      <c r="BG93" s="2">
        <f t="shared" si="26"/>
        <v>0</v>
      </c>
      <c r="BH93" s="2">
        <f t="shared" si="27"/>
        <v>0</v>
      </c>
      <c r="BI93" s="3"/>
      <c r="BK93" s="55">
        <v>0</v>
      </c>
      <c r="BL93" s="54">
        <v>0</v>
      </c>
      <c r="BM93" s="54">
        <v>0</v>
      </c>
      <c r="BN93" s="54">
        <v>0</v>
      </c>
      <c r="BO93" s="54">
        <v>0</v>
      </c>
      <c r="BP93" s="54">
        <v>0</v>
      </c>
      <c r="BQ93" s="54">
        <v>0</v>
      </c>
      <c r="BR93" s="54">
        <v>0</v>
      </c>
      <c r="BS93" s="54">
        <v>0</v>
      </c>
      <c r="BT93" s="54">
        <v>0</v>
      </c>
      <c r="BU93" s="126">
        <f t="shared" si="28"/>
        <v>0</v>
      </c>
    </row>
    <row r="94" spans="1:73" ht="22.5" customHeight="1" x14ac:dyDescent="0.25">
      <c r="A94" s="45">
        <v>90</v>
      </c>
      <c r="B94" s="45" t="s">
        <v>222</v>
      </c>
      <c r="C94" s="79" t="s">
        <v>227</v>
      </c>
      <c r="D94" s="85">
        <v>46068</v>
      </c>
      <c r="E94" s="65">
        <v>0.34513888888888888</v>
      </c>
      <c r="F94" s="65">
        <v>0.97361111111111109</v>
      </c>
      <c r="G94" s="65">
        <v>0.34375</v>
      </c>
      <c r="H94" s="65">
        <v>0.99236111111111114</v>
      </c>
      <c r="I94" s="98">
        <v>0.58263888888888882</v>
      </c>
      <c r="J94" s="98">
        <v>0.93611111111111101</v>
      </c>
      <c r="K94" s="65">
        <v>0.34652777777777777</v>
      </c>
      <c r="L94" s="65">
        <v>0.95000000000000007</v>
      </c>
      <c r="M94" s="65">
        <v>0.34791666666666665</v>
      </c>
      <c r="N94" s="69">
        <v>1</v>
      </c>
      <c r="O94" s="65">
        <v>0.35416666666666669</v>
      </c>
      <c r="P94" s="65">
        <v>0.35416666666666669</v>
      </c>
      <c r="Q94" s="65">
        <v>0.34166666666666662</v>
      </c>
      <c r="R94" s="69">
        <v>1</v>
      </c>
      <c r="S94" s="65">
        <v>0.34722222222222227</v>
      </c>
      <c r="T94" s="65">
        <v>2.0833333333333333E-3</v>
      </c>
      <c r="U94" s="65">
        <v>0.34236111111111112</v>
      </c>
      <c r="V94" s="65">
        <v>0.98402777777777783</v>
      </c>
      <c r="W94" s="91" t="s">
        <v>15</v>
      </c>
      <c r="X94" s="91" t="s">
        <v>15</v>
      </c>
      <c r="Y94" s="65">
        <v>0.34166666666666662</v>
      </c>
      <c r="Z94" s="65">
        <v>0.9458333333333333</v>
      </c>
      <c r="AA94" s="65">
        <v>0.34791666666666665</v>
      </c>
      <c r="AB94" s="65">
        <v>0.97430555555555554</v>
      </c>
      <c r="AC94" s="65">
        <v>0.34375</v>
      </c>
      <c r="AD94" s="69">
        <v>1</v>
      </c>
      <c r="AE94" s="65">
        <v>0.34375</v>
      </c>
      <c r="AF94" s="65">
        <v>0.96250000000000002</v>
      </c>
      <c r="AG94" s="65">
        <v>0.34513888888888888</v>
      </c>
      <c r="AH94" s="65">
        <v>0.97499999999999998</v>
      </c>
      <c r="AI94" s="114"/>
      <c r="AJ94" s="45">
        <v>89</v>
      </c>
      <c r="AK94" s="65"/>
      <c r="AL94" s="65"/>
      <c r="AM94" s="65"/>
      <c r="AN94" s="65"/>
      <c r="AO94" s="65"/>
      <c r="AP94" s="65"/>
      <c r="AQ94" s="98"/>
      <c r="AR94" s="98"/>
      <c r="AS94" s="65"/>
      <c r="AT94" s="65"/>
      <c r="AU94" s="97">
        <f t="shared" si="2"/>
        <v>15</v>
      </c>
      <c r="AV94" s="68"/>
      <c r="AW94" s="1">
        <f t="shared" si="16"/>
        <v>14</v>
      </c>
      <c r="AX94" s="2">
        <f t="shared" si="17"/>
        <v>1</v>
      </c>
      <c r="AY94" s="2">
        <f t="shared" si="18"/>
        <v>0</v>
      </c>
      <c r="AZ94" s="2">
        <f t="shared" si="19"/>
        <v>0</v>
      </c>
      <c r="BA94" s="2">
        <f t="shared" si="20"/>
        <v>0</v>
      </c>
      <c r="BB94" s="2">
        <f t="shared" si="21"/>
        <v>0</v>
      </c>
      <c r="BC94" s="2">
        <f t="shared" si="22"/>
        <v>0</v>
      </c>
      <c r="BD94" s="2">
        <f t="shared" si="23"/>
        <v>0</v>
      </c>
      <c r="BE94" s="2">
        <f t="shared" si="24"/>
        <v>0</v>
      </c>
      <c r="BF94" s="2">
        <f t="shared" si="25"/>
        <v>0</v>
      </c>
      <c r="BG94" s="2">
        <f t="shared" si="26"/>
        <v>0</v>
      </c>
      <c r="BH94" s="2">
        <f t="shared" si="27"/>
        <v>0</v>
      </c>
      <c r="BI94" s="3"/>
      <c r="BK94" s="128">
        <v>0</v>
      </c>
      <c r="BL94" s="129">
        <v>0</v>
      </c>
      <c r="BM94" s="129">
        <v>0</v>
      </c>
      <c r="BN94" s="129">
        <v>0</v>
      </c>
      <c r="BO94" s="129">
        <v>0</v>
      </c>
      <c r="BP94" s="129">
        <v>0</v>
      </c>
      <c r="BQ94" s="129">
        <v>0</v>
      </c>
      <c r="BR94" s="129">
        <v>0</v>
      </c>
      <c r="BS94" s="129">
        <v>0</v>
      </c>
      <c r="BT94" s="129">
        <v>0</v>
      </c>
      <c r="BU94" s="125">
        <f t="shared" si="28"/>
        <v>0</v>
      </c>
    </row>
    <row r="95" spans="1:73" ht="22.5" customHeight="1" x14ac:dyDescent="0.25">
      <c r="A95" s="45">
        <v>91</v>
      </c>
      <c r="B95" s="45" t="s">
        <v>223</v>
      </c>
      <c r="C95" s="79" t="s">
        <v>228</v>
      </c>
      <c r="D95" s="85">
        <v>46069</v>
      </c>
      <c r="E95" s="65">
        <v>0.3520833333333333</v>
      </c>
      <c r="F95" s="65">
        <v>0.92291666666666661</v>
      </c>
      <c r="G95" s="65">
        <v>0.35138888888888892</v>
      </c>
      <c r="H95" s="65">
        <v>0.93055555555555547</v>
      </c>
      <c r="I95" s="98">
        <v>0.58402777777777781</v>
      </c>
      <c r="J95" s="98">
        <v>0.89583333333333337</v>
      </c>
      <c r="K95" s="65">
        <v>0.3520833333333333</v>
      </c>
      <c r="L95" s="65">
        <v>0.93055555555555547</v>
      </c>
      <c r="M95" s="65">
        <v>0.35347222222222219</v>
      </c>
      <c r="N95" s="65">
        <v>0.91736111111111107</v>
      </c>
      <c r="O95" s="65">
        <v>0.35069444444444442</v>
      </c>
      <c r="P95" s="65">
        <v>0.91736111111111107</v>
      </c>
      <c r="Q95" s="65">
        <v>0.35138888888888892</v>
      </c>
      <c r="R95" s="65">
        <v>0.90555555555555556</v>
      </c>
      <c r="S95" s="65">
        <v>0.35138888888888892</v>
      </c>
      <c r="T95" s="65">
        <v>0.93958333333333333</v>
      </c>
      <c r="U95" s="65">
        <v>0.34930555555555554</v>
      </c>
      <c r="V95" s="65">
        <v>0.9819444444444444</v>
      </c>
      <c r="W95" s="91" t="s">
        <v>15</v>
      </c>
      <c r="X95" s="91" t="s">
        <v>15</v>
      </c>
      <c r="Y95" s="65">
        <v>0.35138888888888892</v>
      </c>
      <c r="Z95" s="65">
        <v>0.93680555555555556</v>
      </c>
      <c r="AA95" s="65">
        <v>0.34722222222222227</v>
      </c>
      <c r="AB95" s="65">
        <v>0.91319444444444453</v>
      </c>
      <c r="AC95" s="65">
        <v>0.3520833333333333</v>
      </c>
      <c r="AD95" s="65">
        <v>0.91319444444444453</v>
      </c>
      <c r="AE95" s="65">
        <v>0.35138888888888892</v>
      </c>
      <c r="AF95" s="65">
        <v>0.92083333333333339</v>
      </c>
      <c r="AG95" s="65">
        <v>0.35416666666666669</v>
      </c>
      <c r="AH95" s="65">
        <v>0.93194444444444446</v>
      </c>
      <c r="AI95" s="114"/>
      <c r="AJ95" s="45">
        <v>90</v>
      </c>
      <c r="AK95" s="65"/>
      <c r="AL95" s="65"/>
      <c r="AM95" s="65"/>
      <c r="AN95" s="65"/>
      <c r="AO95" s="65"/>
      <c r="AP95" s="65"/>
      <c r="AQ95" s="98"/>
      <c r="AR95" s="98"/>
      <c r="AS95" s="65"/>
      <c r="AT95" s="65"/>
      <c r="AU95" s="97">
        <f t="shared" ref="AU95:AU96" si="29">AW95+AX95+AZ95+BE95+BC95+BD95+BH95+AY95</f>
        <v>15</v>
      </c>
      <c r="AV95" s="68"/>
      <c r="AW95" s="1">
        <f t="shared" si="16"/>
        <v>14</v>
      </c>
      <c r="AX95" s="2">
        <f t="shared" si="17"/>
        <v>1</v>
      </c>
      <c r="AY95" s="2">
        <f t="shared" si="18"/>
        <v>0</v>
      </c>
      <c r="AZ95" s="2">
        <f t="shared" si="19"/>
        <v>0</v>
      </c>
      <c r="BA95" s="2">
        <f t="shared" si="20"/>
        <v>0</v>
      </c>
      <c r="BB95" s="2">
        <f t="shared" si="21"/>
        <v>0</v>
      </c>
      <c r="BC95" s="2">
        <f t="shared" si="22"/>
        <v>0</v>
      </c>
      <c r="BD95" s="2">
        <f t="shared" si="23"/>
        <v>0</v>
      </c>
      <c r="BE95" s="2">
        <f t="shared" si="24"/>
        <v>0</v>
      </c>
      <c r="BF95" s="2">
        <f t="shared" si="25"/>
        <v>0</v>
      </c>
      <c r="BG95" s="2">
        <f t="shared" si="26"/>
        <v>0</v>
      </c>
      <c r="BH95" s="2">
        <f t="shared" si="27"/>
        <v>0</v>
      </c>
      <c r="BI95" s="3"/>
      <c r="BK95" s="55">
        <v>0</v>
      </c>
      <c r="BL95" s="54">
        <v>0</v>
      </c>
      <c r="BM95" s="54">
        <v>0</v>
      </c>
      <c r="BN95" s="54">
        <v>0</v>
      </c>
      <c r="BO95" s="54">
        <v>0</v>
      </c>
      <c r="BP95" s="54">
        <v>0</v>
      </c>
      <c r="BQ95" s="54">
        <v>0</v>
      </c>
      <c r="BR95" s="54">
        <v>0</v>
      </c>
      <c r="BS95" s="54">
        <v>0</v>
      </c>
      <c r="BT95" s="54">
        <v>0</v>
      </c>
      <c r="BU95" s="126">
        <f t="shared" ref="BU95:BU96" si="30">SUM(BK95:BT95)</f>
        <v>0</v>
      </c>
    </row>
    <row r="96" spans="1:73" ht="22.5" customHeight="1" x14ac:dyDescent="0.25">
      <c r="A96" s="45">
        <v>92</v>
      </c>
      <c r="B96" s="45" t="s">
        <v>243</v>
      </c>
      <c r="C96" s="79" t="s">
        <v>244</v>
      </c>
      <c r="D96" s="85"/>
      <c r="E96" s="65">
        <v>0.32777777777777778</v>
      </c>
      <c r="F96" s="65">
        <v>0.96458333333333324</v>
      </c>
      <c r="G96" s="65">
        <v>0.32569444444444445</v>
      </c>
      <c r="H96" s="65">
        <v>0.96875</v>
      </c>
      <c r="I96" s="98">
        <v>0.58402777777777781</v>
      </c>
      <c r="J96" s="98">
        <v>0.92638888888888893</v>
      </c>
      <c r="K96" s="65">
        <v>0.3527777777777778</v>
      </c>
      <c r="L96" s="65">
        <v>0.94236111111111109</v>
      </c>
      <c r="M96" s="65">
        <v>0.35555555555555557</v>
      </c>
      <c r="N96" s="65">
        <v>0.95763888888888893</v>
      </c>
      <c r="O96" s="65">
        <v>0.35486111111111113</v>
      </c>
      <c r="P96" s="65">
        <v>0.96597222222222223</v>
      </c>
      <c r="Q96" s="65">
        <v>0.35555555555555557</v>
      </c>
      <c r="R96" s="65">
        <v>0.93680555555555556</v>
      </c>
      <c r="S96" s="65">
        <v>0.33402777777777781</v>
      </c>
      <c r="T96" s="65">
        <v>0.95694444444444438</v>
      </c>
      <c r="U96" s="65">
        <v>0.35138888888888892</v>
      </c>
      <c r="V96" s="65">
        <v>0.97361111111111109</v>
      </c>
      <c r="W96" s="91" t="s">
        <v>15</v>
      </c>
      <c r="X96" s="91" t="s">
        <v>15</v>
      </c>
      <c r="Y96" s="65">
        <v>0.35555555555555557</v>
      </c>
      <c r="Z96" s="65">
        <v>0.95277777777777783</v>
      </c>
      <c r="AA96" s="65">
        <v>0.35069444444444442</v>
      </c>
      <c r="AB96" s="65">
        <v>0.95833333333333337</v>
      </c>
      <c r="AC96" s="65">
        <v>0.35416666666666669</v>
      </c>
      <c r="AD96" s="65">
        <v>0.95416666666666661</v>
      </c>
      <c r="AE96" s="65">
        <v>0.35486111111111113</v>
      </c>
      <c r="AF96" s="65">
        <v>0.95763888888888893</v>
      </c>
      <c r="AG96" s="65">
        <v>0.35347222222222219</v>
      </c>
      <c r="AH96" s="65">
        <v>0.9458333333333333</v>
      </c>
      <c r="AI96" s="114"/>
      <c r="AJ96" s="45">
        <v>91</v>
      </c>
      <c r="AK96" s="65"/>
      <c r="AL96" s="65"/>
      <c r="AM96" s="65"/>
      <c r="AN96" s="65"/>
      <c r="AO96" s="65"/>
      <c r="AP96" s="65"/>
      <c r="AQ96" s="98"/>
      <c r="AR96" s="99"/>
      <c r="AS96" s="65"/>
      <c r="AT96" s="65"/>
      <c r="AU96" s="97">
        <f t="shared" si="29"/>
        <v>15</v>
      </c>
      <c r="AV96" s="68"/>
      <c r="AW96" s="1">
        <f t="shared" si="16"/>
        <v>14</v>
      </c>
      <c r="AX96" s="2">
        <f t="shared" si="17"/>
        <v>1</v>
      </c>
      <c r="AY96" s="2">
        <f t="shared" si="18"/>
        <v>0</v>
      </c>
      <c r="AZ96" s="2">
        <f t="shared" si="19"/>
        <v>0</v>
      </c>
      <c r="BA96" s="2">
        <f t="shared" si="20"/>
        <v>0</v>
      </c>
      <c r="BB96" s="2">
        <f t="shared" si="21"/>
        <v>0</v>
      </c>
      <c r="BC96" s="2">
        <f t="shared" si="22"/>
        <v>0</v>
      </c>
      <c r="BD96" s="2">
        <f t="shared" si="23"/>
        <v>0</v>
      </c>
      <c r="BE96" s="2">
        <f t="shared" si="24"/>
        <v>0</v>
      </c>
      <c r="BF96" s="2">
        <f t="shared" si="25"/>
        <v>0</v>
      </c>
      <c r="BG96" s="2">
        <f t="shared" si="26"/>
        <v>0</v>
      </c>
      <c r="BH96" s="2">
        <f t="shared" si="27"/>
        <v>0</v>
      </c>
      <c r="BI96" s="3"/>
      <c r="BK96" s="122">
        <v>0</v>
      </c>
      <c r="BL96" s="123">
        <v>0</v>
      </c>
      <c r="BM96" s="123">
        <v>0</v>
      </c>
      <c r="BN96" s="123">
        <v>0</v>
      </c>
      <c r="BO96" s="123">
        <v>0</v>
      </c>
      <c r="BP96" s="123">
        <v>0</v>
      </c>
      <c r="BQ96" s="123">
        <v>0</v>
      </c>
      <c r="BR96" s="123">
        <v>0</v>
      </c>
      <c r="BS96" s="123">
        <v>0</v>
      </c>
      <c r="BT96" s="123">
        <v>0</v>
      </c>
      <c r="BU96" s="125">
        <f t="shared" si="30"/>
        <v>0</v>
      </c>
    </row>
    <row r="100" spans="9:73" x14ac:dyDescent="0.25">
      <c r="AV100" s="35" t="s">
        <v>72</v>
      </c>
      <c r="AW100" s="36"/>
      <c r="AX100" s="36"/>
      <c r="AY100" s="37" t="s">
        <v>16</v>
      </c>
      <c r="AZ100" s="38"/>
      <c r="BA100" s="43" t="s">
        <v>73</v>
      </c>
      <c r="BB100" s="44"/>
      <c r="BC100" s="44"/>
      <c r="BD100" s="41"/>
      <c r="BE100" s="42" t="s">
        <v>22</v>
      </c>
    </row>
    <row r="101" spans="9:73" ht="15.75" x14ac:dyDescent="0.25">
      <c r="I101" s="16"/>
      <c r="J101" s="17" t="s">
        <v>62</v>
      </c>
      <c r="K101" s="18"/>
      <c r="L101" s="17"/>
      <c r="M101" s="19"/>
      <c r="P101" s="19"/>
      <c r="Q101" s="20"/>
      <c r="R101" s="21"/>
      <c r="S101" s="21"/>
      <c r="T101" s="22" t="s">
        <v>63</v>
      </c>
      <c r="U101" s="22"/>
      <c r="V101" s="20"/>
      <c r="W101" s="20"/>
      <c r="X101" s="20"/>
      <c r="Y101" s="20"/>
      <c r="Z101" s="20" t="s">
        <v>64</v>
      </c>
      <c r="AA101" s="20"/>
      <c r="AB101" s="20"/>
      <c r="AC101" s="20"/>
      <c r="AD101" s="22" t="s">
        <v>65</v>
      </c>
      <c r="AE101" s="20"/>
      <c r="AV101" s="35" t="s">
        <v>74</v>
      </c>
      <c r="AW101" s="36"/>
      <c r="AX101" s="36"/>
      <c r="AY101" s="37" t="s">
        <v>17</v>
      </c>
      <c r="AZ101" s="38"/>
      <c r="BA101" s="43" t="s">
        <v>75</v>
      </c>
      <c r="BB101" s="44"/>
      <c r="BC101" s="44"/>
      <c r="BD101" s="41"/>
      <c r="BE101" s="42" t="s">
        <v>23</v>
      </c>
    </row>
    <row r="102" spans="9:73" ht="17.25" x14ac:dyDescent="0.25">
      <c r="I102" s="23"/>
      <c r="J102" s="19"/>
      <c r="K102" s="19"/>
      <c r="L102" s="19"/>
      <c r="M102" s="19"/>
      <c r="P102" s="19"/>
      <c r="Q102" s="19"/>
      <c r="R102" s="24"/>
      <c r="S102" s="24"/>
      <c r="T102" s="24"/>
      <c r="U102" s="19"/>
      <c r="V102" s="19"/>
      <c r="W102" s="19"/>
      <c r="X102" s="25"/>
      <c r="Y102" s="25"/>
      <c r="Z102" s="25"/>
      <c r="AA102" s="25"/>
      <c r="AB102" s="25"/>
      <c r="AC102" s="25"/>
      <c r="AD102" s="26"/>
      <c r="AE102" s="26"/>
      <c r="AV102" s="35" t="s">
        <v>76</v>
      </c>
      <c r="AW102" s="36"/>
      <c r="AX102" s="36"/>
      <c r="AY102" s="37" t="s">
        <v>18</v>
      </c>
      <c r="AZ102" s="38"/>
      <c r="BA102" s="39" t="s">
        <v>77</v>
      </c>
      <c r="BB102" s="40"/>
      <c r="BC102" s="40"/>
      <c r="BD102" s="41"/>
      <c r="BE102" s="42" t="s">
        <v>24</v>
      </c>
    </row>
    <row r="103" spans="9:73" ht="17.25" x14ac:dyDescent="0.25">
      <c r="I103" s="23"/>
      <c r="J103" s="27"/>
      <c r="K103" s="19"/>
      <c r="L103" s="27"/>
      <c r="M103" s="19"/>
      <c r="P103" s="19"/>
      <c r="Q103" s="27" t="s">
        <v>64</v>
      </c>
      <c r="R103" s="28"/>
      <c r="S103" s="28"/>
      <c r="T103" s="24"/>
      <c r="U103" s="19"/>
      <c r="V103" s="27"/>
      <c r="W103" s="27"/>
      <c r="X103" s="20"/>
      <c r="Y103" s="19"/>
      <c r="Z103" s="19"/>
      <c r="AA103" s="19"/>
      <c r="AB103" s="19"/>
      <c r="AC103" s="19"/>
      <c r="AD103" s="29"/>
      <c r="AE103" s="29"/>
      <c r="AV103" s="35" t="s">
        <v>78</v>
      </c>
      <c r="AW103" s="36"/>
      <c r="AX103" s="36"/>
      <c r="AY103" s="37" t="s">
        <v>19</v>
      </c>
      <c r="AZ103" s="38"/>
      <c r="BA103" s="39" t="s">
        <v>79</v>
      </c>
      <c r="BB103" s="40"/>
      <c r="BC103" s="40"/>
      <c r="BD103" s="41"/>
      <c r="BE103" s="42" t="s">
        <v>25</v>
      </c>
    </row>
    <row r="104" spans="9:73" ht="17.25" x14ac:dyDescent="0.25">
      <c r="I104" s="30"/>
      <c r="J104" s="27"/>
      <c r="K104" s="19"/>
      <c r="L104" s="27"/>
      <c r="M104" s="19"/>
      <c r="P104" s="19"/>
      <c r="Q104" s="27"/>
      <c r="R104" s="28"/>
      <c r="S104" s="28"/>
      <c r="T104" s="24"/>
      <c r="U104" s="20"/>
      <c r="V104" s="27"/>
      <c r="W104" s="27"/>
      <c r="X104" s="20"/>
      <c r="Y104" s="19"/>
      <c r="Z104" s="19"/>
      <c r="AA104" s="19"/>
      <c r="AB104" s="19"/>
      <c r="AC104" s="19"/>
      <c r="AD104" s="29"/>
      <c r="AE104" s="29"/>
      <c r="AV104" s="35" t="s">
        <v>80</v>
      </c>
      <c r="AW104" s="36"/>
      <c r="AX104" s="36"/>
      <c r="AY104" s="37" t="s">
        <v>20</v>
      </c>
      <c r="AZ104" s="38"/>
      <c r="BA104" s="38"/>
      <c r="BB104" s="38"/>
      <c r="BC104" s="38"/>
      <c r="BD104" s="38"/>
      <c r="BE104" s="38"/>
    </row>
    <row r="105" spans="9:73" ht="17.25" x14ac:dyDescent="0.25">
      <c r="I105" s="31" t="s">
        <v>66</v>
      </c>
      <c r="J105" s="32"/>
      <c r="K105" s="16"/>
      <c r="L105" s="31"/>
      <c r="M105" s="19"/>
      <c r="P105" s="19"/>
      <c r="Q105" s="27"/>
      <c r="R105" s="24"/>
      <c r="S105" s="28"/>
      <c r="T105" s="18" t="s">
        <v>67</v>
      </c>
      <c r="U105" s="19"/>
      <c r="V105" s="27"/>
      <c r="W105" s="20"/>
      <c r="X105" s="19"/>
      <c r="Y105" s="19"/>
      <c r="Z105" s="19"/>
      <c r="AA105" s="19"/>
      <c r="AB105" s="19"/>
      <c r="AC105" s="19"/>
      <c r="AD105" s="18" t="s">
        <v>68</v>
      </c>
      <c r="AE105" s="29"/>
    </row>
    <row r="106" spans="9:73" ht="17.25" x14ac:dyDescent="0.25">
      <c r="I106" s="31"/>
      <c r="J106" s="31" t="s">
        <v>69</v>
      </c>
      <c r="K106" s="30"/>
      <c r="L106" s="30"/>
      <c r="M106" s="19"/>
      <c r="P106" s="19"/>
      <c r="Q106" s="18"/>
      <c r="R106" s="33"/>
      <c r="S106" s="33"/>
      <c r="T106" s="18" t="s">
        <v>70</v>
      </c>
      <c r="U106" s="18"/>
      <c r="V106" s="18"/>
      <c r="W106" s="20"/>
      <c r="X106" s="18"/>
      <c r="Y106" s="19"/>
      <c r="Z106" s="19"/>
      <c r="AA106" s="19"/>
      <c r="AB106" s="19"/>
      <c r="AC106" s="19"/>
      <c r="AD106" s="18" t="s">
        <v>71</v>
      </c>
      <c r="AE106" s="29"/>
      <c r="AJ106" s="66"/>
    </row>
    <row r="107" spans="9:73" x14ac:dyDescent="0.25">
      <c r="AJ107" s="66"/>
    </row>
    <row r="108" spans="9:73" x14ac:dyDescent="0.25">
      <c r="AJ108" s="66"/>
    </row>
    <row r="109" spans="9:73" x14ac:dyDescent="0.25">
      <c r="AJ109" s="66"/>
    </row>
    <row r="112" spans="9:73" ht="15.75" x14ac:dyDescent="0.25">
      <c r="BK112" s="54">
        <v>0</v>
      </c>
      <c r="BL112" s="54">
        <v>0</v>
      </c>
      <c r="BM112" s="54">
        <v>0</v>
      </c>
      <c r="BN112" s="54">
        <v>0</v>
      </c>
      <c r="BO112" s="54">
        <v>0</v>
      </c>
      <c r="BP112" s="54">
        <v>0</v>
      </c>
      <c r="BQ112" s="54">
        <v>0</v>
      </c>
      <c r="BR112" s="54">
        <v>0</v>
      </c>
      <c r="BS112" s="54">
        <v>0</v>
      </c>
      <c r="BT112" s="54">
        <v>0</v>
      </c>
      <c r="BU112" s="56">
        <f>SUM(BK112:BT112)</f>
        <v>0</v>
      </c>
    </row>
    <row r="113" spans="1:73" ht="15.75" x14ac:dyDescent="0.25"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K113" s="54">
        <v>0</v>
      </c>
      <c r="BL113" s="54">
        <v>0</v>
      </c>
      <c r="BM113" s="54">
        <v>60</v>
      </c>
      <c r="BN113" s="54">
        <v>0</v>
      </c>
      <c r="BO113" s="54">
        <v>0</v>
      </c>
      <c r="BP113" s="54">
        <v>0</v>
      </c>
      <c r="BQ113" s="54">
        <v>0</v>
      </c>
      <c r="BR113" s="54">
        <v>0</v>
      </c>
      <c r="BS113" s="54">
        <v>11</v>
      </c>
      <c r="BT113" s="54">
        <v>0</v>
      </c>
      <c r="BU113" s="56">
        <f>SUM(BK113:BT113)</f>
        <v>71</v>
      </c>
    </row>
    <row r="114" spans="1:73" ht="15.75" x14ac:dyDescent="0.25">
      <c r="BK114" s="54">
        <v>0</v>
      </c>
      <c r="BL114" s="54">
        <v>0</v>
      </c>
      <c r="BM114" s="54">
        <v>0</v>
      </c>
      <c r="BN114" s="54">
        <v>0</v>
      </c>
      <c r="BO114" s="54">
        <v>0</v>
      </c>
      <c r="BP114" s="55">
        <v>7</v>
      </c>
      <c r="BQ114" s="55">
        <v>0</v>
      </c>
      <c r="BR114" s="55">
        <v>0</v>
      </c>
      <c r="BS114" s="54">
        <v>0</v>
      </c>
      <c r="BT114" s="54">
        <v>0</v>
      </c>
      <c r="BU114" s="56">
        <f>SUM(BK114:BT114)</f>
        <v>7</v>
      </c>
    </row>
    <row r="117" spans="1:73" ht="15.75" x14ac:dyDescent="0.25">
      <c r="BK117" s="54">
        <v>0</v>
      </c>
      <c r="BL117" s="54">
        <v>0</v>
      </c>
      <c r="BM117" s="54">
        <v>0</v>
      </c>
      <c r="BN117" s="54">
        <v>0</v>
      </c>
      <c r="BO117" s="54">
        <v>0</v>
      </c>
      <c r="BP117" s="54">
        <v>0</v>
      </c>
      <c r="BQ117" s="55">
        <v>0</v>
      </c>
      <c r="BR117" s="55">
        <v>0</v>
      </c>
      <c r="BS117" s="54">
        <v>0</v>
      </c>
      <c r="BT117" s="54">
        <v>0</v>
      </c>
      <c r="BU117" s="56">
        <f t="shared" ref="BU117:BU122" si="31">SUM(BK117:BT117)</f>
        <v>0</v>
      </c>
    </row>
    <row r="118" spans="1:73" ht="15.75" x14ac:dyDescent="0.25">
      <c r="BK118" s="54">
        <v>0</v>
      </c>
      <c r="BL118" s="54">
        <v>0</v>
      </c>
      <c r="BM118" s="54">
        <v>0</v>
      </c>
      <c r="BN118" s="54">
        <v>0</v>
      </c>
      <c r="BO118" s="54">
        <v>0</v>
      </c>
      <c r="BP118" s="54">
        <v>1</v>
      </c>
      <c r="BQ118" s="54">
        <v>0</v>
      </c>
      <c r="BR118" s="54">
        <v>0</v>
      </c>
      <c r="BS118" s="54">
        <v>0</v>
      </c>
      <c r="BT118" s="54">
        <v>0</v>
      </c>
      <c r="BU118" s="56">
        <f t="shared" si="31"/>
        <v>1</v>
      </c>
    </row>
    <row r="119" spans="1:73" ht="15.75" x14ac:dyDescent="0.25">
      <c r="BK119" s="54">
        <v>0</v>
      </c>
      <c r="BL119" s="54">
        <v>0</v>
      </c>
      <c r="BM119" s="54">
        <v>0</v>
      </c>
      <c r="BN119" s="54">
        <v>0</v>
      </c>
      <c r="BO119" s="54">
        <v>1</v>
      </c>
      <c r="BP119" s="55">
        <v>7</v>
      </c>
      <c r="BQ119" s="55">
        <v>1</v>
      </c>
      <c r="BR119" s="54">
        <v>0</v>
      </c>
      <c r="BS119" s="54">
        <v>0</v>
      </c>
      <c r="BT119" s="54">
        <v>0</v>
      </c>
      <c r="BU119" s="56">
        <f t="shared" si="31"/>
        <v>9</v>
      </c>
    </row>
    <row r="120" spans="1:73" ht="15.75" x14ac:dyDescent="0.25">
      <c r="BK120" s="54">
        <v>0</v>
      </c>
      <c r="BL120" s="54">
        <v>0</v>
      </c>
      <c r="BM120" s="54">
        <v>0</v>
      </c>
      <c r="BN120" s="54">
        <v>0</v>
      </c>
      <c r="BO120" s="54">
        <v>0</v>
      </c>
      <c r="BP120" s="55">
        <v>1</v>
      </c>
      <c r="BQ120" s="54">
        <v>0</v>
      </c>
      <c r="BR120" s="54">
        <v>0</v>
      </c>
      <c r="BS120" s="54">
        <v>0</v>
      </c>
      <c r="BT120" s="54">
        <v>0</v>
      </c>
      <c r="BU120" s="56">
        <f t="shared" si="31"/>
        <v>1</v>
      </c>
    </row>
    <row r="121" spans="1:73" ht="24.75" customHeight="1" x14ac:dyDescent="0.25"/>
    <row r="122" spans="1:73" ht="15.75" x14ac:dyDescent="0.25">
      <c r="AH122" s="117">
        <v>0.94930555555555551</v>
      </c>
      <c r="AI122" s="107"/>
      <c r="BK122" s="54">
        <v>0</v>
      </c>
      <c r="BL122" s="54">
        <v>0</v>
      </c>
      <c r="BM122" s="54">
        <v>0</v>
      </c>
      <c r="BN122" s="54">
        <v>0</v>
      </c>
      <c r="BO122" s="54">
        <v>0</v>
      </c>
      <c r="BP122" s="54">
        <v>0</v>
      </c>
      <c r="BQ122" s="54">
        <v>0</v>
      </c>
      <c r="BR122" s="54">
        <v>0</v>
      </c>
      <c r="BS122" s="54">
        <v>0</v>
      </c>
      <c r="BT122" s="54">
        <v>0</v>
      </c>
      <c r="BU122" s="56">
        <f t="shared" si="31"/>
        <v>0</v>
      </c>
    </row>
    <row r="126" spans="1:73" ht="21" customHeight="1" x14ac:dyDescent="0.25">
      <c r="A126" s="10">
        <v>9</v>
      </c>
      <c r="B126" s="11" t="s">
        <v>42</v>
      </c>
      <c r="C126" s="77" t="s">
        <v>43</v>
      </c>
      <c r="D126" s="85">
        <v>45381</v>
      </c>
      <c r="E126" s="92">
        <v>0.56111111111111112</v>
      </c>
      <c r="F126" s="92">
        <v>0.97638888888888886</v>
      </c>
      <c r="G126" s="74">
        <v>0.33402777777777781</v>
      </c>
      <c r="H126" s="76">
        <v>1</v>
      </c>
      <c r="I126" s="74">
        <v>0.3298611111111111</v>
      </c>
      <c r="J126" s="76">
        <v>1</v>
      </c>
      <c r="K126" s="74">
        <v>0.3347222222222222</v>
      </c>
      <c r="L126" s="74">
        <v>0.96527777777777779</v>
      </c>
      <c r="M126" s="74">
        <v>0.34583333333333338</v>
      </c>
      <c r="N126" s="74">
        <v>0.94236111111111109</v>
      </c>
      <c r="O126" s="74">
        <v>0.33958333333333335</v>
      </c>
      <c r="P126" s="74">
        <v>0.97291666666666676</v>
      </c>
      <c r="Q126" s="74">
        <v>0.32569444444444445</v>
      </c>
      <c r="R126" s="74">
        <v>0.95277777777777783</v>
      </c>
      <c r="S126" s="74"/>
      <c r="T126" s="74"/>
      <c r="U126" s="74"/>
      <c r="V126" s="74"/>
      <c r="W126" s="74"/>
      <c r="X126" s="74"/>
      <c r="Y126" s="88"/>
      <c r="Z126" s="89"/>
      <c r="AA126" s="88"/>
      <c r="AB126" s="89"/>
      <c r="AC126" s="88"/>
      <c r="AD126" s="89"/>
      <c r="AE126" s="88"/>
      <c r="AF126" s="88"/>
      <c r="AG126" s="88"/>
      <c r="AH126" s="118"/>
      <c r="AI126" s="115"/>
      <c r="AJ126" s="109">
        <v>9</v>
      </c>
      <c r="AK126" s="88"/>
      <c r="AL126" s="89"/>
      <c r="AM126" s="90"/>
      <c r="AN126" s="90"/>
      <c r="AO126" s="88"/>
      <c r="AP126" s="88"/>
      <c r="AQ126" s="88"/>
      <c r="AR126" s="89"/>
      <c r="AS126" s="88"/>
      <c r="AT126" s="88"/>
      <c r="AU126" s="9">
        <f t="shared" ref="AU126:AU133" si="32">AW126+AX126+AZ126+BA126+BE126+BC126+BD126+BH126</f>
        <v>7</v>
      </c>
      <c r="AV126" s="68"/>
      <c r="AW126" s="1">
        <f>COUNT(E126:AH126)/2+COUNT(AK126:AT126)/2</f>
        <v>7</v>
      </c>
      <c r="AX126" s="2">
        <f t="shared" ref="AX126:AX133" si="33">COUNTIF(E126:AT126,"OFF")/2</f>
        <v>0</v>
      </c>
      <c r="AY126" s="2">
        <f t="shared" ref="AY126:AY133" si="34">COUNTIF(E126:AT126,"MC")/2</f>
        <v>0</v>
      </c>
      <c r="AZ126" s="2">
        <f t="shared" ref="AZ126:AZ133" si="35">COUNTIF(E126:AT126,"EL")/2</f>
        <v>0</v>
      </c>
      <c r="BA126" s="2">
        <f t="shared" ref="BA126:BA133" si="36">COUNTIF(E126:AT126,"AL")/2</f>
        <v>0</v>
      </c>
      <c r="BB126" s="2">
        <f t="shared" ref="BB126:BB133" si="37">COUNTIF(E126:AT126,"SUS")/2</f>
        <v>0</v>
      </c>
      <c r="BC126" s="2">
        <f t="shared" ref="BC126:BC133" si="38">COUNTIF(E126:AT126,"FL")/2</f>
        <v>0</v>
      </c>
      <c r="BD126" s="2">
        <f t="shared" ref="BD126:BD133" si="39">COUNTIF(E126:AT126,"SICK")/2</f>
        <v>0</v>
      </c>
      <c r="BE126" s="2">
        <f t="shared" ref="BE126:BE133" si="40">COUNTIF(E126:AT126,"HD")/2</f>
        <v>0</v>
      </c>
      <c r="BF126" s="2">
        <f t="shared" ref="BF126:BF133" si="41">COUNTIF(E126:AT126,"AB")/2</f>
        <v>0</v>
      </c>
      <c r="BG126" s="2">
        <f t="shared" ref="BG126:BG133" si="42">COUNTIF(E126:AT126,"NL")/2</f>
        <v>0</v>
      </c>
      <c r="BH126" s="2">
        <f t="shared" ref="BH126:BH133" si="43">COUNTIF(E126:AT126,"SP")/2</f>
        <v>0</v>
      </c>
      <c r="BI126" s="71"/>
    </row>
    <row r="127" spans="1:73" ht="21.75" customHeight="1" x14ac:dyDescent="0.25">
      <c r="A127" s="45">
        <v>42</v>
      </c>
      <c r="B127" s="11" t="s">
        <v>116</v>
      </c>
      <c r="C127" s="77" t="s">
        <v>230</v>
      </c>
      <c r="D127" s="85">
        <v>45330</v>
      </c>
      <c r="E127" s="91" t="s">
        <v>15</v>
      </c>
      <c r="F127" s="91" t="s">
        <v>15</v>
      </c>
      <c r="G127" s="74">
        <v>0.35416666666666669</v>
      </c>
      <c r="H127" s="74">
        <v>0.96736111111111101</v>
      </c>
      <c r="I127" s="74">
        <v>0.3527777777777778</v>
      </c>
      <c r="J127" s="74">
        <v>0.9291666666666667</v>
      </c>
      <c r="K127" s="74">
        <v>0.35972222222222222</v>
      </c>
      <c r="L127" s="74">
        <v>0.9604166666666667</v>
      </c>
      <c r="M127" s="74">
        <v>0.35625000000000001</v>
      </c>
      <c r="N127" s="74">
        <v>0.94513888888888886</v>
      </c>
      <c r="O127" s="74">
        <v>0.3527777777777778</v>
      </c>
      <c r="P127" s="74">
        <v>0.96527777777777779</v>
      </c>
      <c r="Q127" s="74">
        <v>0.35000000000000003</v>
      </c>
      <c r="R127" s="74">
        <v>0.96944444444444444</v>
      </c>
      <c r="S127" s="74">
        <v>0.5805555555555556</v>
      </c>
      <c r="T127" s="74">
        <v>0.93194444444444446</v>
      </c>
      <c r="U127" s="74">
        <v>0.34930555555555554</v>
      </c>
      <c r="V127" s="74">
        <v>0.94027777777777777</v>
      </c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116"/>
      <c r="AI127" s="105"/>
      <c r="AJ127" s="120">
        <v>42</v>
      </c>
      <c r="AK127" s="74"/>
      <c r="AL127" s="74"/>
      <c r="AM127" s="76"/>
      <c r="AN127" s="76"/>
      <c r="AO127" s="74"/>
      <c r="AP127" s="74"/>
      <c r="AQ127" s="74"/>
      <c r="AR127" s="74"/>
      <c r="AS127" s="74"/>
      <c r="AT127" s="74"/>
      <c r="AU127" s="9">
        <f t="shared" si="32"/>
        <v>9</v>
      </c>
      <c r="AV127" s="68"/>
      <c r="AW127" s="1">
        <f>COUNT(E127:AH127)/2+COUNT(AK127:AT127)/2</f>
        <v>8</v>
      </c>
      <c r="AX127" s="2">
        <f t="shared" si="33"/>
        <v>1</v>
      </c>
      <c r="AY127" s="2">
        <f t="shared" si="34"/>
        <v>0</v>
      </c>
      <c r="AZ127" s="2">
        <f t="shared" si="35"/>
        <v>0</v>
      </c>
      <c r="BA127" s="2">
        <f t="shared" si="36"/>
        <v>0</v>
      </c>
      <c r="BB127" s="2">
        <f t="shared" si="37"/>
        <v>0</v>
      </c>
      <c r="BC127" s="2">
        <f t="shared" si="38"/>
        <v>0</v>
      </c>
      <c r="BD127" s="2">
        <f t="shared" si="39"/>
        <v>0</v>
      </c>
      <c r="BE127" s="2">
        <f t="shared" si="40"/>
        <v>0</v>
      </c>
      <c r="BF127" s="2">
        <f t="shared" si="41"/>
        <v>0</v>
      </c>
      <c r="BG127" s="2">
        <f t="shared" si="42"/>
        <v>0</v>
      </c>
      <c r="BH127" s="2">
        <f t="shared" si="43"/>
        <v>0</v>
      </c>
      <c r="BI127" s="3"/>
      <c r="BK127" s="54">
        <v>0</v>
      </c>
      <c r="BL127" s="54">
        <v>0</v>
      </c>
      <c r="BM127" s="54">
        <v>0</v>
      </c>
      <c r="BN127" s="54">
        <v>0</v>
      </c>
      <c r="BO127" s="54">
        <v>0</v>
      </c>
      <c r="BP127" s="54">
        <v>0</v>
      </c>
      <c r="BQ127" s="55">
        <v>0</v>
      </c>
      <c r="BR127" s="55">
        <v>0</v>
      </c>
      <c r="BS127" s="54">
        <v>0</v>
      </c>
      <c r="BT127" s="54">
        <v>0</v>
      </c>
      <c r="BU127" s="56">
        <f>SUM(BK127:BT127)</f>
        <v>0</v>
      </c>
    </row>
    <row r="128" spans="1:73" ht="21.75" customHeight="1" x14ac:dyDescent="0.25">
      <c r="A128" s="45">
        <v>33</v>
      </c>
      <c r="B128" s="11" t="s">
        <v>99</v>
      </c>
      <c r="C128" s="77" t="s">
        <v>100</v>
      </c>
      <c r="D128" s="85">
        <v>44485</v>
      </c>
      <c r="E128" s="91" t="s">
        <v>15</v>
      </c>
      <c r="F128" s="91" t="s">
        <v>15</v>
      </c>
      <c r="G128" s="74">
        <v>0.3520833333333333</v>
      </c>
      <c r="H128" s="74">
        <v>0.95833333333333337</v>
      </c>
      <c r="I128" s="74">
        <v>0.3520833333333333</v>
      </c>
      <c r="J128" s="74">
        <v>0.93958333333333333</v>
      </c>
      <c r="K128" s="74">
        <v>0.35486111111111113</v>
      </c>
      <c r="L128" s="74">
        <v>0.95624999999999993</v>
      </c>
      <c r="M128" s="74">
        <v>0.35694444444444445</v>
      </c>
      <c r="N128" s="74">
        <v>0.94166666666666676</v>
      </c>
      <c r="O128" s="74">
        <v>0.36319444444444443</v>
      </c>
      <c r="P128" s="74">
        <v>0.95972222222222225</v>
      </c>
      <c r="Q128" s="74">
        <v>0.35347222222222219</v>
      </c>
      <c r="R128" s="74">
        <v>0.98541666666666661</v>
      </c>
      <c r="S128" s="92">
        <v>0.58402777777777781</v>
      </c>
      <c r="T128" s="92">
        <v>0.94444444444444453</v>
      </c>
      <c r="U128" s="74">
        <v>0.3520833333333333</v>
      </c>
      <c r="V128" s="74">
        <v>0.9555555555555556</v>
      </c>
      <c r="W128" s="74">
        <v>0.35416666666666669</v>
      </c>
      <c r="X128" s="74">
        <v>0.94374999999999998</v>
      </c>
      <c r="Y128" s="74">
        <v>0.3527777777777778</v>
      </c>
      <c r="Z128" s="74">
        <v>0.94166666666666676</v>
      </c>
      <c r="AA128" s="74">
        <v>0.35625000000000001</v>
      </c>
      <c r="AB128" s="74">
        <v>0.93958333333333333</v>
      </c>
      <c r="AC128" s="74">
        <v>0.3527777777777778</v>
      </c>
      <c r="AD128" s="74">
        <v>0.93888888888888899</v>
      </c>
      <c r="AE128" s="74">
        <v>0.35069444444444442</v>
      </c>
      <c r="AF128" s="74">
        <v>0.96180555555555547</v>
      </c>
      <c r="AG128" s="74">
        <v>0.58263888888888882</v>
      </c>
      <c r="AH128" s="116">
        <v>0.94027777777777777</v>
      </c>
      <c r="AI128" s="105"/>
      <c r="AJ128" s="120">
        <v>33</v>
      </c>
      <c r="AK128" s="76">
        <v>1</v>
      </c>
      <c r="AL128" s="76">
        <v>1</v>
      </c>
      <c r="AM128" s="76">
        <v>1</v>
      </c>
      <c r="AN128" s="76">
        <v>1</v>
      </c>
      <c r="AO128" s="74"/>
      <c r="AP128" s="74"/>
      <c r="AQ128" s="74"/>
      <c r="AR128" s="74"/>
      <c r="AS128" s="74"/>
      <c r="AT128" s="74"/>
      <c r="AU128" s="9">
        <f t="shared" si="32"/>
        <v>17</v>
      </c>
      <c r="AV128" s="68"/>
      <c r="AW128" s="1">
        <f>COUNT(E128:AH128)/2+COUNT(AK128:AT128)/2</f>
        <v>16</v>
      </c>
      <c r="AX128" s="2">
        <f t="shared" si="33"/>
        <v>1</v>
      </c>
      <c r="AY128" s="2">
        <f t="shared" si="34"/>
        <v>0</v>
      </c>
      <c r="AZ128" s="2">
        <f t="shared" si="35"/>
        <v>0</v>
      </c>
      <c r="BA128" s="2">
        <f t="shared" si="36"/>
        <v>0</v>
      </c>
      <c r="BB128" s="2">
        <f t="shared" si="37"/>
        <v>0</v>
      </c>
      <c r="BC128" s="2">
        <f t="shared" si="38"/>
        <v>0</v>
      </c>
      <c r="BD128" s="2">
        <f t="shared" si="39"/>
        <v>0</v>
      </c>
      <c r="BE128" s="2">
        <f t="shared" si="40"/>
        <v>0</v>
      </c>
      <c r="BF128" s="2">
        <f t="shared" si="41"/>
        <v>0</v>
      </c>
      <c r="BG128" s="2">
        <f t="shared" si="42"/>
        <v>0</v>
      </c>
      <c r="BH128" s="2">
        <f t="shared" si="43"/>
        <v>0</v>
      </c>
      <c r="BI128" s="3"/>
      <c r="BK128" s="54">
        <v>0</v>
      </c>
      <c r="BL128" s="54">
        <v>0</v>
      </c>
      <c r="BM128" s="54">
        <v>0</v>
      </c>
      <c r="BN128" s="54">
        <v>0</v>
      </c>
      <c r="BO128" s="54">
        <v>0</v>
      </c>
      <c r="BP128" s="54">
        <v>0</v>
      </c>
      <c r="BQ128" s="55">
        <v>0</v>
      </c>
      <c r="BR128" s="55">
        <v>0</v>
      </c>
      <c r="BS128" s="54">
        <v>0</v>
      </c>
      <c r="BT128" s="54">
        <v>0</v>
      </c>
      <c r="BU128" s="56">
        <f>SUM(BK128:BT128)</f>
        <v>0</v>
      </c>
    </row>
    <row r="129" spans="1:73" ht="21.75" customHeight="1" x14ac:dyDescent="0.25">
      <c r="A129" s="45">
        <v>39</v>
      </c>
      <c r="B129" s="11" t="s">
        <v>111</v>
      </c>
      <c r="C129" s="77" t="s">
        <v>179</v>
      </c>
      <c r="D129" s="85">
        <v>45148</v>
      </c>
      <c r="E129" s="91" t="s">
        <v>15</v>
      </c>
      <c r="F129" s="91" t="s">
        <v>15</v>
      </c>
      <c r="G129" s="74">
        <v>0.35486111111111113</v>
      </c>
      <c r="H129" s="74">
        <v>0.92291666666666661</v>
      </c>
      <c r="I129" s="74">
        <v>0.3576388888888889</v>
      </c>
      <c r="J129" s="74">
        <v>0.91249999999999998</v>
      </c>
      <c r="K129" s="74">
        <v>0.35555555555555557</v>
      </c>
      <c r="L129" s="74">
        <v>0.92986111111111114</v>
      </c>
      <c r="M129" s="74">
        <v>0.35694444444444445</v>
      </c>
      <c r="N129" s="76">
        <v>1</v>
      </c>
      <c r="O129" s="74">
        <v>0.35138888888888892</v>
      </c>
      <c r="P129" s="74">
        <v>0.94652777777777775</v>
      </c>
      <c r="Q129" s="74">
        <v>0.3527777777777778</v>
      </c>
      <c r="R129" s="74">
        <v>0.93888888888888899</v>
      </c>
      <c r="S129" s="92">
        <v>0.58124999999999993</v>
      </c>
      <c r="T129" s="92">
        <v>0.90069444444444446</v>
      </c>
      <c r="U129" s="74">
        <v>0.3520833333333333</v>
      </c>
      <c r="V129" s="74">
        <v>0.9277777777777777</v>
      </c>
      <c r="W129" s="74">
        <v>0.35069444444444442</v>
      </c>
      <c r="X129" s="74">
        <v>0.94444444444444453</v>
      </c>
      <c r="Y129" s="74">
        <v>0.35347222222222219</v>
      </c>
      <c r="Z129" s="74">
        <v>0.93402777777777779</v>
      </c>
      <c r="AA129" s="74">
        <v>0.35347222222222219</v>
      </c>
      <c r="AB129" s="76">
        <v>1</v>
      </c>
      <c r="AC129" s="74">
        <v>0.34861111111111115</v>
      </c>
      <c r="AD129" s="76">
        <v>1</v>
      </c>
      <c r="AE129" s="74">
        <v>0.35972222222222222</v>
      </c>
      <c r="AF129" s="76">
        <v>1</v>
      </c>
      <c r="AG129" s="91" t="s">
        <v>15</v>
      </c>
      <c r="AH129" s="100" t="s">
        <v>15</v>
      </c>
      <c r="AI129" s="121"/>
      <c r="AJ129" s="120">
        <v>39</v>
      </c>
      <c r="AK129" s="74"/>
      <c r="AL129" s="74"/>
      <c r="AM129" s="76"/>
      <c r="AN129" s="76"/>
      <c r="AO129" s="74"/>
      <c r="AP129" s="74"/>
      <c r="AQ129" s="74"/>
      <c r="AR129" s="74"/>
      <c r="AS129" s="74"/>
      <c r="AT129" s="76"/>
      <c r="AU129" s="9">
        <f t="shared" si="32"/>
        <v>15</v>
      </c>
      <c r="AV129" s="68"/>
      <c r="AW129" s="1">
        <f>COUNT(E129:AF129)/2+COUNT(AK129:AT129)/2</f>
        <v>13</v>
      </c>
      <c r="AX129" s="2">
        <f t="shared" si="33"/>
        <v>2</v>
      </c>
      <c r="AY129" s="2">
        <f t="shared" si="34"/>
        <v>0</v>
      </c>
      <c r="AZ129" s="2">
        <f t="shared" si="35"/>
        <v>0</v>
      </c>
      <c r="BA129" s="2">
        <f t="shared" si="36"/>
        <v>0</v>
      </c>
      <c r="BB129" s="2">
        <f t="shared" si="37"/>
        <v>0</v>
      </c>
      <c r="BC129" s="2">
        <f t="shared" si="38"/>
        <v>0</v>
      </c>
      <c r="BD129" s="2">
        <f t="shared" si="39"/>
        <v>0</v>
      </c>
      <c r="BE129" s="2">
        <f t="shared" si="40"/>
        <v>0</v>
      </c>
      <c r="BF129" s="2">
        <f t="shared" si="41"/>
        <v>0</v>
      </c>
      <c r="BG129" s="2">
        <f t="shared" si="42"/>
        <v>0</v>
      </c>
      <c r="BH129" s="2">
        <f t="shared" si="43"/>
        <v>0</v>
      </c>
      <c r="BI129" s="3"/>
      <c r="BK129" s="54">
        <v>0</v>
      </c>
      <c r="BL129" s="54">
        <v>0</v>
      </c>
      <c r="BM129" s="54">
        <v>0</v>
      </c>
      <c r="BN129" s="54">
        <v>0</v>
      </c>
      <c r="BO129" s="54">
        <v>0</v>
      </c>
      <c r="BP129" s="55">
        <v>4</v>
      </c>
      <c r="BQ129" s="55">
        <v>1</v>
      </c>
      <c r="BR129" s="54">
        <v>0</v>
      </c>
      <c r="BS129" s="54">
        <v>0</v>
      </c>
      <c r="BT129" s="54">
        <v>0</v>
      </c>
      <c r="BU129" s="56">
        <f>SUM(BK129:BT129)</f>
        <v>5</v>
      </c>
    </row>
    <row r="130" spans="1:73" ht="21.75" customHeight="1" x14ac:dyDescent="0.25">
      <c r="A130" s="45">
        <v>41</v>
      </c>
      <c r="B130" s="11" t="s">
        <v>114</v>
      </c>
      <c r="C130" s="77" t="s">
        <v>115</v>
      </c>
      <c r="D130" s="85">
        <v>45330</v>
      </c>
      <c r="E130" s="92">
        <v>0.32708333333333334</v>
      </c>
      <c r="F130" s="92">
        <v>0.97152777777777777</v>
      </c>
      <c r="G130" s="74">
        <v>0.35902777777777778</v>
      </c>
      <c r="H130" s="74">
        <v>0.94861111111111107</v>
      </c>
      <c r="I130" s="74">
        <v>0.33611111111111108</v>
      </c>
      <c r="J130" s="74">
        <v>0.95416666666666661</v>
      </c>
      <c r="K130" s="74">
        <v>0.35555555555555557</v>
      </c>
      <c r="L130" s="74">
        <v>0.94791666666666663</v>
      </c>
      <c r="M130" s="76">
        <v>1</v>
      </c>
      <c r="N130" s="76">
        <v>1</v>
      </c>
      <c r="O130" s="74">
        <v>0.33055555555555555</v>
      </c>
      <c r="P130" s="74">
        <v>0.95208333333333339</v>
      </c>
      <c r="Q130" s="74">
        <v>0.33194444444444443</v>
      </c>
      <c r="R130" s="74">
        <v>0.97152777777777777</v>
      </c>
      <c r="S130" s="92">
        <v>0.57708333333333328</v>
      </c>
      <c r="T130" s="92">
        <v>0.95972222222222225</v>
      </c>
      <c r="U130" s="74">
        <v>0.3298611111111111</v>
      </c>
      <c r="V130" s="74">
        <v>0.97013888888888899</v>
      </c>
      <c r="W130" s="74">
        <v>0.32916666666666666</v>
      </c>
      <c r="X130" s="74">
        <v>0.9506944444444444</v>
      </c>
      <c r="Y130" s="74">
        <v>0.3263888888888889</v>
      </c>
      <c r="Z130" s="74">
        <v>0.94930555555555562</v>
      </c>
      <c r="AA130" s="74">
        <v>0.33124999999999999</v>
      </c>
      <c r="AB130" s="74">
        <v>0.95347222222222217</v>
      </c>
      <c r="AC130" s="74">
        <v>0.32847222222222222</v>
      </c>
      <c r="AD130" s="74">
        <v>0.95000000000000007</v>
      </c>
      <c r="AE130" s="74">
        <v>0.3354166666666667</v>
      </c>
      <c r="AF130" s="74">
        <v>0.97222222222222221</v>
      </c>
      <c r="AG130" s="91" t="s">
        <v>15</v>
      </c>
      <c r="AH130" s="100" t="s">
        <v>15</v>
      </c>
      <c r="AI130" s="121"/>
      <c r="AJ130" s="120">
        <v>41</v>
      </c>
      <c r="AK130" s="76">
        <v>1</v>
      </c>
      <c r="AL130" s="76">
        <v>1</v>
      </c>
      <c r="AM130" s="76">
        <v>1</v>
      </c>
      <c r="AN130" s="76">
        <v>1</v>
      </c>
      <c r="AO130" s="74"/>
      <c r="AP130" s="74"/>
      <c r="AQ130" s="74"/>
      <c r="AR130" s="74"/>
      <c r="AS130" s="74"/>
      <c r="AT130" s="74"/>
      <c r="AU130" s="9">
        <f t="shared" si="32"/>
        <v>17</v>
      </c>
      <c r="AV130" s="68"/>
      <c r="AW130" s="1">
        <f>COUNT(E130:AH130)/2+COUNT(AK130:AT130)/2</f>
        <v>16</v>
      </c>
      <c r="AX130" s="2">
        <f t="shared" si="33"/>
        <v>1</v>
      </c>
      <c r="AY130" s="2">
        <f t="shared" si="34"/>
        <v>0</v>
      </c>
      <c r="AZ130" s="2">
        <f t="shared" si="35"/>
        <v>0</v>
      </c>
      <c r="BA130" s="2">
        <f t="shared" si="36"/>
        <v>0</v>
      </c>
      <c r="BB130" s="2">
        <f t="shared" si="37"/>
        <v>0</v>
      </c>
      <c r="BC130" s="2">
        <f t="shared" si="38"/>
        <v>0</v>
      </c>
      <c r="BD130" s="2">
        <f t="shared" si="39"/>
        <v>0</v>
      </c>
      <c r="BE130" s="2">
        <f t="shared" si="40"/>
        <v>0</v>
      </c>
      <c r="BF130" s="2">
        <f t="shared" si="41"/>
        <v>0</v>
      </c>
      <c r="BG130" s="2">
        <f t="shared" si="42"/>
        <v>0</v>
      </c>
      <c r="BH130" s="2">
        <f t="shared" si="43"/>
        <v>0</v>
      </c>
      <c r="BI130" s="3"/>
    </row>
    <row r="131" spans="1:73" ht="21.75" customHeight="1" x14ac:dyDescent="0.25">
      <c r="A131" s="45">
        <v>37</v>
      </c>
      <c r="B131" s="11" t="s">
        <v>117</v>
      </c>
      <c r="C131" s="77" t="s">
        <v>231</v>
      </c>
      <c r="D131" s="85">
        <v>45330</v>
      </c>
      <c r="E131" s="91" t="s">
        <v>15</v>
      </c>
      <c r="F131" s="91" t="s">
        <v>15</v>
      </c>
      <c r="G131" s="74">
        <v>0.34652777777777777</v>
      </c>
      <c r="H131" s="76">
        <v>1</v>
      </c>
      <c r="I131" s="74">
        <v>0.35069444444444442</v>
      </c>
      <c r="J131" s="74">
        <v>0.94097222222222221</v>
      </c>
      <c r="K131" s="74">
        <v>0.3520833333333333</v>
      </c>
      <c r="L131" s="74">
        <v>0.9590277777777777</v>
      </c>
      <c r="M131" s="74">
        <v>0.3520833333333333</v>
      </c>
      <c r="N131" s="74">
        <v>0.95624999999999993</v>
      </c>
      <c r="O131" s="74">
        <v>0.35000000000000003</v>
      </c>
      <c r="P131" s="74">
        <v>0.96250000000000002</v>
      </c>
      <c r="Q131" s="74">
        <v>0.35069444444444442</v>
      </c>
      <c r="R131" s="74">
        <v>0.94027777777777777</v>
      </c>
      <c r="S131" s="92">
        <v>0.55902777777777779</v>
      </c>
      <c r="T131" s="92">
        <v>0.93541666666666667</v>
      </c>
      <c r="U131" s="74">
        <v>0.34791666666666665</v>
      </c>
      <c r="V131" s="74">
        <v>0.94166666666666676</v>
      </c>
      <c r="W131" s="74">
        <v>0.34930555555555554</v>
      </c>
      <c r="X131" s="74">
        <v>0.94444444444444453</v>
      </c>
      <c r="Y131" s="74">
        <v>0.35069444444444442</v>
      </c>
      <c r="Z131" s="74">
        <v>0.94097222222222221</v>
      </c>
      <c r="AA131" s="74">
        <v>0.35069444444444442</v>
      </c>
      <c r="AB131" s="74">
        <v>0.94027777777777777</v>
      </c>
      <c r="AC131" s="74">
        <v>0.34861111111111115</v>
      </c>
      <c r="AD131" s="74">
        <v>0.8881944444444444</v>
      </c>
      <c r="AE131" s="74">
        <v>0.34930555555555554</v>
      </c>
      <c r="AF131" s="74">
        <v>0.95694444444444438</v>
      </c>
      <c r="AG131" s="91" t="s">
        <v>15</v>
      </c>
      <c r="AH131" s="100" t="s">
        <v>15</v>
      </c>
      <c r="AI131" s="121"/>
      <c r="AJ131" s="120">
        <v>43</v>
      </c>
      <c r="AK131" s="74">
        <v>0.35069444444444442</v>
      </c>
      <c r="AL131" s="74">
        <v>0.95138888888888884</v>
      </c>
      <c r="AM131" s="74">
        <v>0.34930555555555554</v>
      </c>
      <c r="AN131" s="74">
        <v>0.93888888888888899</v>
      </c>
      <c r="AO131" s="74">
        <v>0.35138888888888892</v>
      </c>
      <c r="AP131" s="74">
        <v>0.93888888888888899</v>
      </c>
      <c r="AQ131" s="74">
        <v>0.35069444444444442</v>
      </c>
      <c r="AR131" s="74">
        <v>0.93888888888888899</v>
      </c>
      <c r="AS131" s="74">
        <v>0.3527777777777778</v>
      </c>
      <c r="AT131" s="74">
        <v>0.95138888888888884</v>
      </c>
      <c r="AU131" s="9">
        <f t="shared" si="32"/>
        <v>16</v>
      </c>
      <c r="AV131" s="68"/>
      <c r="AW131" s="1">
        <f>COUNT(E131:X131)/2+COUNT(AK131:AT131)/2</f>
        <v>14</v>
      </c>
      <c r="AX131" s="2">
        <f t="shared" si="33"/>
        <v>2</v>
      </c>
      <c r="AY131" s="2">
        <f t="shared" si="34"/>
        <v>0</v>
      </c>
      <c r="AZ131" s="2">
        <f t="shared" si="35"/>
        <v>0</v>
      </c>
      <c r="BA131" s="2">
        <f t="shared" si="36"/>
        <v>0</v>
      </c>
      <c r="BB131" s="2">
        <f t="shared" si="37"/>
        <v>0</v>
      </c>
      <c r="BC131" s="2">
        <f t="shared" si="38"/>
        <v>0</v>
      </c>
      <c r="BD131" s="2">
        <f t="shared" si="39"/>
        <v>0</v>
      </c>
      <c r="BE131" s="2">
        <f t="shared" si="40"/>
        <v>0</v>
      </c>
      <c r="BF131" s="2">
        <f t="shared" si="41"/>
        <v>0</v>
      </c>
      <c r="BG131" s="2">
        <f t="shared" si="42"/>
        <v>0</v>
      </c>
      <c r="BH131" s="2">
        <f t="shared" si="43"/>
        <v>0</v>
      </c>
      <c r="BI131" s="3"/>
      <c r="BK131" s="54">
        <v>0</v>
      </c>
      <c r="BL131" s="54">
        <v>0</v>
      </c>
      <c r="BM131" s="54">
        <v>0</v>
      </c>
      <c r="BN131" s="54">
        <v>0</v>
      </c>
      <c r="BO131" s="54">
        <v>0</v>
      </c>
      <c r="BP131" s="55">
        <v>3</v>
      </c>
      <c r="BQ131" s="55">
        <v>0</v>
      </c>
      <c r="BR131" s="55">
        <v>0</v>
      </c>
      <c r="BS131" s="54">
        <v>0</v>
      </c>
      <c r="BT131" s="54">
        <v>0</v>
      </c>
      <c r="BU131" s="56">
        <f>SUM(BK131:BT131)</f>
        <v>3</v>
      </c>
    </row>
    <row r="132" spans="1:73" ht="21.75" customHeight="1" x14ac:dyDescent="0.25">
      <c r="A132" s="45">
        <v>43</v>
      </c>
      <c r="B132" s="11" t="s">
        <v>126</v>
      </c>
      <c r="C132" s="77" t="s">
        <v>177</v>
      </c>
      <c r="D132" s="85">
        <v>45447</v>
      </c>
      <c r="E132" s="91" t="s">
        <v>15</v>
      </c>
      <c r="F132" s="91" t="s">
        <v>15</v>
      </c>
      <c r="G132" s="74">
        <v>0.34791666666666665</v>
      </c>
      <c r="H132" s="74">
        <v>0.96805555555555556</v>
      </c>
      <c r="I132" s="74">
        <v>0.34652777777777777</v>
      </c>
      <c r="J132" s="74">
        <v>0.94791666666666663</v>
      </c>
      <c r="K132" s="74">
        <v>0.41736111111111113</v>
      </c>
      <c r="L132" s="74">
        <v>0.95624999999999993</v>
      </c>
      <c r="M132" s="76">
        <v>1</v>
      </c>
      <c r="N132" s="74">
        <v>0.95277777777777783</v>
      </c>
      <c r="O132" s="74">
        <v>0.3430555555555555</v>
      </c>
      <c r="P132" s="76">
        <v>1</v>
      </c>
      <c r="Q132" s="74">
        <v>0.34513888888888888</v>
      </c>
      <c r="R132" s="74">
        <v>0.96805555555555556</v>
      </c>
      <c r="S132" s="92">
        <v>0.57291666666666663</v>
      </c>
      <c r="T132" s="92">
        <v>0.95486111111111116</v>
      </c>
      <c r="U132" s="74">
        <v>0.34583333333333338</v>
      </c>
      <c r="V132" s="74">
        <v>0.95833333333333337</v>
      </c>
      <c r="W132" s="74">
        <v>0.34652777777777777</v>
      </c>
      <c r="X132" s="74">
        <v>0.9506944444444444</v>
      </c>
      <c r="Y132" s="74">
        <v>0.34652777777777777</v>
      </c>
      <c r="Z132" s="76">
        <v>1</v>
      </c>
      <c r="AA132" s="74">
        <v>0.34652777777777777</v>
      </c>
      <c r="AB132" s="74">
        <v>0.9555555555555556</v>
      </c>
      <c r="AC132" s="74">
        <v>0.34652777777777777</v>
      </c>
      <c r="AD132" s="76">
        <v>1</v>
      </c>
      <c r="AE132" s="74">
        <v>0.34583333333333338</v>
      </c>
      <c r="AF132" s="74">
        <v>0.96250000000000002</v>
      </c>
      <c r="AG132" s="91" t="s">
        <v>15</v>
      </c>
      <c r="AH132" s="100" t="s">
        <v>15</v>
      </c>
      <c r="AI132" s="121"/>
      <c r="AJ132" s="120">
        <v>49</v>
      </c>
      <c r="AK132" s="74">
        <v>0.34722222222222227</v>
      </c>
      <c r="AL132" s="74">
        <v>0.97013888888888899</v>
      </c>
      <c r="AM132" s="74">
        <v>0.34861111111111115</v>
      </c>
      <c r="AN132" s="74">
        <v>0.94791666666666663</v>
      </c>
      <c r="AO132" s="74">
        <v>0.34722222222222227</v>
      </c>
      <c r="AP132" s="74">
        <v>0.9506944444444444</v>
      </c>
      <c r="AQ132" s="74">
        <v>1</v>
      </c>
      <c r="AR132" s="74">
        <v>1</v>
      </c>
      <c r="AS132" s="74"/>
      <c r="AT132" s="74"/>
      <c r="AU132" s="9">
        <f t="shared" si="32"/>
        <v>19</v>
      </c>
      <c r="AV132" s="68"/>
      <c r="AW132" s="1">
        <f>COUNT(E132:AF132)/2+COUNT(AK132:AT132)/2</f>
        <v>17</v>
      </c>
      <c r="AX132" s="2">
        <f t="shared" si="33"/>
        <v>2</v>
      </c>
      <c r="AY132" s="2">
        <f t="shared" si="34"/>
        <v>0</v>
      </c>
      <c r="AZ132" s="2">
        <f t="shared" si="35"/>
        <v>0</v>
      </c>
      <c r="BA132" s="2">
        <f t="shared" si="36"/>
        <v>0</v>
      </c>
      <c r="BB132" s="2">
        <f t="shared" si="37"/>
        <v>0</v>
      </c>
      <c r="BC132" s="2">
        <f t="shared" si="38"/>
        <v>0</v>
      </c>
      <c r="BD132" s="2">
        <f t="shared" si="39"/>
        <v>0</v>
      </c>
      <c r="BE132" s="2">
        <f t="shared" si="40"/>
        <v>0</v>
      </c>
      <c r="BF132" s="2">
        <f t="shared" si="41"/>
        <v>0</v>
      </c>
      <c r="BG132" s="2">
        <f t="shared" si="42"/>
        <v>0</v>
      </c>
      <c r="BH132" s="2">
        <f t="shared" si="43"/>
        <v>0</v>
      </c>
      <c r="BI132" s="3"/>
    </row>
    <row r="133" spans="1:73" ht="21.75" customHeight="1" x14ac:dyDescent="0.25">
      <c r="A133" s="45">
        <v>37</v>
      </c>
      <c r="B133" s="11" t="s">
        <v>108</v>
      </c>
      <c r="C133" s="77" t="s">
        <v>180</v>
      </c>
      <c r="D133" s="85">
        <v>44987</v>
      </c>
      <c r="E133" s="65">
        <v>0.3520833333333333</v>
      </c>
      <c r="F133" s="65">
        <v>0.92569444444444438</v>
      </c>
      <c r="G133" s="65">
        <v>0.3520833333333333</v>
      </c>
      <c r="H133" s="65">
        <v>0.96250000000000002</v>
      </c>
      <c r="I133" s="65">
        <v>0.3520833333333333</v>
      </c>
      <c r="J133" s="65">
        <v>0.92638888888888893</v>
      </c>
      <c r="K133" s="65">
        <v>0.3520833333333333</v>
      </c>
      <c r="L133" s="65">
        <v>0.94791666666666663</v>
      </c>
      <c r="M133" s="98">
        <v>0.57708333333333328</v>
      </c>
      <c r="N133" s="101">
        <v>0.87986111111111109</v>
      </c>
      <c r="O133" s="65">
        <v>0.3888888888888889</v>
      </c>
      <c r="P133" s="65">
        <v>0.95138888888888884</v>
      </c>
      <c r="Q133" s="65">
        <v>0.35347222222222219</v>
      </c>
      <c r="R133" s="65">
        <v>0.92222222222222217</v>
      </c>
      <c r="S133" s="65">
        <v>0.35138888888888892</v>
      </c>
      <c r="T133" s="65">
        <v>0.90277777777777779</v>
      </c>
      <c r="U133" s="65">
        <v>0.3527777777777778</v>
      </c>
      <c r="V133" s="65">
        <v>0.92569444444444438</v>
      </c>
      <c r="W133" s="65">
        <v>0.35138888888888892</v>
      </c>
      <c r="X133" s="65">
        <v>0.90694444444444444</v>
      </c>
      <c r="Y133" s="65">
        <v>0.35138888888888892</v>
      </c>
      <c r="Z133" s="65">
        <v>0.92708333333333337</v>
      </c>
      <c r="AA133" s="91" t="s">
        <v>15</v>
      </c>
      <c r="AB133" s="100" t="s">
        <v>15</v>
      </c>
      <c r="AC133" s="65">
        <v>0.3520833333333333</v>
      </c>
      <c r="AD133" s="65">
        <v>0.91805555555555562</v>
      </c>
      <c r="AE133" s="65">
        <v>0.3520833333333333</v>
      </c>
      <c r="AF133" s="65">
        <v>0.88958333333333339</v>
      </c>
      <c r="AG133" s="76" t="s">
        <v>23</v>
      </c>
      <c r="AH133" s="108" t="s">
        <v>23</v>
      </c>
      <c r="AI133" s="115"/>
      <c r="AJ133" s="119">
        <v>37</v>
      </c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97">
        <f t="shared" si="32"/>
        <v>14</v>
      </c>
      <c r="AV133" s="68"/>
      <c r="AW133" s="1">
        <f>COUNT(E133:AF133)/2+COUNT(AK133:AT133)/2</f>
        <v>13</v>
      </c>
      <c r="AX133" s="2">
        <f t="shared" si="33"/>
        <v>1</v>
      </c>
      <c r="AY133" s="2">
        <f t="shared" si="34"/>
        <v>0</v>
      </c>
      <c r="AZ133" s="2">
        <f t="shared" si="35"/>
        <v>0</v>
      </c>
      <c r="BA133" s="2">
        <f t="shared" si="36"/>
        <v>0</v>
      </c>
      <c r="BB133" s="2">
        <f t="shared" si="37"/>
        <v>0</v>
      </c>
      <c r="BC133" s="2">
        <f t="shared" si="38"/>
        <v>0</v>
      </c>
      <c r="BD133" s="2">
        <f t="shared" si="39"/>
        <v>0</v>
      </c>
      <c r="BE133" s="2">
        <f t="shared" si="40"/>
        <v>0</v>
      </c>
      <c r="BF133" s="2">
        <f t="shared" si="41"/>
        <v>1</v>
      </c>
      <c r="BG133" s="2">
        <f t="shared" si="42"/>
        <v>0</v>
      </c>
      <c r="BH133" s="2">
        <f t="shared" si="43"/>
        <v>0</v>
      </c>
      <c r="BI133" s="3"/>
    </row>
    <row r="134" spans="1:73" x14ac:dyDescent="0.25">
      <c r="AH134" s="58"/>
      <c r="AI134" s="58"/>
      <c r="AJ134"/>
      <c r="AU134"/>
    </row>
    <row r="135" spans="1:73" x14ac:dyDescent="0.25">
      <c r="AH135" s="58"/>
      <c r="AI135" s="58"/>
      <c r="AJ135"/>
      <c r="AU135"/>
    </row>
    <row r="136" spans="1:73" x14ac:dyDescent="0.25">
      <c r="AH136" s="58"/>
      <c r="AI136" s="58"/>
      <c r="AJ136"/>
      <c r="AU136"/>
    </row>
    <row r="137" spans="1:73" x14ac:dyDescent="0.25">
      <c r="AH137" s="58"/>
      <c r="AI137" s="58"/>
      <c r="AJ137"/>
      <c r="AU137"/>
    </row>
    <row r="138" spans="1:73" x14ac:dyDescent="0.25">
      <c r="AH138" s="58"/>
      <c r="AI138" s="58"/>
      <c r="AJ138"/>
      <c r="AU138"/>
    </row>
    <row r="139" spans="1:73" x14ac:dyDescent="0.25">
      <c r="AH139" s="58"/>
      <c r="AI139" s="58"/>
      <c r="AJ139"/>
      <c r="AU139"/>
    </row>
    <row r="140" spans="1:73" x14ac:dyDescent="0.25">
      <c r="AH140" s="58"/>
      <c r="AI140" s="58"/>
      <c r="AJ140"/>
      <c r="AU140"/>
    </row>
    <row r="141" spans="1:73" x14ac:dyDescent="0.25">
      <c r="AH141" s="58"/>
      <c r="AI141" s="58"/>
      <c r="AJ141"/>
      <c r="AU141"/>
    </row>
    <row r="142" spans="1:73" x14ac:dyDescent="0.25">
      <c r="AJ142"/>
      <c r="AU142"/>
    </row>
  </sheetData>
  <mergeCells count="110">
    <mergeCell ref="A1:AH1"/>
    <mergeCell ref="AJ1:BI1"/>
    <mergeCell ref="A2:C3"/>
    <mergeCell ref="E2:F2"/>
    <mergeCell ref="G2:H2"/>
    <mergeCell ref="I2:J2"/>
    <mergeCell ref="K2:L2"/>
    <mergeCell ref="M2:N2"/>
    <mergeCell ref="O2:P2"/>
    <mergeCell ref="Q2:R2"/>
    <mergeCell ref="AU2:AU4"/>
    <mergeCell ref="AV2:AV4"/>
    <mergeCell ref="AW2:BI2"/>
    <mergeCell ref="AC3:AD3"/>
    <mergeCell ref="AE3:AF3"/>
    <mergeCell ref="AG3:AH3"/>
    <mergeCell ref="AK3:AL3"/>
    <mergeCell ref="AM3:AN3"/>
    <mergeCell ref="O3:P3"/>
    <mergeCell ref="Q3:R3"/>
    <mergeCell ref="S3:T3"/>
    <mergeCell ref="U3:V3"/>
    <mergeCell ref="W3:X3"/>
    <mergeCell ref="Y3:Z3"/>
    <mergeCell ref="BK2:BT2"/>
    <mergeCell ref="E3:F3"/>
    <mergeCell ref="G3:H3"/>
    <mergeCell ref="I3:J3"/>
    <mergeCell ref="K3:L3"/>
    <mergeCell ref="M3:N3"/>
    <mergeCell ref="AQ2:AR2"/>
    <mergeCell ref="AS2:AT2"/>
    <mergeCell ref="AE2:AF2"/>
    <mergeCell ref="AG2:AH2"/>
    <mergeCell ref="AJ2:AJ4"/>
    <mergeCell ref="AK2:AL2"/>
    <mergeCell ref="AM2:AN2"/>
    <mergeCell ref="AO2:AP2"/>
    <mergeCell ref="AO3:AP3"/>
    <mergeCell ref="S2:T2"/>
    <mergeCell ref="U2:V2"/>
    <mergeCell ref="W2:X2"/>
    <mergeCell ref="Y2:Z2"/>
    <mergeCell ref="AA2:AB2"/>
    <mergeCell ref="AC2:AD2"/>
    <mergeCell ref="AQ3:AR3"/>
    <mergeCell ref="AS3:AT3"/>
    <mergeCell ref="AA3:AB3"/>
    <mergeCell ref="A27:AH27"/>
    <mergeCell ref="AJ27:BI27"/>
    <mergeCell ref="A28:C29"/>
    <mergeCell ref="E28:F28"/>
    <mergeCell ref="G28:H28"/>
    <mergeCell ref="I28:J28"/>
    <mergeCell ref="K28:L28"/>
    <mergeCell ref="M28:N28"/>
    <mergeCell ref="O28:P28"/>
    <mergeCell ref="W29:X29"/>
    <mergeCell ref="Y29:Z29"/>
    <mergeCell ref="AU28:AU30"/>
    <mergeCell ref="AV28:AV30"/>
    <mergeCell ref="AW28:BI28"/>
    <mergeCell ref="AO29:AP29"/>
    <mergeCell ref="AQ29:AR29"/>
    <mergeCell ref="AS29:AT29"/>
    <mergeCell ref="AA29:AB29"/>
    <mergeCell ref="AC29:AD29"/>
    <mergeCell ref="AE29:AF29"/>
    <mergeCell ref="AG29:AH29"/>
    <mergeCell ref="AK29:AL29"/>
    <mergeCell ref="AM29:AN29"/>
    <mergeCell ref="BK28:BT28"/>
    <mergeCell ref="E29:F29"/>
    <mergeCell ref="G29:H29"/>
    <mergeCell ref="I29:J29"/>
    <mergeCell ref="K29:L29"/>
    <mergeCell ref="M29:N29"/>
    <mergeCell ref="AQ28:AR28"/>
    <mergeCell ref="AS28:AT28"/>
    <mergeCell ref="AC28:AD28"/>
    <mergeCell ref="AE28:AF28"/>
    <mergeCell ref="AG28:AH28"/>
    <mergeCell ref="AK28:AL28"/>
    <mergeCell ref="AM28:AN28"/>
    <mergeCell ref="AO28:AP28"/>
    <mergeCell ref="Q28:R28"/>
    <mergeCell ref="S28:T28"/>
    <mergeCell ref="U28:V28"/>
    <mergeCell ref="W28:X28"/>
    <mergeCell ref="Y28:Z28"/>
    <mergeCell ref="AA28:AB28"/>
    <mergeCell ref="O29:P29"/>
    <mergeCell ref="Q29:R29"/>
    <mergeCell ref="S29:T29"/>
    <mergeCell ref="U29:V29"/>
    <mergeCell ref="Q9:Q11"/>
    <mergeCell ref="R9:AD9"/>
    <mergeCell ref="F10:G10"/>
    <mergeCell ref="H10:I10"/>
    <mergeCell ref="J10:K10"/>
    <mergeCell ref="L10:M10"/>
    <mergeCell ref="N10:O10"/>
    <mergeCell ref="E8:AD8"/>
    <mergeCell ref="E9:E11"/>
    <mergeCell ref="F9:G9"/>
    <mergeCell ref="H9:I9"/>
    <mergeCell ref="J9:K9"/>
    <mergeCell ref="L9:M9"/>
    <mergeCell ref="N9:O9"/>
    <mergeCell ref="P9:P11"/>
  </mergeCells>
  <conditionalFormatting sqref="A1 AJ1">
    <cfRule type="containsText" dxfId="884" priority="1311" operator="containsText" text="SP">
      <formula>NOT(ISERROR(SEARCH("SP",A1)))</formula>
    </cfRule>
    <cfRule type="containsText" dxfId="883" priority="1316" operator="containsText" text="SICK">
      <formula>NOT(ISERROR(SEARCH("SICK",A1)))</formula>
    </cfRule>
    <cfRule type="containsText" dxfId="882" priority="1315" operator="containsText" text="FL">
      <formula>NOT(ISERROR(SEARCH("FL",A1)))</formula>
    </cfRule>
    <cfRule type="containsText" dxfId="881" priority="1314" operator="containsText" text="AB">
      <formula>NOT(ISERROR(SEARCH("AB",A1)))</formula>
    </cfRule>
    <cfRule type="containsText" dxfId="880" priority="1313" operator="containsText" text="EL">
      <formula>NOT(ISERROR(SEARCH("EL",A1)))</formula>
    </cfRule>
    <cfRule type="containsText" dxfId="879" priority="1312" operator="containsText" text="AL">
      <formula>NOT(ISERROR(SEARCH("AL",A1)))</formula>
    </cfRule>
  </conditionalFormatting>
  <conditionalFormatting sqref="A5 AU5 A21:D25 AC21:AU25 A26:AU26 A27:AJ27 A28:D29 AJ28:AJ29 AU28:AU29 A30:AU30 A31:A96 AJ31:AJ96 AU31:AU96 A126:A133 AU126:AU133 AJ133">
    <cfRule type="containsText" dxfId="878" priority="1318" stopIfTrue="1" operator="containsText" text="AL">
      <formula>NOT(ISERROR(SEARCH("AL",A5)))</formula>
    </cfRule>
    <cfRule type="containsText" dxfId="877" priority="1321" stopIfTrue="1" operator="containsText" text="FL">
      <formula>NOT(ISERROR(SEARCH("FL",A5)))</formula>
    </cfRule>
    <cfRule type="containsText" dxfId="876" priority="1322" stopIfTrue="1" operator="containsText" text="SICK">
      <formula>NOT(ISERROR(SEARCH("SICK",A5)))</formula>
    </cfRule>
    <cfRule type="containsText" dxfId="875" priority="1320" stopIfTrue="1" operator="containsText" text="AB">
      <formula>NOT(ISERROR(SEARCH("AB",A5)))</formula>
    </cfRule>
    <cfRule type="containsText" dxfId="874" priority="1319" stopIfTrue="1" operator="containsText" text="EL">
      <formula>NOT(ISERROR(SEARCH("EL",A5)))</formula>
    </cfRule>
  </conditionalFormatting>
  <conditionalFormatting sqref="A31:A96 AJ31:AJ96 A5 AU5 A21:D25 AC21:AU25 A26:AU26 A27:AJ27 A28:D29 AJ28:AJ29 AU28:AU29 A30:AU30 AU31:AU96 A126:A133 AU126:AU133 AJ133">
    <cfRule type="containsText" dxfId="873" priority="1317" stopIfTrue="1" operator="containsText" text="SP">
      <formula>NOT(ISERROR(SEARCH("SP",A5)))</formula>
    </cfRule>
  </conditionalFormatting>
  <conditionalFormatting sqref="A92:A96">
    <cfRule type="containsText" dxfId="872" priority="1305" stopIfTrue="1" operator="containsText" text="SP">
      <formula>NOT(ISERROR(SEARCH("SP",A92)))</formula>
    </cfRule>
    <cfRule type="containsText" dxfId="871" priority="1306" stopIfTrue="1" operator="containsText" text="AL">
      <formula>NOT(ISERROR(SEARCH("AL",A92)))</formula>
    </cfRule>
    <cfRule type="containsText" dxfId="870" priority="1307" stopIfTrue="1" operator="containsText" text="EL">
      <formula>NOT(ISERROR(SEARCH("EL",A92)))</formula>
    </cfRule>
    <cfRule type="containsText" dxfId="869" priority="1308" stopIfTrue="1" operator="containsText" text="AB">
      <formula>NOT(ISERROR(SEARCH("AB",A92)))</formula>
    </cfRule>
    <cfRule type="containsText" dxfId="868" priority="1310" stopIfTrue="1" operator="containsText" text="SICK">
      <formula>NOT(ISERROR(SEARCH("SICK",A92)))</formula>
    </cfRule>
    <cfRule type="containsText" dxfId="867" priority="1309" stopIfTrue="1" operator="containsText" text="FL">
      <formula>NOT(ISERROR(SEARCH("FL",A92)))</formula>
    </cfRule>
  </conditionalFormatting>
  <conditionalFormatting sqref="C40">
    <cfRule type="duplicateValues" dxfId="866" priority="131"/>
    <cfRule type="duplicateValues" dxfId="865" priority="130"/>
    <cfRule type="duplicateValues" dxfId="864" priority="129"/>
    <cfRule type="duplicateValues" dxfId="863" priority="133"/>
    <cfRule type="duplicateValues" dxfId="862" priority="132"/>
  </conditionalFormatting>
  <conditionalFormatting sqref="C41:C1048576 C1:C39">
    <cfRule type="duplicateValues" dxfId="861" priority="1345"/>
  </conditionalFormatting>
  <conditionalFormatting sqref="C96">
    <cfRule type="duplicateValues" dxfId="860" priority="1341"/>
    <cfRule type="duplicateValues" dxfId="859" priority="1340"/>
  </conditionalFormatting>
  <conditionalFormatting sqref="C126:C1048576 C99:C114 C116:C122 C1:C5 C7:C39 C41:C96">
    <cfRule type="duplicateValues" dxfId="858" priority="13961"/>
  </conditionalFormatting>
  <conditionalFormatting sqref="C126:C1048576 C100:C114 C116:C122 C1:C5 C7:C39 C41:C95">
    <cfRule type="duplicateValues" dxfId="857" priority="13954"/>
  </conditionalFormatting>
  <conditionalFormatting sqref="C127:C133 C31:C32 C34:C39 C47:C62 C100:C102 C64:C95 C41:C45">
    <cfRule type="duplicateValues" dxfId="856" priority="1344"/>
  </conditionalFormatting>
  <conditionalFormatting sqref="C125:D1048576 C1:D39 C116:D123 C41:D114 D40">
    <cfRule type="duplicateValues" dxfId="855" priority="1339"/>
  </conditionalFormatting>
  <conditionalFormatting sqref="D5 D31:D45 D47:D96 D126:D133">
    <cfRule type="timePeriod" priority="1296" timePeriod="nextWeek">
      <formula>AND(ROUNDDOWN(D5,0)-TODAY()&gt;(7-WEEKDAY(TODAY())),ROUNDDOWN(D5,0)-TODAY()&lt;(15-WEEKDAY(TODAY())))</formula>
    </cfRule>
  </conditionalFormatting>
  <conditionalFormatting sqref="D5 D126">
    <cfRule type="timePeriod" dxfId="854" priority="1301" timePeriod="nextWeek">
      <formula>AND(ROUNDDOWN(D5,0)-TODAY()&gt;(7-WEEKDAY(TODAY())),ROUNDDOWN(D5,0)-TODAY()&lt;(15-WEEKDAY(TODAY())))</formula>
    </cfRule>
  </conditionalFormatting>
  <conditionalFormatting sqref="D5">
    <cfRule type="timePeriod" dxfId="853" priority="1297" timePeriod="thisWeek">
      <formula>AND(TODAY()-ROUNDDOWN(D5,0)&lt;=WEEKDAY(TODAY())-1,ROUNDDOWN(D5,0)-TODAY()&lt;=7-WEEKDAY(TODAY()))</formula>
    </cfRule>
    <cfRule type="timePeriod" dxfId="852" priority="1295" timePeriod="last7Days">
      <formula>AND(TODAY()-FLOOR(D5,1)&lt;=6,FLOOR(D5,1)&lt;=TODAY())</formula>
    </cfRule>
  </conditionalFormatting>
  <conditionalFormatting sqref="D31:D45 D47:D96 D127:D133">
    <cfRule type="timePeriod" dxfId="851" priority="1304" timePeriod="nextWeek">
      <formula>AND(ROUNDDOWN(D31,0)-TODAY()&gt;(7-WEEKDAY(TODAY())),ROUNDDOWN(D31,0)-TODAY()&lt;(15-WEEKDAY(TODAY())))</formula>
    </cfRule>
    <cfRule type="timePeriod" dxfId="850" priority="1303" timePeriod="thisWeek">
      <formula>AND(TODAY()-ROUNDDOWN(D31,0)&lt;=WEEKDAY(TODAY())-1,ROUNDDOWN(D31,0)-TODAY()&lt;=7-WEEKDAY(TODAY()))</formula>
    </cfRule>
  </conditionalFormatting>
  <conditionalFormatting sqref="D63 D126">
    <cfRule type="timePeriod" dxfId="849" priority="1300" timePeriod="thisWeek">
      <formula>AND(TODAY()-ROUNDDOWN(D63,0)&lt;=WEEKDAY(TODAY())-1,ROUNDDOWN(D63,0)-TODAY()&lt;=7-WEEKDAY(TODAY()))</formula>
    </cfRule>
  </conditionalFormatting>
  <conditionalFormatting sqref="D63">
    <cfRule type="timePeriod" dxfId="848" priority="1299" timePeriod="last7Days">
      <formula>AND(TODAY()-FLOOR(D63,1)&lt;=6,FLOOR(D63,1)&lt;=TODAY())</formula>
    </cfRule>
    <cfRule type="timePeriod" dxfId="847" priority="1298" timePeriod="nextWeek">
      <formula>AND(ROUNDDOWN(D63,0)-TODAY()&gt;(7-WEEKDAY(TODAY())),ROUNDDOWN(D63,0)-TODAY()&lt;(15-WEEKDAY(TODAY())))</formula>
    </cfRule>
  </conditionalFormatting>
  <conditionalFormatting sqref="D126:D133 D47:D96 D31:D45">
    <cfRule type="timePeriod" dxfId="846" priority="1302" timePeriod="last7Days">
      <formula>AND(TODAY()-FLOOR(D31,1)&lt;=6,FLOOR(D31,1)&lt;=TODAY())</formula>
    </cfRule>
  </conditionalFormatting>
  <conditionalFormatting sqref="E8">
    <cfRule type="containsText" dxfId="845" priority="77" operator="containsText" text="AL">
      <formula>NOT(ISERROR(SEARCH("AL",E8)))</formula>
    </cfRule>
    <cfRule type="containsText" dxfId="844" priority="76" operator="containsText" text="SP">
      <formula>NOT(ISERROR(SEARCH("SP",E8)))</formula>
    </cfRule>
    <cfRule type="containsText" dxfId="843" priority="81" operator="containsText" text="SICK">
      <formula>NOT(ISERROR(SEARCH("SICK",E8)))</formula>
    </cfRule>
    <cfRule type="containsText" dxfId="842" priority="80" operator="containsText" text="FL">
      <formula>NOT(ISERROR(SEARCH("FL",E8)))</formula>
    </cfRule>
    <cfRule type="containsText" dxfId="841" priority="79" operator="containsText" text="AB">
      <formula>NOT(ISERROR(SEARCH("AB",E8)))</formula>
    </cfRule>
    <cfRule type="containsText" dxfId="840" priority="78" operator="containsText" text="EL">
      <formula>NOT(ISERROR(SEARCH("EL",E8)))</formula>
    </cfRule>
  </conditionalFormatting>
  <conditionalFormatting sqref="E12">
    <cfRule type="containsText" dxfId="839" priority="2" operator="containsText" text="SP">
      <formula>NOT(ISERROR(SEARCH("SP",E12)))</formula>
    </cfRule>
    <cfRule type="containsText" dxfId="838" priority="3" operator="containsText" text="NL">
      <formula>NOT(ISERROR(SEARCH("NL",E12)))</formula>
    </cfRule>
    <cfRule type="containsText" dxfId="837" priority="69" operator="containsText" text="SUS">
      <formula>NOT(ISERROR(SEARCH("SUS",E12)))</formula>
    </cfRule>
    <cfRule type="containsText" dxfId="836" priority="70" operator="containsText" text="FL">
      <formula>NOT(ISERROR(SEARCH("FL",E12)))</formula>
    </cfRule>
    <cfRule type="containsText" dxfId="835" priority="72" operator="containsText" text="AB">
      <formula>NOT(ISERROR(SEARCH("AB",E12)))</formula>
    </cfRule>
    <cfRule type="containsText" dxfId="834" priority="73" operator="containsText" text="Sick">
      <formula>NOT(ISERROR(SEARCH("Sick",E12)))</formula>
    </cfRule>
    <cfRule type="containsText" dxfId="833" priority="74" operator="containsText" text="OFF">
      <formula>NOT(ISERROR(SEARCH("OFF",E12)))</formula>
    </cfRule>
    <cfRule type="containsText" dxfId="832" priority="1" operator="containsText" text="EL">
      <formula>NOT(ISERROR(SEARCH("EL",E12)))</formula>
    </cfRule>
    <cfRule type="containsText" dxfId="831" priority="75" operator="containsText" text="AL">
      <formula>NOT(ISERROR(SEARCH("AL",E12)))</formula>
    </cfRule>
    <cfRule type="containsText" dxfId="830" priority="71" operator="containsText" text="MC">
      <formula>NOT(ISERROR(SEARCH("MC",E12)))</formula>
    </cfRule>
  </conditionalFormatting>
  <conditionalFormatting sqref="E131:F131 Y126:AT126 AJ127:AT127 AJ132 AJ5 AG129:AI132">
    <cfRule type="containsText" dxfId="829" priority="1291" operator="containsText" text="AB">
      <formula>NOT(ISERROR(SEARCH("AB",E5)))</formula>
    </cfRule>
  </conditionalFormatting>
  <conditionalFormatting sqref="E131:F131">
    <cfRule type="containsText" dxfId="828" priority="1290" operator="containsText" text="MC">
      <formula>NOT(ISERROR(SEARCH("MC",E131)))</formula>
    </cfRule>
  </conditionalFormatting>
  <conditionalFormatting sqref="E131:F132 AO128:AT128 AJ129:AT129 AO130:AT130 AQ132:AT132">
    <cfRule type="containsText" dxfId="827" priority="1130" operator="containsText" text="AB">
      <formula>NOT(ISERROR(SEARCH("AB",E128)))</formula>
    </cfRule>
  </conditionalFormatting>
  <conditionalFormatting sqref="E131:F132">
    <cfRule type="containsText" dxfId="826" priority="1125" operator="containsText" text="EL">
      <formula>NOT(ISERROR(SEARCH("EL",E131)))</formula>
    </cfRule>
  </conditionalFormatting>
  <conditionalFormatting sqref="E132:F132">
    <cfRule type="containsText" dxfId="825" priority="1132" operator="containsText" text="OFF">
      <formula>NOT(ISERROR(SEARCH("OFF",E132)))</formula>
    </cfRule>
    <cfRule type="containsText" dxfId="824" priority="1133" operator="containsText" text="AL">
      <formula>NOT(ISERROR(SEARCH("AL",E132)))</formula>
    </cfRule>
    <cfRule type="containsText" dxfId="823" priority="1126" operator="containsText" text="AB">
      <formula>NOT(ISERROR(SEARCH("AB",E132)))</formula>
    </cfRule>
    <cfRule type="containsText" dxfId="822" priority="1127" operator="containsText" text="SUS">
      <formula>NOT(ISERROR(SEARCH("SUS",E132)))</formula>
    </cfRule>
    <cfRule type="containsText" dxfId="821" priority="1129" operator="containsText" text="MC">
      <formula>NOT(ISERROR(SEARCH("MC",E132)))</formula>
    </cfRule>
    <cfRule type="containsText" dxfId="820" priority="1131" operator="containsText" text="Sick">
      <formula>NOT(ISERROR(SEARCH("Sick",E132)))</formula>
    </cfRule>
    <cfRule type="containsText" dxfId="819" priority="1128" operator="containsText" text="FL">
      <formula>NOT(ISERROR(SEARCH("FL",E132)))</formula>
    </cfRule>
  </conditionalFormatting>
  <conditionalFormatting sqref="E40:Z40">
    <cfRule type="containsText" dxfId="818" priority="89" operator="containsText" text="SP">
      <formula>NOT(ISERROR(SEARCH("SP",E40)))</formula>
    </cfRule>
    <cfRule type="containsText" dxfId="817" priority="90" operator="containsText" text="NL">
      <formula>NOT(ISERROR(SEARCH("NL",E40)))</formula>
    </cfRule>
    <cfRule type="containsText" dxfId="816" priority="91" operator="containsText" text="SUS">
      <formula>NOT(ISERROR(SEARCH("SUS",E40)))</formula>
    </cfRule>
    <cfRule type="containsText" dxfId="815" priority="92" operator="containsText" text="FL">
      <formula>NOT(ISERROR(SEARCH("FL",E40)))</formula>
    </cfRule>
    <cfRule type="containsText" dxfId="814" priority="93" operator="containsText" text="EL">
      <formula>NOT(ISERROR(SEARCH("EL",E40)))</formula>
    </cfRule>
    <cfRule type="containsText" dxfId="813" priority="94" operator="containsText" text="MC">
      <formula>NOT(ISERROR(SEARCH("MC",E40)))</formula>
    </cfRule>
    <cfRule type="containsText" dxfId="812" priority="96" operator="containsText" text="AB">
      <formula>NOT(ISERROR(SEARCH("AB",E40)))</formula>
    </cfRule>
    <cfRule type="containsText" dxfId="811" priority="97" operator="containsText" text="SICK">
      <formula>NOT(ISERROR(SEARCH("SICK",E40)))</formula>
    </cfRule>
    <cfRule type="containsText" dxfId="810" priority="98" operator="containsText" text="AL">
      <formula>NOT(ISERROR(SEARCH("AL",E40)))</formula>
    </cfRule>
    <cfRule type="containsText" dxfId="809" priority="95" operator="containsText" text="OFF">
      <formula>NOT(ISERROR(SEARCH("OFF",E40)))</formula>
    </cfRule>
  </conditionalFormatting>
  <conditionalFormatting sqref="I31:J31">
    <cfRule type="containsText" dxfId="808" priority="519" operator="containsText" text="AB">
      <formula>NOT(ISERROR(SEARCH("AB",I31)))</formula>
    </cfRule>
    <cfRule type="containsText" dxfId="807" priority="518" operator="containsText" text="EL">
      <formula>NOT(ISERROR(SEARCH("EL",I31)))</formula>
    </cfRule>
    <cfRule type="containsText" dxfId="806" priority="526" operator="containsText" text="AL">
      <formula>NOT(ISERROR(SEARCH("AL",I31)))</formula>
    </cfRule>
    <cfRule type="containsText" dxfId="805" priority="525" operator="containsText" text="OFF">
      <formula>NOT(ISERROR(SEARCH("OFF",I31)))</formula>
    </cfRule>
    <cfRule type="containsText" dxfId="804" priority="524" operator="containsText" text="Sick">
      <formula>NOT(ISERROR(SEARCH("Sick",I31)))</formula>
    </cfRule>
    <cfRule type="containsText" dxfId="803" priority="523" operator="containsText" text="AB">
      <formula>NOT(ISERROR(SEARCH("AB",I31)))</formula>
    </cfRule>
    <cfRule type="containsText" dxfId="802" priority="522" operator="containsText" text="MC">
      <formula>NOT(ISERROR(SEARCH("MC",I31)))</formula>
    </cfRule>
    <cfRule type="containsText" dxfId="801" priority="521" operator="containsText" text="FL">
      <formula>NOT(ISERROR(SEARCH("FL",I31)))</formula>
    </cfRule>
    <cfRule type="containsText" dxfId="800" priority="520" operator="containsText" text="SUS">
      <formula>NOT(ISERROR(SEARCH("SUS",I31)))</formula>
    </cfRule>
  </conditionalFormatting>
  <conditionalFormatting sqref="I34:J35">
    <cfRule type="containsText" dxfId="799" priority="515" operator="containsText" text="Sick">
      <formula>NOT(ISERROR(SEARCH("Sick",I34)))</formula>
    </cfRule>
    <cfRule type="containsText" dxfId="798" priority="514" operator="containsText" text="AB">
      <formula>NOT(ISERROR(SEARCH("AB",I34)))</formula>
    </cfRule>
    <cfRule type="containsText" dxfId="797" priority="513" operator="containsText" text="MC">
      <formula>NOT(ISERROR(SEARCH("MC",I34)))</formula>
    </cfRule>
    <cfRule type="containsText" dxfId="796" priority="512" operator="containsText" text="FL">
      <formula>NOT(ISERROR(SEARCH("FL",I34)))</formula>
    </cfRule>
    <cfRule type="containsText" dxfId="795" priority="511" operator="containsText" text="SUS">
      <formula>NOT(ISERROR(SEARCH("SUS",I34)))</formula>
    </cfRule>
    <cfRule type="containsText" dxfId="794" priority="510" operator="containsText" text="AB">
      <formula>NOT(ISERROR(SEARCH("AB",I34)))</formula>
    </cfRule>
    <cfRule type="containsText" dxfId="793" priority="516" operator="containsText" text="OFF">
      <formula>NOT(ISERROR(SEARCH("OFF",I34)))</formula>
    </cfRule>
    <cfRule type="containsText" dxfId="792" priority="517" operator="containsText" text="AL">
      <formula>NOT(ISERROR(SEARCH("AL",I34)))</formula>
    </cfRule>
    <cfRule type="containsText" dxfId="791" priority="509" operator="containsText" text="EL">
      <formula>NOT(ISERROR(SEARCH("EL",I34)))</formula>
    </cfRule>
  </conditionalFormatting>
  <conditionalFormatting sqref="I37:J37">
    <cfRule type="containsText" dxfId="790" priority="508" operator="containsText" text="AL">
      <formula>NOT(ISERROR(SEARCH("AL",I37)))</formula>
    </cfRule>
    <cfRule type="containsText" dxfId="789" priority="507" operator="containsText" text="OFF">
      <formula>NOT(ISERROR(SEARCH("OFF",I37)))</formula>
    </cfRule>
    <cfRule type="containsText" dxfId="788" priority="505" operator="containsText" text="AB">
      <formula>NOT(ISERROR(SEARCH("AB",I37)))</formula>
    </cfRule>
    <cfRule type="containsText" dxfId="787" priority="502" operator="containsText" text="SUS">
      <formula>NOT(ISERROR(SEARCH("SUS",I37)))</formula>
    </cfRule>
    <cfRule type="containsText" dxfId="786" priority="504" operator="containsText" text="MC">
      <formula>NOT(ISERROR(SEARCH("MC",I37)))</formula>
    </cfRule>
    <cfRule type="containsText" dxfId="785" priority="503" operator="containsText" text="FL">
      <formula>NOT(ISERROR(SEARCH("FL",I37)))</formula>
    </cfRule>
    <cfRule type="containsText" dxfId="784" priority="500" operator="containsText" text="EL">
      <formula>NOT(ISERROR(SEARCH("EL",I37)))</formula>
    </cfRule>
    <cfRule type="containsText" dxfId="783" priority="501" operator="containsText" text="AB">
      <formula>NOT(ISERROR(SEARCH("AB",I37)))</formula>
    </cfRule>
    <cfRule type="containsText" dxfId="782" priority="506" operator="containsText" text="Sick">
      <formula>NOT(ISERROR(SEARCH("Sick",I37)))</formula>
    </cfRule>
  </conditionalFormatting>
  <conditionalFormatting sqref="I41:J44">
    <cfRule type="containsText" dxfId="781" priority="496" operator="containsText" text="AB">
      <formula>NOT(ISERROR(SEARCH("AB",I41)))</formula>
    </cfRule>
    <cfRule type="containsText" dxfId="780" priority="493" operator="containsText" text="SUS">
      <formula>NOT(ISERROR(SEARCH("SUS",I41)))</formula>
    </cfRule>
    <cfRule type="containsText" dxfId="779" priority="491" operator="containsText" text="EL">
      <formula>NOT(ISERROR(SEARCH("EL",I41)))</formula>
    </cfRule>
    <cfRule type="containsText" dxfId="778" priority="492" operator="containsText" text="AB">
      <formula>NOT(ISERROR(SEARCH("AB",I41)))</formula>
    </cfRule>
    <cfRule type="containsText" dxfId="777" priority="494" operator="containsText" text="FL">
      <formula>NOT(ISERROR(SEARCH("FL",I41)))</formula>
    </cfRule>
    <cfRule type="containsText" dxfId="776" priority="498" operator="containsText" text="OFF">
      <formula>NOT(ISERROR(SEARCH("OFF",I41)))</formula>
    </cfRule>
    <cfRule type="containsText" dxfId="775" priority="499" operator="containsText" text="AL">
      <formula>NOT(ISERROR(SEARCH("AL",I41)))</formula>
    </cfRule>
    <cfRule type="containsText" dxfId="774" priority="495" operator="containsText" text="MC">
      <formula>NOT(ISERROR(SEARCH("MC",I41)))</formula>
    </cfRule>
    <cfRule type="containsText" dxfId="773" priority="497" operator="containsText" text="Sick">
      <formula>NOT(ISERROR(SEARCH("Sick",I41)))</formula>
    </cfRule>
  </conditionalFormatting>
  <conditionalFormatting sqref="I46:J47">
    <cfRule type="containsText" dxfId="772" priority="484" operator="containsText" text="SUS">
      <formula>NOT(ISERROR(SEARCH("SUS",I46)))</formula>
    </cfRule>
    <cfRule type="containsText" dxfId="771" priority="485" operator="containsText" text="FL">
      <formula>NOT(ISERROR(SEARCH("FL",I46)))</formula>
    </cfRule>
    <cfRule type="containsText" dxfId="770" priority="486" operator="containsText" text="MC">
      <formula>NOT(ISERROR(SEARCH("MC",I46)))</formula>
    </cfRule>
    <cfRule type="containsText" dxfId="769" priority="487" operator="containsText" text="AB">
      <formula>NOT(ISERROR(SEARCH("AB",I46)))</formula>
    </cfRule>
    <cfRule type="containsText" dxfId="768" priority="488" operator="containsText" text="Sick">
      <formula>NOT(ISERROR(SEARCH("Sick",I46)))</formula>
    </cfRule>
    <cfRule type="containsText" dxfId="767" priority="489" operator="containsText" text="OFF">
      <formula>NOT(ISERROR(SEARCH("OFF",I46)))</formula>
    </cfRule>
    <cfRule type="containsText" dxfId="766" priority="490" operator="containsText" text="AL">
      <formula>NOT(ISERROR(SEARCH("AL",I46)))</formula>
    </cfRule>
    <cfRule type="containsText" dxfId="765" priority="482" operator="containsText" text="EL">
      <formula>NOT(ISERROR(SEARCH("EL",I46)))</formula>
    </cfRule>
    <cfRule type="containsText" dxfId="764" priority="483" operator="containsText" text="AB">
      <formula>NOT(ISERROR(SEARCH("AB",I46)))</formula>
    </cfRule>
  </conditionalFormatting>
  <conditionalFormatting sqref="I50:J51">
    <cfRule type="containsText" dxfId="763" priority="480" operator="containsText" text="OFF">
      <formula>NOT(ISERROR(SEARCH("OFF",I50)))</formula>
    </cfRule>
    <cfRule type="containsText" dxfId="762" priority="481" operator="containsText" text="AL">
      <formula>NOT(ISERROR(SEARCH("AL",I50)))</formula>
    </cfRule>
    <cfRule type="containsText" dxfId="761" priority="473" operator="containsText" text="EL">
      <formula>NOT(ISERROR(SEARCH("EL",I50)))</formula>
    </cfRule>
    <cfRule type="containsText" dxfId="760" priority="474" operator="containsText" text="AB">
      <formula>NOT(ISERROR(SEARCH("AB",I50)))</formula>
    </cfRule>
    <cfRule type="containsText" dxfId="759" priority="475" operator="containsText" text="SUS">
      <formula>NOT(ISERROR(SEARCH("SUS",I50)))</formula>
    </cfRule>
    <cfRule type="containsText" dxfId="758" priority="478" operator="containsText" text="AB">
      <formula>NOT(ISERROR(SEARCH("AB",I50)))</formula>
    </cfRule>
    <cfRule type="containsText" dxfId="757" priority="479" operator="containsText" text="Sick">
      <formula>NOT(ISERROR(SEARCH("Sick",I50)))</formula>
    </cfRule>
    <cfRule type="containsText" dxfId="756" priority="477" operator="containsText" text="MC">
      <formula>NOT(ISERROR(SEARCH("MC",I50)))</formula>
    </cfRule>
    <cfRule type="containsText" dxfId="755" priority="476" operator="containsText" text="FL">
      <formula>NOT(ISERROR(SEARCH("FL",I50)))</formula>
    </cfRule>
  </conditionalFormatting>
  <conditionalFormatting sqref="I53:J54">
    <cfRule type="containsText" dxfId="754" priority="471" operator="containsText" text="OFF">
      <formula>NOT(ISERROR(SEARCH("OFF",I53)))</formula>
    </cfRule>
    <cfRule type="containsText" dxfId="753" priority="472" operator="containsText" text="AL">
      <formula>NOT(ISERROR(SEARCH("AL",I53)))</formula>
    </cfRule>
    <cfRule type="containsText" dxfId="752" priority="466" operator="containsText" text="SUS">
      <formula>NOT(ISERROR(SEARCH("SUS",I53)))</formula>
    </cfRule>
    <cfRule type="containsText" dxfId="751" priority="464" operator="containsText" text="EL">
      <formula>NOT(ISERROR(SEARCH("EL",I53)))</formula>
    </cfRule>
    <cfRule type="containsText" dxfId="750" priority="470" operator="containsText" text="Sick">
      <formula>NOT(ISERROR(SEARCH("Sick",I53)))</formula>
    </cfRule>
    <cfRule type="containsText" dxfId="749" priority="465" operator="containsText" text="AB">
      <formula>NOT(ISERROR(SEARCH("AB",I53)))</formula>
    </cfRule>
    <cfRule type="containsText" dxfId="748" priority="467" operator="containsText" text="FL">
      <formula>NOT(ISERROR(SEARCH("FL",I53)))</formula>
    </cfRule>
    <cfRule type="containsText" dxfId="747" priority="468" operator="containsText" text="MC">
      <formula>NOT(ISERROR(SEARCH("MC",I53)))</formula>
    </cfRule>
    <cfRule type="containsText" dxfId="746" priority="469" operator="containsText" text="AB">
      <formula>NOT(ISERROR(SEARCH("AB",I53)))</formula>
    </cfRule>
  </conditionalFormatting>
  <conditionalFormatting sqref="I58:J58">
    <cfRule type="containsText" dxfId="745" priority="463" operator="containsText" text="AL">
      <formula>NOT(ISERROR(SEARCH("AL",I58)))</formula>
    </cfRule>
    <cfRule type="containsText" dxfId="744" priority="462" operator="containsText" text="OFF">
      <formula>NOT(ISERROR(SEARCH("OFF",I58)))</formula>
    </cfRule>
    <cfRule type="containsText" dxfId="743" priority="461" operator="containsText" text="Sick">
      <formula>NOT(ISERROR(SEARCH("Sick",I58)))</formula>
    </cfRule>
    <cfRule type="containsText" dxfId="742" priority="460" operator="containsText" text="AB">
      <formula>NOT(ISERROR(SEARCH("AB",I58)))</formula>
    </cfRule>
    <cfRule type="containsText" dxfId="741" priority="459" operator="containsText" text="MC">
      <formula>NOT(ISERROR(SEARCH("MC",I58)))</formula>
    </cfRule>
    <cfRule type="containsText" dxfId="740" priority="455" operator="containsText" text="EL">
      <formula>NOT(ISERROR(SEARCH("EL",I58)))</formula>
    </cfRule>
    <cfRule type="containsText" dxfId="739" priority="456" operator="containsText" text="AB">
      <formula>NOT(ISERROR(SEARCH("AB",I58)))</formula>
    </cfRule>
    <cfRule type="containsText" dxfId="738" priority="457" operator="containsText" text="SUS">
      <formula>NOT(ISERROR(SEARCH("SUS",I58)))</formula>
    </cfRule>
    <cfRule type="containsText" dxfId="737" priority="458" operator="containsText" text="FL">
      <formula>NOT(ISERROR(SEARCH("FL",I58)))</formula>
    </cfRule>
  </conditionalFormatting>
  <conditionalFormatting sqref="I61:J61">
    <cfRule type="containsText" dxfId="736" priority="446" operator="containsText" text="EL">
      <formula>NOT(ISERROR(SEARCH("EL",I61)))</formula>
    </cfRule>
    <cfRule type="containsText" dxfId="735" priority="452" operator="containsText" text="Sick">
      <formula>NOT(ISERROR(SEARCH("Sick",I61)))</formula>
    </cfRule>
    <cfRule type="containsText" dxfId="734" priority="453" operator="containsText" text="OFF">
      <formula>NOT(ISERROR(SEARCH("OFF",I61)))</formula>
    </cfRule>
    <cfRule type="containsText" dxfId="733" priority="450" operator="containsText" text="MC">
      <formula>NOT(ISERROR(SEARCH("MC",I61)))</formula>
    </cfRule>
    <cfRule type="containsText" dxfId="732" priority="454" operator="containsText" text="AL">
      <formula>NOT(ISERROR(SEARCH("AL",I61)))</formula>
    </cfRule>
    <cfRule type="containsText" dxfId="731" priority="449" operator="containsText" text="FL">
      <formula>NOT(ISERROR(SEARCH("FL",I61)))</formula>
    </cfRule>
    <cfRule type="containsText" dxfId="730" priority="448" operator="containsText" text="SUS">
      <formula>NOT(ISERROR(SEARCH("SUS",I61)))</formula>
    </cfRule>
    <cfRule type="containsText" dxfId="729" priority="447" operator="containsText" text="AB">
      <formula>NOT(ISERROR(SEARCH("AB",I61)))</formula>
    </cfRule>
    <cfRule type="containsText" dxfId="728" priority="451" operator="containsText" text="AB">
      <formula>NOT(ISERROR(SEARCH("AB",I61)))</formula>
    </cfRule>
  </conditionalFormatting>
  <conditionalFormatting sqref="I63:J65">
    <cfRule type="containsText" dxfId="727" priority="440" operator="containsText" text="FL">
      <formula>NOT(ISERROR(SEARCH("FL",I63)))</formula>
    </cfRule>
    <cfRule type="containsText" dxfId="726" priority="439" operator="containsText" text="SUS">
      <formula>NOT(ISERROR(SEARCH("SUS",I63)))</formula>
    </cfRule>
    <cfRule type="containsText" dxfId="725" priority="438" operator="containsText" text="AB">
      <formula>NOT(ISERROR(SEARCH("AB",I63)))</formula>
    </cfRule>
    <cfRule type="containsText" dxfId="724" priority="437" operator="containsText" text="EL">
      <formula>NOT(ISERROR(SEARCH("EL",I63)))</formula>
    </cfRule>
    <cfRule type="containsText" dxfId="723" priority="441" operator="containsText" text="MC">
      <formula>NOT(ISERROR(SEARCH("MC",I63)))</formula>
    </cfRule>
    <cfRule type="containsText" dxfId="722" priority="445" operator="containsText" text="AL">
      <formula>NOT(ISERROR(SEARCH("AL",I63)))</formula>
    </cfRule>
    <cfRule type="containsText" dxfId="721" priority="444" operator="containsText" text="OFF">
      <formula>NOT(ISERROR(SEARCH("OFF",I63)))</formula>
    </cfRule>
    <cfRule type="containsText" dxfId="720" priority="443" operator="containsText" text="Sick">
      <formula>NOT(ISERROR(SEARCH("Sick",I63)))</formula>
    </cfRule>
    <cfRule type="containsText" dxfId="719" priority="442" operator="containsText" text="AB">
      <formula>NOT(ISERROR(SEARCH("AB",I63)))</formula>
    </cfRule>
  </conditionalFormatting>
  <conditionalFormatting sqref="I73:J73">
    <cfRule type="containsText" dxfId="718" priority="435" operator="containsText" text="OFF">
      <formula>NOT(ISERROR(SEARCH("OFF",I73)))</formula>
    </cfRule>
    <cfRule type="containsText" dxfId="717" priority="436" operator="containsText" text="AL">
      <formula>NOT(ISERROR(SEARCH("AL",I73)))</formula>
    </cfRule>
    <cfRule type="containsText" dxfId="716" priority="434" operator="containsText" text="Sick">
      <formula>NOT(ISERROR(SEARCH("Sick",I73)))</formula>
    </cfRule>
    <cfRule type="containsText" dxfId="715" priority="428" operator="containsText" text="EL">
      <formula>NOT(ISERROR(SEARCH("EL",I73)))</formula>
    </cfRule>
    <cfRule type="containsText" dxfId="714" priority="429" operator="containsText" text="AB">
      <formula>NOT(ISERROR(SEARCH("AB",I73)))</formula>
    </cfRule>
    <cfRule type="containsText" dxfId="713" priority="430" operator="containsText" text="SUS">
      <formula>NOT(ISERROR(SEARCH("SUS",I73)))</formula>
    </cfRule>
    <cfRule type="containsText" dxfId="712" priority="431" operator="containsText" text="FL">
      <formula>NOT(ISERROR(SEARCH("FL",I73)))</formula>
    </cfRule>
    <cfRule type="containsText" dxfId="711" priority="432" operator="containsText" text="MC">
      <formula>NOT(ISERROR(SEARCH("MC",I73)))</formula>
    </cfRule>
    <cfRule type="containsText" dxfId="710" priority="433" operator="containsText" text="AB">
      <formula>NOT(ISERROR(SEARCH("AB",I73)))</formula>
    </cfRule>
  </conditionalFormatting>
  <conditionalFormatting sqref="I76:J76">
    <cfRule type="containsText" dxfId="709" priority="424" operator="containsText" text="AB">
      <formula>NOT(ISERROR(SEARCH("AB",I76)))</formula>
    </cfRule>
    <cfRule type="containsText" dxfId="708" priority="419" operator="containsText" text="EL">
      <formula>NOT(ISERROR(SEARCH("EL",I76)))</formula>
    </cfRule>
    <cfRule type="containsText" dxfId="707" priority="420" operator="containsText" text="AB">
      <formula>NOT(ISERROR(SEARCH("AB",I76)))</formula>
    </cfRule>
    <cfRule type="containsText" dxfId="706" priority="421" operator="containsText" text="SUS">
      <formula>NOT(ISERROR(SEARCH("SUS",I76)))</formula>
    </cfRule>
    <cfRule type="containsText" dxfId="705" priority="422" operator="containsText" text="FL">
      <formula>NOT(ISERROR(SEARCH("FL",I76)))</formula>
    </cfRule>
    <cfRule type="containsText" dxfId="704" priority="423" operator="containsText" text="MC">
      <formula>NOT(ISERROR(SEARCH("MC",I76)))</formula>
    </cfRule>
    <cfRule type="containsText" dxfId="703" priority="425" operator="containsText" text="Sick">
      <formula>NOT(ISERROR(SEARCH("Sick",I76)))</formula>
    </cfRule>
    <cfRule type="containsText" dxfId="702" priority="426" operator="containsText" text="OFF">
      <formula>NOT(ISERROR(SEARCH("OFF",I76)))</formula>
    </cfRule>
    <cfRule type="containsText" dxfId="701" priority="427" operator="containsText" text="AL">
      <formula>NOT(ISERROR(SEARCH("AL",I76)))</formula>
    </cfRule>
  </conditionalFormatting>
  <conditionalFormatting sqref="I85:J86">
    <cfRule type="containsText" dxfId="700" priority="417" operator="containsText" text="OFF">
      <formula>NOT(ISERROR(SEARCH("OFF",I85)))</formula>
    </cfRule>
    <cfRule type="containsText" dxfId="699" priority="410" operator="containsText" text="EL">
      <formula>NOT(ISERROR(SEARCH("EL",I85)))</formula>
    </cfRule>
    <cfRule type="containsText" dxfId="698" priority="411" operator="containsText" text="AB">
      <formula>NOT(ISERROR(SEARCH("AB",I85)))</formula>
    </cfRule>
    <cfRule type="containsText" dxfId="697" priority="412" operator="containsText" text="SUS">
      <formula>NOT(ISERROR(SEARCH("SUS",I85)))</formula>
    </cfRule>
    <cfRule type="containsText" dxfId="696" priority="413" operator="containsText" text="FL">
      <formula>NOT(ISERROR(SEARCH("FL",I85)))</formula>
    </cfRule>
    <cfRule type="containsText" dxfId="695" priority="415" operator="containsText" text="AB">
      <formula>NOT(ISERROR(SEARCH("AB",I85)))</formula>
    </cfRule>
    <cfRule type="containsText" dxfId="694" priority="416" operator="containsText" text="Sick">
      <formula>NOT(ISERROR(SEARCH("Sick",I85)))</formula>
    </cfRule>
    <cfRule type="containsText" dxfId="693" priority="418" operator="containsText" text="AL">
      <formula>NOT(ISERROR(SEARCH("AL",I85)))</formula>
    </cfRule>
    <cfRule type="containsText" dxfId="692" priority="414" operator="containsText" text="MC">
      <formula>NOT(ISERROR(SEARCH("MC",I85)))</formula>
    </cfRule>
  </conditionalFormatting>
  <conditionalFormatting sqref="I89:J91">
    <cfRule type="containsText" dxfId="691" priority="402" operator="containsText" text="AB">
      <formula>NOT(ISERROR(SEARCH("AB",I89)))</formula>
    </cfRule>
    <cfRule type="containsText" dxfId="690" priority="403" operator="containsText" text="SUS">
      <formula>NOT(ISERROR(SEARCH("SUS",I89)))</formula>
    </cfRule>
    <cfRule type="containsText" dxfId="689" priority="404" operator="containsText" text="FL">
      <formula>NOT(ISERROR(SEARCH("FL",I89)))</formula>
    </cfRule>
    <cfRule type="containsText" dxfId="688" priority="405" operator="containsText" text="MC">
      <formula>NOT(ISERROR(SEARCH("MC",I89)))</formula>
    </cfRule>
    <cfRule type="containsText" dxfId="687" priority="406" operator="containsText" text="AB">
      <formula>NOT(ISERROR(SEARCH("AB",I89)))</formula>
    </cfRule>
    <cfRule type="containsText" dxfId="686" priority="407" operator="containsText" text="Sick">
      <formula>NOT(ISERROR(SEARCH("Sick",I89)))</formula>
    </cfRule>
    <cfRule type="containsText" dxfId="685" priority="408" operator="containsText" text="OFF">
      <formula>NOT(ISERROR(SEARCH("OFF",I89)))</formula>
    </cfRule>
    <cfRule type="containsText" dxfId="684" priority="401" operator="containsText" text="EL">
      <formula>NOT(ISERROR(SEARCH("EL",I89)))</formula>
    </cfRule>
    <cfRule type="containsText" dxfId="683" priority="409" operator="containsText" text="AL">
      <formula>NOT(ISERROR(SEARCH("AL",I89)))</formula>
    </cfRule>
  </conditionalFormatting>
  <conditionalFormatting sqref="I93:J93">
    <cfRule type="containsText" dxfId="682" priority="398" operator="containsText" text="Sick">
      <formula>NOT(ISERROR(SEARCH("Sick",I93)))</formula>
    </cfRule>
    <cfRule type="containsText" dxfId="681" priority="399" operator="containsText" text="OFF">
      <formula>NOT(ISERROR(SEARCH("OFF",I93)))</formula>
    </cfRule>
    <cfRule type="containsText" dxfId="680" priority="400" operator="containsText" text="AL">
      <formula>NOT(ISERROR(SEARCH("AL",I93)))</formula>
    </cfRule>
    <cfRule type="containsText" dxfId="679" priority="393" operator="containsText" text="AB">
      <formula>NOT(ISERROR(SEARCH("AB",I93)))</formula>
    </cfRule>
    <cfRule type="containsText" dxfId="678" priority="392" operator="containsText" text="EL">
      <formula>NOT(ISERROR(SEARCH("EL",I93)))</formula>
    </cfRule>
    <cfRule type="containsText" dxfId="677" priority="394" operator="containsText" text="SUS">
      <formula>NOT(ISERROR(SEARCH("SUS",I93)))</formula>
    </cfRule>
    <cfRule type="containsText" dxfId="676" priority="395" operator="containsText" text="FL">
      <formula>NOT(ISERROR(SEARCH("FL",I93)))</formula>
    </cfRule>
    <cfRule type="containsText" dxfId="675" priority="396" operator="containsText" text="MC">
      <formula>NOT(ISERROR(SEARCH("MC",I93)))</formula>
    </cfRule>
    <cfRule type="containsText" dxfId="674" priority="397" operator="containsText" text="AB">
      <formula>NOT(ISERROR(SEARCH("AB",I93)))</formula>
    </cfRule>
  </conditionalFormatting>
  <conditionalFormatting sqref="L20:AA23">
    <cfRule type="containsText" dxfId="673" priority="1087" stopIfTrue="1" operator="containsText" text="AB">
      <formula>NOT(ISERROR(SEARCH("AB",L20)))</formula>
    </cfRule>
    <cfRule type="containsText" dxfId="672" priority="1091" stopIfTrue="1" operator="containsText" text="SICK">
      <formula>NOT(ISERROR(SEARCH("SICK",L20)))</formula>
    </cfRule>
    <cfRule type="containsText" priority="1090" stopIfTrue="1" operator="containsText" text="SP">
      <formula>NOT(ISERROR(SEARCH("SP",L20)))</formula>
    </cfRule>
    <cfRule type="containsText" dxfId="671" priority="1089" stopIfTrue="1" operator="containsText" text="SP">
      <formula>NOT(ISERROR(SEARCH("SP",L20)))</formula>
    </cfRule>
    <cfRule type="containsText" dxfId="670" priority="1088" stopIfTrue="1" operator="containsText" text="SICK">
      <formula>NOT(ISERROR(SEARCH("SICK",L20)))</formula>
    </cfRule>
  </conditionalFormatting>
  <conditionalFormatting sqref="M68:N68">
    <cfRule type="containsText" dxfId="669" priority="391" operator="containsText" text="AL">
      <formula>NOT(ISERROR(SEARCH("AL",M68)))</formula>
    </cfRule>
    <cfRule type="containsText" dxfId="668" priority="387" operator="containsText" text="MC">
      <formula>NOT(ISERROR(SEARCH("MC",M68)))</formula>
    </cfRule>
    <cfRule type="containsText" dxfId="667" priority="389" operator="containsText" text="AB">
      <formula>NOT(ISERROR(SEARCH("AB",M68)))</formula>
    </cfRule>
    <cfRule type="containsText" dxfId="666" priority="382" operator="containsText" text="SP">
      <formula>NOT(ISERROR(SEARCH("SP",M68)))</formula>
    </cfRule>
    <cfRule type="containsText" dxfId="665" priority="383" operator="containsText" text="NL">
      <formula>NOT(ISERROR(SEARCH("NL",M68)))</formula>
    </cfRule>
    <cfRule type="containsText" dxfId="664" priority="384" operator="containsText" text="SUS">
      <formula>NOT(ISERROR(SEARCH("SUS",M68)))</formula>
    </cfRule>
    <cfRule type="containsText" dxfId="663" priority="385" operator="containsText" text="FL">
      <formula>NOT(ISERROR(SEARCH("FL",M68)))</formula>
    </cfRule>
    <cfRule type="containsText" dxfId="662" priority="386" operator="containsText" text="EL">
      <formula>NOT(ISERROR(SEARCH("EL",M68)))</formula>
    </cfRule>
    <cfRule type="containsText" dxfId="661" priority="390" operator="containsText" text="SICK">
      <formula>NOT(ISERROR(SEARCH("SICK",M68)))</formula>
    </cfRule>
    <cfRule type="containsText" dxfId="660" priority="388" operator="containsText" text="OFF">
      <formula>NOT(ISERROR(SEARCH("OFF",M68)))</formula>
    </cfRule>
  </conditionalFormatting>
  <conditionalFormatting sqref="P12">
    <cfRule type="containsText" dxfId="659" priority="87" stopIfTrue="1" operator="containsText" text="SICK">
      <formula>NOT(ISERROR(SEARCH("SICK",P12)))</formula>
    </cfRule>
    <cfRule type="containsText" dxfId="658" priority="85" stopIfTrue="1" operator="containsText" text="AB">
      <formula>NOT(ISERROR(SEARCH("AB",P12)))</formula>
    </cfRule>
    <cfRule type="containsText" dxfId="657" priority="83" stopIfTrue="1" operator="containsText" text="AL">
      <formula>NOT(ISERROR(SEARCH("AL",P12)))</formula>
    </cfRule>
    <cfRule type="containsText" dxfId="656" priority="82" stopIfTrue="1" operator="containsText" text="SP">
      <formula>NOT(ISERROR(SEARCH("SP",P12)))</formula>
    </cfRule>
    <cfRule type="containsText" dxfId="655" priority="84" stopIfTrue="1" operator="containsText" text="EL">
      <formula>NOT(ISERROR(SEARCH("EL",P12)))</formula>
    </cfRule>
    <cfRule type="containsText" dxfId="654" priority="86" stopIfTrue="1" operator="containsText" text="FL">
      <formula>NOT(ISERROR(SEARCH("FL",P12)))</formula>
    </cfRule>
  </conditionalFormatting>
  <conditionalFormatting sqref="P101:AE104 AA111:AA112">
    <cfRule type="containsText" dxfId="653" priority="1324" stopIfTrue="1" operator="containsText" text="SICK">
      <formula>NOT(ISERROR(SEARCH("SICK",P101)))</formula>
    </cfRule>
    <cfRule type="containsText" dxfId="652" priority="1323" stopIfTrue="1" operator="containsText" text="AB">
      <formula>NOT(ISERROR(SEARCH("AB",P101)))</formula>
    </cfRule>
    <cfRule type="containsText" dxfId="651" priority="1325" stopIfTrue="1" operator="containsText" text="SP">
      <formula>NOT(ISERROR(SEARCH("SP",P101)))</formula>
    </cfRule>
    <cfRule type="containsText" priority="1326" stopIfTrue="1" operator="containsText" text="SP">
      <formula>NOT(ISERROR(SEARCH("SP",P101)))</formula>
    </cfRule>
    <cfRule type="containsText" dxfId="650" priority="1327" stopIfTrue="1" operator="containsText" text="SICK">
      <formula>NOT(ISERROR(SEARCH("SICK",P101)))</formula>
    </cfRule>
  </conditionalFormatting>
  <conditionalFormatting sqref="Q9 Q12">
    <cfRule type="cellIs" dxfId="649" priority="88" stopIfTrue="1" operator="equal">
      <formula>";"</formula>
    </cfRule>
  </conditionalFormatting>
  <conditionalFormatting sqref="S11">
    <cfRule type="containsText" dxfId="648" priority="56" operator="containsText" text="FL">
      <formula>NOT(ISERROR(SEARCH("FL",S11)))</formula>
    </cfRule>
    <cfRule type="containsText" dxfId="647" priority="60" operator="containsText" text="OFF">
      <formula>NOT(ISERROR(SEARCH("OFF",S11)))</formula>
    </cfRule>
    <cfRule type="containsText" dxfId="646" priority="61" operator="containsText" text="AL">
      <formula>NOT(ISERROR(SEARCH("AL",S11)))</formula>
    </cfRule>
    <cfRule type="containsText" dxfId="645" priority="59" operator="containsText" text="Sick">
      <formula>NOT(ISERROR(SEARCH("Sick",S11)))</formula>
    </cfRule>
    <cfRule type="containsText" dxfId="644" priority="58" operator="containsText" text="AB">
      <formula>NOT(ISERROR(SEARCH("AB",S11)))</formula>
    </cfRule>
    <cfRule type="containsText" dxfId="643" priority="57" operator="containsText" text="MC">
      <formula>NOT(ISERROR(SEARCH("MC",S11)))</formula>
    </cfRule>
    <cfRule type="containsText" dxfId="642" priority="55" operator="containsText" text="SUS">
      <formula>NOT(ISERROR(SEARCH("SUS",S11)))</formula>
    </cfRule>
  </conditionalFormatting>
  <conditionalFormatting sqref="S11:T11">
    <cfRule type="containsText" dxfId="641" priority="41" operator="containsText" text="AB">
      <formula>NOT(ISERROR(SEARCH("AB",S11)))</formula>
    </cfRule>
  </conditionalFormatting>
  <conditionalFormatting sqref="S11:X11">
    <cfRule type="containsText" dxfId="640" priority="14" operator="containsText" text="EL">
      <formula>NOT(ISERROR(SEARCH("EL",S11)))</formula>
    </cfRule>
  </conditionalFormatting>
  <conditionalFormatting sqref="T11">
    <cfRule type="containsText" dxfId="639" priority="43" operator="containsText" text="OFF">
      <formula>NOT(ISERROR(SEARCH("OFF",T11)))</formula>
    </cfRule>
    <cfRule type="containsText" dxfId="638" priority="39" operator="containsText" text="FL">
      <formula>NOT(ISERROR(SEARCH("FL",T11)))</formula>
    </cfRule>
    <cfRule type="containsText" dxfId="637" priority="44" operator="containsText" text="AL">
      <formula>NOT(ISERROR(SEARCH("AL",T11)))</formula>
    </cfRule>
    <cfRule type="containsText" dxfId="636" priority="42" operator="containsText" text="Sick">
      <formula>NOT(ISERROR(SEARCH("Sick",T11)))</formula>
    </cfRule>
    <cfRule type="containsText" dxfId="635" priority="40" operator="containsText" text="MC">
      <formula>NOT(ISERROR(SEARCH("MC",T11)))</formula>
    </cfRule>
    <cfRule type="containsText" dxfId="634" priority="38" operator="containsText" text="SUS">
      <formula>NOT(ISERROR(SEARCH("SUS",T11)))</formula>
    </cfRule>
  </conditionalFormatting>
  <conditionalFormatting sqref="T11:U11">
    <cfRule type="containsText" dxfId="633" priority="19" operator="containsText" text="AB">
      <formula>NOT(ISERROR(SEARCH("AB",T11)))</formula>
    </cfRule>
  </conditionalFormatting>
  <conditionalFormatting sqref="U11">
    <cfRule type="containsText" dxfId="632" priority="16" operator="containsText" text="SUS">
      <formula>NOT(ISERROR(SEARCH("SUS",U11)))</formula>
    </cfRule>
    <cfRule type="containsText" dxfId="631" priority="22" operator="containsText" text="AL">
      <formula>NOT(ISERROR(SEARCH("AL",U11)))</formula>
    </cfRule>
    <cfRule type="containsText" dxfId="630" priority="15" operator="containsText" text="AB">
      <formula>NOT(ISERROR(SEARCH("AB",U11)))</formula>
    </cfRule>
    <cfRule type="containsText" dxfId="629" priority="21" operator="containsText" text="OFF">
      <formula>NOT(ISERROR(SEARCH("OFF",U11)))</formula>
    </cfRule>
    <cfRule type="containsText" dxfId="628" priority="20" operator="containsText" text="Sick">
      <formula>NOT(ISERROR(SEARCH("Sick",U11)))</formula>
    </cfRule>
    <cfRule type="containsText" dxfId="627" priority="18" operator="containsText" text="MC">
      <formula>NOT(ISERROR(SEARCH("MC",U11)))</formula>
    </cfRule>
    <cfRule type="containsText" dxfId="626" priority="17" operator="containsText" text="FL">
      <formula>NOT(ISERROR(SEARCH("FL",U11)))</formula>
    </cfRule>
  </conditionalFormatting>
  <conditionalFormatting sqref="V11">
    <cfRule type="containsText" dxfId="625" priority="66" operator="containsText" text="Sick">
      <formula>NOT(ISERROR(SEARCH("Sick",V11)))</formula>
    </cfRule>
    <cfRule type="containsText" dxfId="624" priority="65" operator="containsText" text="AB">
      <formula>NOT(ISERROR(SEARCH("AB",V11)))</formula>
    </cfRule>
    <cfRule type="containsText" dxfId="623" priority="64" operator="containsText" text="MC">
      <formula>NOT(ISERROR(SEARCH("MC",V11)))</formula>
    </cfRule>
    <cfRule type="containsText" dxfId="622" priority="68" operator="containsText" text="AL">
      <formula>NOT(ISERROR(SEARCH("AL",V11)))</formula>
    </cfRule>
    <cfRule type="containsText" dxfId="621" priority="63" operator="containsText" text="FL">
      <formula>NOT(ISERROR(SEARCH("FL",V11)))</formula>
    </cfRule>
    <cfRule type="containsText" dxfId="620" priority="62" operator="containsText" text="SUS">
      <formula>NOT(ISERROR(SEARCH("SUS",V11)))</formula>
    </cfRule>
    <cfRule type="containsText" dxfId="619" priority="67" operator="containsText" text="OFF">
      <formula>NOT(ISERROR(SEARCH("OFF",V11)))</formula>
    </cfRule>
  </conditionalFormatting>
  <conditionalFormatting sqref="V11:X11">
    <cfRule type="containsText" dxfId="618" priority="27" operator="containsText" text="AB">
      <formula>NOT(ISERROR(SEARCH("AB",V11)))</formula>
    </cfRule>
  </conditionalFormatting>
  <conditionalFormatting sqref="W11">
    <cfRule type="containsText" dxfId="617" priority="23" operator="containsText" text="AB">
      <formula>NOT(ISERROR(SEARCH("AB",W11)))</formula>
    </cfRule>
    <cfRule type="containsText" dxfId="616" priority="30" operator="containsText" text="AL">
      <formula>NOT(ISERROR(SEARCH("AL",W11)))</formula>
    </cfRule>
    <cfRule type="containsText" dxfId="615" priority="29" operator="containsText" text="OFF">
      <formula>NOT(ISERROR(SEARCH("OFF",W11)))</formula>
    </cfRule>
    <cfRule type="containsText" dxfId="614" priority="28" operator="containsText" text="Sick">
      <formula>NOT(ISERROR(SEARCH("Sick",W11)))</formula>
    </cfRule>
    <cfRule type="containsText" dxfId="613" priority="26" operator="containsText" text="MC">
      <formula>NOT(ISERROR(SEARCH("MC",W11)))</formula>
    </cfRule>
    <cfRule type="containsText" dxfId="612" priority="25" operator="containsText" text="FL">
      <formula>NOT(ISERROR(SEARCH("FL",W11)))</formula>
    </cfRule>
    <cfRule type="containsText" dxfId="611" priority="24" operator="containsText" text="SUS">
      <formula>NOT(ISERROR(SEARCH("SUS",W11)))</formula>
    </cfRule>
  </conditionalFormatting>
  <conditionalFormatting sqref="W32:X33">
    <cfRule type="containsText" dxfId="610" priority="305" operator="containsText" text="AB">
      <formula>NOT(ISERROR(SEARCH("AB",W32)))</formula>
    </cfRule>
    <cfRule type="containsText" dxfId="609" priority="304" operator="containsText" text="MC">
      <formula>NOT(ISERROR(SEARCH("MC",W32)))</formula>
    </cfRule>
    <cfRule type="containsText" dxfId="608" priority="303" operator="containsText" text="FL">
      <formula>NOT(ISERROR(SEARCH("FL",W32)))</formula>
    </cfRule>
    <cfRule type="containsText" dxfId="607" priority="302" operator="containsText" text="SUS">
      <formula>NOT(ISERROR(SEARCH("SUS",W32)))</formula>
    </cfRule>
    <cfRule type="containsText" dxfId="606" priority="301" operator="containsText" text="AB">
      <formula>NOT(ISERROR(SEARCH("AB",W32)))</formula>
    </cfRule>
    <cfRule type="containsText" dxfId="605" priority="308" operator="containsText" text="AL">
      <formula>NOT(ISERROR(SEARCH("AL",W32)))</formula>
    </cfRule>
    <cfRule type="containsText" dxfId="604" priority="307" operator="containsText" text="OFF">
      <formula>NOT(ISERROR(SEARCH("OFF",W32)))</formula>
    </cfRule>
    <cfRule type="containsText" dxfId="603" priority="306" operator="containsText" text="Sick">
      <formula>NOT(ISERROR(SEARCH("Sick",W32)))</formula>
    </cfRule>
    <cfRule type="containsText" dxfId="602" priority="300" operator="containsText" text="EL">
      <formula>NOT(ISERROR(SEARCH("EL",W32)))</formula>
    </cfRule>
  </conditionalFormatting>
  <conditionalFormatting sqref="W36:X36">
    <cfRule type="containsText" dxfId="601" priority="291" operator="containsText" text="EL">
      <formula>NOT(ISERROR(SEARCH("EL",W36)))</formula>
    </cfRule>
    <cfRule type="containsText" dxfId="600" priority="292" operator="containsText" text="AB">
      <formula>NOT(ISERROR(SEARCH("AB",W36)))</formula>
    </cfRule>
    <cfRule type="containsText" dxfId="599" priority="293" operator="containsText" text="SUS">
      <formula>NOT(ISERROR(SEARCH("SUS",W36)))</formula>
    </cfRule>
    <cfRule type="containsText" dxfId="598" priority="294" operator="containsText" text="FL">
      <formula>NOT(ISERROR(SEARCH("FL",W36)))</formula>
    </cfRule>
    <cfRule type="containsText" dxfId="597" priority="295" operator="containsText" text="MC">
      <formula>NOT(ISERROR(SEARCH("MC",W36)))</formula>
    </cfRule>
    <cfRule type="containsText" dxfId="596" priority="296" operator="containsText" text="AB">
      <formula>NOT(ISERROR(SEARCH("AB",W36)))</formula>
    </cfRule>
    <cfRule type="containsText" dxfId="595" priority="297" operator="containsText" text="Sick">
      <formula>NOT(ISERROR(SEARCH("Sick",W36)))</formula>
    </cfRule>
    <cfRule type="containsText" dxfId="594" priority="298" operator="containsText" text="OFF">
      <formula>NOT(ISERROR(SEARCH("OFF",W36)))</formula>
    </cfRule>
    <cfRule type="containsText" dxfId="593" priority="299" operator="containsText" text="AL">
      <formula>NOT(ISERROR(SEARCH("AL",W36)))</formula>
    </cfRule>
  </conditionalFormatting>
  <conditionalFormatting sqref="W45:X45">
    <cfRule type="containsText" dxfId="592" priority="285" operator="containsText" text="FL">
      <formula>NOT(ISERROR(SEARCH("FL",W45)))</formula>
    </cfRule>
    <cfRule type="containsText" dxfId="591" priority="288" operator="containsText" text="Sick">
      <formula>NOT(ISERROR(SEARCH("Sick",W45)))</formula>
    </cfRule>
    <cfRule type="containsText" dxfId="590" priority="286" operator="containsText" text="MC">
      <formula>NOT(ISERROR(SEARCH("MC",W45)))</formula>
    </cfRule>
    <cfRule type="containsText" dxfId="589" priority="287" operator="containsText" text="AB">
      <formula>NOT(ISERROR(SEARCH("AB",W45)))</formula>
    </cfRule>
    <cfRule type="containsText" dxfId="588" priority="283" operator="containsText" text="AB">
      <formula>NOT(ISERROR(SEARCH("AB",W45)))</formula>
    </cfRule>
    <cfRule type="containsText" dxfId="587" priority="289" operator="containsText" text="OFF">
      <formula>NOT(ISERROR(SEARCH("OFF",W45)))</formula>
    </cfRule>
    <cfRule type="containsText" dxfId="586" priority="290" operator="containsText" text="AL">
      <formula>NOT(ISERROR(SEARCH("AL",W45)))</formula>
    </cfRule>
    <cfRule type="containsText" dxfId="585" priority="282" operator="containsText" text="EL">
      <formula>NOT(ISERROR(SEARCH("EL",W45)))</formula>
    </cfRule>
    <cfRule type="containsText" dxfId="584" priority="284" operator="containsText" text="SUS">
      <formula>NOT(ISERROR(SEARCH("SUS",W45)))</formula>
    </cfRule>
  </conditionalFormatting>
  <conditionalFormatting sqref="W48:X49">
    <cfRule type="containsText" dxfId="583" priority="275" operator="containsText" text="SUS">
      <formula>NOT(ISERROR(SEARCH("SUS",W48)))</formula>
    </cfRule>
    <cfRule type="containsText" dxfId="582" priority="274" operator="containsText" text="AB">
      <formula>NOT(ISERROR(SEARCH("AB",W48)))</formula>
    </cfRule>
    <cfRule type="containsText" dxfId="581" priority="276" operator="containsText" text="FL">
      <formula>NOT(ISERROR(SEARCH("FL",W48)))</formula>
    </cfRule>
    <cfRule type="containsText" dxfId="580" priority="277" operator="containsText" text="MC">
      <formula>NOT(ISERROR(SEARCH("MC",W48)))</formula>
    </cfRule>
    <cfRule type="containsText" dxfId="579" priority="279" operator="containsText" text="Sick">
      <formula>NOT(ISERROR(SEARCH("Sick",W48)))</formula>
    </cfRule>
    <cfRule type="containsText" dxfId="578" priority="280" operator="containsText" text="OFF">
      <formula>NOT(ISERROR(SEARCH("OFF",W48)))</formula>
    </cfRule>
    <cfRule type="containsText" dxfId="577" priority="281" operator="containsText" text="AL">
      <formula>NOT(ISERROR(SEARCH("AL",W48)))</formula>
    </cfRule>
    <cfRule type="containsText" dxfId="576" priority="273" operator="containsText" text="EL">
      <formula>NOT(ISERROR(SEARCH("EL",W48)))</formula>
    </cfRule>
    <cfRule type="containsText" dxfId="575" priority="278" operator="containsText" text="AB">
      <formula>NOT(ISERROR(SEARCH("AB",W48)))</formula>
    </cfRule>
  </conditionalFormatting>
  <conditionalFormatting sqref="W52:X52">
    <cfRule type="containsText" dxfId="574" priority="269" operator="containsText" text="AB">
      <formula>NOT(ISERROR(SEARCH("AB",W52)))</formula>
    </cfRule>
    <cfRule type="containsText" dxfId="573" priority="268" operator="containsText" text="MC">
      <formula>NOT(ISERROR(SEARCH("MC",W52)))</formula>
    </cfRule>
    <cfRule type="containsText" dxfId="572" priority="265" operator="containsText" text="AB">
      <formula>NOT(ISERROR(SEARCH("AB",W52)))</formula>
    </cfRule>
    <cfRule type="containsText" dxfId="571" priority="264" operator="containsText" text="EL">
      <formula>NOT(ISERROR(SEARCH("EL",W52)))</formula>
    </cfRule>
    <cfRule type="containsText" dxfId="570" priority="266" operator="containsText" text="SUS">
      <formula>NOT(ISERROR(SEARCH("SUS",W52)))</formula>
    </cfRule>
    <cfRule type="containsText" dxfId="569" priority="267" operator="containsText" text="FL">
      <formula>NOT(ISERROR(SEARCH("FL",W52)))</formula>
    </cfRule>
    <cfRule type="containsText" dxfId="568" priority="271" operator="containsText" text="OFF">
      <formula>NOT(ISERROR(SEARCH("OFF",W52)))</formula>
    </cfRule>
    <cfRule type="containsText" dxfId="567" priority="272" operator="containsText" text="AL">
      <formula>NOT(ISERROR(SEARCH("AL",W52)))</formula>
    </cfRule>
    <cfRule type="containsText" dxfId="566" priority="270" operator="containsText" text="Sick">
      <formula>NOT(ISERROR(SEARCH("Sick",W52)))</formula>
    </cfRule>
  </conditionalFormatting>
  <conditionalFormatting sqref="W55:X56">
    <cfRule type="containsText" dxfId="565" priority="255" operator="containsText" text="EL">
      <formula>NOT(ISERROR(SEARCH("EL",W55)))</formula>
    </cfRule>
    <cfRule type="containsText" dxfId="564" priority="256" operator="containsText" text="AB">
      <formula>NOT(ISERROR(SEARCH("AB",W55)))</formula>
    </cfRule>
    <cfRule type="containsText" dxfId="563" priority="257" operator="containsText" text="SUS">
      <formula>NOT(ISERROR(SEARCH("SUS",W55)))</formula>
    </cfRule>
    <cfRule type="containsText" dxfId="562" priority="258" operator="containsText" text="FL">
      <formula>NOT(ISERROR(SEARCH("FL",W55)))</formula>
    </cfRule>
    <cfRule type="containsText" dxfId="561" priority="259" operator="containsText" text="MC">
      <formula>NOT(ISERROR(SEARCH("MC",W55)))</formula>
    </cfRule>
    <cfRule type="containsText" dxfId="560" priority="260" operator="containsText" text="AB">
      <formula>NOT(ISERROR(SEARCH("AB",W55)))</formula>
    </cfRule>
    <cfRule type="containsText" dxfId="559" priority="261" operator="containsText" text="Sick">
      <formula>NOT(ISERROR(SEARCH("Sick",W55)))</formula>
    </cfRule>
    <cfRule type="containsText" dxfId="558" priority="262" operator="containsText" text="OFF">
      <formula>NOT(ISERROR(SEARCH("OFF",W55)))</formula>
    </cfRule>
    <cfRule type="containsText" dxfId="557" priority="263" operator="containsText" text="AL">
      <formula>NOT(ISERROR(SEARCH("AL",W55)))</formula>
    </cfRule>
  </conditionalFormatting>
  <conditionalFormatting sqref="W60:X60">
    <cfRule type="containsText" dxfId="556" priority="248" operator="containsText" text="SUS">
      <formula>NOT(ISERROR(SEARCH("SUS",W60)))</formula>
    </cfRule>
    <cfRule type="containsText" dxfId="555" priority="247" operator="containsText" text="AB">
      <formula>NOT(ISERROR(SEARCH("AB",W60)))</formula>
    </cfRule>
    <cfRule type="containsText" dxfId="554" priority="252" operator="containsText" text="Sick">
      <formula>NOT(ISERROR(SEARCH("Sick",W60)))</formula>
    </cfRule>
    <cfRule type="containsText" dxfId="553" priority="253" operator="containsText" text="OFF">
      <formula>NOT(ISERROR(SEARCH("OFF",W60)))</formula>
    </cfRule>
    <cfRule type="containsText" dxfId="552" priority="254" operator="containsText" text="AL">
      <formula>NOT(ISERROR(SEARCH("AL",W60)))</formula>
    </cfRule>
    <cfRule type="containsText" dxfId="551" priority="251" operator="containsText" text="AB">
      <formula>NOT(ISERROR(SEARCH("AB",W60)))</formula>
    </cfRule>
    <cfRule type="containsText" dxfId="550" priority="246" operator="containsText" text="EL">
      <formula>NOT(ISERROR(SEARCH("EL",W60)))</formula>
    </cfRule>
    <cfRule type="containsText" dxfId="549" priority="249" operator="containsText" text="FL">
      <formula>NOT(ISERROR(SEARCH("FL",W60)))</formula>
    </cfRule>
    <cfRule type="containsText" dxfId="548" priority="250" operator="containsText" text="MC">
      <formula>NOT(ISERROR(SEARCH("MC",W60)))</formula>
    </cfRule>
  </conditionalFormatting>
  <conditionalFormatting sqref="W66:X68">
    <cfRule type="containsText" dxfId="547" priority="240" operator="containsText" text="FL">
      <formula>NOT(ISERROR(SEARCH("FL",W66)))</formula>
    </cfRule>
    <cfRule type="containsText" dxfId="546" priority="241" operator="containsText" text="MC">
      <formula>NOT(ISERROR(SEARCH("MC",W66)))</formula>
    </cfRule>
    <cfRule type="containsText" dxfId="545" priority="242" operator="containsText" text="AB">
      <formula>NOT(ISERROR(SEARCH("AB",W66)))</formula>
    </cfRule>
    <cfRule type="containsText" dxfId="544" priority="243" operator="containsText" text="Sick">
      <formula>NOT(ISERROR(SEARCH("Sick",W66)))</formula>
    </cfRule>
    <cfRule type="containsText" dxfId="543" priority="244" operator="containsText" text="OFF">
      <formula>NOT(ISERROR(SEARCH("OFF",W66)))</formula>
    </cfRule>
    <cfRule type="containsText" dxfId="542" priority="245" operator="containsText" text="AL">
      <formula>NOT(ISERROR(SEARCH("AL",W66)))</formula>
    </cfRule>
    <cfRule type="containsText" dxfId="541" priority="237" operator="containsText" text="EL">
      <formula>NOT(ISERROR(SEARCH("EL",W66)))</formula>
    </cfRule>
    <cfRule type="containsText" dxfId="540" priority="238" operator="containsText" text="AB">
      <formula>NOT(ISERROR(SEARCH("AB",W66)))</formula>
    </cfRule>
    <cfRule type="containsText" dxfId="539" priority="239" operator="containsText" text="SUS">
      <formula>NOT(ISERROR(SEARCH("SUS",W66)))</formula>
    </cfRule>
  </conditionalFormatting>
  <conditionalFormatting sqref="W70:X72">
    <cfRule type="containsText" dxfId="538" priority="228" operator="containsText" text="EL">
      <formula>NOT(ISERROR(SEARCH("EL",W70)))</formula>
    </cfRule>
    <cfRule type="containsText" dxfId="537" priority="229" operator="containsText" text="AB">
      <formula>NOT(ISERROR(SEARCH("AB",W70)))</formula>
    </cfRule>
    <cfRule type="containsText" dxfId="536" priority="230" operator="containsText" text="SUS">
      <formula>NOT(ISERROR(SEARCH("SUS",W70)))</formula>
    </cfRule>
    <cfRule type="containsText" dxfId="535" priority="231" operator="containsText" text="FL">
      <formula>NOT(ISERROR(SEARCH("FL",W70)))</formula>
    </cfRule>
    <cfRule type="containsText" dxfId="534" priority="232" operator="containsText" text="MC">
      <formula>NOT(ISERROR(SEARCH("MC",W70)))</formula>
    </cfRule>
    <cfRule type="containsText" dxfId="533" priority="233" operator="containsText" text="AB">
      <formula>NOT(ISERROR(SEARCH("AB",W70)))</formula>
    </cfRule>
    <cfRule type="containsText" dxfId="532" priority="235" operator="containsText" text="OFF">
      <formula>NOT(ISERROR(SEARCH("OFF",W70)))</formula>
    </cfRule>
    <cfRule type="containsText" dxfId="531" priority="236" operator="containsText" text="AL">
      <formula>NOT(ISERROR(SEARCH("AL",W70)))</formula>
    </cfRule>
    <cfRule type="containsText" dxfId="530" priority="234" operator="containsText" text="Sick">
      <formula>NOT(ISERROR(SEARCH("Sick",W70)))</formula>
    </cfRule>
  </conditionalFormatting>
  <conditionalFormatting sqref="W74:X75">
    <cfRule type="containsText" dxfId="529" priority="222" operator="containsText" text="FL">
      <formula>NOT(ISERROR(SEARCH("FL",W74)))</formula>
    </cfRule>
    <cfRule type="containsText" dxfId="528" priority="224" operator="containsText" text="AB">
      <formula>NOT(ISERROR(SEARCH("AB",W74)))</formula>
    </cfRule>
    <cfRule type="containsText" dxfId="527" priority="225" operator="containsText" text="Sick">
      <formula>NOT(ISERROR(SEARCH("Sick",W74)))</formula>
    </cfRule>
    <cfRule type="containsText" dxfId="526" priority="226" operator="containsText" text="OFF">
      <formula>NOT(ISERROR(SEARCH("OFF",W74)))</formula>
    </cfRule>
    <cfRule type="containsText" dxfId="525" priority="227" operator="containsText" text="AL">
      <formula>NOT(ISERROR(SEARCH("AL",W74)))</formula>
    </cfRule>
    <cfRule type="containsText" dxfId="524" priority="219" operator="containsText" text="EL">
      <formula>NOT(ISERROR(SEARCH("EL",W74)))</formula>
    </cfRule>
    <cfRule type="containsText" dxfId="523" priority="221" operator="containsText" text="SUS">
      <formula>NOT(ISERROR(SEARCH("SUS",W74)))</formula>
    </cfRule>
    <cfRule type="containsText" dxfId="522" priority="220" operator="containsText" text="AB">
      <formula>NOT(ISERROR(SEARCH("AB",W74)))</formula>
    </cfRule>
    <cfRule type="containsText" dxfId="521" priority="223" operator="containsText" text="MC">
      <formula>NOT(ISERROR(SEARCH("MC",W74)))</formula>
    </cfRule>
  </conditionalFormatting>
  <conditionalFormatting sqref="W77:X77">
    <cfRule type="containsText" dxfId="520" priority="211" operator="containsText" text="AB">
      <formula>NOT(ISERROR(SEARCH("AB",W77)))</formula>
    </cfRule>
    <cfRule type="containsText" dxfId="519" priority="217" operator="containsText" text="OFF">
      <formula>NOT(ISERROR(SEARCH("OFF",W77)))</formula>
    </cfRule>
    <cfRule type="containsText" dxfId="518" priority="216" operator="containsText" text="Sick">
      <formula>NOT(ISERROR(SEARCH("Sick",W77)))</formula>
    </cfRule>
    <cfRule type="containsText" dxfId="517" priority="215" operator="containsText" text="AB">
      <formula>NOT(ISERROR(SEARCH("AB",W77)))</formula>
    </cfRule>
    <cfRule type="containsText" dxfId="516" priority="214" operator="containsText" text="MC">
      <formula>NOT(ISERROR(SEARCH("MC",W77)))</formula>
    </cfRule>
    <cfRule type="containsText" dxfId="515" priority="213" operator="containsText" text="FL">
      <formula>NOT(ISERROR(SEARCH("FL",W77)))</formula>
    </cfRule>
    <cfRule type="containsText" dxfId="514" priority="218" operator="containsText" text="AL">
      <formula>NOT(ISERROR(SEARCH("AL",W77)))</formula>
    </cfRule>
    <cfRule type="containsText" dxfId="513" priority="210" operator="containsText" text="EL">
      <formula>NOT(ISERROR(SEARCH("EL",W77)))</formula>
    </cfRule>
    <cfRule type="containsText" dxfId="512" priority="212" operator="containsText" text="SUS">
      <formula>NOT(ISERROR(SEARCH("SUS",W77)))</formula>
    </cfRule>
  </conditionalFormatting>
  <conditionalFormatting sqref="W79:X79">
    <cfRule type="containsText" dxfId="511" priority="207" operator="containsText" text="Sick">
      <formula>NOT(ISERROR(SEARCH("Sick",W79)))</formula>
    </cfRule>
    <cfRule type="containsText" dxfId="510" priority="204" operator="containsText" text="FL">
      <formula>NOT(ISERROR(SEARCH("FL",W79)))</formula>
    </cfRule>
    <cfRule type="containsText" dxfId="509" priority="209" operator="containsText" text="AL">
      <formula>NOT(ISERROR(SEARCH("AL",W79)))</formula>
    </cfRule>
    <cfRule type="containsText" dxfId="508" priority="205" operator="containsText" text="MC">
      <formula>NOT(ISERROR(SEARCH("MC",W79)))</formula>
    </cfRule>
    <cfRule type="containsText" dxfId="507" priority="203" operator="containsText" text="SUS">
      <formula>NOT(ISERROR(SEARCH("SUS",W79)))</formula>
    </cfRule>
    <cfRule type="containsText" dxfId="506" priority="202" operator="containsText" text="AB">
      <formula>NOT(ISERROR(SEARCH("AB",W79)))</formula>
    </cfRule>
    <cfRule type="containsText" dxfId="505" priority="201" operator="containsText" text="EL">
      <formula>NOT(ISERROR(SEARCH("EL",W79)))</formula>
    </cfRule>
    <cfRule type="containsText" dxfId="504" priority="206" operator="containsText" text="AB">
      <formula>NOT(ISERROR(SEARCH("AB",W79)))</formula>
    </cfRule>
    <cfRule type="containsText" dxfId="503" priority="208" operator="containsText" text="OFF">
      <formula>NOT(ISERROR(SEARCH("OFF",W79)))</formula>
    </cfRule>
  </conditionalFormatting>
  <conditionalFormatting sqref="W81:X84">
    <cfRule type="containsText" dxfId="502" priority="199" operator="containsText" text="OFF">
      <formula>NOT(ISERROR(SEARCH("OFF",W81)))</formula>
    </cfRule>
    <cfRule type="containsText" dxfId="501" priority="192" operator="containsText" text="EL">
      <formula>NOT(ISERROR(SEARCH("EL",W81)))</formula>
    </cfRule>
    <cfRule type="containsText" dxfId="500" priority="193" operator="containsText" text="AB">
      <formula>NOT(ISERROR(SEARCH("AB",W81)))</formula>
    </cfRule>
    <cfRule type="containsText" dxfId="499" priority="194" operator="containsText" text="SUS">
      <formula>NOT(ISERROR(SEARCH("SUS",W81)))</formula>
    </cfRule>
    <cfRule type="containsText" dxfId="498" priority="195" operator="containsText" text="FL">
      <formula>NOT(ISERROR(SEARCH("FL",W81)))</formula>
    </cfRule>
    <cfRule type="containsText" dxfId="497" priority="200" operator="containsText" text="AL">
      <formula>NOT(ISERROR(SEARCH("AL",W81)))</formula>
    </cfRule>
    <cfRule type="containsText" dxfId="496" priority="198" operator="containsText" text="Sick">
      <formula>NOT(ISERROR(SEARCH("Sick",W81)))</formula>
    </cfRule>
    <cfRule type="containsText" dxfId="495" priority="197" operator="containsText" text="AB">
      <formula>NOT(ISERROR(SEARCH("AB",W81)))</formula>
    </cfRule>
    <cfRule type="containsText" dxfId="494" priority="196" operator="containsText" text="MC">
      <formula>NOT(ISERROR(SEARCH("MC",W81)))</formula>
    </cfRule>
  </conditionalFormatting>
  <conditionalFormatting sqref="W88:X88">
    <cfRule type="containsText" dxfId="493" priority="183" operator="containsText" text="EL">
      <formula>NOT(ISERROR(SEARCH("EL",W88)))</formula>
    </cfRule>
    <cfRule type="containsText" dxfId="492" priority="189" operator="containsText" text="Sick">
      <formula>NOT(ISERROR(SEARCH("Sick",W88)))</formula>
    </cfRule>
    <cfRule type="containsText" dxfId="491" priority="191" operator="containsText" text="AL">
      <formula>NOT(ISERROR(SEARCH("AL",W88)))</formula>
    </cfRule>
    <cfRule type="containsText" dxfId="490" priority="190" operator="containsText" text="OFF">
      <formula>NOT(ISERROR(SEARCH("OFF",W88)))</formula>
    </cfRule>
    <cfRule type="containsText" dxfId="489" priority="188" operator="containsText" text="AB">
      <formula>NOT(ISERROR(SEARCH("AB",W88)))</formula>
    </cfRule>
    <cfRule type="containsText" dxfId="488" priority="187" operator="containsText" text="MC">
      <formula>NOT(ISERROR(SEARCH("MC",W88)))</formula>
    </cfRule>
    <cfRule type="containsText" dxfId="487" priority="186" operator="containsText" text="FL">
      <formula>NOT(ISERROR(SEARCH("FL",W88)))</formula>
    </cfRule>
    <cfRule type="containsText" dxfId="486" priority="185" operator="containsText" text="SUS">
      <formula>NOT(ISERROR(SEARCH("SUS",W88)))</formula>
    </cfRule>
    <cfRule type="containsText" dxfId="485" priority="184" operator="containsText" text="AB">
      <formula>NOT(ISERROR(SEARCH("AB",W88)))</formula>
    </cfRule>
  </conditionalFormatting>
  <conditionalFormatting sqref="W90:X90">
    <cfRule type="containsText" dxfId="484" priority="182" operator="containsText" text="AL">
      <formula>NOT(ISERROR(SEARCH("AL",W90)))</formula>
    </cfRule>
    <cfRule type="containsText" dxfId="483" priority="181" operator="containsText" text="OFF">
      <formula>NOT(ISERROR(SEARCH("OFF",W90)))</formula>
    </cfRule>
    <cfRule type="containsText" dxfId="482" priority="179" operator="containsText" text="AB">
      <formula>NOT(ISERROR(SEARCH("AB",W90)))</formula>
    </cfRule>
    <cfRule type="containsText" dxfId="481" priority="178" operator="containsText" text="MC">
      <formula>NOT(ISERROR(SEARCH("MC",W90)))</formula>
    </cfRule>
    <cfRule type="containsText" dxfId="480" priority="177" operator="containsText" text="FL">
      <formula>NOT(ISERROR(SEARCH("FL",W90)))</formula>
    </cfRule>
    <cfRule type="containsText" dxfId="479" priority="176" operator="containsText" text="SUS">
      <formula>NOT(ISERROR(SEARCH("SUS",W90)))</formula>
    </cfRule>
    <cfRule type="containsText" dxfId="478" priority="175" operator="containsText" text="AB">
      <formula>NOT(ISERROR(SEARCH("AB",W90)))</formula>
    </cfRule>
    <cfRule type="containsText" dxfId="477" priority="174" operator="containsText" text="EL">
      <formula>NOT(ISERROR(SEARCH("EL",W90)))</formula>
    </cfRule>
    <cfRule type="containsText" dxfId="476" priority="180" operator="containsText" text="Sick">
      <formula>NOT(ISERROR(SEARCH("Sick",W90)))</formula>
    </cfRule>
  </conditionalFormatting>
  <conditionalFormatting sqref="W92:X92">
    <cfRule type="containsText" dxfId="475" priority="173" operator="containsText" text="AL">
      <formula>NOT(ISERROR(SEARCH("AL",W92)))</formula>
    </cfRule>
    <cfRule type="containsText" dxfId="474" priority="172" operator="containsText" text="OFF">
      <formula>NOT(ISERROR(SEARCH("OFF",W92)))</formula>
    </cfRule>
    <cfRule type="containsText" dxfId="473" priority="167" operator="containsText" text="SUS">
      <formula>NOT(ISERROR(SEARCH("SUS",W92)))</formula>
    </cfRule>
    <cfRule type="containsText" dxfId="472" priority="165" operator="containsText" text="EL">
      <formula>NOT(ISERROR(SEARCH("EL",W92)))</formula>
    </cfRule>
    <cfRule type="containsText" dxfId="471" priority="166" operator="containsText" text="AB">
      <formula>NOT(ISERROR(SEARCH("AB",W92)))</formula>
    </cfRule>
    <cfRule type="containsText" dxfId="470" priority="168" operator="containsText" text="FL">
      <formula>NOT(ISERROR(SEARCH("FL",W92)))</formula>
    </cfRule>
    <cfRule type="containsText" dxfId="469" priority="169" operator="containsText" text="MC">
      <formula>NOT(ISERROR(SEARCH("MC",W92)))</formula>
    </cfRule>
    <cfRule type="containsText" dxfId="468" priority="170" operator="containsText" text="AB">
      <formula>NOT(ISERROR(SEARCH("AB",W92)))</formula>
    </cfRule>
    <cfRule type="containsText" dxfId="467" priority="171" operator="containsText" text="Sick">
      <formula>NOT(ISERROR(SEARCH("Sick",W92)))</formula>
    </cfRule>
  </conditionalFormatting>
  <conditionalFormatting sqref="W94:X96">
    <cfRule type="containsText" dxfId="466" priority="161" operator="containsText" text="AB">
      <formula>NOT(ISERROR(SEARCH("AB",W94)))</formula>
    </cfRule>
    <cfRule type="containsText" dxfId="465" priority="162" operator="containsText" text="Sick">
      <formula>NOT(ISERROR(SEARCH("Sick",W94)))</formula>
    </cfRule>
    <cfRule type="containsText" dxfId="464" priority="163" operator="containsText" text="OFF">
      <formula>NOT(ISERROR(SEARCH("OFF",W94)))</formula>
    </cfRule>
    <cfRule type="containsText" dxfId="463" priority="164" operator="containsText" text="AL">
      <formula>NOT(ISERROR(SEARCH("AL",W94)))</formula>
    </cfRule>
    <cfRule type="containsText" dxfId="462" priority="160" operator="containsText" text="MC">
      <formula>NOT(ISERROR(SEARCH("MC",W94)))</formula>
    </cfRule>
    <cfRule type="containsText" dxfId="461" priority="156" operator="containsText" text="EL">
      <formula>NOT(ISERROR(SEARCH("EL",W94)))</formula>
    </cfRule>
    <cfRule type="containsText" dxfId="460" priority="157" operator="containsText" text="AB">
      <formula>NOT(ISERROR(SEARCH("AB",W94)))</formula>
    </cfRule>
    <cfRule type="containsText" dxfId="459" priority="158" operator="containsText" text="SUS">
      <formula>NOT(ISERROR(SEARCH("SUS",W94)))</formula>
    </cfRule>
    <cfRule type="containsText" dxfId="458" priority="159" operator="containsText" text="FL">
      <formula>NOT(ISERROR(SEARCH("FL",W94)))</formula>
    </cfRule>
  </conditionalFormatting>
  <conditionalFormatting sqref="W127:AT127 AJ128 AO128:AT128 AJ129:AT129 AO130:AT130 AJ130:AJ132 AQ132:AT132">
    <cfRule type="containsText" dxfId="457" priority="1282" operator="containsText" text="OFF">
      <formula>NOT(ISERROR(SEARCH("OFF",W127)))</formula>
    </cfRule>
    <cfRule type="containsText" dxfId="456" priority="1285" operator="containsText" text="AL">
      <formula>NOT(ISERROR(SEARCH("AL",W127)))</formula>
    </cfRule>
  </conditionalFormatting>
  <conditionalFormatting sqref="X11">
    <cfRule type="containsText" dxfId="455" priority="31" operator="containsText" text="SUS">
      <formula>NOT(ISERROR(SEARCH("SUS",X11)))</formula>
    </cfRule>
    <cfRule type="containsText" dxfId="454" priority="34" operator="containsText" text="AB">
      <formula>NOT(ISERROR(SEARCH("AB",X11)))</formula>
    </cfRule>
    <cfRule type="containsText" dxfId="453" priority="32" operator="containsText" text="FL">
      <formula>NOT(ISERROR(SEARCH("FL",X11)))</formula>
    </cfRule>
    <cfRule type="containsText" dxfId="452" priority="33" operator="containsText" text="MC">
      <formula>NOT(ISERROR(SEARCH("MC",X11)))</formula>
    </cfRule>
    <cfRule type="containsText" dxfId="451" priority="35" operator="containsText" text="Sick">
      <formula>NOT(ISERROR(SEARCH("Sick",X11)))</formula>
    </cfRule>
    <cfRule type="containsText" dxfId="450" priority="36" operator="containsText" text="OFF">
      <formula>NOT(ISERROR(SEARCH("OFF",X11)))</formula>
    </cfRule>
    <cfRule type="containsText" dxfId="449" priority="37" operator="containsText" text="AL">
      <formula>NOT(ISERROR(SEARCH("AL",X11)))</formula>
    </cfRule>
  </conditionalFormatting>
  <conditionalFormatting sqref="Y11">
    <cfRule type="containsText" dxfId="448" priority="52" operator="containsText" text="AB">
      <formula>NOT(ISERROR(SEARCH("AB",Y11)))</formula>
    </cfRule>
    <cfRule type="containsText" dxfId="447" priority="53" operator="containsText" text="SICK">
      <formula>NOT(ISERROR(SEARCH("SICK",Y11)))</formula>
    </cfRule>
    <cfRule type="containsText" dxfId="446" priority="49" operator="containsText" text="EL">
      <formula>NOT(ISERROR(SEARCH("EL",Y11)))</formula>
    </cfRule>
    <cfRule type="containsText" dxfId="445" priority="45" operator="containsText" text="SP">
      <formula>NOT(ISERROR(SEARCH("SP",Y11)))</formula>
    </cfRule>
    <cfRule type="containsText" dxfId="444" priority="46" operator="containsText" text="NL">
      <formula>NOT(ISERROR(SEARCH("NL",Y11)))</formula>
    </cfRule>
    <cfRule type="containsText" dxfId="443" priority="47" operator="containsText" text="SUS">
      <formula>NOT(ISERROR(SEARCH("SUS",Y11)))</formula>
    </cfRule>
    <cfRule type="containsText" dxfId="442" priority="48" operator="containsText" text="FL">
      <formula>NOT(ISERROR(SEARCH("FL",Y11)))</formula>
    </cfRule>
    <cfRule type="containsText" dxfId="441" priority="54" operator="containsText" text="AL">
      <formula>NOT(ISERROR(SEARCH("AL",Y11)))</formula>
    </cfRule>
    <cfRule type="containsText" dxfId="440" priority="50" operator="containsText" text="MC">
      <formula>NOT(ISERROR(SEARCH("MC",Y11)))</formula>
    </cfRule>
    <cfRule type="containsText" dxfId="439" priority="51" operator="containsText" text="OFF">
      <formula>NOT(ISERROR(SEARCH("OFF",Y11)))</formula>
    </cfRule>
  </conditionalFormatting>
  <conditionalFormatting sqref="Y126:AI126">
    <cfRule type="containsText" dxfId="438" priority="1289" operator="containsText" text="FL">
      <formula>NOT(ISERROR(SEARCH("FL",Y126)))</formula>
    </cfRule>
    <cfRule type="containsText" dxfId="437" priority="1287" operator="containsText" text="AB">
      <formula>NOT(ISERROR(SEARCH("AB",Y126)))</formula>
    </cfRule>
    <cfRule type="containsText" dxfId="436" priority="1286" operator="containsText" text="EL">
      <formula>NOT(ISERROR(SEARCH("EL",Y126)))</formula>
    </cfRule>
    <cfRule type="containsText" dxfId="435" priority="1288" operator="containsText" text="SUS">
      <formula>NOT(ISERROR(SEARCH("SUS",Y126)))</formula>
    </cfRule>
  </conditionalFormatting>
  <conditionalFormatting sqref="AA70:AB70">
    <cfRule type="containsText" dxfId="434" priority="116" operator="containsText" text="AB">
      <formula>NOT(ISERROR(SEARCH("AB",AA70)))</formula>
    </cfRule>
    <cfRule type="containsText" dxfId="433" priority="117" operator="containsText" text="SICK">
      <formula>NOT(ISERROR(SEARCH("SICK",AA70)))</formula>
    </cfRule>
    <cfRule type="containsText" dxfId="432" priority="115" operator="containsText" text="OFF">
      <formula>NOT(ISERROR(SEARCH("OFF",AA70)))</formula>
    </cfRule>
    <cfRule type="containsText" dxfId="431" priority="118" operator="containsText" text="AL">
      <formula>NOT(ISERROR(SEARCH("AL",AA70)))</formula>
    </cfRule>
    <cfRule type="containsText" dxfId="430" priority="111" operator="containsText" text="SUS">
      <formula>NOT(ISERROR(SEARCH("SUS",AA70)))</formula>
    </cfRule>
    <cfRule type="containsText" dxfId="429" priority="114" operator="containsText" text="MC">
      <formula>NOT(ISERROR(SEARCH("MC",AA70)))</formula>
    </cfRule>
    <cfRule type="containsText" dxfId="428" priority="113" operator="containsText" text="EL">
      <formula>NOT(ISERROR(SEARCH("EL",AA70)))</formula>
    </cfRule>
    <cfRule type="containsText" dxfId="427" priority="109" operator="containsText" text="SP">
      <formula>NOT(ISERROR(SEARCH("SP",AA70)))</formula>
    </cfRule>
    <cfRule type="containsText" dxfId="426" priority="110" operator="containsText" text="NL">
      <formula>NOT(ISERROR(SEARCH("NL",AA70)))</formula>
    </cfRule>
    <cfRule type="containsText" dxfId="425" priority="112" operator="containsText" text="FL">
      <formula>NOT(ISERROR(SEARCH("FL",AA70)))</formula>
    </cfRule>
  </conditionalFormatting>
  <conditionalFormatting sqref="AA133:AB133">
    <cfRule type="containsText" dxfId="424" priority="1077" operator="containsText" text="EL">
      <formula>NOT(ISERROR(SEARCH("EL",AA133)))</formula>
    </cfRule>
    <cfRule type="containsText" dxfId="423" priority="1082" operator="containsText" text="AB">
      <formula>NOT(ISERROR(SEARCH("AB",AA133)))</formula>
    </cfRule>
    <cfRule type="containsText" dxfId="422" priority="1083" operator="containsText" text="Sick">
      <formula>NOT(ISERROR(SEARCH("Sick",AA133)))</formula>
    </cfRule>
    <cfRule type="containsText" dxfId="421" priority="1085" operator="containsText" text="AL">
      <formula>NOT(ISERROR(SEARCH("AL",AA133)))</formula>
    </cfRule>
    <cfRule type="containsText" dxfId="420" priority="1079" operator="containsText" text="SUS">
      <formula>NOT(ISERROR(SEARCH("SUS",AA133)))</formula>
    </cfRule>
    <cfRule type="containsText" dxfId="419" priority="1081" operator="containsText" text="MC">
      <formula>NOT(ISERROR(SEARCH("MC",AA133)))</formula>
    </cfRule>
    <cfRule type="containsText" dxfId="418" priority="1080" operator="containsText" text="FL">
      <formula>NOT(ISERROR(SEARCH("FL",AA133)))</formula>
    </cfRule>
    <cfRule type="containsText" dxfId="417" priority="1078" operator="containsText" text="AB">
      <formula>NOT(ISERROR(SEARCH("AB",AA133)))</formula>
    </cfRule>
    <cfRule type="containsText" dxfId="416" priority="1084" operator="containsText" text="OFF">
      <formula>NOT(ISERROR(SEARCH("OFF",AA133)))</formula>
    </cfRule>
  </conditionalFormatting>
  <conditionalFormatting sqref="AA11:AC11">
    <cfRule type="containsText" dxfId="415" priority="6" operator="containsText" text="SUS">
      <formula>NOT(ISERROR(SEARCH("SUS",AA11)))</formula>
    </cfRule>
    <cfRule type="containsText" dxfId="414" priority="7" operator="containsText" text="FL">
      <formula>NOT(ISERROR(SEARCH("FL",AA11)))</formula>
    </cfRule>
    <cfRule type="containsText" dxfId="413" priority="4" operator="containsText" text="SP">
      <formula>NOT(ISERROR(SEARCH("SP",AA11)))</formula>
    </cfRule>
    <cfRule type="containsText" dxfId="412" priority="11" operator="containsText" text="AB">
      <formula>NOT(ISERROR(SEARCH("AB",AA11)))</formula>
    </cfRule>
    <cfRule type="containsText" dxfId="411" priority="13" operator="containsText" text="AL">
      <formula>NOT(ISERROR(SEARCH("AL",AA11)))</formula>
    </cfRule>
    <cfRule type="containsText" dxfId="410" priority="5" operator="containsText" text="NL">
      <formula>NOT(ISERROR(SEARCH("NL",AA11)))</formula>
    </cfRule>
    <cfRule type="containsText" dxfId="409" priority="12" operator="containsText" text="SICK">
      <formula>NOT(ISERROR(SEARCH("SICK",AA11)))</formula>
    </cfRule>
    <cfRule type="containsText" dxfId="408" priority="10" operator="containsText" text="OFF">
      <formula>NOT(ISERROR(SEARCH("OFF",AA11)))</formula>
    </cfRule>
    <cfRule type="containsText" dxfId="407" priority="9" operator="containsText" text="MC">
      <formula>NOT(ISERROR(SEARCH("MC",AA11)))</formula>
    </cfRule>
    <cfRule type="containsText" dxfId="406" priority="8" operator="containsText" text="EL">
      <formula>NOT(ISERROR(SEARCH("EL",AA11)))</formula>
    </cfRule>
  </conditionalFormatting>
  <conditionalFormatting sqref="AC90:AH90">
    <cfRule type="containsText" dxfId="405" priority="127" operator="containsText" text="SICK">
      <formula>NOT(ISERROR(SEARCH("SICK",AC90)))</formula>
    </cfRule>
    <cfRule type="containsText" dxfId="404" priority="123" operator="containsText" text="EL">
      <formula>NOT(ISERROR(SEARCH("EL",AC90)))</formula>
    </cfRule>
    <cfRule type="containsText" dxfId="403" priority="126" operator="containsText" text="AB">
      <formula>NOT(ISERROR(SEARCH("AB",AC90)))</formula>
    </cfRule>
    <cfRule type="containsText" dxfId="402" priority="124" operator="containsText" text="MC">
      <formula>NOT(ISERROR(SEARCH("MC",AC90)))</formula>
    </cfRule>
    <cfRule type="containsText" dxfId="401" priority="125" operator="containsText" text="OFF">
      <formula>NOT(ISERROR(SEARCH("OFF",AC90)))</formula>
    </cfRule>
    <cfRule type="containsText" dxfId="400" priority="128" operator="containsText" text="AL">
      <formula>NOT(ISERROR(SEARCH("AL",AC90)))</formula>
    </cfRule>
    <cfRule type="containsText" dxfId="399" priority="119" operator="containsText" text="SP">
      <formula>NOT(ISERROR(SEARCH("SP",AC90)))</formula>
    </cfRule>
    <cfRule type="containsText" dxfId="398" priority="120" operator="containsText" text="NL">
      <formula>NOT(ISERROR(SEARCH("NL",AC90)))</formula>
    </cfRule>
    <cfRule type="containsText" dxfId="397" priority="121" operator="containsText" text="SUS">
      <formula>NOT(ISERROR(SEARCH("SUS",AC90)))</formula>
    </cfRule>
    <cfRule type="containsText" dxfId="396" priority="122" operator="containsText" text="FL">
      <formula>NOT(ISERROR(SEARCH("FL",AC90)))</formula>
    </cfRule>
  </conditionalFormatting>
  <conditionalFormatting sqref="AG132">
    <cfRule type="containsText" dxfId="395" priority="1121" operator="containsText" text="AB">
      <formula>NOT(ISERROR(SEARCH("AB",AG132)))</formula>
    </cfRule>
  </conditionalFormatting>
  <conditionalFormatting sqref="AG36:AH36">
    <cfRule type="containsText" dxfId="394" priority="100" operator="containsText" text="NL">
      <formula>NOT(ISERROR(SEARCH("NL",AG36)))</formula>
    </cfRule>
    <cfRule type="containsText" dxfId="393" priority="99" operator="containsText" text="SP">
      <formula>NOT(ISERROR(SEARCH("SP",AG36)))</formula>
    </cfRule>
    <cfRule type="containsText" dxfId="392" priority="105" operator="containsText" text="OFF">
      <formula>NOT(ISERROR(SEARCH("OFF",AG36)))</formula>
    </cfRule>
    <cfRule type="containsText" dxfId="391" priority="102" operator="containsText" text="FL">
      <formula>NOT(ISERROR(SEARCH("FL",AG36)))</formula>
    </cfRule>
    <cfRule type="containsText" dxfId="390" priority="108" operator="containsText" text="AL">
      <formula>NOT(ISERROR(SEARCH("AL",AG36)))</formula>
    </cfRule>
    <cfRule type="containsText" dxfId="389" priority="107" operator="containsText" text="SICK">
      <formula>NOT(ISERROR(SEARCH("SICK",AG36)))</formula>
    </cfRule>
    <cfRule type="containsText" dxfId="388" priority="106" operator="containsText" text="AB">
      <formula>NOT(ISERROR(SEARCH("AB",AG36)))</formula>
    </cfRule>
    <cfRule type="containsText" dxfId="387" priority="101" operator="containsText" text="SUS">
      <formula>NOT(ISERROR(SEARCH("SUS",AG36)))</formula>
    </cfRule>
    <cfRule type="containsText" dxfId="386" priority="104" operator="containsText" text="MC">
      <formula>NOT(ISERROR(SEARCH("MC",AG36)))</formula>
    </cfRule>
    <cfRule type="containsText" dxfId="385" priority="103" operator="containsText" text="EL">
      <formula>NOT(ISERROR(SEARCH("EL",AG36)))</formula>
    </cfRule>
  </conditionalFormatting>
  <conditionalFormatting sqref="AG129:AI132">
    <cfRule type="containsText" dxfId="384" priority="1120" operator="containsText" text="MC">
      <formula>NOT(ISERROR(SEARCH("MC",AG129)))</formula>
    </cfRule>
  </conditionalFormatting>
  <conditionalFormatting sqref="AG129:AI133">
    <cfRule type="containsText" dxfId="383" priority="1016" operator="containsText" text="EL">
      <formula>NOT(ISERROR(SEARCH("EL",AG129)))</formula>
    </cfRule>
  </conditionalFormatting>
  <conditionalFormatting sqref="AG132:AI132">
    <cfRule type="containsText" dxfId="382" priority="1118" operator="containsText" text="SUS">
      <formula>NOT(ISERROR(SEARCH("SUS",AG132)))</formula>
    </cfRule>
    <cfRule type="containsText" dxfId="381" priority="1124" operator="containsText" text="AL">
      <formula>NOT(ISERROR(SEARCH("AL",AG132)))</formula>
    </cfRule>
    <cfRule type="containsText" dxfId="380" priority="1123" operator="containsText" text="OFF">
      <formula>NOT(ISERROR(SEARCH("OFF",AG132)))</formula>
    </cfRule>
    <cfRule type="containsText" dxfId="379" priority="1122" operator="containsText" text="Sick">
      <formula>NOT(ISERROR(SEARCH("Sick",AG132)))</formula>
    </cfRule>
    <cfRule type="containsText" dxfId="378" priority="1119" operator="containsText" text="FL">
      <formula>NOT(ISERROR(SEARCH("FL",AG132)))</formula>
    </cfRule>
  </conditionalFormatting>
  <conditionalFormatting sqref="AG133:AI133">
    <cfRule type="containsText" dxfId="377" priority="1012" operator="containsText" text="SP">
      <formula>NOT(ISERROR(SEARCH("SP",AG133)))</formula>
    </cfRule>
    <cfRule type="containsText" dxfId="376" priority="1013" operator="containsText" text="NL">
      <formula>NOT(ISERROR(SEARCH("NL",AG133)))</formula>
    </cfRule>
    <cfRule type="containsText" dxfId="375" priority="1015" operator="containsText" text="FL">
      <formula>NOT(ISERROR(SEARCH("FL",AG133)))</formula>
    </cfRule>
    <cfRule type="containsText" dxfId="374" priority="1014" operator="containsText" text="SUS">
      <formula>NOT(ISERROR(SEARCH("SUS",AG133)))</formula>
    </cfRule>
    <cfRule type="containsText" dxfId="373" priority="1017" operator="containsText" text="MC">
      <formula>NOT(ISERROR(SEARCH("MC",AG133)))</formula>
    </cfRule>
    <cfRule type="containsText" dxfId="372" priority="1018" operator="containsText" text="OFF">
      <formula>NOT(ISERROR(SEARCH("OFF",AG133)))</formula>
    </cfRule>
    <cfRule type="containsText" dxfId="371" priority="1019" operator="containsText" text="AB">
      <formula>NOT(ISERROR(SEARCH("AB",AG133)))</formula>
    </cfRule>
    <cfRule type="containsText" dxfId="370" priority="1020" operator="containsText" text="SICK">
      <formula>NOT(ISERROR(SEARCH("SICK",AG133)))</formula>
    </cfRule>
    <cfRule type="containsText" dxfId="369" priority="1021" operator="containsText" text="AL">
      <formula>NOT(ISERROR(SEARCH("AL",AG133)))</formula>
    </cfRule>
  </conditionalFormatting>
  <conditionalFormatting sqref="AH122:AI122">
    <cfRule type="containsText" dxfId="368" priority="1336" stopIfTrue="1" operator="containsText" text="Sick">
      <formula>NOT(ISERROR(SEARCH("Sick",AH122)))</formula>
    </cfRule>
    <cfRule type="containsText" dxfId="367" priority="1335" stopIfTrue="1" operator="containsText" text="MC">
      <formula>NOT(ISERROR(SEARCH("MC",AH122)))</formula>
    </cfRule>
    <cfRule type="containsText" dxfId="366" priority="1329" stopIfTrue="1" operator="containsText" text="AB">
      <formula>NOT(ISERROR(SEARCH("AB",AH122)))</formula>
    </cfRule>
  </conditionalFormatting>
  <conditionalFormatting sqref="AI59 W127:AI127 E127:F129">
    <cfRule type="containsText" dxfId="365" priority="1135" operator="containsText" text="AB">
      <formula>NOT(ISERROR(SEARCH("AB",E59)))</formula>
    </cfRule>
    <cfRule type="containsText" dxfId="364" priority="1134" operator="containsText" text="EL">
      <formula>NOT(ISERROR(SEARCH("EL",E59)))</formula>
    </cfRule>
  </conditionalFormatting>
  <conditionalFormatting sqref="AI59:AJ59">
    <cfRule type="containsText" dxfId="363" priority="807" operator="containsText" text="AL">
      <formula>NOT(ISERROR(SEARCH("AL",AI59)))</formula>
    </cfRule>
    <cfRule type="containsText" dxfId="362" priority="806" operator="containsText" text="SICK">
      <formula>NOT(ISERROR(SEARCH("SICK",AI59)))</formula>
    </cfRule>
    <cfRule type="containsText" dxfId="361" priority="805" operator="containsText" text="OFF">
      <formula>NOT(ISERROR(SEARCH("OFF",AI59)))</formula>
    </cfRule>
    <cfRule type="containsText" dxfId="360" priority="804" operator="containsText" text="MC">
      <formula>NOT(ISERROR(SEARCH("MC",AI59)))</formula>
    </cfRule>
    <cfRule type="containsText" dxfId="359" priority="803" operator="containsText" text="FL">
      <formula>NOT(ISERROR(SEARCH("FL",AI59)))</formula>
    </cfRule>
    <cfRule type="containsText" dxfId="358" priority="800" operator="containsText" text="SP">
      <formula>NOT(ISERROR(SEARCH("SP",AI59)))</formula>
    </cfRule>
    <cfRule type="containsText" dxfId="357" priority="802" operator="containsText" text="SUS">
      <formula>NOT(ISERROR(SEARCH("SUS",AI59)))</formula>
    </cfRule>
    <cfRule type="containsText" dxfId="356" priority="801" operator="containsText" text="NL">
      <formula>NOT(ISERROR(SEARCH("NL",AI59)))</formula>
    </cfRule>
  </conditionalFormatting>
  <conditionalFormatting sqref="AJ5 Y126:AT126 E131:F131">
    <cfRule type="containsText" dxfId="355" priority="1292" operator="containsText" text="Sick">
      <formula>NOT(ISERROR(SEARCH("Sick",E5)))</formula>
    </cfRule>
    <cfRule type="containsText" dxfId="354" priority="1294" operator="containsText" text="AL">
      <formula>NOT(ISERROR(SEARCH("AL",E5)))</formula>
    </cfRule>
    <cfRule type="containsText" dxfId="353" priority="1293" operator="containsText" text="OFF">
      <formula>NOT(ISERROR(SEARCH("OFF",E5)))</formula>
    </cfRule>
  </conditionalFormatting>
  <conditionalFormatting sqref="AJ5 Y126:AT126 W127:AT127 AO128:AT128 AJ129:AT129 AO130:AT130 AJ130:AJ132 AQ132:AT132">
    <cfRule type="containsText" dxfId="352" priority="1145" operator="containsText" text="NL">
      <formula>NOT(ISERROR(SEARCH("NL",W5)))</formula>
    </cfRule>
  </conditionalFormatting>
  <conditionalFormatting sqref="AJ5 AJ126:AT127 AO128:AT128 AJ129:AT129 AO130:AT130 AQ132:AT132">
    <cfRule type="containsText" dxfId="351" priority="1086" operator="containsText" text="EL">
      <formula>NOT(ISERROR(SEARCH("EL",AJ5)))</formula>
    </cfRule>
  </conditionalFormatting>
  <conditionalFormatting sqref="AJ106:AJ109">
    <cfRule type="containsText" priority="1331" stopIfTrue="1" operator="containsText" text="SP">
      <formula>NOT(ISERROR(SEARCH("SP",AJ106)))</formula>
    </cfRule>
    <cfRule type="containsText" dxfId="350" priority="1334" stopIfTrue="1" operator="containsText" text="AB">
      <formula>NOT(ISERROR(SEARCH("AB",AJ106)))</formula>
    </cfRule>
    <cfRule type="containsText" dxfId="349" priority="1330" stopIfTrue="1" operator="containsText" text="SP">
      <formula>NOT(ISERROR(SEARCH("SP",AJ106)))</formula>
    </cfRule>
    <cfRule type="containsText" dxfId="348" priority="1333" stopIfTrue="1" operator="containsText" text="HD">
      <formula>NOT(ISERROR(SEARCH("HD",AJ106)))</formula>
    </cfRule>
    <cfRule type="containsText" dxfId="347" priority="1328" stopIfTrue="1" operator="containsText" text="SICK">
      <formula>NOT(ISERROR(SEARCH("SICK",AJ106)))</formula>
    </cfRule>
    <cfRule type="containsText" dxfId="346" priority="1332" stopIfTrue="1" operator="containsText" text="AB">
      <formula>NOT(ISERROR(SEARCH("AB",AJ106)))</formula>
    </cfRule>
  </conditionalFormatting>
  <conditionalFormatting sqref="AJ128 AG129:AI131 AJ5 AJ126:AT127 W127:AI127">
    <cfRule type="containsText" dxfId="345" priority="1278" operator="containsText" text="SUS">
      <formula>NOT(ISERROR(SEARCH("SUS",W5)))</formula>
    </cfRule>
    <cfRule type="containsText" dxfId="344" priority="1279" operator="containsText" text="FL">
      <formula>NOT(ISERROR(SEARCH("FL",W5)))</formula>
    </cfRule>
  </conditionalFormatting>
  <conditionalFormatting sqref="AJ128 AJ130:AJ131">
    <cfRule type="containsText" dxfId="343" priority="1280" operator="containsText" text="EL">
      <formula>NOT(ISERROR(SEARCH("EL",AJ128)))</formula>
    </cfRule>
    <cfRule type="containsText" dxfId="342" priority="1283" operator="containsText" text="AB">
      <formula>NOT(ISERROR(SEARCH("AB",AJ128)))</formula>
    </cfRule>
  </conditionalFormatting>
  <conditionalFormatting sqref="AJ128 AJ130:AJ132 W127:AT127 AO128:AT128 AJ129:AT129 AO130:AT130 AQ132:AT132">
    <cfRule type="containsText" dxfId="341" priority="1284" operator="containsText" text="SICK">
      <formula>NOT(ISERROR(SEARCH("SICK",W127)))</formula>
    </cfRule>
  </conditionalFormatting>
  <conditionalFormatting sqref="AJ128 AJ130:AJ132 AJ5 Y126:AT126 W127:AT127 AO128:AT128 AJ129:AT129 AO130:AT130 AQ132:AT132">
    <cfRule type="containsText" dxfId="340" priority="1281" operator="containsText" text="MC">
      <formula>NOT(ISERROR(SEARCH("MC",W5)))</formula>
    </cfRule>
  </conditionalFormatting>
  <conditionalFormatting sqref="AJ128">
    <cfRule type="containsText" dxfId="339" priority="1277" operator="containsText" text="NL">
      <formula>NOT(ISERROR(SEARCH("NL",AJ128)))</formula>
    </cfRule>
    <cfRule type="containsText" dxfId="338" priority="1276" operator="containsText" text="SP">
      <formula>NOT(ISERROR(SEARCH("SP",AJ128)))</formula>
    </cfRule>
  </conditionalFormatting>
  <conditionalFormatting sqref="AJ130:AJ132 W127:AT127 AO128:AT128 AJ129:AT129 AO130:AT130 AQ132:AT132 AJ5 Y126:AT126">
    <cfRule type="containsText" dxfId="337" priority="1144" operator="containsText" text="SP">
      <formula>NOT(ISERROR(SEARCH("SP",W5)))</formula>
    </cfRule>
  </conditionalFormatting>
  <conditionalFormatting sqref="AJ132">
    <cfRule type="containsText" dxfId="336" priority="1136" operator="containsText" text="EL">
      <formula>NOT(ISERROR(SEARCH("EL",AJ132)))</formula>
    </cfRule>
  </conditionalFormatting>
  <conditionalFormatting sqref="AJ59:AL59">
    <cfRule type="containsText" dxfId="335" priority="797" operator="containsText" text="AB">
      <formula>NOT(ISERROR(SEARCH("AB",AJ59)))</formula>
    </cfRule>
    <cfRule type="containsText" dxfId="334" priority="794" operator="containsText" text="EL">
      <formula>NOT(ISERROR(SEARCH("EL",AJ59)))</formula>
    </cfRule>
  </conditionalFormatting>
  <conditionalFormatting sqref="AK59:AL59">
    <cfRule type="containsText" dxfId="333" priority="796" operator="containsText" text="OFF">
      <formula>NOT(ISERROR(SEARCH("OFF",AK59)))</formula>
    </cfRule>
    <cfRule type="containsText" dxfId="332" priority="792" operator="containsText" text="SUS">
      <formula>NOT(ISERROR(SEARCH("SUS",AK59)))</formula>
    </cfRule>
    <cfRule type="containsText" dxfId="331" priority="791" operator="containsText" text="NL">
      <formula>NOT(ISERROR(SEARCH("NL",AK59)))</formula>
    </cfRule>
    <cfRule type="containsText" dxfId="330" priority="798" operator="containsText" text="SICK">
      <formula>NOT(ISERROR(SEARCH("SICK",AK59)))</formula>
    </cfRule>
    <cfRule type="containsText" dxfId="329" priority="790" operator="containsText" text="SP">
      <formula>NOT(ISERROR(SEARCH("SP",AK59)))</formula>
    </cfRule>
    <cfRule type="containsText" dxfId="328" priority="795" operator="containsText" text="MC">
      <formula>NOT(ISERROR(SEARCH("MC",AK59)))</formula>
    </cfRule>
    <cfRule type="containsText" dxfId="327" priority="799" operator="containsText" text="AL">
      <formula>NOT(ISERROR(SEARCH("AL",AK59)))</formula>
    </cfRule>
    <cfRule type="containsText" dxfId="326" priority="793" operator="containsText" text="FL">
      <formula>NOT(ISERROR(SEARCH("FL",AK59)))</formula>
    </cfRule>
  </conditionalFormatting>
  <conditionalFormatting sqref="AK73:AL73">
    <cfRule type="containsText" dxfId="325" priority="986" operator="containsText" text="EL">
      <formula>NOT(ISERROR(SEARCH("EL",AK73)))</formula>
    </cfRule>
    <cfRule type="containsText" dxfId="324" priority="988" operator="containsText" text="OFF">
      <formula>NOT(ISERROR(SEARCH("OFF",AK73)))</formula>
    </cfRule>
    <cfRule type="containsText" dxfId="323" priority="989" operator="containsText" text="AB">
      <formula>NOT(ISERROR(SEARCH("AB",AK73)))</formula>
    </cfRule>
    <cfRule type="containsText" dxfId="322" priority="990" operator="containsText" text="SICK">
      <formula>NOT(ISERROR(SEARCH("SICK",AK73)))</formula>
    </cfRule>
    <cfRule type="containsText" dxfId="321" priority="991" operator="containsText" text="AL">
      <formula>NOT(ISERROR(SEARCH("AL",AK73)))</formula>
    </cfRule>
    <cfRule type="containsText" dxfId="320" priority="983" operator="containsText" text="NL">
      <formula>NOT(ISERROR(SEARCH("NL",AK73)))</formula>
    </cfRule>
    <cfRule type="containsText" dxfId="319" priority="982" operator="containsText" text="SP">
      <formula>NOT(ISERROR(SEARCH("SP",AK73)))</formula>
    </cfRule>
    <cfRule type="containsText" dxfId="318" priority="987" operator="containsText" text="MC">
      <formula>NOT(ISERROR(SEARCH("MC",AK73)))</formula>
    </cfRule>
    <cfRule type="containsText" dxfId="317" priority="984" operator="containsText" text="SUS">
      <formula>NOT(ISERROR(SEARCH("SUS",AK73)))</formula>
    </cfRule>
    <cfRule type="containsText" dxfId="316" priority="985" operator="containsText" text="FL">
      <formula>NOT(ISERROR(SEARCH("FL",AK73)))</formula>
    </cfRule>
  </conditionalFormatting>
  <conditionalFormatting sqref="AK85:AN85">
    <cfRule type="containsText" dxfId="315" priority="969" operator="containsText" text="Sick">
      <formula>NOT(ISERROR(SEARCH("Sick",AK85)))</formula>
    </cfRule>
    <cfRule type="containsText" dxfId="314" priority="968" operator="containsText" text="AB">
      <formula>NOT(ISERROR(SEARCH("AB",AK85)))</formula>
    </cfRule>
    <cfRule type="containsText" dxfId="313" priority="964" operator="containsText" text="AB">
      <formula>NOT(ISERROR(SEARCH("AB",AK85)))</formula>
    </cfRule>
    <cfRule type="containsText" dxfId="312" priority="965" operator="containsText" text="SUS">
      <formula>NOT(ISERROR(SEARCH("SUS",AK85)))</formula>
    </cfRule>
    <cfRule type="containsText" dxfId="311" priority="970" operator="containsText" text="OFF">
      <formula>NOT(ISERROR(SEARCH("OFF",AK85)))</formula>
    </cfRule>
    <cfRule type="containsText" dxfId="310" priority="963" operator="containsText" text="EL">
      <formula>NOT(ISERROR(SEARCH("EL",AK85)))</formula>
    </cfRule>
    <cfRule type="containsText" dxfId="309" priority="966" operator="containsText" text="FL">
      <formula>NOT(ISERROR(SEARCH("FL",AK85)))</formula>
    </cfRule>
    <cfRule type="containsText" dxfId="308" priority="971" operator="containsText" text="AL">
      <formula>NOT(ISERROR(SEARCH("AL",AK85)))</formula>
    </cfRule>
    <cfRule type="containsText" dxfId="307" priority="967" operator="containsText" text="MC">
      <formula>NOT(ISERROR(SEARCH("MC",AK85)))</formula>
    </cfRule>
  </conditionalFormatting>
  <conditionalFormatting sqref="AM55:AN55">
    <cfRule type="containsText" dxfId="306" priority="992" operator="containsText" text="SP">
      <formula>NOT(ISERROR(SEARCH("SP",AM55)))</formula>
    </cfRule>
    <cfRule type="containsText" dxfId="305" priority="993" operator="containsText" text="NL">
      <formula>NOT(ISERROR(SEARCH("NL",AM55)))</formula>
    </cfRule>
    <cfRule type="containsText" dxfId="304" priority="1001" operator="containsText" text="AL">
      <formula>NOT(ISERROR(SEARCH("AL",AM55)))</formula>
    </cfRule>
    <cfRule type="containsText" dxfId="303" priority="1000" operator="containsText" text="SICK">
      <formula>NOT(ISERROR(SEARCH("SICK",AM55)))</formula>
    </cfRule>
    <cfRule type="containsText" dxfId="302" priority="999" operator="containsText" text="AB">
      <formula>NOT(ISERROR(SEARCH("AB",AM55)))</formula>
    </cfRule>
    <cfRule type="containsText" dxfId="301" priority="998" operator="containsText" text="OFF">
      <formula>NOT(ISERROR(SEARCH("OFF",AM55)))</formula>
    </cfRule>
    <cfRule type="containsText" dxfId="300" priority="997" operator="containsText" text="MC">
      <formula>NOT(ISERROR(SEARCH("MC",AM55)))</formula>
    </cfRule>
    <cfRule type="containsText" dxfId="299" priority="996" operator="containsText" text="EL">
      <formula>NOT(ISERROR(SEARCH("EL",AM55)))</formula>
    </cfRule>
    <cfRule type="containsText" dxfId="298" priority="995" operator="containsText" text="FL">
      <formula>NOT(ISERROR(SEARCH("FL",AM55)))</formula>
    </cfRule>
    <cfRule type="containsText" dxfId="297" priority="994" operator="containsText" text="SUS">
      <formula>NOT(ISERROR(SEARCH("SUS",AM55)))</formula>
    </cfRule>
  </conditionalFormatting>
  <conditionalFormatting sqref="AM89:AP89">
    <cfRule type="containsText" dxfId="296" priority="981" operator="containsText" text="AL">
      <formula>NOT(ISERROR(SEARCH("AL",AM89)))</formula>
    </cfRule>
    <cfRule type="containsText" dxfId="295" priority="972" operator="containsText" text="SP">
      <formula>NOT(ISERROR(SEARCH("SP",AM89)))</formula>
    </cfRule>
    <cfRule type="containsText" dxfId="294" priority="973" operator="containsText" text="NL">
      <formula>NOT(ISERROR(SEARCH("NL",AM89)))</formula>
    </cfRule>
    <cfRule type="containsText" dxfId="293" priority="974" operator="containsText" text="SUS">
      <formula>NOT(ISERROR(SEARCH("SUS",AM89)))</formula>
    </cfRule>
    <cfRule type="containsText" dxfId="292" priority="975" operator="containsText" text="FL">
      <formula>NOT(ISERROR(SEARCH("FL",AM89)))</formula>
    </cfRule>
    <cfRule type="containsText" dxfId="291" priority="976" operator="containsText" text="EL">
      <formula>NOT(ISERROR(SEARCH("EL",AM89)))</formula>
    </cfRule>
    <cfRule type="containsText" dxfId="290" priority="977" operator="containsText" text="MC">
      <formula>NOT(ISERROR(SEARCH("MC",AM89)))</formula>
    </cfRule>
    <cfRule type="containsText" dxfId="289" priority="978" operator="containsText" text="OFF">
      <formula>NOT(ISERROR(SEARCH("OFF",AM89)))</formula>
    </cfRule>
    <cfRule type="containsText" dxfId="288" priority="979" operator="containsText" text="AB">
      <formula>NOT(ISERROR(SEARCH("AB",AM89)))</formula>
    </cfRule>
    <cfRule type="containsText" dxfId="287" priority="980" operator="containsText" text="SICK">
      <formula>NOT(ISERROR(SEARCH("SICK",AM89)))</formula>
    </cfRule>
  </conditionalFormatting>
  <conditionalFormatting sqref="AO81:AP81">
    <cfRule type="containsText" dxfId="286" priority="958" operator="containsText" text="MC">
      <formula>NOT(ISERROR(SEARCH("MC",AO81)))</formula>
    </cfRule>
    <cfRule type="containsText" dxfId="285" priority="955" operator="containsText" text="SUS">
      <formula>NOT(ISERROR(SEARCH("SUS",AO81)))</formula>
    </cfRule>
    <cfRule type="containsText" dxfId="284" priority="954" operator="containsText" text="NL">
      <formula>NOT(ISERROR(SEARCH("NL",AO81)))</formula>
    </cfRule>
    <cfRule type="containsText" dxfId="283" priority="953" operator="containsText" text="SP">
      <formula>NOT(ISERROR(SEARCH("SP",AO81)))</formula>
    </cfRule>
    <cfRule type="containsText" dxfId="282" priority="962" operator="containsText" text="AL">
      <formula>NOT(ISERROR(SEARCH("AL",AO81)))</formula>
    </cfRule>
    <cfRule type="containsText" dxfId="281" priority="961" operator="containsText" text="SICK">
      <formula>NOT(ISERROR(SEARCH("SICK",AO81)))</formula>
    </cfRule>
    <cfRule type="containsText" dxfId="280" priority="960" operator="containsText" text="AB">
      <formula>NOT(ISERROR(SEARCH("AB",AO81)))</formula>
    </cfRule>
    <cfRule type="containsText" dxfId="279" priority="959" operator="containsText" text="OFF">
      <formula>NOT(ISERROR(SEARCH("OFF",AO81)))</formula>
    </cfRule>
    <cfRule type="containsText" dxfId="278" priority="957" operator="containsText" text="EL">
      <formula>NOT(ISERROR(SEARCH("EL",AO81)))</formula>
    </cfRule>
    <cfRule type="containsText" dxfId="277" priority="956" operator="containsText" text="FL">
      <formula>NOT(ISERROR(SEARCH("FL",AO81)))</formula>
    </cfRule>
  </conditionalFormatting>
  <conditionalFormatting sqref="AQ31:AR31">
    <cfRule type="containsText" dxfId="276" priority="952" operator="containsText" text="AL">
      <formula>NOT(ISERROR(SEARCH("AL",AQ31)))</formula>
    </cfRule>
    <cfRule type="containsText" dxfId="275" priority="951" operator="containsText" text="OFF">
      <formula>NOT(ISERROR(SEARCH("OFF",AQ31)))</formula>
    </cfRule>
    <cfRule type="containsText" dxfId="274" priority="944" operator="containsText" text="EL">
      <formula>NOT(ISERROR(SEARCH("EL",AQ31)))</formula>
    </cfRule>
    <cfRule type="containsText" dxfId="273" priority="945" operator="containsText" text="AB">
      <formula>NOT(ISERROR(SEARCH("AB",AQ31)))</formula>
    </cfRule>
    <cfRule type="containsText" dxfId="272" priority="946" operator="containsText" text="SUS">
      <formula>NOT(ISERROR(SEARCH("SUS",AQ31)))</formula>
    </cfRule>
    <cfRule type="containsText" dxfId="271" priority="947" operator="containsText" text="FL">
      <formula>NOT(ISERROR(SEARCH("FL",AQ31)))</formula>
    </cfRule>
    <cfRule type="containsText" dxfId="270" priority="949" operator="containsText" text="AB">
      <formula>NOT(ISERROR(SEARCH("AB",AQ31)))</formula>
    </cfRule>
    <cfRule type="containsText" dxfId="269" priority="950" operator="containsText" text="Sick">
      <formula>NOT(ISERROR(SEARCH("Sick",AQ31)))</formula>
    </cfRule>
    <cfRule type="containsText" dxfId="268" priority="948" operator="containsText" text="MC">
      <formula>NOT(ISERROR(SEARCH("MC",AQ31)))</formula>
    </cfRule>
  </conditionalFormatting>
  <conditionalFormatting sqref="AQ34:AR35">
    <cfRule type="containsText" dxfId="267" priority="935" operator="containsText" text="EL">
      <formula>NOT(ISERROR(SEARCH("EL",AQ34)))</formula>
    </cfRule>
    <cfRule type="containsText" dxfId="266" priority="936" operator="containsText" text="AB">
      <formula>NOT(ISERROR(SEARCH("AB",AQ34)))</formula>
    </cfRule>
    <cfRule type="containsText" dxfId="265" priority="937" operator="containsText" text="SUS">
      <formula>NOT(ISERROR(SEARCH("SUS",AQ34)))</formula>
    </cfRule>
    <cfRule type="containsText" dxfId="264" priority="938" operator="containsText" text="FL">
      <formula>NOT(ISERROR(SEARCH("FL",AQ34)))</formula>
    </cfRule>
    <cfRule type="containsText" dxfId="263" priority="939" operator="containsText" text="MC">
      <formula>NOT(ISERROR(SEARCH("MC",AQ34)))</formula>
    </cfRule>
    <cfRule type="containsText" dxfId="262" priority="940" operator="containsText" text="AB">
      <formula>NOT(ISERROR(SEARCH("AB",AQ34)))</formula>
    </cfRule>
    <cfRule type="containsText" dxfId="261" priority="941" operator="containsText" text="Sick">
      <formula>NOT(ISERROR(SEARCH("Sick",AQ34)))</formula>
    </cfRule>
    <cfRule type="containsText" dxfId="260" priority="942" operator="containsText" text="OFF">
      <formula>NOT(ISERROR(SEARCH("OFF",AQ34)))</formula>
    </cfRule>
    <cfRule type="containsText" dxfId="259" priority="943" operator="containsText" text="AL">
      <formula>NOT(ISERROR(SEARCH("AL",AQ34)))</formula>
    </cfRule>
  </conditionalFormatting>
  <conditionalFormatting sqref="AQ37:AR37">
    <cfRule type="containsText" dxfId="258" priority="930" operator="containsText" text="MC">
      <formula>NOT(ISERROR(SEARCH("MC",AQ37)))</formula>
    </cfRule>
    <cfRule type="containsText" dxfId="257" priority="929" operator="containsText" text="FL">
      <formula>NOT(ISERROR(SEARCH("FL",AQ37)))</formula>
    </cfRule>
    <cfRule type="containsText" dxfId="256" priority="927" operator="containsText" text="AB">
      <formula>NOT(ISERROR(SEARCH("AB",AQ37)))</formula>
    </cfRule>
    <cfRule type="containsText" dxfId="255" priority="926" operator="containsText" text="EL">
      <formula>NOT(ISERROR(SEARCH("EL",AQ37)))</formula>
    </cfRule>
    <cfRule type="containsText" dxfId="254" priority="928" operator="containsText" text="SUS">
      <formula>NOT(ISERROR(SEARCH("SUS",AQ37)))</formula>
    </cfRule>
    <cfRule type="containsText" dxfId="253" priority="934" operator="containsText" text="AL">
      <formula>NOT(ISERROR(SEARCH("AL",AQ37)))</formula>
    </cfRule>
    <cfRule type="containsText" dxfId="252" priority="933" operator="containsText" text="OFF">
      <formula>NOT(ISERROR(SEARCH("OFF",AQ37)))</formula>
    </cfRule>
    <cfRule type="containsText" dxfId="251" priority="932" operator="containsText" text="Sick">
      <formula>NOT(ISERROR(SEARCH("Sick",AQ37)))</formula>
    </cfRule>
    <cfRule type="containsText" dxfId="250" priority="931" operator="containsText" text="AB">
      <formula>NOT(ISERROR(SEARCH("AB",AQ37)))</formula>
    </cfRule>
  </conditionalFormatting>
  <conditionalFormatting sqref="AQ41:AR44">
    <cfRule type="containsText" dxfId="249" priority="919" operator="containsText" text="SUS">
      <formula>NOT(ISERROR(SEARCH("SUS",AQ41)))</formula>
    </cfRule>
    <cfRule type="containsText" dxfId="248" priority="918" operator="containsText" text="AB">
      <formula>NOT(ISERROR(SEARCH("AB",AQ41)))</formula>
    </cfRule>
    <cfRule type="containsText" dxfId="247" priority="917" operator="containsText" text="EL">
      <formula>NOT(ISERROR(SEARCH("EL",AQ41)))</formula>
    </cfRule>
    <cfRule type="containsText" dxfId="246" priority="925" operator="containsText" text="AL">
      <formula>NOT(ISERROR(SEARCH("AL",AQ41)))</formula>
    </cfRule>
    <cfRule type="containsText" dxfId="245" priority="924" operator="containsText" text="OFF">
      <formula>NOT(ISERROR(SEARCH("OFF",AQ41)))</formula>
    </cfRule>
    <cfRule type="containsText" dxfId="244" priority="923" operator="containsText" text="Sick">
      <formula>NOT(ISERROR(SEARCH("Sick",AQ41)))</formula>
    </cfRule>
    <cfRule type="containsText" dxfId="243" priority="922" operator="containsText" text="AB">
      <formula>NOT(ISERROR(SEARCH("AB",AQ41)))</formula>
    </cfRule>
    <cfRule type="containsText" dxfId="242" priority="921" operator="containsText" text="MC">
      <formula>NOT(ISERROR(SEARCH("MC",AQ41)))</formula>
    </cfRule>
    <cfRule type="containsText" dxfId="241" priority="920" operator="containsText" text="FL">
      <formula>NOT(ISERROR(SEARCH("FL",AQ41)))</formula>
    </cfRule>
  </conditionalFormatting>
  <conditionalFormatting sqref="AQ46:AR47">
    <cfRule type="containsText" dxfId="240" priority="916" operator="containsText" text="AL">
      <formula>NOT(ISERROR(SEARCH("AL",AQ46)))</formula>
    </cfRule>
    <cfRule type="containsText" dxfId="239" priority="908" operator="containsText" text="EL">
      <formula>NOT(ISERROR(SEARCH("EL",AQ46)))</formula>
    </cfRule>
    <cfRule type="containsText" dxfId="238" priority="909" operator="containsText" text="AB">
      <formula>NOT(ISERROR(SEARCH("AB",AQ46)))</formula>
    </cfRule>
    <cfRule type="containsText" dxfId="237" priority="910" operator="containsText" text="SUS">
      <formula>NOT(ISERROR(SEARCH("SUS",AQ46)))</formula>
    </cfRule>
    <cfRule type="containsText" dxfId="236" priority="911" operator="containsText" text="FL">
      <formula>NOT(ISERROR(SEARCH("FL",AQ46)))</formula>
    </cfRule>
    <cfRule type="containsText" dxfId="235" priority="914" operator="containsText" text="Sick">
      <formula>NOT(ISERROR(SEARCH("Sick",AQ46)))</formula>
    </cfRule>
    <cfRule type="containsText" dxfId="234" priority="915" operator="containsText" text="OFF">
      <formula>NOT(ISERROR(SEARCH("OFF",AQ46)))</formula>
    </cfRule>
    <cfRule type="containsText" dxfId="233" priority="913" operator="containsText" text="AB">
      <formula>NOT(ISERROR(SEARCH("AB",AQ46)))</formula>
    </cfRule>
    <cfRule type="containsText" dxfId="232" priority="912" operator="containsText" text="MC">
      <formula>NOT(ISERROR(SEARCH("MC",AQ46)))</formula>
    </cfRule>
  </conditionalFormatting>
  <conditionalFormatting sqref="AQ50:AR51">
    <cfRule type="containsText" dxfId="231" priority="906" operator="containsText" text="OFF">
      <formula>NOT(ISERROR(SEARCH("OFF",AQ50)))</formula>
    </cfRule>
    <cfRule type="containsText" dxfId="230" priority="907" operator="containsText" text="AL">
      <formula>NOT(ISERROR(SEARCH("AL",AQ50)))</formula>
    </cfRule>
    <cfRule type="containsText" dxfId="229" priority="899" operator="containsText" text="EL">
      <formula>NOT(ISERROR(SEARCH("EL",AQ50)))</formula>
    </cfRule>
    <cfRule type="containsText" dxfId="228" priority="900" operator="containsText" text="AB">
      <formula>NOT(ISERROR(SEARCH("AB",AQ50)))</formula>
    </cfRule>
    <cfRule type="containsText" dxfId="227" priority="901" operator="containsText" text="SUS">
      <formula>NOT(ISERROR(SEARCH("SUS",AQ50)))</formula>
    </cfRule>
    <cfRule type="containsText" dxfId="226" priority="902" operator="containsText" text="FL">
      <formula>NOT(ISERROR(SEARCH("FL",AQ50)))</formula>
    </cfRule>
    <cfRule type="containsText" dxfId="225" priority="903" operator="containsText" text="MC">
      <formula>NOT(ISERROR(SEARCH("MC",AQ50)))</formula>
    </cfRule>
    <cfRule type="containsText" dxfId="224" priority="904" operator="containsText" text="AB">
      <formula>NOT(ISERROR(SEARCH("AB",AQ50)))</formula>
    </cfRule>
    <cfRule type="containsText" dxfId="223" priority="905" operator="containsText" text="Sick">
      <formula>NOT(ISERROR(SEARCH("Sick",AQ50)))</formula>
    </cfRule>
  </conditionalFormatting>
  <conditionalFormatting sqref="AQ53:AR54">
    <cfRule type="containsText" dxfId="222" priority="893" operator="containsText" text="FL">
      <formula>NOT(ISERROR(SEARCH("FL",AQ53)))</formula>
    </cfRule>
    <cfRule type="containsText" dxfId="221" priority="894" operator="containsText" text="MC">
      <formula>NOT(ISERROR(SEARCH("MC",AQ53)))</formula>
    </cfRule>
    <cfRule type="containsText" dxfId="220" priority="896" operator="containsText" text="Sick">
      <formula>NOT(ISERROR(SEARCH("Sick",AQ53)))</formula>
    </cfRule>
    <cfRule type="containsText" dxfId="219" priority="898" operator="containsText" text="AL">
      <formula>NOT(ISERROR(SEARCH("AL",AQ53)))</formula>
    </cfRule>
    <cfRule type="containsText" dxfId="218" priority="897" operator="containsText" text="OFF">
      <formula>NOT(ISERROR(SEARCH("OFF",AQ53)))</formula>
    </cfRule>
    <cfRule type="containsText" dxfId="217" priority="895" operator="containsText" text="AB">
      <formula>NOT(ISERROR(SEARCH("AB",AQ53)))</formula>
    </cfRule>
    <cfRule type="containsText" dxfId="216" priority="890" operator="containsText" text="EL">
      <formula>NOT(ISERROR(SEARCH("EL",AQ53)))</formula>
    </cfRule>
    <cfRule type="containsText" dxfId="215" priority="891" operator="containsText" text="AB">
      <formula>NOT(ISERROR(SEARCH("AB",AQ53)))</formula>
    </cfRule>
    <cfRule type="containsText" dxfId="214" priority="892" operator="containsText" text="SUS">
      <formula>NOT(ISERROR(SEARCH("SUS",AQ53)))</formula>
    </cfRule>
  </conditionalFormatting>
  <conditionalFormatting sqref="AQ57:AR58">
    <cfRule type="containsText" dxfId="213" priority="884" operator="containsText" text="FL">
      <formula>NOT(ISERROR(SEARCH("FL",AQ57)))</formula>
    </cfRule>
    <cfRule type="containsText" dxfId="212" priority="881" operator="containsText" text="EL">
      <formula>NOT(ISERROR(SEARCH("EL",AQ57)))</formula>
    </cfRule>
    <cfRule type="containsText" dxfId="211" priority="882" operator="containsText" text="AB">
      <formula>NOT(ISERROR(SEARCH("AB",AQ57)))</formula>
    </cfRule>
    <cfRule type="containsText" dxfId="210" priority="883" operator="containsText" text="SUS">
      <formula>NOT(ISERROR(SEARCH("SUS",AQ57)))</formula>
    </cfRule>
    <cfRule type="containsText" dxfId="209" priority="887" operator="containsText" text="Sick">
      <formula>NOT(ISERROR(SEARCH("Sick",AQ57)))</formula>
    </cfRule>
    <cfRule type="containsText" dxfId="208" priority="889" operator="containsText" text="AL">
      <formula>NOT(ISERROR(SEARCH("AL",AQ57)))</formula>
    </cfRule>
    <cfRule type="containsText" dxfId="207" priority="885" operator="containsText" text="MC">
      <formula>NOT(ISERROR(SEARCH("MC",AQ57)))</formula>
    </cfRule>
    <cfRule type="containsText" dxfId="206" priority="886" operator="containsText" text="AB">
      <formula>NOT(ISERROR(SEARCH("AB",AQ57)))</formula>
    </cfRule>
    <cfRule type="containsText" dxfId="205" priority="888" operator="containsText" text="OFF">
      <formula>NOT(ISERROR(SEARCH("OFF",AQ57)))</formula>
    </cfRule>
  </conditionalFormatting>
  <conditionalFormatting sqref="AQ61:AR61">
    <cfRule type="containsText" dxfId="204" priority="880" operator="containsText" text="AL">
      <formula>NOT(ISERROR(SEARCH("AL",AQ61)))</formula>
    </cfRule>
    <cfRule type="containsText" dxfId="203" priority="875" operator="containsText" text="FL">
      <formula>NOT(ISERROR(SEARCH("FL",AQ61)))</formula>
    </cfRule>
    <cfRule type="containsText" dxfId="202" priority="873" operator="containsText" text="AB">
      <formula>NOT(ISERROR(SEARCH("AB",AQ61)))</formula>
    </cfRule>
    <cfRule type="containsText" dxfId="201" priority="876" operator="containsText" text="MC">
      <formula>NOT(ISERROR(SEARCH("MC",AQ61)))</formula>
    </cfRule>
    <cfRule type="containsText" dxfId="200" priority="874" operator="containsText" text="SUS">
      <formula>NOT(ISERROR(SEARCH("SUS",AQ61)))</formula>
    </cfRule>
    <cfRule type="containsText" dxfId="199" priority="872" operator="containsText" text="EL">
      <formula>NOT(ISERROR(SEARCH("EL",AQ61)))</formula>
    </cfRule>
    <cfRule type="containsText" dxfId="198" priority="877" operator="containsText" text="AB">
      <formula>NOT(ISERROR(SEARCH("AB",AQ61)))</formula>
    </cfRule>
    <cfRule type="containsText" dxfId="197" priority="878" operator="containsText" text="Sick">
      <formula>NOT(ISERROR(SEARCH("Sick",AQ61)))</formula>
    </cfRule>
    <cfRule type="containsText" dxfId="196" priority="879" operator="containsText" text="OFF">
      <formula>NOT(ISERROR(SEARCH("OFF",AQ61)))</formula>
    </cfRule>
  </conditionalFormatting>
  <conditionalFormatting sqref="AQ63:AR65">
    <cfRule type="containsText" dxfId="195" priority="866" operator="containsText" text="FL">
      <formula>NOT(ISERROR(SEARCH("FL",AQ63)))</formula>
    </cfRule>
    <cfRule type="containsText" dxfId="194" priority="865" operator="containsText" text="SUS">
      <formula>NOT(ISERROR(SEARCH("SUS",AQ63)))</formula>
    </cfRule>
    <cfRule type="containsText" dxfId="193" priority="864" operator="containsText" text="AB">
      <formula>NOT(ISERROR(SEARCH("AB",AQ63)))</formula>
    </cfRule>
    <cfRule type="containsText" dxfId="192" priority="863" operator="containsText" text="EL">
      <formula>NOT(ISERROR(SEARCH("EL",AQ63)))</formula>
    </cfRule>
    <cfRule type="containsText" dxfId="191" priority="869" operator="containsText" text="Sick">
      <formula>NOT(ISERROR(SEARCH("Sick",AQ63)))</formula>
    </cfRule>
    <cfRule type="containsText" dxfId="190" priority="871" operator="containsText" text="AL">
      <formula>NOT(ISERROR(SEARCH("AL",AQ63)))</formula>
    </cfRule>
    <cfRule type="containsText" dxfId="189" priority="870" operator="containsText" text="OFF">
      <formula>NOT(ISERROR(SEARCH("OFF",AQ63)))</formula>
    </cfRule>
    <cfRule type="containsText" dxfId="188" priority="868" operator="containsText" text="AB">
      <formula>NOT(ISERROR(SEARCH("AB",AQ63)))</formula>
    </cfRule>
    <cfRule type="containsText" dxfId="187" priority="867" operator="containsText" text="MC">
      <formula>NOT(ISERROR(SEARCH("MC",AQ63)))</formula>
    </cfRule>
  </conditionalFormatting>
  <conditionalFormatting sqref="AQ73:AR73">
    <cfRule type="containsText" dxfId="186" priority="854" operator="containsText" text="EL">
      <formula>NOT(ISERROR(SEARCH("EL",AQ73)))</formula>
    </cfRule>
    <cfRule type="containsText" dxfId="185" priority="855" operator="containsText" text="AB">
      <formula>NOT(ISERROR(SEARCH("AB",AQ73)))</formula>
    </cfRule>
    <cfRule type="containsText" dxfId="184" priority="856" operator="containsText" text="SUS">
      <formula>NOT(ISERROR(SEARCH("SUS",AQ73)))</formula>
    </cfRule>
    <cfRule type="containsText" dxfId="183" priority="857" operator="containsText" text="FL">
      <formula>NOT(ISERROR(SEARCH("FL",AQ73)))</formula>
    </cfRule>
    <cfRule type="containsText" dxfId="182" priority="858" operator="containsText" text="MC">
      <formula>NOT(ISERROR(SEARCH("MC",AQ73)))</formula>
    </cfRule>
    <cfRule type="containsText" dxfId="181" priority="861" operator="containsText" text="OFF">
      <formula>NOT(ISERROR(SEARCH("OFF",AQ73)))</formula>
    </cfRule>
    <cfRule type="containsText" dxfId="180" priority="860" operator="containsText" text="Sick">
      <formula>NOT(ISERROR(SEARCH("Sick",AQ73)))</formula>
    </cfRule>
    <cfRule type="containsText" dxfId="179" priority="859" operator="containsText" text="AB">
      <formula>NOT(ISERROR(SEARCH("AB",AQ73)))</formula>
    </cfRule>
    <cfRule type="containsText" dxfId="178" priority="862" operator="containsText" text="AL">
      <formula>NOT(ISERROR(SEARCH("AL",AQ73)))</formula>
    </cfRule>
  </conditionalFormatting>
  <conditionalFormatting sqref="AQ76:AR76">
    <cfRule type="containsText" dxfId="177" priority="847" operator="containsText" text="SUS">
      <formula>NOT(ISERROR(SEARCH("SUS",AQ76)))</formula>
    </cfRule>
    <cfRule type="containsText" dxfId="176" priority="853" operator="containsText" text="AL">
      <formula>NOT(ISERROR(SEARCH("AL",AQ76)))</formula>
    </cfRule>
    <cfRule type="containsText" dxfId="175" priority="846" operator="containsText" text="AB">
      <formula>NOT(ISERROR(SEARCH("AB",AQ76)))</formula>
    </cfRule>
    <cfRule type="containsText" dxfId="174" priority="848" operator="containsText" text="FL">
      <formula>NOT(ISERROR(SEARCH("FL",AQ76)))</formula>
    </cfRule>
    <cfRule type="containsText" dxfId="173" priority="852" operator="containsText" text="OFF">
      <formula>NOT(ISERROR(SEARCH("OFF",AQ76)))</formula>
    </cfRule>
    <cfRule type="containsText" dxfId="172" priority="849" operator="containsText" text="MC">
      <formula>NOT(ISERROR(SEARCH("MC",AQ76)))</formula>
    </cfRule>
    <cfRule type="containsText" dxfId="171" priority="850" operator="containsText" text="AB">
      <formula>NOT(ISERROR(SEARCH("AB",AQ76)))</formula>
    </cfRule>
    <cfRule type="containsText" dxfId="170" priority="851" operator="containsText" text="Sick">
      <formula>NOT(ISERROR(SEARCH("Sick",AQ76)))</formula>
    </cfRule>
    <cfRule type="containsText" dxfId="169" priority="845" operator="containsText" text="EL">
      <formula>NOT(ISERROR(SEARCH("EL",AQ76)))</formula>
    </cfRule>
  </conditionalFormatting>
  <conditionalFormatting sqref="AQ85:AR87">
    <cfRule type="containsText" dxfId="168" priority="843" operator="containsText" text="OFF">
      <formula>NOT(ISERROR(SEARCH("OFF",AQ85)))</formula>
    </cfRule>
    <cfRule type="containsText" dxfId="167" priority="838" operator="containsText" text="SUS">
      <formula>NOT(ISERROR(SEARCH("SUS",AQ85)))</formula>
    </cfRule>
    <cfRule type="containsText" dxfId="166" priority="844" operator="containsText" text="AL">
      <formula>NOT(ISERROR(SEARCH("AL",AQ85)))</formula>
    </cfRule>
    <cfRule type="containsText" dxfId="165" priority="842" operator="containsText" text="Sick">
      <formula>NOT(ISERROR(SEARCH("Sick",AQ85)))</formula>
    </cfRule>
    <cfRule type="containsText" dxfId="164" priority="841" operator="containsText" text="AB">
      <formula>NOT(ISERROR(SEARCH("AB",AQ85)))</formula>
    </cfRule>
    <cfRule type="containsText" dxfId="163" priority="840" operator="containsText" text="MC">
      <formula>NOT(ISERROR(SEARCH("MC",AQ85)))</formula>
    </cfRule>
    <cfRule type="containsText" dxfId="162" priority="839" operator="containsText" text="FL">
      <formula>NOT(ISERROR(SEARCH("FL",AQ85)))</formula>
    </cfRule>
    <cfRule type="containsText" dxfId="161" priority="837" operator="containsText" text="AB">
      <formula>NOT(ISERROR(SEARCH("AB",AQ85)))</formula>
    </cfRule>
    <cfRule type="containsText" dxfId="160" priority="836" operator="containsText" text="EL">
      <formula>NOT(ISERROR(SEARCH("EL",AQ85)))</formula>
    </cfRule>
  </conditionalFormatting>
  <conditionalFormatting sqref="AQ90:AR91">
    <cfRule type="containsText" dxfId="159" priority="827" operator="containsText" text="EL">
      <formula>NOT(ISERROR(SEARCH("EL",AQ90)))</formula>
    </cfRule>
    <cfRule type="containsText" dxfId="158" priority="828" operator="containsText" text="AB">
      <formula>NOT(ISERROR(SEARCH("AB",AQ90)))</formula>
    </cfRule>
    <cfRule type="containsText" dxfId="157" priority="835" operator="containsText" text="AL">
      <formula>NOT(ISERROR(SEARCH("AL",AQ90)))</formula>
    </cfRule>
    <cfRule type="containsText" dxfId="156" priority="834" operator="containsText" text="OFF">
      <formula>NOT(ISERROR(SEARCH("OFF",AQ90)))</formula>
    </cfRule>
    <cfRule type="containsText" dxfId="155" priority="833" operator="containsText" text="Sick">
      <formula>NOT(ISERROR(SEARCH("Sick",AQ90)))</formula>
    </cfRule>
    <cfRule type="containsText" dxfId="154" priority="832" operator="containsText" text="AB">
      <formula>NOT(ISERROR(SEARCH("AB",AQ90)))</formula>
    </cfRule>
    <cfRule type="containsText" dxfId="153" priority="831" operator="containsText" text="MC">
      <formula>NOT(ISERROR(SEARCH("MC",AQ90)))</formula>
    </cfRule>
    <cfRule type="containsText" dxfId="152" priority="830" operator="containsText" text="FL">
      <formula>NOT(ISERROR(SEARCH("FL",AQ90)))</formula>
    </cfRule>
    <cfRule type="containsText" dxfId="151" priority="829" operator="containsText" text="SUS">
      <formula>NOT(ISERROR(SEARCH("SUS",AQ90)))</formula>
    </cfRule>
  </conditionalFormatting>
  <conditionalFormatting sqref="AQ93:AR93">
    <cfRule type="containsText" dxfId="150" priority="820" operator="containsText" text="SUS">
      <formula>NOT(ISERROR(SEARCH("SUS",AQ93)))</formula>
    </cfRule>
    <cfRule type="containsText" dxfId="149" priority="819" operator="containsText" text="AB">
      <formula>NOT(ISERROR(SEARCH("AB",AQ93)))</formula>
    </cfRule>
    <cfRule type="containsText" dxfId="148" priority="818" operator="containsText" text="EL">
      <formula>NOT(ISERROR(SEARCH("EL",AQ93)))</formula>
    </cfRule>
    <cfRule type="containsText" dxfId="147" priority="826" operator="containsText" text="AL">
      <formula>NOT(ISERROR(SEARCH("AL",AQ93)))</formula>
    </cfRule>
    <cfRule type="containsText" dxfId="146" priority="824" operator="containsText" text="Sick">
      <formula>NOT(ISERROR(SEARCH("Sick",AQ93)))</formula>
    </cfRule>
    <cfRule type="containsText" dxfId="145" priority="823" operator="containsText" text="AB">
      <formula>NOT(ISERROR(SEARCH("AB",AQ93)))</formula>
    </cfRule>
    <cfRule type="containsText" dxfId="144" priority="825" operator="containsText" text="OFF">
      <formula>NOT(ISERROR(SEARCH("OFF",AQ93)))</formula>
    </cfRule>
    <cfRule type="containsText" dxfId="143" priority="822" operator="containsText" text="MC">
      <formula>NOT(ISERROR(SEARCH("MC",AQ93)))</formula>
    </cfRule>
    <cfRule type="containsText" dxfId="142" priority="821" operator="containsText" text="FL">
      <formula>NOT(ISERROR(SEARCH("FL",AQ93)))</formula>
    </cfRule>
  </conditionalFormatting>
  <conditionalFormatting sqref="AS48">
    <cfRule type="containsText" dxfId="141" priority="816" operator="containsText" text="SICK">
      <formula>NOT(ISERROR(SEARCH("SICK",AS48)))</formula>
    </cfRule>
    <cfRule type="containsText" dxfId="140" priority="817" operator="containsText" text="AL">
      <formula>NOT(ISERROR(SEARCH("AL",AS48)))</formula>
    </cfRule>
    <cfRule type="containsText" dxfId="139" priority="808" operator="containsText" text="SP">
      <formula>NOT(ISERROR(SEARCH("SP",AS48)))</formula>
    </cfRule>
    <cfRule type="containsText" dxfId="138" priority="809" operator="containsText" text="NL">
      <formula>NOT(ISERROR(SEARCH("NL",AS48)))</formula>
    </cfRule>
    <cfRule type="containsText" dxfId="137" priority="810" operator="containsText" text="SUS">
      <formula>NOT(ISERROR(SEARCH("SUS",AS48)))</formula>
    </cfRule>
    <cfRule type="containsText" dxfId="136" priority="811" operator="containsText" text="FL">
      <formula>NOT(ISERROR(SEARCH("FL",AS48)))</formula>
    </cfRule>
    <cfRule type="containsText" dxfId="135" priority="812" operator="containsText" text="EL">
      <formula>NOT(ISERROR(SEARCH("EL",AS48)))</formula>
    </cfRule>
    <cfRule type="containsText" dxfId="134" priority="813" operator="containsText" text="MC">
      <formula>NOT(ISERROR(SEARCH("MC",AS48)))</formula>
    </cfRule>
    <cfRule type="containsText" dxfId="133" priority="814" operator="containsText" text="OFF">
      <formula>NOT(ISERROR(SEARCH("OFF",AS48)))</formula>
    </cfRule>
    <cfRule type="containsText" dxfId="132" priority="815" operator="containsText" text="AB">
      <formula>NOT(ISERROR(SEARCH("AB",AS48)))</formula>
    </cfRule>
  </conditionalFormatting>
  <conditionalFormatting sqref="AV2 AV5 AV31:AV96 AV126:AV133">
    <cfRule type="cellIs" dxfId="131" priority="1338" stopIfTrue="1" operator="equal">
      <formula>";"</formula>
    </cfRule>
  </conditionalFormatting>
  <conditionalFormatting sqref="AV28">
    <cfRule type="cellIs" dxfId="130" priority="1337" operator="equal">
      <formula>";"</formula>
    </cfRule>
  </conditionalFormatting>
  <conditionalFormatting sqref="AX4">
    <cfRule type="containsText" dxfId="129" priority="1255" operator="containsText" text="SUS">
      <formula>NOT(ISERROR(SEARCH("SUS",AX4)))</formula>
    </cfRule>
    <cfRule type="containsText" dxfId="128" priority="1261" operator="containsText" text="AL">
      <formula>NOT(ISERROR(SEARCH("AL",AX4)))</formula>
    </cfRule>
    <cfRule type="containsText" dxfId="127" priority="1256" operator="containsText" text="FL">
      <formula>NOT(ISERROR(SEARCH("FL",AX4)))</formula>
    </cfRule>
    <cfRule type="containsText" dxfId="126" priority="1257" operator="containsText" text="MC">
      <formula>NOT(ISERROR(SEARCH("MC",AX4)))</formula>
    </cfRule>
    <cfRule type="containsText" dxfId="125" priority="1258" operator="containsText" text="AB">
      <formula>NOT(ISERROR(SEARCH("AB",AX4)))</formula>
    </cfRule>
    <cfRule type="containsText" dxfId="124" priority="1259" operator="containsText" text="Sick">
      <formula>NOT(ISERROR(SEARCH("Sick",AX4)))</formula>
    </cfRule>
    <cfRule type="containsText" dxfId="123" priority="1260" operator="containsText" text="OFF">
      <formula>NOT(ISERROR(SEARCH("OFF",AX4)))</formula>
    </cfRule>
  </conditionalFormatting>
  <conditionalFormatting sqref="AX30">
    <cfRule type="containsText" dxfId="122" priority="1249" operator="containsText" text="FL">
      <formula>NOT(ISERROR(SEARCH("FL",AX30)))</formula>
    </cfRule>
    <cfRule type="containsText" dxfId="121" priority="1250" operator="containsText" text="MC">
      <formula>NOT(ISERROR(SEARCH("MC",AX30)))</formula>
    </cfRule>
    <cfRule type="containsText" dxfId="120" priority="1252" operator="containsText" text="Sick">
      <formula>NOT(ISERROR(SEARCH("Sick",AX30)))</formula>
    </cfRule>
    <cfRule type="containsText" dxfId="119" priority="1253" operator="containsText" text="OFF">
      <formula>NOT(ISERROR(SEARCH("OFF",AX30)))</formula>
    </cfRule>
    <cfRule type="containsText" dxfId="118" priority="1254" operator="containsText" text="AL">
      <formula>NOT(ISERROR(SEARCH("AL",AX30)))</formula>
    </cfRule>
    <cfRule type="containsText" dxfId="117" priority="1248" operator="containsText" text="SUS">
      <formula>NOT(ISERROR(SEARCH("SUS",AX30)))</formula>
    </cfRule>
    <cfRule type="containsText" dxfId="116" priority="1251" operator="containsText" text="AB">
      <formula>NOT(ISERROR(SEARCH("AB",AX30)))</formula>
    </cfRule>
  </conditionalFormatting>
  <conditionalFormatting sqref="AX4:AY4">
    <cfRule type="containsText" dxfId="115" priority="1224" operator="containsText" text="AB">
      <formula>NOT(ISERROR(SEARCH("AB",AX4)))</formula>
    </cfRule>
  </conditionalFormatting>
  <conditionalFormatting sqref="AX30:AY30">
    <cfRule type="containsText" dxfId="114" priority="1158" operator="containsText" text="AB">
      <formula>NOT(ISERROR(SEARCH("AB",AX30)))</formula>
    </cfRule>
  </conditionalFormatting>
  <conditionalFormatting sqref="AX4:BC4">
    <cfRule type="containsText" dxfId="113" priority="1197" operator="containsText" text="EL">
      <formula>NOT(ISERROR(SEARCH("EL",AX4)))</formula>
    </cfRule>
  </conditionalFormatting>
  <conditionalFormatting sqref="AX30:BC30">
    <cfRule type="containsText" dxfId="112" priority="1146" operator="containsText" text="EL">
      <formula>NOT(ISERROR(SEARCH("EL",AX30)))</formula>
    </cfRule>
  </conditionalFormatting>
  <conditionalFormatting sqref="AY4">
    <cfRule type="containsText" dxfId="111" priority="1221" operator="containsText" text="SUS">
      <formula>NOT(ISERROR(SEARCH("SUS",AY4)))</formula>
    </cfRule>
    <cfRule type="containsText" dxfId="110" priority="1222" operator="containsText" text="FL">
      <formula>NOT(ISERROR(SEARCH("FL",AY4)))</formula>
    </cfRule>
    <cfRule type="containsText" dxfId="109" priority="1223" operator="containsText" text="MC">
      <formula>NOT(ISERROR(SEARCH("MC",AY4)))</formula>
    </cfRule>
    <cfRule type="containsText" dxfId="108" priority="1225" operator="containsText" text="Sick">
      <formula>NOT(ISERROR(SEARCH("Sick",AY4)))</formula>
    </cfRule>
    <cfRule type="containsText" dxfId="107" priority="1226" operator="containsText" text="OFF">
      <formula>NOT(ISERROR(SEARCH("OFF",AY4)))</formula>
    </cfRule>
    <cfRule type="containsText" dxfId="106" priority="1227" operator="containsText" text="AL">
      <formula>NOT(ISERROR(SEARCH("AL",AY4)))</formula>
    </cfRule>
  </conditionalFormatting>
  <conditionalFormatting sqref="AY30">
    <cfRule type="containsText" dxfId="105" priority="1161" operator="containsText" text="AL">
      <formula>NOT(ISERROR(SEARCH("AL",AY30)))</formula>
    </cfRule>
    <cfRule type="containsText" dxfId="104" priority="1159" operator="containsText" text="Sick">
      <formula>NOT(ISERROR(SEARCH("Sick",AY30)))</formula>
    </cfRule>
    <cfRule type="containsText" dxfId="103" priority="1157" operator="containsText" text="MC">
      <formula>NOT(ISERROR(SEARCH("MC",AY30)))</formula>
    </cfRule>
    <cfRule type="containsText" dxfId="102" priority="1156" operator="containsText" text="FL">
      <formula>NOT(ISERROR(SEARCH("FL",AY30)))</formula>
    </cfRule>
    <cfRule type="containsText" dxfId="101" priority="1155" operator="containsText" text="SUS">
      <formula>NOT(ISERROR(SEARCH("SUS",AY30)))</formula>
    </cfRule>
    <cfRule type="containsText" dxfId="100" priority="1160" operator="containsText" text="OFF">
      <formula>NOT(ISERROR(SEARCH("OFF",AY30)))</formula>
    </cfRule>
  </conditionalFormatting>
  <conditionalFormatting sqref="AY4:AZ4">
    <cfRule type="containsText" dxfId="99" priority="1202" operator="containsText" text="AB">
      <formula>NOT(ISERROR(SEARCH("AB",AY4)))</formula>
    </cfRule>
  </conditionalFormatting>
  <conditionalFormatting sqref="AY30:AZ30">
    <cfRule type="containsText" dxfId="98" priority="1151" operator="containsText" text="AB">
      <formula>NOT(ISERROR(SEARCH("AB",AY30)))</formula>
    </cfRule>
  </conditionalFormatting>
  <conditionalFormatting sqref="AZ4">
    <cfRule type="containsText" dxfId="97" priority="1198" operator="containsText" text="AB">
      <formula>NOT(ISERROR(SEARCH("AB",AZ4)))</formula>
    </cfRule>
    <cfRule type="containsText" dxfId="96" priority="1200" operator="containsText" text="FL">
      <formula>NOT(ISERROR(SEARCH("FL",AZ4)))</formula>
    </cfRule>
    <cfRule type="containsText" dxfId="95" priority="1201" operator="containsText" text="MC">
      <formula>NOT(ISERROR(SEARCH("MC",AZ4)))</formula>
    </cfRule>
    <cfRule type="containsText" dxfId="94" priority="1203" operator="containsText" text="Sick">
      <formula>NOT(ISERROR(SEARCH("Sick",AZ4)))</formula>
    </cfRule>
    <cfRule type="containsText" dxfId="93" priority="1205" operator="containsText" text="AL">
      <formula>NOT(ISERROR(SEARCH("AL",AZ4)))</formula>
    </cfRule>
    <cfRule type="containsText" dxfId="92" priority="1199" operator="containsText" text="SUS">
      <formula>NOT(ISERROR(SEARCH("SUS",AZ4)))</formula>
    </cfRule>
    <cfRule type="containsText" dxfId="91" priority="1204" operator="containsText" text="OFF">
      <formula>NOT(ISERROR(SEARCH("OFF",AZ4)))</formula>
    </cfRule>
  </conditionalFormatting>
  <conditionalFormatting sqref="AZ30">
    <cfRule type="containsText" dxfId="90" priority="1149" operator="containsText" text="FL">
      <formula>NOT(ISERROR(SEARCH("FL",AZ30)))</formula>
    </cfRule>
    <cfRule type="containsText" dxfId="89" priority="1148" operator="containsText" text="SUS">
      <formula>NOT(ISERROR(SEARCH("SUS",AZ30)))</formula>
    </cfRule>
    <cfRule type="containsText" dxfId="88" priority="1147" operator="containsText" text="AB">
      <formula>NOT(ISERROR(SEARCH("AB",AZ30)))</formula>
    </cfRule>
    <cfRule type="containsText" dxfId="87" priority="1150" operator="containsText" text="MC">
      <formula>NOT(ISERROR(SEARCH("MC",AZ30)))</formula>
    </cfRule>
    <cfRule type="containsText" dxfId="86" priority="1152" operator="containsText" text="Sick">
      <formula>NOT(ISERROR(SEARCH("Sick",AZ30)))</formula>
    </cfRule>
    <cfRule type="containsText" dxfId="85" priority="1153" operator="containsText" text="OFF">
      <formula>NOT(ISERROR(SEARCH("OFF",AZ30)))</formula>
    </cfRule>
    <cfRule type="containsText" dxfId="84" priority="1154" operator="containsText" text="AL">
      <formula>NOT(ISERROR(SEARCH("AL",AZ30)))</formula>
    </cfRule>
  </conditionalFormatting>
  <conditionalFormatting sqref="BA4 E127:F129 AG129:AI131">
    <cfRule type="containsText" dxfId="83" priority="1275" operator="containsText" text="AL">
      <formula>NOT(ISERROR(SEARCH("AL",E4)))</formula>
    </cfRule>
    <cfRule type="containsText" dxfId="82" priority="1272" operator="containsText" text="AB">
      <formula>NOT(ISERROR(SEARCH("AB",E4)))</formula>
    </cfRule>
    <cfRule type="containsText" dxfId="81" priority="1273" operator="containsText" text="Sick">
      <formula>NOT(ISERROR(SEARCH("Sick",E4)))</formula>
    </cfRule>
    <cfRule type="containsText" dxfId="80" priority="1274" operator="containsText" text="OFF">
      <formula>NOT(ISERROR(SEARCH("OFF",E4)))</formula>
    </cfRule>
  </conditionalFormatting>
  <conditionalFormatting sqref="BA4 E127:F129">
    <cfRule type="containsText" dxfId="79" priority="1271" operator="containsText" text="MC">
      <formula>NOT(ISERROR(SEARCH("MC",E4)))</formula>
    </cfRule>
  </conditionalFormatting>
  <conditionalFormatting sqref="BA4 AO128:AT128 AJ129:AT129 AO130:AT130 AJ130:AJ132 AQ132:AT132 E127:F129 E131:F131">
    <cfRule type="containsText" dxfId="78" priority="1269" operator="containsText" text="SUS">
      <formula>NOT(ISERROR(SEARCH("SUS",E4)))</formula>
    </cfRule>
    <cfRule type="containsText" dxfId="77" priority="1270" operator="containsText" text="FL">
      <formula>NOT(ISERROR(SEARCH("FL",E4)))</formula>
    </cfRule>
  </conditionalFormatting>
  <conditionalFormatting sqref="BA30">
    <cfRule type="containsText" dxfId="76" priority="1266" operator="containsText" text="Sick">
      <formula>NOT(ISERROR(SEARCH("Sick",BA30)))</formula>
    </cfRule>
    <cfRule type="containsText" dxfId="75" priority="1267" operator="containsText" text="OFF">
      <formula>NOT(ISERROR(SEARCH("OFF",BA30)))</formula>
    </cfRule>
    <cfRule type="containsText" dxfId="74" priority="1268" operator="containsText" text="AL">
      <formula>NOT(ISERROR(SEARCH("AL",BA30)))</formula>
    </cfRule>
    <cfRule type="containsText" dxfId="73" priority="1265" operator="containsText" text="AB">
      <formula>NOT(ISERROR(SEARCH("AB",BA30)))</formula>
    </cfRule>
    <cfRule type="containsText" dxfId="72" priority="1264" operator="containsText" text="MC">
      <formula>NOT(ISERROR(SEARCH("MC",BA30)))</formula>
    </cfRule>
    <cfRule type="containsText" dxfId="71" priority="1263" operator="containsText" text="FL">
      <formula>NOT(ISERROR(SEARCH("FL",BA30)))</formula>
    </cfRule>
    <cfRule type="containsText" dxfId="70" priority="1262" operator="containsText" text="SUS">
      <formula>NOT(ISERROR(SEARCH("SUS",BA30)))</formula>
    </cfRule>
  </conditionalFormatting>
  <conditionalFormatting sqref="BA4:BC4">
    <cfRule type="containsText" dxfId="69" priority="1210" operator="containsText" text="AB">
      <formula>NOT(ISERROR(SEARCH("AB",BA4)))</formula>
    </cfRule>
  </conditionalFormatting>
  <conditionalFormatting sqref="BA30:BC30">
    <cfRule type="containsText" dxfId="68" priority="1166" operator="containsText" text="AB">
      <formula>NOT(ISERROR(SEARCH("AB",BA30)))</formula>
    </cfRule>
  </conditionalFormatting>
  <conditionalFormatting sqref="BB4">
    <cfRule type="containsText" dxfId="67" priority="1209" operator="containsText" text="MC">
      <formula>NOT(ISERROR(SEARCH("MC",BB4)))</formula>
    </cfRule>
    <cfRule type="containsText" dxfId="66" priority="1208" operator="containsText" text="FL">
      <formula>NOT(ISERROR(SEARCH("FL",BB4)))</formula>
    </cfRule>
    <cfRule type="containsText" dxfId="65" priority="1207" operator="containsText" text="SUS">
      <formula>NOT(ISERROR(SEARCH("SUS",BB4)))</formula>
    </cfRule>
    <cfRule type="containsText" dxfId="64" priority="1211" operator="containsText" text="Sick">
      <formula>NOT(ISERROR(SEARCH("Sick",BB4)))</formula>
    </cfRule>
    <cfRule type="containsText" dxfId="63" priority="1206" operator="containsText" text="AB">
      <formula>NOT(ISERROR(SEARCH("AB",BB4)))</formula>
    </cfRule>
    <cfRule type="containsText" dxfId="62" priority="1212" operator="containsText" text="OFF">
      <formula>NOT(ISERROR(SEARCH("OFF",BB4)))</formula>
    </cfRule>
    <cfRule type="containsText" dxfId="61" priority="1213" operator="containsText" text="AL">
      <formula>NOT(ISERROR(SEARCH("AL",BB4)))</formula>
    </cfRule>
  </conditionalFormatting>
  <conditionalFormatting sqref="BB30">
    <cfRule type="containsText" dxfId="60" priority="1162" operator="containsText" text="AB">
      <formula>NOT(ISERROR(SEARCH("AB",BB30)))</formula>
    </cfRule>
    <cfRule type="containsText" dxfId="59" priority="1169" operator="containsText" text="AL">
      <formula>NOT(ISERROR(SEARCH("AL",BB30)))</formula>
    </cfRule>
    <cfRule type="containsText" dxfId="58" priority="1168" operator="containsText" text="OFF">
      <formula>NOT(ISERROR(SEARCH("OFF",BB30)))</formula>
    </cfRule>
    <cfRule type="containsText" dxfId="57" priority="1165" operator="containsText" text="MC">
      <formula>NOT(ISERROR(SEARCH("MC",BB30)))</formula>
    </cfRule>
    <cfRule type="containsText" dxfId="56" priority="1164" operator="containsText" text="FL">
      <formula>NOT(ISERROR(SEARCH("FL",BB30)))</formula>
    </cfRule>
    <cfRule type="containsText" dxfId="55" priority="1163" operator="containsText" text="SUS">
      <formula>NOT(ISERROR(SEARCH("SUS",BB30)))</formula>
    </cfRule>
    <cfRule type="containsText" dxfId="54" priority="1167" operator="containsText" text="Sick">
      <formula>NOT(ISERROR(SEARCH("Sick",BB30)))</formula>
    </cfRule>
  </conditionalFormatting>
  <conditionalFormatting sqref="BC4">
    <cfRule type="containsText" dxfId="53" priority="1214" operator="containsText" text="SUS">
      <formula>NOT(ISERROR(SEARCH("SUS",BC4)))</formula>
    </cfRule>
    <cfRule type="containsText" dxfId="52" priority="1215" operator="containsText" text="FL">
      <formula>NOT(ISERROR(SEARCH("FL",BC4)))</formula>
    </cfRule>
    <cfRule type="containsText" dxfId="51" priority="1216" operator="containsText" text="MC">
      <formula>NOT(ISERROR(SEARCH("MC",BC4)))</formula>
    </cfRule>
    <cfRule type="containsText" dxfId="50" priority="1217" operator="containsText" text="AB">
      <formula>NOT(ISERROR(SEARCH("AB",BC4)))</formula>
    </cfRule>
    <cfRule type="containsText" dxfId="49" priority="1218" operator="containsText" text="Sick">
      <formula>NOT(ISERROR(SEARCH("Sick",BC4)))</formula>
    </cfRule>
    <cfRule type="containsText" dxfId="48" priority="1219" operator="containsText" text="OFF">
      <formula>NOT(ISERROR(SEARCH("OFF",BC4)))</formula>
    </cfRule>
    <cfRule type="containsText" dxfId="47" priority="1220" operator="containsText" text="AL">
      <formula>NOT(ISERROR(SEARCH("AL",BC4)))</formula>
    </cfRule>
  </conditionalFormatting>
  <conditionalFormatting sqref="BC30">
    <cfRule type="containsText" dxfId="46" priority="1171" operator="containsText" text="FL">
      <formula>NOT(ISERROR(SEARCH("FL",BC30)))</formula>
    </cfRule>
    <cfRule type="containsText" dxfId="45" priority="1172" operator="containsText" text="MC">
      <formula>NOT(ISERROR(SEARCH("MC",BC30)))</formula>
    </cfRule>
    <cfRule type="containsText" dxfId="44" priority="1173" operator="containsText" text="AB">
      <formula>NOT(ISERROR(SEARCH("AB",BC30)))</formula>
    </cfRule>
    <cfRule type="containsText" dxfId="43" priority="1174" operator="containsText" text="Sick">
      <formula>NOT(ISERROR(SEARCH("Sick",BC30)))</formula>
    </cfRule>
    <cfRule type="containsText" dxfId="42" priority="1175" operator="containsText" text="OFF">
      <formula>NOT(ISERROR(SEARCH("OFF",BC30)))</formula>
    </cfRule>
    <cfRule type="containsText" dxfId="41" priority="1176" operator="containsText" text="AL">
      <formula>NOT(ISERROR(SEARCH("AL",BC30)))</formula>
    </cfRule>
    <cfRule type="containsText" dxfId="40" priority="1170" operator="containsText" text="SUS">
      <formula>NOT(ISERROR(SEARCH("SUS",BC30)))</formula>
    </cfRule>
  </conditionalFormatting>
  <conditionalFormatting sqref="BD4">
    <cfRule type="containsText" dxfId="39" priority="1246" operator="containsText" text="SICK">
      <formula>NOT(ISERROR(SEARCH("SICK",BD4)))</formula>
    </cfRule>
    <cfRule type="containsText" dxfId="38" priority="1238" operator="containsText" text="SP">
      <formula>NOT(ISERROR(SEARCH("SP",BD4)))</formula>
    </cfRule>
    <cfRule type="containsText" dxfId="37" priority="1239" operator="containsText" text="NL">
      <formula>NOT(ISERROR(SEARCH("NL",BD4)))</formula>
    </cfRule>
    <cfRule type="containsText" dxfId="36" priority="1240" operator="containsText" text="SUS">
      <formula>NOT(ISERROR(SEARCH("SUS",BD4)))</formula>
    </cfRule>
    <cfRule type="containsText" dxfId="35" priority="1241" operator="containsText" text="FL">
      <formula>NOT(ISERROR(SEARCH("FL",BD4)))</formula>
    </cfRule>
    <cfRule type="containsText" dxfId="34" priority="1242" operator="containsText" text="EL">
      <formula>NOT(ISERROR(SEARCH("EL",BD4)))</formula>
    </cfRule>
    <cfRule type="containsText" dxfId="33" priority="1243" operator="containsText" text="MC">
      <formula>NOT(ISERROR(SEARCH("MC",BD4)))</formula>
    </cfRule>
    <cfRule type="containsText" dxfId="32" priority="1244" operator="containsText" text="OFF">
      <formula>NOT(ISERROR(SEARCH("OFF",BD4)))</formula>
    </cfRule>
    <cfRule type="containsText" dxfId="31" priority="1245" operator="containsText" text="AB">
      <formula>NOT(ISERROR(SEARCH("AB",BD4)))</formula>
    </cfRule>
    <cfRule type="containsText" dxfId="30" priority="1247" operator="containsText" text="AL">
      <formula>NOT(ISERROR(SEARCH("AL",BD4)))</formula>
    </cfRule>
  </conditionalFormatting>
  <conditionalFormatting sqref="BD30">
    <cfRule type="containsText" dxfId="29" priority="1237" operator="containsText" text="AL">
      <formula>NOT(ISERROR(SEARCH("AL",BD30)))</formula>
    </cfRule>
    <cfRule type="containsText" dxfId="28" priority="1229" operator="containsText" text="NL">
      <formula>NOT(ISERROR(SEARCH("NL",BD30)))</formula>
    </cfRule>
    <cfRule type="containsText" dxfId="27" priority="1230" operator="containsText" text="SUS">
      <formula>NOT(ISERROR(SEARCH("SUS",BD30)))</formula>
    </cfRule>
    <cfRule type="containsText" dxfId="26" priority="1231" operator="containsText" text="FL">
      <formula>NOT(ISERROR(SEARCH("FL",BD30)))</formula>
    </cfRule>
    <cfRule type="containsText" dxfId="25" priority="1232" operator="containsText" text="EL">
      <formula>NOT(ISERROR(SEARCH("EL",BD30)))</formula>
    </cfRule>
    <cfRule type="containsText" dxfId="24" priority="1233" operator="containsText" text="MC">
      <formula>NOT(ISERROR(SEARCH("MC",BD30)))</formula>
    </cfRule>
    <cfRule type="containsText" dxfId="23" priority="1235" operator="containsText" text="AB">
      <formula>NOT(ISERROR(SEARCH("AB",BD30)))</formula>
    </cfRule>
    <cfRule type="containsText" dxfId="22" priority="1236" operator="containsText" text="SICK">
      <formula>NOT(ISERROR(SEARCH("SICK",BD30)))</formula>
    </cfRule>
    <cfRule type="containsText" dxfId="21" priority="1228" operator="containsText" text="SP">
      <formula>NOT(ISERROR(SEARCH("SP",BD30)))</formula>
    </cfRule>
    <cfRule type="containsText" dxfId="20" priority="1234" operator="containsText" text="OFF">
      <formula>NOT(ISERROR(SEARCH("OFF",BD30)))</formula>
    </cfRule>
  </conditionalFormatting>
  <conditionalFormatting sqref="BF4:BH4">
    <cfRule type="containsText" dxfId="19" priority="1186" operator="containsText" text="AL">
      <formula>NOT(ISERROR(SEARCH("AL",BF4)))</formula>
    </cfRule>
    <cfRule type="containsText" dxfId="18" priority="1185" operator="containsText" text="SICK">
      <formula>NOT(ISERROR(SEARCH("SICK",BF4)))</formula>
    </cfRule>
    <cfRule type="containsText" dxfId="17" priority="1184" operator="containsText" text="AB">
      <formula>NOT(ISERROR(SEARCH("AB",BF4)))</formula>
    </cfRule>
    <cfRule type="containsText" dxfId="16" priority="1183" operator="containsText" text="OFF">
      <formula>NOT(ISERROR(SEARCH("OFF",BF4)))</formula>
    </cfRule>
    <cfRule type="containsText" dxfId="15" priority="1182" operator="containsText" text="MC">
      <formula>NOT(ISERROR(SEARCH("MC",BF4)))</formula>
    </cfRule>
    <cfRule type="containsText" dxfId="14" priority="1181" operator="containsText" text="EL">
      <formula>NOT(ISERROR(SEARCH("EL",BF4)))</formula>
    </cfRule>
    <cfRule type="containsText" dxfId="13" priority="1180" operator="containsText" text="FL">
      <formula>NOT(ISERROR(SEARCH("FL",BF4)))</formula>
    </cfRule>
    <cfRule type="containsText" dxfId="12" priority="1179" operator="containsText" text="SUS">
      <formula>NOT(ISERROR(SEARCH("SUS",BF4)))</formula>
    </cfRule>
    <cfRule type="containsText" dxfId="11" priority="1178" operator="containsText" text="NL">
      <formula>NOT(ISERROR(SEARCH("NL",BF4)))</formula>
    </cfRule>
    <cfRule type="containsText" dxfId="10" priority="1177" operator="containsText" text="SP">
      <formula>NOT(ISERROR(SEARCH("SP",BF4)))</formula>
    </cfRule>
  </conditionalFormatting>
  <conditionalFormatting sqref="BF30:BH30">
    <cfRule type="containsText" dxfId="9" priority="1187" operator="containsText" text="SP">
      <formula>NOT(ISERROR(SEARCH("SP",BF30)))</formula>
    </cfRule>
    <cfRule type="containsText" dxfId="8" priority="1188" operator="containsText" text="NL">
      <formula>NOT(ISERROR(SEARCH("NL",BF30)))</formula>
    </cfRule>
    <cfRule type="containsText" dxfId="7" priority="1189" operator="containsText" text="SUS">
      <formula>NOT(ISERROR(SEARCH("SUS",BF30)))</formula>
    </cfRule>
    <cfRule type="containsText" dxfId="6" priority="1190" operator="containsText" text="FL">
      <formula>NOT(ISERROR(SEARCH("FL",BF30)))</formula>
    </cfRule>
    <cfRule type="containsText" dxfId="5" priority="1191" operator="containsText" text="EL">
      <formula>NOT(ISERROR(SEARCH("EL",BF30)))</formula>
    </cfRule>
    <cfRule type="containsText" dxfId="4" priority="1192" operator="containsText" text="MC">
      <formula>NOT(ISERROR(SEARCH("MC",BF30)))</formula>
    </cfRule>
    <cfRule type="containsText" dxfId="3" priority="1193" operator="containsText" text="OFF">
      <formula>NOT(ISERROR(SEARCH("OFF",BF30)))</formula>
    </cfRule>
    <cfRule type="containsText" dxfId="2" priority="1194" operator="containsText" text="AB">
      <formula>NOT(ISERROR(SEARCH("AB",BF30)))</formula>
    </cfRule>
    <cfRule type="containsText" dxfId="1" priority="1195" operator="containsText" text="SICK">
      <formula>NOT(ISERROR(SEARCH("SICK",BF30)))</formula>
    </cfRule>
    <cfRule type="containsText" dxfId="0" priority="1196" operator="containsText" text="AL">
      <formula>NOT(ISERROR(SEARCH("AL",BF30)))</formula>
    </cfRule>
  </conditionalFormatting>
  <pageMargins left="0.7" right="0.7" top="0.75" bottom="0.75" header="0.3" footer="0.3"/>
  <pageSetup paperSize="9" scale="26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Muneeswari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Muneswari Sandrapalli</dc:creator>
  <cp:lastModifiedBy>Madihaa Company</cp:lastModifiedBy>
  <cp:lastPrinted>2026-08-05T04:45:45Z</cp:lastPrinted>
  <dcterms:created xsi:type="dcterms:W3CDTF">2025-11-02T11:29:49Z</dcterms:created>
  <dcterms:modified xsi:type="dcterms:W3CDTF">2026-10-30T09:39:35Z</dcterms:modified>
</cp:coreProperties>
</file>