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rch\"/>
    </mc:Choice>
  </mc:AlternateContent>
  <xr:revisionPtr revIDLastSave="0" documentId="13_ncr:1_{FE7A151E-D9BA-43D0-92AB-399523D7AB17}" xr6:coauthVersionLast="47" xr6:coauthVersionMax="47" xr10:uidLastSave="{00000000-0000-0000-0000-000000000000}"/>
  <bookViews>
    <workbookView xWindow="-120" yWindow="-120" windowWidth="29040" windowHeight="15840" tabRatio="605" xr2:uid="{8B529D28-677B-4248-8BFD-D731CA8DB518}"/>
  </bookViews>
  <sheets>
    <sheet name="MASTER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13" i="4" l="1"/>
  <c r="CN5" i="4"/>
  <c r="CN11" i="4"/>
  <c r="CN12" i="4"/>
  <c r="CN10" i="4"/>
  <c r="CN9" i="4"/>
  <c r="CN8" i="4"/>
  <c r="CN7" i="4"/>
  <c r="CN6" i="4"/>
  <c r="BQ7" i="4" l="1"/>
  <c r="BR7" i="4"/>
  <c r="BS7" i="4"/>
  <c r="BT7" i="4"/>
  <c r="BU7" i="4"/>
  <c r="BV7" i="4"/>
  <c r="BW7" i="4"/>
  <c r="BX7" i="4"/>
  <c r="BY7" i="4"/>
  <c r="BZ7" i="4"/>
  <c r="CA7" i="4"/>
  <c r="BQ8" i="4"/>
  <c r="BR8" i="4"/>
  <c r="BS8" i="4"/>
  <c r="BT8" i="4"/>
  <c r="BU8" i="4"/>
  <c r="BV8" i="4"/>
  <c r="BW8" i="4"/>
  <c r="BX8" i="4"/>
  <c r="BY8" i="4"/>
  <c r="BZ8" i="4"/>
  <c r="CA8" i="4"/>
  <c r="BQ9" i="4"/>
  <c r="BR9" i="4"/>
  <c r="BS9" i="4"/>
  <c r="BT9" i="4"/>
  <c r="BU9" i="4"/>
  <c r="BV9" i="4"/>
  <c r="BW9" i="4"/>
  <c r="BX9" i="4"/>
  <c r="BY9" i="4"/>
  <c r="BZ9" i="4"/>
  <c r="CA9" i="4"/>
  <c r="BQ10" i="4"/>
  <c r="BR10" i="4"/>
  <c r="BS10" i="4"/>
  <c r="BT10" i="4"/>
  <c r="BU10" i="4"/>
  <c r="BV10" i="4"/>
  <c r="BW10" i="4"/>
  <c r="BX10" i="4"/>
  <c r="BY10" i="4"/>
  <c r="BZ10" i="4"/>
  <c r="CA10" i="4"/>
  <c r="BQ11" i="4"/>
  <c r="BR11" i="4"/>
  <c r="BS11" i="4"/>
  <c r="BT11" i="4"/>
  <c r="BU11" i="4"/>
  <c r="BV11" i="4"/>
  <c r="BW11" i="4"/>
  <c r="BX11" i="4"/>
  <c r="BY11" i="4"/>
  <c r="BZ11" i="4"/>
  <c r="CA11" i="4"/>
  <c r="BQ12" i="4"/>
  <c r="BR12" i="4"/>
  <c r="BS12" i="4"/>
  <c r="BT12" i="4"/>
  <c r="BU12" i="4"/>
  <c r="BV12" i="4"/>
  <c r="BW12" i="4"/>
  <c r="BX12" i="4"/>
  <c r="BY12" i="4"/>
  <c r="BZ12" i="4"/>
  <c r="CA12" i="4"/>
  <c r="BQ13" i="4"/>
  <c r="BR13" i="4"/>
  <c r="BS13" i="4"/>
  <c r="BT13" i="4"/>
  <c r="BU13" i="4"/>
  <c r="BV13" i="4"/>
  <c r="BW13" i="4"/>
  <c r="BX13" i="4"/>
  <c r="BY13" i="4"/>
  <c r="BZ13" i="4"/>
  <c r="CA13" i="4"/>
  <c r="BP13" i="4"/>
  <c r="BP6" i="4" l="1"/>
  <c r="BP7" i="4"/>
  <c r="BP8" i="4"/>
  <c r="BP9" i="4"/>
  <c r="BO8" i="4" l="1"/>
  <c r="BO9" i="4"/>
  <c r="BQ6" i="4"/>
  <c r="BR6" i="4"/>
  <c r="BS6" i="4"/>
  <c r="BT6" i="4"/>
  <c r="BU6" i="4"/>
  <c r="BV6" i="4"/>
  <c r="BW6" i="4"/>
  <c r="BX6" i="4"/>
  <c r="BY6" i="4"/>
  <c r="BZ6" i="4"/>
  <c r="CA6" i="4"/>
  <c r="BP10" i="4"/>
  <c r="BP11" i="4"/>
  <c r="BP12" i="4"/>
  <c r="BO7" i="4" l="1"/>
  <c r="BO6" i="4"/>
  <c r="BO13" i="4"/>
  <c r="BO10" i="4"/>
  <c r="BO11" i="4"/>
  <c r="BO12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 l="1"/>
  <c r="BP5" i="4"/>
  <c r="CA33" i="4" l="1"/>
  <c r="BZ33" i="4"/>
  <c r="BY33" i="4"/>
  <c r="BX33" i="4"/>
  <c r="BW33" i="4"/>
  <c r="BV33" i="4"/>
  <c r="BU33" i="4"/>
  <c r="BT33" i="4"/>
  <c r="BS33" i="4"/>
  <c r="BR33" i="4"/>
  <c r="BQ33" i="4"/>
  <c r="BP33" i="4"/>
  <c r="CA5" i="4"/>
  <c r="BZ5" i="4"/>
  <c r="BY5" i="4"/>
  <c r="BX5" i="4"/>
  <c r="BW5" i="4"/>
  <c r="BV5" i="4"/>
  <c r="BU5" i="4"/>
  <c r="BT5" i="4"/>
  <c r="BS5" i="4"/>
  <c r="BR5" i="4"/>
  <c r="BQ5" i="4"/>
  <c r="BO5" i="4" l="1"/>
  <c r="BO33" i="4"/>
</calcChain>
</file>

<file path=xl/sharedStrings.xml><?xml version="1.0" encoding="utf-8"?>
<sst xmlns="http://schemas.openxmlformats.org/spreadsheetml/2006/main" count="204" uniqueCount="71">
  <si>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</si>
  <si>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</si>
  <si>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</si>
  <si>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</si>
  <si>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</si>
  <si>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</si>
  <si>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</si>
  <si>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</si>
  <si>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</si>
  <si>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</si>
  <si>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</si>
  <si>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</si>
  <si>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</si>
  <si>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</si>
  <si>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</si>
  <si>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</si>
  <si>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</si>
  <si>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</si>
  <si>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</si>
  <si>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</si>
  <si>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</si>
  <si>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</si>
  <si>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</si>
  <si>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</si>
  <si>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</si>
  <si>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</si>
  <si>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MAD0500</t>
  </si>
  <si>
    <t>Ahmed Munawwaru</t>
  </si>
  <si>
    <t>MAD0661</t>
  </si>
  <si>
    <t>Jose Francis</t>
  </si>
  <si>
    <t>MAD0502</t>
  </si>
  <si>
    <t>Kamaludhdheen</t>
  </si>
  <si>
    <t>MAD0503</t>
  </si>
  <si>
    <t>Imamudhdheen</t>
  </si>
  <si>
    <t>MAD0702</t>
  </si>
  <si>
    <t>Mehedi Hasan Emon</t>
  </si>
  <si>
    <t>MAD0553</t>
  </si>
  <si>
    <t>Ajith Paul Raj</t>
  </si>
  <si>
    <t>MAD0665</t>
  </si>
  <si>
    <t>Saroj Raut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</si>
  <si>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</si>
  <si>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</si>
  <si>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</si>
  <si>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</si>
  <si>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</si>
  <si>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</si>
  <si>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</si>
  <si>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</si>
  <si>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</si>
  <si>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</si>
  <si>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</si>
  <si>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</si>
  <si>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</si>
  <si>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>Hussain Mahir</t>
  </si>
  <si>
    <t>Moosa Ahmed</t>
  </si>
  <si>
    <t>Suspended</t>
  </si>
  <si>
    <t>Special Leave</t>
  </si>
  <si>
    <t>HR Executive</t>
  </si>
  <si>
    <t>Office Manager</t>
  </si>
  <si>
    <t>Chairman</t>
  </si>
  <si>
    <t>Family Leave</t>
  </si>
  <si>
    <t>Abu Moosa</t>
  </si>
  <si>
    <t>MAD0501</t>
  </si>
  <si>
    <t>MAD0734</t>
  </si>
  <si>
    <t>MD Morsalin</t>
  </si>
  <si>
    <t>MAD0738</t>
  </si>
  <si>
    <t>Rabbir hossain</t>
  </si>
  <si>
    <t>Attendance for MARCH 2026 - BATUTA</t>
  </si>
  <si>
    <t>Pls don’t Remove below data</t>
  </si>
  <si>
    <t>Total</t>
  </si>
  <si>
    <t xml:space="preserve">Used Leave Totals (Running Year, up to end of this month - march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</si>
</sst>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0"/>
      <name val="Segoe UI"/>
      <family val="2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name val="Segoe UI"/>
      <family val="2"/>
    </font>
    <font>
      <sz val="1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9"/>
      <name val="Arial"/>
      <family val="2"/>
    </font>
    <font>
      <b/>
      <sz val="9.9"/>
      <name val="Arial"/>
      <family val="2"/>
    </font>
    <font>
      <sz val="12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164" fontId="5" fillId="6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5" fontId="12" fillId="0" borderId="0" xfId="0" applyNumberFormat="1" applyFont="1" applyAlignment="1">
      <alignment horizontal="center" vertical="center" wrapText="1"/>
    </xf>
    <xf numFmtId="0" fontId="13" fillId="9" borderId="0" xfId="0" applyFont="1" applyFill="1" applyAlignment="1">
      <alignment vertical="center"/>
    </xf>
    <xf numFmtId="0" fontId="13" fillId="9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0" borderId="0" xfId="0" applyFont="1" applyFill="1" applyAlignment="1">
      <alignment vertical="center"/>
    </xf>
    <xf numFmtId="0" fontId="13" fillId="10" borderId="0" xfId="0" applyFont="1" applyFill="1" applyAlignment="1">
      <alignment horizontal="left" vertical="center"/>
    </xf>
    <xf numFmtId="0" fontId="8" fillId="10" borderId="0" xfId="0" applyFont="1" applyFill="1"/>
    <xf numFmtId="0" fontId="14" fillId="0" borderId="0" xfId="0" applyFont="1" applyAlignment="1">
      <alignment vertical="center"/>
    </xf>
    <xf numFmtId="0" fontId="10" fillId="0" borderId="0" xfId="0" applyFont="1"/>
    <xf numFmtId="165" fontId="1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49" fontId="13" fillId="10" borderId="0" xfId="0" applyNumberFormat="1" applyFont="1" applyFill="1" applyAlignment="1">
      <alignment vertical="center"/>
    </xf>
    <xf numFmtId="49" fontId="13" fillId="10" borderId="0" xfId="0" applyNumberFormat="1" applyFont="1" applyFill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9" fillId="0" borderId="0" xfId="0" applyFont="1"/>
    <xf numFmtId="165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20" fontId="0" fillId="2" borderId="2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20" fontId="0" fillId="2" borderId="2" xfId="0" applyNumberFormat="1" applyFill="1" applyBorder="1" applyAlignment="1">
      <alignment horizontal="center" vertical="center" wrapText="1"/>
    </xf>
    <xf numFmtId="20" fontId="21" fillId="2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20" fontId="22" fillId="2" borderId="2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20" fontId="23" fillId="11" borderId="2" xfId="0" applyNumberFormat="1" applyFont="1" applyFill="1" applyBorder="1" applyAlignment="1">
      <alignment horizontal="center" vertical="center" wrapText="1"/>
    </xf>
    <xf numFmtId="1" fontId="5" fillId="8" borderId="5" xfId="0" applyNumberFormat="1" applyFont="1" applyFill="1" applyBorder="1" applyAlignment="1">
      <alignment horizontal="center" vertical="center"/>
    </xf>
    <xf numFmtId="0" fontId="23" fillId="11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15" fontId="0" fillId="0" borderId="6" xfId="0" applyNumberFormat="1" applyBorder="1" applyAlignment="1">
      <alignment horizontal="center" vertical="center"/>
    </xf>
    <xf numFmtId="15" fontId="0" fillId="0" borderId="7" xfId="0" applyNumberForma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15" fontId="4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39"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974A1-1AF2-4F9D-B0C2-E013BAA21911}" name="Table1" displayName="Table1" ref="CD4:CN13" totalsRowShown="0" headerRowDxfId="38" dataDxfId="36" headerRowBorderDxfId="37" tableBorderDxfId="35" totalsRowBorderDxfId="34">
  <autoFilter ref="CD4:CN13" xr:uid="{336974A1-1AF2-4F9D-B0C2-E013BAA21911}"/>
  <tableColumns count="11">
    <tableColumn id="1" xr3:uid="{AF276F43-DC90-4A43-B260-7D1F790A3043}" name="MC" dataDxfId="33"/>
    <tableColumn id="2" xr3:uid="{8D4BF9CC-AD4D-4BF5-9D29-F040B3153739}" name="EL" dataDxfId="32"/>
    <tableColumn id="3" xr3:uid="{C3C2851F-985A-4FE4-8D05-2ED93CF371D1}" name="AL" dataDxfId="31"/>
    <tableColumn id="4" xr3:uid="{6AB64BAD-683B-454E-ACF6-8358619668D8}" name="SUS" dataDxfId="30"/>
    <tableColumn id="5" xr3:uid="{3B441775-5FD0-488A-8574-CE9D8DC1E2B1}" name="FL" dataDxfId="29"/>
    <tableColumn id="6" xr3:uid="{97EE2EE2-ED3A-4063-B2D4-752CFD9FC535}" name="S" dataDxfId="28"/>
    <tableColumn id="7" xr3:uid="{3CB56D3F-26F3-47E5-8126-76AB67DEBE6B}" name="HD" dataDxfId="27"/>
    <tableColumn id="8" xr3:uid="{63EE083B-FA68-4662-AF50-B133D7B6C410}" name="AB" dataDxfId="26"/>
    <tableColumn id="9" xr3:uid="{840891C7-D329-4D8C-A2AA-8F076D42B3C7}" name="NL" dataDxfId="25"/>
    <tableColumn id="10" xr3:uid="{1A2A79AD-FB97-44C3-BAB8-A30DE6F87716}" name="SP" dataDxfId="24"/>
    <tableColumn id="11" xr3:uid="{6F24779C-FB5E-43C1-BF88-C5D34F571DCF}" name="Total" dataDxfId="2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EB03-D27A-4FD2-8612-F4412D5D88C9}">
  <sheetPr>
    <pageSetUpPr fitToPage="1"/>
  </sheetPr>
  <dimension ref="A1:CO34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D18" sqref="CD18"/>
    </sheetView>
  </sheetViews>
  <sheetFormatPr defaultRowHeight="15" x14ac:dyDescent="0.25"/>
  <cols>
    <col min="1" max="1" width="5.28515625" customWidth="1"/>
    <col min="2" max="2" width="10.85546875" customWidth="1"/>
    <col min="3" max="3" width="20.85546875" customWidth="1"/>
    <col min="4" max="4" width="13.7109375" customWidth="1"/>
    <col min="5" max="66" width="6.7109375" customWidth="1"/>
    <col min="67" max="79" width="5.42578125" customWidth="1"/>
    <col min="82" max="92" width="7.5703125" customWidth="1"/>
  </cols>
  <sheetData>
    <row r="1" spans="1:93" ht="23.25" customHeight="1" x14ac:dyDescent="0.25">
      <c r="A1" s="82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 t="s">
        <v>67</v>
      </c>
      <c r="AJ1" s="82"/>
      <c r="AK1" s="82"/>
      <c r="AL1" s="82"/>
      <c r="AM1" s="82"/>
      <c r="AN1" s="82"/>
      <c r="AO1" s="82"/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  <c r="BM1" s="82"/>
      <c r="BN1" s="82"/>
      <c r="BO1" s="82"/>
      <c r="BP1" s="82"/>
      <c r="BQ1" s="82"/>
      <c r="BR1" s="82"/>
      <c r="BS1" s="82"/>
      <c r="BT1" s="82"/>
      <c r="BU1" s="82"/>
      <c r="BV1" s="82"/>
      <c r="BW1" s="82"/>
      <c r="BX1" s="82"/>
      <c r="BY1" s="82"/>
      <c r="BZ1" s="82"/>
      <c r="CA1" s="82"/>
      <c r="CB1" s="82"/>
    </row>
    <row r="2" spans="1:93" s="46" customFormat="1" ht="19.5" customHeight="1" x14ac:dyDescent="0.25">
      <c r="A2" s="83" t="s">
        <v>0</v>
      </c>
      <c r="B2" s="83"/>
      <c r="C2" s="83"/>
      <c r="D2" s="65"/>
      <c r="E2" s="81" t="s">
        <v>5</v>
      </c>
      <c r="F2" s="81"/>
      <c r="G2" s="81" t="s">
        <v>6</v>
      </c>
      <c r="H2" s="81"/>
      <c r="I2" s="81" t="s">
        <v>7</v>
      </c>
      <c r="J2" s="81"/>
      <c r="K2" s="81" t="s">
        <v>1</v>
      </c>
      <c r="L2" s="81"/>
      <c r="M2" s="81" t="s">
        <v>2</v>
      </c>
      <c r="N2" s="81"/>
      <c r="O2" s="81" t="s">
        <v>3</v>
      </c>
      <c r="P2" s="81"/>
      <c r="Q2" s="81" t="s">
        <v>4</v>
      </c>
      <c r="R2" s="81"/>
      <c r="S2" s="81" t="s">
        <v>5</v>
      </c>
      <c r="T2" s="81"/>
      <c r="U2" s="81" t="s">
        <v>6</v>
      </c>
      <c r="V2" s="81"/>
      <c r="W2" s="81" t="s">
        <v>7</v>
      </c>
      <c r="X2" s="81"/>
      <c r="Y2" s="81" t="s">
        <v>1</v>
      </c>
      <c r="Z2" s="81"/>
      <c r="AA2" s="81" t="s">
        <v>2</v>
      </c>
      <c r="AB2" s="81"/>
      <c r="AC2" s="81" t="s">
        <v>3</v>
      </c>
      <c r="AD2" s="81"/>
      <c r="AE2" s="81" t="s">
        <v>4</v>
      </c>
      <c r="AF2" s="81"/>
      <c r="AG2" s="81" t="s">
        <v>5</v>
      </c>
      <c r="AH2" s="81"/>
      <c r="AI2" s="81" t="s">
        <v>6</v>
      </c>
      <c r="AJ2" s="81"/>
      <c r="AK2" s="81" t="s">
        <v>7</v>
      </c>
      <c r="AL2" s="81"/>
      <c r="AM2" s="81" t="s">
        <v>1</v>
      </c>
      <c r="AN2" s="81"/>
      <c r="AO2" s="81" t="s">
        <v>2</v>
      </c>
      <c r="AP2" s="81"/>
      <c r="AQ2" s="81" t="s">
        <v>3</v>
      </c>
      <c r="AR2" s="81"/>
      <c r="AS2" s="81" t="s">
        <v>4</v>
      </c>
      <c r="AT2" s="81"/>
      <c r="AU2" s="81" t="s">
        <v>5</v>
      </c>
      <c r="AV2" s="81"/>
      <c r="AW2" s="81" t="s">
        <v>6</v>
      </c>
      <c r="AX2" s="81"/>
      <c r="AY2" s="81" t="s">
        <v>7</v>
      </c>
      <c r="AZ2" s="81"/>
      <c r="BA2" s="81" t="s">
        <v>1</v>
      </c>
      <c r="BB2" s="81"/>
      <c r="BC2" s="81" t="s">
        <v>2</v>
      </c>
      <c r="BD2" s="81"/>
      <c r="BE2" s="81" t="s">
        <v>3</v>
      </c>
      <c r="BF2" s="81"/>
      <c r="BG2" s="81" t="s">
        <v>4</v>
      </c>
      <c r="BH2" s="81"/>
      <c r="BI2" s="81" t="s">
        <v>5</v>
      </c>
      <c r="BJ2" s="81"/>
      <c r="BK2" s="81" t="s">
        <v>6</v>
      </c>
      <c r="BL2" s="81"/>
      <c r="BM2" s="81" t="s">
        <v>7</v>
      </c>
      <c r="BN2" s="81"/>
      <c r="BO2" s="84" t="s">
        <v>8</v>
      </c>
      <c r="BP2" s="80"/>
      <c r="BQ2" s="80"/>
      <c r="BR2" s="80"/>
      <c r="BS2" s="80"/>
      <c r="BT2" s="80"/>
      <c r="BU2" s="80"/>
      <c r="BV2" s="80"/>
      <c r="BW2" s="80"/>
      <c r="BX2" s="80"/>
      <c r="BY2" s="80"/>
      <c r="BZ2" s="80"/>
      <c r="CA2" s="80"/>
      <c r="CB2" s="80"/>
      <c r="CD2" s="78" t="s">
        <v>68</v>
      </c>
      <c r="CE2" s="78"/>
      <c r="CF2" s="78"/>
      <c r="CG2" s="78"/>
      <c r="CH2" s="78"/>
      <c r="CI2" s="78"/>
      <c r="CJ2" s="78"/>
      <c r="CK2" s="78"/>
      <c r="CL2" s="78"/>
      <c r="CM2" s="78"/>
      <c r="CN2" s="78"/>
    </row>
    <row r="3" spans="1:93" s="46" customFormat="1" ht="19.5" customHeight="1" x14ac:dyDescent="0.25">
      <c r="A3" s="83"/>
      <c r="B3" s="83"/>
      <c r="C3" s="83"/>
      <c r="D3" s="65"/>
      <c r="E3" s="79">
        <v>46082</v>
      </c>
      <c r="F3" s="79"/>
      <c r="G3" s="79">
        <v>46083</v>
      </c>
      <c r="H3" s="79"/>
      <c r="I3" s="79">
        <v>46084</v>
      </c>
      <c r="J3" s="79"/>
      <c r="K3" s="79">
        <v>46085</v>
      </c>
      <c r="L3" s="79"/>
      <c r="M3" s="79">
        <v>46086</v>
      </c>
      <c r="N3" s="79"/>
      <c r="O3" s="79">
        <v>46087</v>
      </c>
      <c r="P3" s="79"/>
      <c r="Q3" s="79">
        <v>46088</v>
      </c>
      <c r="R3" s="79"/>
      <c r="S3" s="79">
        <v>46089</v>
      </c>
      <c r="T3" s="79"/>
      <c r="U3" s="79">
        <v>46090</v>
      </c>
      <c r="V3" s="79"/>
      <c r="W3" s="79">
        <v>46091</v>
      </c>
      <c r="X3" s="79"/>
      <c r="Y3" s="79">
        <v>46092</v>
      </c>
      <c r="Z3" s="79"/>
      <c r="AA3" s="79">
        <v>46093</v>
      </c>
      <c r="AB3" s="79"/>
      <c r="AC3" s="79">
        <v>46094</v>
      </c>
      <c r="AD3" s="79"/>
      <c r="AE3" s="79">
        <v>46095</v>
      </c>
      <c r="AF3" s="79"/>
      <c r="AG3" s="79">
        <v>46096</v>
      </c>
      <c r="AH3" s="79"/>
      <c r="AI3" s="79">
        <v>46097</v>
      </c>
      <c r="AJ3" s="79"/>
      <c r="AK3" s="79">
        <v>46098</v>
      </c>
      <c r="AL3" s="79"/>
      <c r="AM3" s="79">
        <v>46099</v>
      </c>
      <c r="AN3" s="79"/>
      <c r="AO3" s="79">
        <v>46100</v>
      </c>
      <c r="AP3" s="79"/>
      <c r="AQ3" s="79">
        <v>46101</v>
      </c>
      <c r="AR3" s="79"/>
      <c r="AS3" s="79">
        <v>46102</v>
      </c>
      <c r="AT3" s="79"/>
      <c r="AU3" s="79">
        <v>46103</v>
      </c>
      <c r="AV3" s="79"/>
      <c r="AW3" s="79">
        <v>46104</v>
      </c>
      <c r="AX3" s="79"/>
      <c r="AY3" s="79">
        <v>46105</v>
      </c>
      <c r="AZ3" s="79"/>
      <c r="BA3" s="79">
        <v>46106</v>
      </c>
      <c r="BB3" s="79"/>
      <c r="BC3" s="79">
        <v>46107</v>
      </c>
      <c r="BD3" s="79"/>
      <c r="BE3" s="79">
        <v>46108</v>
      </c>
      <c r="BF3" s="79"/>
      <c r="BG3" s="79">
        <v>46109</v>
      </c>
      <c r="BH3" s="79"/>
      <c r="BI3" s="79">
        <v>46110</v>
      </c>
      <c r="BJ3" s="79"/>
      <c r="BK3" s="79">
        <v>46111</v>
      </c>
      <c r="BL3" s="79"/>
      <c r="BM3" s="79">
        <v>46112</v>
      </c>
      <c r="BN3" s="79"/>
      <c r="BO3" s="84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2"/>
      <c r="CD3" s="71" t="s">
        <v>70</v>
      </c>
      <c r="CE3" s="71"/>
      <c r="CF3" s="71"/>
      <c r="CG3" s="71"/>
      <c r="CH3" s="71"/>
      <c r="CI3" s="71"/>
      <c r="CJ3" s="71"/>
      <c r="CK3" s="71"/>
      <c r="CL3" s="71"/>
      <c r="CM3" s="71"/>
      <c r="CN3" s="41"/>
    </row>
    <row r="4" spans="1:93" s="46" customFormat="1" ht="19.5" customHeight="1" x14ac:dyDescent="0.25">
      <c r="A4" s="47" t="s">
        <v>9</v>
      </c>
      <c r="B4" s="48" t="s">
        <v>10</v>
      </c>
      <c r="C4" s="47" t="s">
        <v>11</v>
      </c>
      <c r="D4" s="66"/>
      <c r="E4" s="49" t="s">
        <v>12</v>
      </c>
      <c r="F4" s="49" t="s">
        <v>13</v>
      </c>
      <c r="G4" s="49" t="s">
        <v>12</v>
      </c>
      <c r="H4" s="49" t="s">
        <v>13</v>
      </c>
      <c r="I4" s="49" t="s">
        <v>12</v>
      </c>
      <c r="J4" s="49" t="s">
        <v>13</v>
      </c>
      <c r="K4" s="49" t="s">
        <v>12</v>
      </c>
      <c r="L4" s="49" t="s">
        <v>13</v>
      </c>
      <c r="M4" s="49" t="s">
        <v>12</v>
      </c>
      <c r="N4" s="49" t="s">
        <v>13</v>
      </c>
      <c r="O4" s="49" t="s">
        <v>12</v>
      </c>
      <c r="P4" s="49" t="s">
        <v>13</v>
      </c>
      <c r="Q4" s="49" t="s">
        <v>12</v>
      </c>
      <c r="R4" s="49" t="s">
        <v>13</v>
      </c>
      <c r="S4" s="49" t="s">
        <v>12</v>
      </c>
      <c r="T4" s="49" t="s">
        <v>13</v>
      </c>
      <c r="U4" s="49" t="s">
        <v>12</v>
      </c>
      <c r="V4" s="49" t="s">
        <v>13</v>
      </c>
      <c r="W4" s="49" t="s">
        <v>12</v>
      </c>
      <c r="X4" s="49" t="s">
        <v>13</v>
      </c>
      <c r="Y4" s="49" t="s">
        <v>12</v>
      </c>
      <c r="Z4" s="49" t="s">
        <v>13</v>
      </c>
      <c r="AA4" s="49" t="s">
        <v>12</v>
      </c>
      <c r="AB4" s="49" t="s">
        <v>13</v>
      </c>
      <c r="AC4" s="49" t="s">
        <v>12</v>
      </c>
      <c r="AD4" s="49" t="s">
        <v>13</v>
      </c>
      <c r="AE4" s="49" t="s">
        <v>12</v>
      </c>
      <c r="AF4" s="49" t="s">
        <v>13</v>
      </c>
      <c r="AG4" s="49" t="s">
        <v>12</v>
      </c>
      <c r="AH4" s="49" t="s">
        <v>13</v>
      </c>
      <c r="AI4" s="49" t="s">
        <v>12</v>
      </c>
      <c r="AJ4" s="49" t="s">
        <v>13</v>
      </c>
      <c r="AK4" s="49" t="s">
        <v>12</v>
      </c>
      <c r="AL4" s="49" t="s">
        <v>13</v>
      </c>
      <c r="AM4" s="49" t="s">
        <v>12</v>
      </c>
      <c r="AN4" s="49" t="s">
        <v>13</v>
      </c>
      <c r="AO4" s="49" t="s">
        <v>12</v>
      </c>
      <c r="AP4" s="49" t="s">
        <v>13</v>
      </c>
      <c r="AQ4" s="49" t="s">
        <v>12</v>
      </c>
      <c r="AR4" s="49" t="s">
        <v>13</v>
      </c>
      <c r="AS4" s="49" t="s">
        <v>12</v>
      </c>
      <c r="AT4" s="49" t="s">
        <v>13</v>
      </c>
      <c r="AU4" s="49" t="s">
        <v>12</v>
      </c>
      <c r="AV4" s="49" t="s">
        <v>13</v>
      </c>
      <c r="AW4" s="49" t="s">
        <v>12</v>
      </c>
      <c r="AX4" s="49" t="s">
        <v>13</v>
      </c>
      <c r="AY4" s="49" t="s">
        <v>12</v>
      </c>
      <c r="AZ4" s="49" t="s">
        <v>13</v>
      </c>
      <c r="BA4" s="49" t="s">
        <v>12</v>
      </c>
      <c r="BB4" s="49" t="s">
        <v>13</v>
      </c>
      <c r="BC4" s="49" t="s">
        <v>12</v>
      </c>
      <c r="BD4" s="49" t="s">
        <v>13</v>
      </c>
      <c r="BE4" s="49" t="s">
        <v>12</v>
      </c>
      <c r="BF4" s="49" t="s">
        <v>13</v>
      </c>
      <c r="BG4" s="49" t="s">
        <v>12</v>
      </c>
      <c r="BH4" s="49" t="s">
        <v>13</v>
      </c>
      <c r="BI4" s="49" t="s">
        <v>12</v>
      </c>
      <c r="BJ4" s="49" t="s">
        <v>13</v>
      </c>
      <c r="BK4" s="49" t="s">
        <v>12</v>
      </c>
      <c r="BL4" s="49" t="s">
        <v>13</v>
      </c>
      <c r="BM4" s="49" t="s">
        <v>12</v>
      </c>
      <c r="BN4" s="49" t="s">
        <v>13</v>
      </c>
      <c r="BO4" s="84"/>
      <c r="BP4" s="3"/>
      <c r="BQ4" s="4" t="s">
        <v>14</v>
      </c>
      <c r="BR4" s="4" t="s">
        <v>15</v>
      </c>
      <c r="BS4" s="4" t="s">
        <v>16</v>
      </c>
      <c r="BT4" s="4" t="s">
        <v>17</v>
      </c>
      <c r="BU4" s="4" t="s">
        <v>18</v>
      </c>
      <c r="BV4" s="4" t="s">
        <v>19</v>
      </c>
      <c r="BW4" s="4" t="s">
        <v>20</v>
      </c>
      <c r="BX4" s="4" t="s">
        <v>21</v>
      </c>
      <c r="BY4" s="4" t="s">
        <v>22</v>
      </c>
      <c r="BZ4" s="4" t="s">
        <v>23</v>
      </c>
      <c r="CA4" s="4" t="s">
        <v>24</v>
      </c>
      <c r="CB4" s="5" t="s">
        <v>25</v>
      </c>
      <c r="CD4" s="72" t="s">
        <v>15</v>
      </c>
      <c r="CE4" s="73" t="s">
        <v>16</v>
      </c>
      <c r="CF4" s="73" t="s">
        <v>17</v>
      </c>
      <c r="CG4" s="73" t="s">
        <v>18</v>
      </c>
      <c r="CH4" s="73" t="s">
        <v>19</v>
      </c>
      <c r="CI4" s="73" t="s">
        <v>20</v>
      </c>
      <c r="CJ4" s="73" t="s">
        <v>21</v>
      </c>
      <c r="CK4" s="73" t="s">
        <v>22</v>
      </c>
      <c r="CL4" s="73" t="s">
        <v>23</v>
      </c>
      <c r="CM4" s="73" t="s">
        <v>24</v>
      </c>
      <c r="CN4" s="74" t="s">
        <v>69</v>
      </c>
    </row>
    <row r="5" spans="1:93" ht="21" customHeight="1" x14ac:dyDescent="0.25">
      <c r="A5" s="6">
        <v>1</v>
      </c>
      <c r="B5" s="57" t="s">
        <v>26</v>
      </c>
      <c r="C5" s="52" t="s">
        <v>27</v>
      </c>
      <c r="D5" s="52"/>
      <c r="E5" s="60">
        <v>0.46875</v>
      </c>
      <c r="F5" s="61">
        <v>1</v>
      </c>
      <c r="G5" s="60">
        <v>0.40416666666666662</v>
      </c>
      <c r="H5" s="60">
        <v>4.1666666666666666E-3</v>
      </c>
      <c r="I5" s="60">
        <v>0.31944444444444448</v>
      </c>
      <c r="J5" s="60">
        <v>0.94166666666666676</v>
      </c>
      <c r="K5" s="60">
        <v>0.44166666666666665</v>
      </c>
      <c r="L5" s="60">
        <v>0.89444444444444438</v>
      </c>
      <c r="M5" s="60">
        <v>0.95972222222222225</v>
      </c>
      <c r="N5" s="61">
        <v>1</v>
      </c>
      <c r="O5" s="62">
        <v>0.49791666666666662</v>
      </c>
      <c r="P5" s="62">
        <v>0.89930555555555547</v>
      </c>
      <c r="Q5" s="61">
        <v>1</v>
      </c>
      <c r="R5" s="61">
        <v>1</v>
      </c>
      <c r="S5" s="60">
        <v>0.42638888888888887</v>
      </c>
      <c r="T5" s="60">
        <v>0.92569444444444438</v>
      </c>
      <c r="U5" s="60">
        <v>0.33749999999999997</v>
      </c>
      <c r="V5" s="60">
        <v>0.95208333333333339</v>
      </c>
      <c r="W5" s="60">
        <v>0.45416666666666666</v>
      </c>
      <c r="X5" s="61">
        <v>1</v>
      </c>
      <c r="Y5" s="60">
        <v>0.41944444444444445</v>
      </c>
      <c r="Z5" s="60">
        <v>6.9444444444444447E-4</v>
      </c>
      <c r="AA5" s="60">
        <v>0.49583333333333335</v>
      </c>
      <c r="AB5" s="60">
        <v>0.90069444444444446</v>
      </c>
      <c r="AC5" s="62">
        <v>0.49791666666666662</v>
      </c>
      <c r="AD5" s="62">
        <v>0.8979166666666667</v>
      </c>
      <c r="AE5" s="60">
        <v>0.44097222222222227</v>
      </c>
      <c r="AF5" s="60">
        <v>0.89722222222222225</v>
      </c>
      <c r="AG5" s="60">
        <v>0.41666666666666669</v>
      </c>
      <c r="AH5" s="61">
        <v>1</v>
      </c>
      <c r="AI5" s="60">
        <v>0.4201388888888889</v>
      </c>
      <c r="AJ5" s="60">
        <v>0.86111111111111116</v>
      </c>
      <c r="AK5" s="60">
        <v>0.47916666666666669</v>
      </c>
      <c r="AL5" s="60">
        <v>0.89930555555555547</v>
      </c>
      <c r="AM5" s="60">
        <v>0.41597222222222219</v>
      </c>
      <c r="AN5" s="60">
        <v>0.8965277777777777</v>
      </c>
      <c r="AO5" s="60">
        <v>0.47152777777777777</v>
      </c>
      <c r="AP5" s="60">
        <v>0.89374999999999993</v>
      </c>
      <c r="AQ5" s="62">
        <v>0.43888888888888888</v>
      </c>
      <c r="AR5" s="62">
        <v>0.90069444444444446</v>
      </c>
      <c r="AS5" s="60">
        <v>0.42291666666666666</v>
      </c>
      <c r="AT5" s="60">
        <v>0.99861111111111101</v>
      </c>
      <c r="AU5" s="60">
        <v>0.41944444444444445</v>
      </c>
      <c r="AV5" s="60">
        <v>0.875</v>
      </c>
      <c r="AW5" s="60">
        <v>0.39930555555555558</v>
      </c>
      <c r="AX5" s="60">
        <v>0.91805555555555562</v>
      </c>
      <c r="AY5" s="60">
        <v>0.31875000000000003</v>
      </c>
      <c r="AZ5" s="60">
        <v>0.98263888888888884</v>
      </c>
      <c r="BA5" s="60">
        <v>0.4069444444444445</v>
      </c>
      <c r="BB5" s="60">
        <v>0.8979166666666667</v>
      </c>
      <c r="BC5" s="60">
        <v>0.4201388888888889</v>
      </c>
      <c r="BD5" s="60">
        <v>0.87291666666666667</v>
      </c>
      <c r="BE5" s="62">
        <v>0.4597222222222222</v>
      </c>
      <c r="BF5" s="62">
        <v>0.86319444444444438</v>
      </c>
      <c r="BG5" s="60">
        <v>0.44930555555555557</v>
      </c>
      <c r="BH5" s="61">
        <v>1</v>
      </c>
      <c r="BI5" s="60">
        <v>0.43541666666666662</v>
      </c>
      <c r="BJ5" s="60">
        <v>0.93333333333333324</v>
      </c>
      <c r="BK5" s="60">
        <v>0.47361111111111115</v>
      </c>
      <c r="BL5" s="60">
        <v>0.89722222222222225</v>
      </c>
      <c r="BM5" s="60">
        <v>0.41736111111111113</v>
      </c>
      <c r="BN5" s="60">
        <v>0.92638888888888893</v>
      </c>
      <c r="BO5" s="63">
        <f>BP5+BQ5+BR5+BT5+BU5+BY5+BW5+BX5</f>
        <v>31</v>
      </c>
      <c r="BP5" s="8">
        <f>COUNT(E5:AI5)/2+COUNT(AJ5:BN5)/2</f>
        <v>31</v>
      </c>
      <c r="BQ5" s="57">
        <f>COUNTIF(E5:BN5,"OFF")/2</f>
        <v>0</v>
      </c>
      <c r="BR5" s="57">
        <f>COUNTIF(E5:BN5,"MC")/2</f>
        <v>0</v>
      </c>
      <c r="BS5" s="57">
        <f>COUNTIF(E5:BN5,"EL")/2</f>
        <v>0</v>
      </c>
      <c r="BT5" s="57">
        <f>COUNTIF(E5:BN5,"AL")/2</f>
        <v>0</v>
      </c>
      <c r="BU5" s="57">
        <f>COUNTIF(E5:BN5,"SUS")/2</f>
        <v>0</v>
      </c>
      <c r="BV5" s="57">
        <f>COUNTIF(E5:BN5,"FL")/2</f>
        <v>0</v>
      </c>
      <c r="BW5" s="57">
        <f>COUNTIF(E5:BN5,"SICK")/2</f>
        <v>0</v>
      </c>
      <c r="BX5" s="57">
        <f>COUNTIF(E5:BN5,"HD")/2</f>
        <v>0</v>
      </c>
      <c r="BY5" s="57">
        <f>COUNTIF(E5:BN5,"AB")/2</f>
        <v>0</v>
      </c>
      <c r="BZ5" s="57">
        <f>COUNTIF(E5:BN5,"NL")/2</f>
        <v>0</v>
      </c>
      <c r="CA5" s="57">
        <f>COUNTIF(E5:BN5,"SP")/2</f>
        <v>0</v>
      </c>
      <c r="CB5" s="9"/>
      <c r="CD5" s="76">
        <v>0</v>
      </c>
      <c r="CE5" s="76">
        <v>0</v>
      </c>
      <c r="CF5" s="76">
        <v>0</v>
      </c>
      <c r="CG5" s="76">
        <v>0</v>
      </c>
      <c r="CH5" s="76">
        <v>0</v>
      </c>
      <c r="CI5" s="76">
        <v>0</v>
      </c>
      <c r="CJ5" s="76">
        <v>0</v>
      </c>
      <c r="CK5" s="76">
        <v>0</v>
      </c>
      <c r="CL5" s="76">
        <v>0</v>
      </c>
      <c r="CM5" s="76">
        <v>0</v>
      </c>
      <c r="CN5" s="75">
        <f t="shared" ref="CN5:CN6" si="0">SUM(CD5:CM5)</f>
        <v>0</v>
      </c>
      <c r="CO5" s="46"/>
    </row>
    <row r="6" spans="1:93" ht="21" customHeight="1" x14ac:dyDescent="0.25">
      <c r="A6" s="6">
        <v>2</v>
      </c>
      <c r="B6" s="57" t="s">
        <v>28</v>
      </c>
      <c r="C6" s="52" t="s">
        <v>29</v>
      </c>
      <c r="D6" s="68">
        <v>45624</v>
      </c>
      <c r="E6" s="60">
        <v>0.39513888888888887</v>
      </c>
      <c r="F6" s="60">
        <v>0.70833333333333337</v>
      </c>
      <c r="G6" s="60">
        <v>0.39652777777777781</v>
      </c>
      <c r="H6" s="60">
        <v>0.7368055555555556</v>
      </c>
      <c r="I6" s="60">
        <v>0.39444444444444443</v>
      </c>
      <c r="J6" s="60">
        <v>0.99305555555555547</v>
      </c>
      <c r="K6" s="60">
        <v>0.39513888888888887</v>
      </c>
      <c r="L6" s="61">
        <v>1</v>
      </c>
      <c r="M6" s="60">
        <v>0.38958333333333334</v>
      </c>
      <c r="N6" s="60">
        <v>1.3194444444444444E-2</v>
      </c>
      <c r="O6" s="62">
        <v>0.7055555555555556</v>
      </c>
      <c r="P6" s="62">
        <v>2.7777777777777779E-3</v>
      </c>
      <c r="Q6" s="60">
        <v>0.39305555555555555</v>
      </c>
      <c r="R6" s="60">
        <v>0.72222222222222221</v>
      </c>
      <c r="S6" s="60">
        <v>0.39513888888888887</v>
      </c>
      <c r="T6" s="60">
        <v>0.70347222222222217</v>
      </c>
      <c r="U6" s="60">
        <v>0.39444444444444443</v>
      </c>
      <c r="V6" s="60">
        <v>0.9902777777777777</v>
      </c>
      <c r="W6" s="60">
        <v>0.39513888888888887</v>
      </c>
      <c r="X6" s="60">
        <v>0.69374999999999998</v>
      </c>
      <c r="Y6" s="60">
        <v>0.39444444444444443</v>
      </c>
      <c r="Z6" s="60">
        <v>0.69861111111111107</v>
      </c>
      <c r="AA6" s="60">
        <v>0.39305555555555555</v>
      </c>
      <c r="AB6" s="60">
        <v>0.69305555555555554</v>
      </c>
      <c r="AC6" s="62">
        <v>0.59027777777777779</v>
      </c>
      <c r="AD6" s="62">
        <v>1</v>
      </c>
      <c r="AE6" s="60">
        <v>0.39305555555555555</v>
      </c>
      <c r="AF6" s="60">
        <v>0.70416666666666661</v>
      </c>
      <c r="AG6" s="60">
        <v>0.3923611111111111</v>
      </c>
      <c r="AH6" s="60">
        <v>0.68958333333333333</v>
      </c>
      <c r="AI6" s="60">
        <v>0.39444444444444443</v>
      </c>
      <c r="AJ6" s="60">
        <v>0.69861111111111107</v>
      </c>
      <c r="AK6" s="60">
        <v>0.55763888888888891</v>
      </c>
      <c r="AL6" s="60">
        <v>0.69027777777777777</v>
      </c>
      <c r="AM6" s="60">
        <v>0.39583333333333331</v>
      </c>
      <c r="AN6" s="60">
        <v>0.69861111111111107</v>
      </c>
      <c r="AO6" s="60">
        <v>0.39652777777777781</v>
      </c>
      <c r="AP6" s="60">
        <v>9.0277777777777787E-3</v>
      </c>
      <c r="AQ6" s="62" t="s">
        <v>14</v>
      </c>
      <c r="AR6" s="62" t="s">
        <v>14</v>
      </c>
      <c r="AS6" s="60">
        <v>0.37083333333333335</v>
      </c>
      <c r="AT6" s="60">
        <v>0.73333333333333339</v>
      </c>
      <c r="AU6" s="60">
        <v>0.375</v>
      </c>
      <c r="AV6" s="60">
        <v>0.73958333333333337</v>
      </c>
      <c r="AW6" s="60">
        <v>0.375</v>
      </c>
      <c r="AX6" s="60">
        <v>0.75763888888888886</v>
      </c>
      <c r="AY6" s="60">
        <v>0.375</v>
      </c>
      <c r="AZ6" s="60">
        <v>0.7368055555555556</v>
      </c>
      <c r="BA6" s="60">
        <v>0.3756944444444445</v>
      </c>
      <c r="BB6" s="60">
        <v>0.61527777777777781</v>
      </c>
      <c r="BC6" s="60">
        <v>0.375</v>
      </c>
      <c r="BD6" s="60">
        <v>0.7368055555555556</v>
      </c>
      <c r="BE6" s="62">
        <v>0.60763888888888895</v>
      </c>
      <c r="BF6" s="62">
        <v>0.67152777777777783</v>
      </c>
      <c r="BG6" s="60">
        <v>0.37361111111111112</v>
      </c>
      <c r="BH6" s="60">
        <v>0.73611111111111116</v>
      </c>
      <c r="BI6" s="60">
        <v>0.3756944444444445</v>
      </c>
      <c r="BJ6" s="60">
        <v>0.85763888888888884</v>
      </c>
      <c r="BK6" s="60">
        <v>0.37777777777777777</v>
      </c>
      <c r="BL6" s="60">
        <v>0.73333333333333339</v>
      </c>
      <c r="BM6" s="60">
        <v>0.37847222222222227</v>
      </c>
      <c r="BN6" s="61">
        <v>1</v>
      </c>
      <c r="BO6" s="63">
        <f t="shared" ref="BO6:BO13" si="1">BP6+BQ6+BR6+BT6+BU6+BY6+BW6+BX6</f>
        <v>31</v>
      </c>
      <c r="BP6" s="8">
        <f>COUNT(E6:AI6)/2+COUNT(AJ6:BN6)/2</f>
        <v>30</v>
      </c>
      <c r="BQ6" s="57">
        <f t="shared" ref="BQ6" si="2">COUNTIF(E6:BN6,"OFF")/2</f>
        <v>1</v>
      </c>
      <c r="BR6" s="57">
        <f t="shared" ref="BR6" si="3">COUNTIF(E6:BN6,"MC")/2</f>
        <v>0</v>
      </c>
      <c r="BS6" s="57">
        <f t="shared" ref="BS6" si="4">COUNTIF(E6:BN6,"EL")/2</f>
        <v>0</v>
      </c>
      <c r="BT6" s="57">
        <f t="shared" ref="BT6" si="5">COUNTIF(E6:BN6,"AL")/2</f>
        <v>0</v>
      </c>
      <c r="BU6" s="57">
        <f t="shared" ref="BU6" si="6">COUNTIF(E6:BN6,"SUS")/2</f>
        <v>0</v>
      </c>
      <c r="BV6" s="57">
        <f t="shared" ref="BV6" si="7">COUNTIF(E6:BN6,"FL")/2</f>
        <v>0</v>
      </c>
      <c r="BW6" s="57">
        <f t="shared" ref="BW6" si="8">COUNTIF(E6:BN6,"SICK")/2</f>
        <v>0</v>
      </c>
      <c r="BX6" s="57">
        <f t="shared" ref="BX6" si="9">COUNTIF(E6:BN6,"HD")/2</f>
        <v>0</v>
      </c>
      <c r="BY6" s="57">
        <f t="shared" ref="BY6" si="10">COUNTIF(E6:BN6,"AB")/2</f>
        <v>0</v>
      </c>
      <c r="BZ6" s="57">
        <f t="shared" ref="BZ6" si="11">COUNTIF(E6:BN6,"NL")/2</f>
        <v>0</v>
      </c>
      <c r="CA6" s="57">
        <f t="shared" ref="CA6" si="12">COUNTIF(E6:BN6,"SP")/2</f>
        <v>0</v>
      </c>
      <c r="CB6" s="9"/>
      <c r="CD6" s="76">
        <v>0</v>
      </c>
      <c r="CE6" s="76">
        <v>0</v>
      </c>
      <c r="CF6" s="76">
        <v>38</v>
      </c>
      <c r="CG6" s="76">
        <v>0</v>
      </c>
      <c r="CH6" s="76">
        <v>0</v>
      </c>
      <c r="CI6" s="76">
        <v>0</v>
      </c>
      <c r="CJ6" s="76">
        <v>0</v>
      </c>
      <c r="CK6" s="76">
        <v>0</v>
      </c>
      <c r="CL6" s="76">
        <v>0</v>
      </c>
      <c r="CM6" s="76">
        <v>0</v>
      </c>
      <c r="CN6" s="75">
        <f t="shared" si="0"/>
        <v>38</v>
      </c>
    </row>
    <row r="7" spans="1:93" ht="21" customHeight="1" x14ac:dyDescent="0.25">
      <c r="A7" s="6">
        <v>3</v>
      </c>
      <c r="B7" s="10" t="s">
        <v>62</v>
      </c>
      <c r="C7" s="52" t="s">
        <v>61</v>
      </c>
      <c r="D7" s="69">
        <v>42382</v>
      </c>
      <c r="E7" s="60">
        <v>0.24791666666666667</v>
      </c>
      <c r="F7" s="60">
        <v>1.2499999999999999E-2</v>
      </c>
      <c r="G7" s="60">
        <v>0.99791666666666667</v>
      </c>
      <c r="H7" s="61">
        <v>1</v>
      </c>
      <c r="I7" s="60">
        <v>0.9145833333333333</v>
      </c>
      <c r="J7" s="61">
        <v>1</v>
      </c>
      <c r="K7" s="60">
        <v>0.23055555555555554</v>
      </c>
      <c r="L7" s="60">
        <v>1.1805555555555555E-2</v>
      </c>
      <c r="M7" s="60">
        <v>0.24513888888888888</v>
      </c>
      <c r="N7" s="61">
        <v>1</v>
      </c>
      <c r="O7" s="62">
        <v>0.24097222222222223</v>
      </c>
      <c r="P7" s="64">
        <v>1</v>
      </c>
      <c r="Q7" s="60">
        <v>0.23333333333333331</v>
      </c>
      <c r="R7" s="61">
        <v>1</v>
      </c>
      <c r="S7" s="60">
        <v>0.25763888888888892</v>
      </c>
      <c r="T7" s="60">
        <v>0.98472222222222217</v>
      </c>
      <c r="U7" s="60">
        <v>0.22430555555555556</v>
      </c>
      <c r="V7" s="60">
        <v>1.8055555555555557E-2</v>
      </c>
      <c r="W7" s="60">
        <v>0.22430555555555556</v>
      </c>
      <c r="X7" s="61">
        <v>1</v>
      </c>
      <c r="Y7" s="60">
        <v>0.98541666666666661</v>
      </c>
      <c r="Z7" s="61">
        <v>1</v>
      </c>
      <c r="AA7" s="60">
        <v>0.25416666666666665</v>
      </c>
      <c r="AB7" s="60">
        <v>0.99375000000000002</v>
      </c>
      <c r="AC7" s="62">
        <v>0.25833333333333336</v>
      </c>
      <c r="AD7" s="64">
        <v>1.4583333333333332E-2</v>
      </c>
      <c r="AE7" s="60">
        <v>0.23194444444444443</v>
      </c>
      <c r="AF7" s="60">
        <v>0.97291666666666676</v>
      </c>
      <c r="AG7" s="60">
        <v>0.25833333333333336</v>
      </c>
      <c r="AH7" s="60">
        <v>0.41736111111111113</v>
      </c>
      <c r="AI7" s="60">
        <v>0.2590277777777778</v>
      </c>
      <c r="AJ7" s="60">
        <v>0.92986111111111114</v>
      </c>
      <c r="AK7" s="60">
        <v>0.25069444444444444</v>
      </c>
      <c r="AL7" s="60">
        <v>0.25625000000000003</v>
      </c>
      <c r="AM7" s="60">
        <v>0.26041666666666669</v>
      </c>
      <c r="AN7" s="60">
        <v>0.27430555555555552</v>
      </c>
      <c r="AO7" s="60">
        <v>0.24027777777777778</v>
      </c>
      <c r="AP7" s="60">
        <v>0.95694444444444438</v>
      </c>
      <c r="AQ7" s="62">
        <v>0.2298611111111111</v>
      </c>
      <c r="AR7" s="64">
        <v>0.91875000000000007</v>
      </c>
      <c r="AS7" s="60">
        <v>0.98125000000000007</v>
      </c>
      <c r="AT7" s="61">
        <v>1</v>
      </c>
      <c r="AU7" s="60">
        <v>0.23750000000000002</v>
      </c>
      <c r="AV7" s="60">
        <v>0.98541666666666661</v>
      </c>
      <c r="AW7" s="60">
        <v>0.26180555555555557</v>
      </c>
      <c r="AX7" s="60">
        <v>0.91388888888888886</v>
      </c>
      <c r="AY7" s="60">
        <v>0.2590277777777778</v>
      </c>
      <c r="AZ7" s="60">
        <v>0.94305555555555554</v>
      </c>
      <c r="BA7" s="61">
        <v>1</v>
      </c>
      <c r="BB7" s="61">
        <v>1</v>
      </c>
      <c r="BC7" s="60">
        <v>0.23402777777777781</v>
      </c>
      <c r="BD7" s="60">
        <v>0.92638888888888893</v>
      </c>
      <c r="BE7" s="62">
        <v>0.22847222222222222</v>
      </c>
      <c r="BF7" s="64">
        <v>0.94166666666666676</v>
      </c>
      <c r="BG7" s="60">
        <v>0.25694444444444448</v>
      </c>
      <c r="BH7" s="60">
        <v>0.93125000000000002</v>
      </c>
      <c r="BI7" s="60">
        <v>0.25833333333333336</v>
      </c>
      <c r="BJ7" s="61">
        <v>1</v>
      </c>
      <c r="BK7" s="60">
        <v>0.97013888888888899</v>
      </c>
      <c r="BL7" s="61">
        <v>1</v>
      </c>
      <c r="BM7" s="61">
        <v>1</v>
      </c>
      <c r="BN7" s="60">
        <v>0.97083333333333333</v>
      </c>
      <c r="BO7" s="63">
        <f t="shared" si="1"/>
        <v>31</v>
      </c>
      <c r="BP7" s="8">
        <f t="shared" ref="BP7:BP9" si="13">COUNT(E7:AI7)/2+COUNT(AJ7:BN7)/2</f>
        <v>31</v>
      </c>
      <c r="BQ7" s="57">
        <f t="shared" ref="BQ7:BQ13" si="14">COUNTIF(E7:BN7,"OFF")/2</f>
        <v>0</v>
      </c>
      <c r="BR7" s="57">
        <f t="shared" ref="BR7:BR13" si="15">COUNTIF(E7:BN7,"MC")/2</f>
        <v>0</v>
      </c>
      <c r="BS7" s="57">
        <f t="shared" ref="BS7:BS13" si="16">COUNTIF(E7:BN7,"EL")/2</f>
        <v>0</v>
      </c>
      <c r="BT7" s="57">
        <f t="shared" ref="BT7:BT13" si="17">COUNTIF(E7:BN7,"AL")/2</f>
        <v>0</v>
      </c>
      <c r="BU7" s="57">
        <f t="shared" ref="BU7:BU13" si="18">COUNTIF(E7:BN7,"SUS")/2</f>
        <v>0</v>
      </c>
      <c r="BV7" s="57">
        <f t="shared" ref="BV7:BV13" si="19">COUNTIF(E7:BN7,"FL")/2</f>
        <v>0</v>
      </c>
      <c r="BW7" s="57">
        <f t="shared" ref="BW7:BW13" si="20">COUNTIF(E7:BN7,"SICK")/2</f>
        <v>0</v>
      </c>
      <c r="BX7" s="57">
        <f t="shared" ref="BX7:BX13" si="21">COUNTIF(E7:BN7,"HD")/2</f>
        <v>0</v>
      </c>
      <c r="BY7" s="57">
        <f t="shared" ref="BY7:BY13" si="22">COUNTIF(E7:BN7,"AB")/2</f>
        <v>0</v>
      </c>
      <c r="BZ7" s="57">
        <f t="shared" ref="BZ7:BZ13" si="23">COUNTIF(E7:BN7,"NL")/2</f>
        <v>0</v>
      </c>
      <c r="CA7" s="57">
        <f t="shared" ref="CA7:CA13" si="24">COUNTIF(E7:BN7,"SP")/2</f>
        <v>0</v>
      </c>
      <c r="CB7" s="9"/>
      <c r="CD7" s="76">
        <v>0</v>
      </c>
      <c r="CE7" s="76">
        <v>0</v>
      </c>
      <c r="CF7" s="76">
        <v>60</v>
      </c>
      <c r="CG7" s="76">
        <v>0</v>
      </c>
      <c r="CH7" s="76">
        <v>0</v>
      </c>
      <c r="CI7" s="76">
        <v>0</v>
      </c>
      <c r="CJ7" s="76">
        <v>0</v>
      </c>
      <c r="CK7" s="76">
        <v>0</v>
      </c>
      <c r="CL7" s="76">
        <v>0</v>
      </c>
      <c r="CM7" s="76">
        <v>0</v>
      </c>
      <c r="CN7" s="75">
        <f t="shared" ref="CN7:CN8" si="25">SUM(CD7:CM7)</f>
        <v>60</v>
      </c>
    </row>
    <row r="8" spans="1:93" ht="21" customHeight="1" x14ac:dyDescent="0.25">
      <c r="A8" s="6">
        <v>4</v>
      </c>
      <c r="B8" s="57" t="s">
        <v>30</v>
      </c>
      <c r="C8" s="52" t="s">
        <v>31</v>
      </c>
      <c r="D8" s="69">
        <v>42172</v>
      </c>
      <c r="E8" s="60">
        <v>0.28819444444444448</v>
      </c>
      <c r="F8" s="61">
        <v>1</v>
      </c>
      <c r="G8" s="60">
        <v>0.2902777777777778</v>
      </c>
      <c r="H8" s="61">
        <v>1</v>
      </c>
      <c r="I8" s="60">
        <v>0.30486111111111108</v>
      </c>
      <c r="J8" s="60">
        <v>0.94027777777777777</v>
      </c>
      <c r="K8" s="60">
        <v>0.27291666666666664</v>
      </c>
      <c r="L8" s="60">
        <v>0.91111111111111109</v>
      </c>
      <c r="M8" s="60">
        <v>0.2902777777777778</v>
      </c>
      <c r="N8" s="61">
        <v>1</v>
      </c>
      <c r="O8" s="62">
        <v>0.28819444444444448</v>
      </c>
      <c r="P8" s="62">
        <v>0.92222222222222217</v>
      </c>
      <c r="Q8" s="60">
        <v>0.28472222222222221</v>
      </c>
      <c r="R8" s="61">
        <v>1</v>
      </c>
      <c r="S8" s="60">
        <v>0.28611111111111115</v>
      </c>
      <c r="T8" s="60">
        <v>0.94652777777777775</v>
      </c>
      <c r="U8" s="60">
        <v>0.27916666666666667</v>
      </c>
      <c r="V8" s="61">
        <v>1</v>
      </c>
      <c r="W8" s="60">
        <v>0.28888888888888892</v>
      </c>
      <c r="X8" s="61">
        <v>1</v>
      </c>
      <c r="Y8" s="60">
        <v>0.30555555555555552</v>
      </c>
      <c r="Z8" s="61">
        <v>1</v>
      </c>
      <c r="AA8" s="60">
        <v>0.30069444444444443</v>
      </c>
      <c r="AB8" s="60">
        <v>0.9</v>
      </c>
      <c r="AC8" s="62">
        <v>0.29375000000000001</v>
      </c>
      <c r="AD8" s="62">
        <v>0.91249999999999998</v>
      </c>
      <c r="AE8" s="60">
        <v>0.29375000000000001</v>
      </c>
      <c r="AF8" s="60">
        <v>0.93055555555555547</v>
      </c>
      <c r="AG8" s="60">
        <v>0.3034722222222222</v>
      </c>
      <c r="AH8" s="60">
        <v>2.9861111111111113E-2</v>
      </c>
      <c r="AI8" s="60">
        <v>0.26944444444444443</v>
      </c>
      <c r="AJ8" s="60">
        <v>0.91388888888888886</v>
      </c>
      <c r="AK8" s="60">
        <v>0.26944444444444443</v>
      </c>
      <c r="AL8" s="60">
        <v>0.27638888888888885</v>
      </c>
      <c r="AM8" s="60">
        <v>0.30069444444444443</v>
      </c>
      <c r="AN8" s="60">
        <v>0.92361111111111116</v>
      </c>
      <c r="AO8" s="60">
        <v>0.30624999999999997</v>
      </c>
      <c r="AP8" s="61">
        <v>1</v>
      </c>
      <c r="AQ8" s="62">
        <v>0.24583333333333335</v>
      </c>
      <c r="AR8" s="62">
        <v>0.93888888888888899</v>
      </c>
      <c r="AS8" s="60">
        <v>0.27499999999999997</v>
      </c>
      <c r="AT8" s="60">
        <v>0.93472222222222223</v>
      </c>
      <c r="AU8" s="60">
        <v>0.28125</v>
      </c>
      <c r="AV8" s="60">
        <v>0.93611111111111101</v>
      </c>
      <c r="AW8" s="60">
        <v>0.28194444444444444</v>
      </c>
      <c r="AX8" s="61">
        <v>1</v>
      </c>
      <c r="AY8" s="60">
        <v>0.2951388888888889</v>
      </c>
      <c r="AZ8" s="60">
        <v>0.95000000000000007</v>
      </c>
      <c r="BA8" s="60">
        <v>0.28819444444444448</v>
      </c>
      <c r="BB8" s="60">
        <v>0.94236111111111109</v>
      </c>
      <c r="BC8" s="60">
        <v>0.26666666666666666</v>
      </c>
      <c r="BD8" s="61">
        <v>1</v>
      </c>
      <c r="BE8" s="62">
        <v>0.28819444444444448</v>
      </c>
      <c r="BF8" s="62">
        <v>0.91111111111111109</v>
      </c>
      <c r="BG8" s="60">
        <v>0.27986111111111112</v>
      </c>
      <c r="BH8" s="60">
        <v>0.28055555555555556</v>
      </c>
      <c r="BI8" s="60">
        <v>0.30555555555555552</v>
      </c>
      <c r="BJ8" s="61">
        <v>1</v>
      </c>
      <c r="BK8" s="60">
        <v>0.31875000000000003</v>
      </c>
      <c r="BL8" s="60">
        <v>0.90208333333333324</v>
      </c>
      <c r="BM8" s="60">
        <v>0.28263888888888888</v>
      </c>
      <c r="BN8" s="60">
        <v>0.92638888888888893</v>
      </c>
      <c r="BO8" s="63">
        <f t="shared" si="1"/>
        <v>31</v>
      </c>
      <c r="BP8" s="8">
        <f t="shared" si="13"/>
        <v>31</v>
      </c>
      <c r="BQ8" s="57">
        <f t="shared" si="14"/>
        <v>0</v>
      </c>
      <c r="BR8" s="57">
        <f t="shared" si="15"/>
        <v>0</v>
      </c>
      <c r="BS8" s="57">
        <f t="shared" si="16"/>
        <v>0</v>
      </c>
      <c r="BT8" s="57">
        <f t="shared" si="17"/>
        <v>0</v>
      </c>
      <c r="BU8" s="57">
        <f t="shared" si="18"/>
        <v>0</v>
      </c>
      <c r="BV8" s="57">
        <f t="shared" si="19"/>
        <v>0</v>
      </c>
      <c r="BW8" s="57">
        <f t="shared" si="20"/>
        <v>0</v>
      </c>
      <c r="BX8" s="57">
        <f t="shared" si="21"/>
        <v>0</v>
      </c>
      <c r="BY8" s="57">
        <f t="shared" si="22"/>
        <v>0</v>
      </c>
      <c r="BZ8" s="57">
        <f t="shared" si="23"/>
        <v>0</v>
      </c>
      <c r="CA8" s="57">
        <f t="shared" si="24"/>
        <v>0</v>
      </c>
      <c r="CB8" s="9"/>
      <c r="CD8" s="76">
        <v>0</v>
      </c>
      <c r="CE8" s="76">
        <v>0</v>
      </c>
      <c r="CF8" s="76">
        <v>0</v>
      </c>
      <c r="CG8" s="76">
        <v>0</v>
      </c>
      <c r="CH8" s="76">
        <v>0</v>
      </c>
      <c r="CI8" s="76">
        <v>0</v>
      </c>
      <c r="CJ8" s="76">
        <v>0</v>
      </c>
      <c r="CK8" s="76">
        <v>0</v>
      </c>
      <c r="CL8" s="76">
        <v>0</v>
      </c>
      <c r="CM8" s="76">
        <v>0</v>
      </c>
      <c r="CN8" s="75">
        <f t="shared" si="25"/>
        <v>0</v>
      </c>
    </row>
    <row r="9" spans="1:93" ht="21" customHeight="1" x14ac:dyDescent="0.25">
      <c r="A9" s="6">
        <v>5</v>
      </c>
      <c r="B9" s="57" t="s">
        <v>32</v>
      </c>
      <c r="C9" s="52" t="s">
        <v>33</v>
      </c>
      <c r="D9" s="69">
        <v>43561</v>
      </c>
      <c r="E9" s="60">
        <v>0.37152777777777773</v>
      </c>
      <c r="F9" s="61">
        <v>1</v>
      </c>
      <c r="G9" s="60">
        <v>0.38055555555555554</v>
      </c>
      <c r="H9" s="60">
        <v>0.95972222222222225</v>
      </c>
      <c r="I9" s="60">
        <v>0.38680555555555557</v>
      </c>
      <c r="J9" s="60">
        <v>0.95763888888888893</v>
      </c>
      <c r="K9" s="60">
        <v>0.36736111111111108</v>
      </c>
      <c r="L9" s="61">
        <v>1</v>
      </c>
      <c r="M9" s="60">
        <v>0.39305555555555555</v>
      </c>
      <c r="N9" s="60">
        <v>4.027777777777778E-2</v>
      </c>
      <c r="O9" s="62">
        <v>0.4055555555555555</v>
      </c>
      <c r="P9" s="62">
        <v>0.99305555555555547</v>
      </c>
      <c r="Q9" s="60">
        <v>0.39999999999999997</v>
      </c>
      <c r="R9" s="61">
        <v>1</v>
      </c>
      <c r="S9" s="60">
        <v>0.40277777777777773</v>
      </c>
      <c r="T9" s="60">
        <v>5.4166666666666669E-2</v>
      </c>
      <c r="U9" s="60">
        <v>0.39166666666666666</v>
      </c>
      <c r="V9" s="61">
        <v>1</v>
      </c>
      <c r="W9" s="60">
        <v>0.37986111111111115</v>
      </c>
      <c r="X9" s="60">
        <v>0.96180555555555547</v>
      </c>
      <c r="Y9" s="60">
        <v>0.38819444444444445</v>
      </c>
      <c r="Z9" s="60">
        <v>2.9861111111111113E-2</v>
      </c>
      <c r="AA9" s="60">
        <v>0.39861111111111108</v>
      </c>
      <c r="AB9" s="60">
        <v>0</v>
      </c>
      <c r="AC9" s="62">
        <v>0.41875000000000001</v>
      </c>
      <c r="AD9" s="62">
        <v>1</v>
      </c>
      <c r="AE9" s="60">
        <v>0.40625</v>
      </c>
      <c r="AF9" s="60">
        <v>0.95624999999999993</v>
      </c>
      <c r="AG9" s="60">
        <v>0.39444444444444443</v>
      </c>
      <c r="AH9" s="60">
        <v>2.9861111111111113E-2</v>
      </c>
      <c r="AI9" s="60">
        <v>0.41041666666666665</v>
      </c>
      <c r="AJ9" s="60">
        <v>0.96250000000000002</v>
      </c>
      <c r="AK9" s="60">
        <v>0.3743055555555555</v>
      </c>
      <c r="AL9" s="60">
        <v>0</v>
      </c>
      <c r="AM9" s="60">
        <v>0.37777777777777777</v>
      </c>
      <c r="AN9" s="60">
        <v>0.96250000000000002</v>
      </c>
      <c r="AO9" s="60">
        <v>0.38125000000000003</v>
      </c>
      <c r="AP9" s="60">
        <v>4.7222222222222221E-2</v>
      </c>
      <c r="AQ9" s="62">
        <v>0.35000000000000003</v>
      </c>
      <c r="AR9" s="62">
        <v>5.0694444444444452E-2</v>
      </c>
      <c r="AS9" s="60">
        <v>0.35625000000000001</v>
      </c>
      <c r="AT9" s="60">
        <v>1.8055555555555557E-2</v>
      </c>
      <c r="AU9" s="60">
        <v>0.36736111111111108</v>
      </c>
      <c r="AV9" s="60">
        <v>0.99861111111111101</v>
      </c>
      <c r="AW9" s="60">
        <v>0.36874999999999997</v>
      </c>
      <c r="AX9" s="60">
        <v>0.9868055555555556</v>
      </c>
      <c r="AY9" s="60">
        <v>0.3666666666666667</v>
      </c>
      <c r="AZ9" s="60">
        <v>4.4444444444444446E-2</v>
      </c>
      <c r="BA9" s="60">
        <v>0.37083333333333335</v>
      </c>
      <c r="BB9" s="61">
        <v>1</v>
      </c>
      <c r="BC9" s="60">
        <v>0.39583333333333331</v>
      </c>
      <c r="BD9" s="60">
        <v>0.97083333333333333</v>
      </c>
      <c r="BE9" s="62">
        <v>0.39652777777777781</v>
      </c>
      <c r="BF9" s="62">
        <v>0.95208333333333339</v>
      </c>
      <c r="BG9" s="60">
        <v>0.40486111111111112</v>
      </c>
      <c r="BH9" s="60">
        <v>2.2916666666666669E-2</v>
      </c>
      <c r="BI9" s="60">
        <v>0.38819444444444445</v>
      </c>
      <c r="BJ9" s="60">
        <v>0.97013888888888899</v>
      </c>
      <c r="BK9" s="60">
        <v>0.38611111111111113</v>
      </c>
      <c r="BL9" s="60">
        <v>4.3055555555555562E-2</v>
      </c>
      <c r="BM9" s="60">
        <v>0.38194444444444442</v>
      </c>
      <c r="BN9" s="60">
        <v>0.97083333333333333</v>
      </c>
      <c r="BO9" s="63">
        <f t="shared" si="1"/>
        <v>31</v>
      </c>
      <c r="BP9" s="8">
        <f t="shared" si="13"/>
        <v>31</v>
      </c>
      <c r="BQ9" s="57">
        <f t="shared" si="14"/>
        <v>0</v>
      </c>
      <c r="BR9" s="57">
        <f t="shared" si="15"/>
        <v>0</v>
      </c>
      <c r="BS9" s="57">
        <f t="shared" si="16"/>
        <v>0</v>
      </c>
      <c r="BT9" s="57">
        <f t="shared" si="17"/>
        <v>0</v>
      </c>
      <c r="BU9" s="57">
        <f t="shared" si="18"/>
        <v>0</v>
      </c>
      <c r="BV9" s="57">
        <f t="shared" si="19"/>
        <v>0</v>
      </c>
      <c r="BW9" s="57">
        <f t="shared" si="20"/>
        <v>0</v>
      </c>
      <c r="BX9" s="57">
        <f t="shared" si="21"/>
        <v>0</v>
      </c>
      <c r="BY9" s="57">
        <f t="shared" si="22"/>
        <v>0</v>
      </c>
      <c r="BZ9" s="57">
        <f t="shared" si="23"/>
        <v>0</v>
      </c>
      <c r="CA9" s="57">
        <f t="shared" si="24"/>
        <v>0</v>
      </c>
      <c r="CB9" s="9"/>
      <c r="CD9" s="76">
        <v>0</v>
      </c>
      <c r="CE9" s="76">
        <v>0</v>
      </c>
      <c r="CF9" s="76">
        <v>0</v>
      </c>
      <c r="CG9" s="76">
        <v>0</v>
      </c>
      <c r="CH9" s="76">
        <v>0</v>
      </c>
      <c r="CI9" s="76">
        <v>0</v>
      </c>
      <c r="CJ9" s="76">
        <v>0</v>
      </c>
      <c r="CK9" s="76">
        <v>0</v>
      </c>
      <c r="CL9" s="76">
        <v>0</v>
      </c>
      <c r="CM9" s="76">
        <v>0</v>
      </c>
      <c r="CN9" s="75">
        <f t="shared" ref="CN9:CN10" si="26">SUM(CD9:CM9)</f>
        <v>0</v>
      </c>
    </row>
    <row r="10" spans="1:93" ht="21" customHeight="1" x14ac:dyDescent="0.25">
      <c r="A10" s="6">
        <v>6</v>
      </c>
      <c r="B10" s="10" t="s">
        <v>34</v>
      </c>
      <c r="C10" s="54" t="s">
        <v>35</v>
      </c>
      <c r="D10" s="68">
        <v>45841</v>
      </c>
      <c r="E10" s="60">
        <v>0.30902777777777779</v>
      </c>
      <c r="F10" s="60">
        <v>0.93541666666666667</v>
      </c>
      <c r="G10" s="60">
        <v>0.27638888888888885</v>
      </c>
      <c r="H10" s="60">
        <v>0.89444444444444438</v>
      </c>
      <c r="I10" s="60">
        <v>0.28055555555555556</v>
      </c>
      <c r="J10" s="60">
        <v>0.89236111111111116</v>
      </c>
      <c r="K10" s="60">
        <v>0.30069444444444443</v>
      </c>
      <c r="L10" s="60">
        <v>0.93541666666666667</v>
      </c>
      <c r="M10" s="60">
        <v>0.28055555555555556</v>
      </c>
      <c r="N10" s="60">
        <v>0.95138888888888884</v>
      </c>
      <c r="O10" s="62">
        <v>0.28055555555555556</v>
      </c>
      <c r="P10" s="62">
        <v>0.93402777777777779</v>
      </c>
      <c r="Q10" s="60">
        <v>0.31458333333333333</v>
      </c>
      <c r="R10" s="60">
        <v>0.92569444444444438</v>
      </c>
      <c r="S10" s="60">
        <v>0.3</v>
      </c>
      <c r="T10" s="60">
        <v>0.97361111111111109</v>
      </c>
      <c r="U10" s="60">
        <v>0.31875000000000003</v>
      </c>
      <c r="V10" s="60">
        <v>0.92986111111111114</v>
      </c>
      <c r="W10" s="60">
        <v>0.31736111111111115</v>
      </c>
      <c r="X10" s="60">
        <v>0.94791666666666663</v>
      </c>
      <c r="Y10" s="60">
        <v>0.30902777777777779</v>
      </c>
      <c r="Z10" s="60">
        <v>0.90555555555555556</v>
      </c>
      <c r="AA10" s="60">
        <v>0.30694444444444441</v>
      </c>
      <c r="AB10" s="60">
        <v>0.98055555555555562</v>
      </c>
      <c r="AC10" s="62">
        <v>0.31458333333333333</v>
      </c>
      <c r="AD10" s="62">
        <v>0.92152777777777783</v>
      </c>
      <c r="AE10" s="60">
        <v>0.31458333333333333</v>
      </c>
      <c r="AF10" s="60">
        <v>0.90763888888888899</v>
      </c>
      <c r="AG10" s="60">
        <v>0.31458333333333333</v>
      </c>
      <c r="AH10" s="60">
        <v>0.9</v>
      </c>
      <c r="AI10" s="60">
        <v>0.32430555555555557</v>
      </c>
      <c r="AJ10" s="60">
        <v>0.91319444444444453</v>
      </c>
      <c r="AK10" s="60">
        <v>0.33263888888888887</v>
      </c>
      <c r="AL10" s="60">
        <v>0.94166666666666676</v>
      </c>
      <c r="AM10" s="60">
        <v>0.40902777777777777</v>
      </c>
      <c r="AN10" s="60">
        <v>0.87222222222222223</v>
      </c>
      <c r="AO10" s="60">
        <v>0.42083333333333334</v>
      </c>
      <c r="AP10" s="60">
        <v>0.9277777777777777</v>
      </c>
      <c r="AQ10" s="62">
        <v>0.27291666666666664</v>
      </c>
      <c r="AR10" s="62">
        <v>0.87222222222222223</v>
      </c>
      <c r="AS10" s="60">
        <v>0.27847222222222223</v>
      </c>
      <c r="AT10" s="60">
        <v>0.8979166666666667</v>
      </c>
      <c r="AU10" s="60">
        <v>0.27847222222222223</v>
      </c>
      <c r="AV10" s="60">
        <v>0.91111111111111109</v>
      </c>
      <c r="AW10" s="60">
        <v>0.27777777777777779</v>
      </c>
      <c r="AX10" s="60">
        <v>0.91249999999999998</v>
      </c>
      <c r="AY10" s="60">
        <v>0.28541666666666665</v>
      </c>
      <c r="AZ10" s="60">
        <v>0.93680555555555556</v>
      </c>
      <c r="BA10" s="60">
        <v>0.28402777777777777</v>
      </c>
      <c r="BB10" s="60">
        <v>0.92499999999999993</v>
      </c>
      <c r="BC10" s="60">
        <v>0.29444444444444445</v>
      </c>
      <c r="BD10" s="60">
        <v>0.93125000000000002</v>
      </c>
      <c r="BE10" s="62">
        <v>0.29722222222222222</v>
      </c>
      <c r="BF10" s="62">
        <v>0.9159722222222223</v>
      </c>
      <c r="BG10" s="60">
        <v>0.30972222222222223</v>
      </c>
      <c r="BH10" s="60">
        <v>0.8847222222222223</v>
      </c>
      <c r="BI10" s="60">
        <v>0.32291666666666669</v>
      </c>
      <c r="BJ10" s="60">
        <v>0.94444444444444453</v>
      </c>
      <c r="BK10" s="60">
        <v>0.94374999999999998</v>
      </c>
      <c r="BL10" s="61">
        <v>1</v>
      </c>
      <c r="BM10" s="60">
        <v>0.28402777777777777</v>
      </c>
      <c r="BN10" s="60">
        <v>0.93125000000000002</v>
      </c>
      <c r="BO10" s="63">
        <f t="shared" si="1"/>
        <v>31</v>
      </c>
      <c r="BP10" s="8">
        <f t="shared" ref="BP10:BP12" si="27">COUNT(E10:AI10)/2+COUNT(AJ10:BN10)/2</f>
        <v>31</v>
      </c>
      <c r="BQ10" s="57">
        <f t="shared" si="14"/>
        <v>0</v>
      </c>
      <c r="BR10" s="57">
        <f t="shared" si="15"/>
        <v>0</v>
      </c>
      <c r="BS10" s="57">
        <f t="shared" si="16"/>
        <v>0</v>
      </c>
      <c r="BT10" s="57">
        <f t="shared" si="17"/>
        <v>0</v>
      </c>
      <c r="BU10" s="57">
        <f t="shared" si="18"/>
        <v>0</v>
      </c>
      <c r="BV10" s="57">
        <f t="shared" si="19"/>
        <v>0</v>
      </c>
      <c r="BW10" s="57">
        <f t="shared" si="20"/>
        <v>0</v>
      </c>
      <c r="BX10" s="57">
        <f t="shared" si="21"/>
        <v>0</v>
      </c>
      <c r="BY10" s="57">
        <f t="shared" si="22"/>
        <v>0</v>
      </c>
      <c r="BZ10" s="57">
        <f t="shared" si="23"/>
        <v>0</v>
      </c>
      <c r="CA10" s="57">
        <f t="shared" si="24"/>
        <v>0</v>
      </c>
      <c r="CB10" s="9"/>
      <c r="CD10" s="76">
        <v>0</v>
      </c>
      <c r="CE10" s="76">
        <v>0</v>
      </c>
      <c r="CF10" s="76">
        <v>0</v>
      </c>
      <c r="CG10" s="76">
        <v>0</v>
      </c>
      <c r="CH10" s="76">
        <v>0</v>
      </c>
      <c r="CI10" s="76">
        <v>0</v>
      </c>
      <c r="CJ10" s="76">
        <v>0</v>
      </c>
      <c r="CK10" s="76">
        <v>0</v>
      </c>
      <c r="CL10" s="76">
        <v>0</v>
      </c>
      <c r="CM10" s="76">
        <v>0</v>
      </c>
      <c r="CN10" s="77">
        <f t="shared" si="26"/>
        <v>0</v>
      </c>
    </row>
    <row r="11" spans="1:93" ht="21" customHeight="1" x14ac:dyDescent="0.25">
      <c r="A11" s="6">
        <v>7</v>
      </c>
      <c r="B11" s="57" t="s">
        <v>36</v>
      </c>
      <c r="C11" s="54" t="s">
        <v>37</v>
      </c>
      <c r="D11" s="70">
        <v>45231</v>
      </c>
      <c r="E11" s="60">
        <v>0.4604166666666667</v>
      </c>
      <c r="F11" s="60">
        <v>2.9861111111111113E-2</v>
      </c>
      <c r="G11" s="60">
        <v>0.45624999999999999</v>
      </c>
      <c r="H11" s="60">
        <v>6.6666666666666666E-2</v>
      </c>
      <c r="I11" s="60">
        <v>0.45208333333333334</v>
      </c>
      <c r="J11" s="60">
        <v>5.2777777777777778E-2</v>
      </c>
      <c r="K11" s="60">
        <v>0.45416666666666666</v>
      </c>
      <c r="L11" s="60">
        <v>4.8611111111111112E-2</v>
      </c>
      <c r="M11" s="60">
        <v>0.45277777777777778</v>
      </c>
      <c r="N11" s="60">
        <v>8.7500000000000008E-2</v>
      </c>
      <c r="O11" s="62">
        <v>0.46527777777777773</v>
      </c>
      <c r="P11" s="62">
        <v>6.5972222222222224E-2</v>
      </c>
      <c r="Q11" s="60">
        <v>0.46458333333333335</v>
      </c>
      <c r="R11" s="60">
        <v>0.13472222222222222</v>
      </c>
      <c r="S11" s="60">
        <v>0.46736111111111112</v>
      </c>
      <c r="T11" s="60">
        <v>0.11875000000000001</v>
      </c>
      <c r="U11" s="60">
        <v>0.46388888888888885</v>
      </c>
      <c r="V11" s="60">
        <v>0.11944444444444445</v>
      </c>
      <c r="W11" s="60">
        <v>0.45902777777777781</v>
      </c>
      <c r="X11" s="60">
        <v>5.8333333333333327E-2</v>
      </c>
      <c r="Y11" s="60">
        <v>0.4236111111111111</v>
      </c>
      <c r="Z11" s="60">
        <v>9.9999999999999992E-2</v>
      </c>
      <c r="AA11" s="60">
        <v>0.4597222222222222</v>
      </c>
      <c r="AB11" s="60">
        <v>0.10972222222222222</v>
      </c>
      <c r="AC11" s="62">
        <v>0.46666666666666662</v>
      </c>
      <c r="AD11" s="62">
        <v>0.10069444444444443</v>
      </c>
      <c r="AE11" s="60">
        <v>0.46527777777777773</v>
      </c>
      <c r="AF11" s="60">
        <v>6.458333333333334E-2</v>
      </c>
      <c r="AG11" s="60">
        <v>0.46666666666666662</v>
      </c>
      <c r="AH11" s="60">
        <v>0</v>
      </c>
      <c r="AI11" s="60">
        <v>0.47638888888888892</v>
      </c>
      <c r="AJ11" s="60">
        <v>4.1666666666666664E-2</v>
      </c>
      <c r="AK11" s="60">
        <v>0.46875</v>
      </c>
      <c r="AL11" s="60">
        <v>6.0416666666666667E-2</v>
      </c>
      <c r="AM11" s="60">
        <v>0.5131944444444444</v>
      </c>
      <c r="AN11" s="60">
        <v>8.8888888888888892E-2</v>
      </c>
      <c r="AO11" s="60">
        <v>0.46388888888888885</v>
      </c>
      <c r="AP11" s="60">
        <v>7.013888888888889E-2</v>
      </c>
      <c r="AQ11" s="62">
        <v>0.48125000000000001</v>
      </c>
      <c r="AR11" s="62">
        <v>7.0833333333333331E-2</v>
      </c>
      <c r="AS11" s="60">
        <v>0.46111111111111108</v>
      </c>
      <c r="AT11" s="60">
        <v>7.9861111111111105E-2</v>
      </c>
      <c r="AU11" s="60">
        <v>0.44930555555555557</v>
      </c>
      <c r="AV11" s="60">
        <v>6.5972222222222224E-2</v>
      </c>
      <c r="AW11" s="60">
        <v>0.4548611111111111</v>
      </c>
      <c r="AX11" s="60">
        <v>0.10416666666666667</v>
      </c>
      <c r="AY11" s="60">
        <v>0.4826388888888889</v>
      </c>
      <c r="AZ11" s="60">
        <v>7.7083333333333337E-2</v>
      </c>
      <c r="BA11" s="60">
        <v>0.46319444444444446</v>
      </c>
      <c r="BB11" s="60">
        <v>2.4999999999999998E-2</v>
      </c>
      <c r="BC11" s="60">
        <v>0.47291666666666665</v>
      </c>
      <c r="BD11" s="60">
        <v>8.7500000000000008E-2</v>
      </c>
      <c r="BE11" s="62">
        <v>0.47638888888888892</v>
      </c>
      <c r="BF11" s="62">
        <v>0.11527777777777777</v>
      </c>
      <c r="BG11" s="60">
        <v>0.46875</v>
      </c>
      <c r="BH11" s="60">
        <v>8.0555555555555561E-2</v>
      </c>
      <c r="BI11" s="60">
        <v>0.47569444444444442</v>
      </c>
      <c r="BJ11" s="60">
        <v>0.10277777777777779</v>
      </c>
      <c r="BK11" s="60">
        <v>0.47638888888888892</v>
      </c>
      <c r="BL11" s="60">
        <v>6.9444444444444434E-2</v>
      </c>
      <c r="BM11" s="60">
        <v>0.42152777777777778</v>
      </c>
      <c r="BN11" s="60">
        <v>2.4999999999999998E-2</v>
      </c>
      <c r="BO11" s="63">
        <f t="shared" si="1"/>
        <v>31</v>
      </c>
      <c r="BP11" s="8">
        <f t="shared" si="27"/>
        <v>31</v>
      </c>
      <c r="BQ11" s="57">
        <f t="shared" si="14"/>
        <v>0</v>
      </c>
      <c r="BR11" s="57">
        <f t="shared" si="15"/>
        <v>0</v>
      </c>
      <c r="BS11" s="57">
        <f t="shared" si="16"/>
        <v>0</v>
      </c>
      <c r="BT11" s="57">
        <f t="shared" si="17"/>
        <v>0</v>
      </c>
      <c r="BU11" s="57">
        <f t="shared" si="18"/>
        <v>0</v>
      </c>
      <c r="BV11" s="57">
        <f t="shared" si="19"/>
        <v>0</v>
      </c>
      <c r="BW11" s="57">
        <f t="shared" si="20"/>
        <v>0</v>
      </c>
      <c r="BX11" s="57">
        <f t="shared" si="21"/>
        <v>0</v>
      </c>
      <c r="BY11" s="57">
        <f t="shared" si="22"/>
        <v>0</v>
      </c>
      <c r="BZ11" s="57">
        <f t="shared" si="23"/>
        <v>0</v>
      </c>
      <c r="CA11" s="57">
        <f t="shared" si="24"/>
        <v>0</v>
      </c>
      <c r="CB11" s="9"/>
      <c r="CD11" s="76">
        <v>0</v>
      </c>
      <c r="CE11" s="76">
        <v>0</v>
      </c>
      <c r="CF11" s="76">
        <v>0</v>
      </c>
      <c r="CG11" s="76">
        <v>0</v>
      </c>
      <c r="CH11" s="76">
        <v>0</v>
      </c>
      <c r="CI11" s="76">
        <v>0</v>
      </c>
      <c r="CJ11" s="76">
        <v>0</v>
      </c>
      <c r="CK11" s="76">
        <v>0</v>
      </c>
      <c r="CL11" s="76">
        <v>0</v>
      </c>
      <c r="CM11" s="76">
        <v>0</v>
      </c>
      <c r="CN11" s="75">
        <f t="shared" ref="CN11:CN12" si="28">SUM(CD11:CM11)</f>
        <v>0</v>
      </c>
    </row>
    <row r="12" spans="1:93" ht="21" customHeight="1" x14ac:dyDescent="0.25">
      <c r="A12" s="6">
        <v>8</v>
      </c>
      <c r="B12" s="10" t="s">
        <v>63</v>
      </c>
      <c r="C12" s="54" t="s">
        <v>64</v>
      </c>
      <c r="D12" s="68">
        <v>46005</v>
      </c>
      <c r="E12" s="60">
        <v>0.37777777777777777</v>
      </c>
      <c r="F12" s="60">
        <v>0.87569444444444444</v>
      </c>
      <c r="G12" s="60">
        <v>0.37291666666666662</v>
      </c>
      <c r="H12" s="60">
        <v>0.8979166666666667</v>
      </c>
      <c r="I12" s="60">
        <v>0.3659722222222222</v>
      </c>
      <c r="J12" s="60">
        <v>0.87847222222222221</v>
      </c>
      <c r="K12" s="60">
        <v>0.27430555555555552</v>
      </c>
      <c r="L12" s="60">
        <v>0.875</v>
      </c>
      <c r="M12" s="60">
        <v>0.33055555555555555</v>
      </c>
      <c r="N12" s="60">
        <v>0.86875000000000002</v>
      </c>
      <c r="O12" s="62">
        <v>0.87777777777777777</v>
      </c>
      <c r="P12" s="64">
        <v>1</v>
      </c>
      <c r="Q12" s="60">
        <v>0.31736111111111115</v>
      </c>
      <c r="R12" s="60">
        <v>0.87152777777777779</v>
      </c>
      <c r="S12" s="60">
        <v>0.28263888888888888</v>
      </c>
      <c r="T12" s="61">
        <v>1</v>
      </c>
      <c r="U12" s="60">
        <v>0.3298611111111111</v>
      </c>
      <c r="V12" s="60">
        <v>0.91388888888888886</v>
      </c>
      <c r="W12" s="60">
        <v>0.28888888888888892</v>
      </c>
      <c r="X12" s="60">
        <v>0.86736111111111114</v>
      </c>
      <c r="Y12" s="60">
        <v>0.28680555555555554</v>
      </c>
      <c r="Z12" s="60">
        <v>0.87291666666666667</v>
      </c>
      <c r="AA12" s="60">
        <v>0.31736111111111115</v>
      </c>
      <c r="AB12" s="60">
        <v>0.86875000000000002</v>
      </c>
      <c r="AC12" s="62">
        <v>0.31458333333333333</v>
      </c>
      <c r="AD12" s="64">
        <v>0.84861111111111109</v>
      </c>
      <c r="AE12" s="60">
        <v>0.29305555555555557</v>
      </c>
      <c r="AF12" s="60">
        <v>0.87708333333333333</v>
      </c>
      <c r="AG12" s="60">
        <v>0.31458333333333333</v>
      </c>
      <c r="AH12" s="60">
        <v>0.98055555555555562</v>
      </c>
      <c r="AI12" s="60">
        <v>0.39305555555555555</v>
      </c>
      <c r="AJ12" s="60">
        <v>0.87361111111111101</v>
      </c>
      <c r="AK12" s="60">
        <v>0.38194444444444442</v>
      </c>
      <c r="AL12" s="60">
        <v>0.87222222222222223</v>
      </c>
      <c r="AM12" s="60">
        <v>0.36458333333333331</v>
      </c>
      <c r="AN12" s="60">
        <v>0.85555555555555562</v>
      </c>
      <c r="AO12" s="60">
        <v>0.3666666666666667</v>
      </c>
      <c r="AP12" s="60">
        <v>0.88750000000000007</v>
      </c>
      <c r="AQ12" s="62">
        <v>0.27361111111111108</v>
      </c>
      <c r="AR12" s="64">
        <v>0.88750000000000007</v>
      </c>
      <c r="AS12" s="60">
        <v>0.2986111111111111</v>
      </c>
      <c r="AT12" s="60">
        <v>0.87083333333333324</v>
      </c>
      <c r="AU12" s="60">
        <v>0.26666666666666666</v>
      </c>
      <c r="AV12" s="61">
        <v>1</v>
      </c>
      <c r="AW12" s="60">
        <v>0.36249999999999999</v>
      </c>
      <c r="AX12" s="60">
        <v>0.8847222222222223</v>
      </c>
      <c r="AY12" s="60">
        <v>0.89027777777777783</v>
      </c>
      <c r="AZ12" s="61">
        <v>1</v>
      </c>
      <c r="BA12" s="60">
        <v>0.36041666666666666</v>
      </c>
      <c r="BB12" s="60">
        <v>0.875</v>
      </c>
      <c r="BC12" s="60">
        <v>0.27777777777777779</v>
      </c>
      <c r="BD12" s="60">
        <v>0.87916666666666676</v>
      </c>
      <c r="BE12" s="62">
        <v>0.3659722222222222</v>
      </c>
      <c r="BF12" s="64">
        <v>0.875</v>
      </c>
      <c r="BG12" s="60">
        <v>0.31319444444444444</v>
      </c>
      <c r="BH12" s="60">
        <v>0.89861111111111114</v>
      </c>
      <c r="BI12" s="60">
        <v>0.87569444444444444</v>
      </c>
      <c r="BJ12" s="61">
        <v>1</v>
      </c>
      <c r="BK12" s="60">
        <v>0.38611111111111113</v>
      </c>
      <c r="BL12" s="60">
        <v>0.89861111111111114</v>
      </c>
      <c r="BM12" s="61">
        <v>1</v>
      </c>
      <c r="BN12" s="60">
        <v>0.875</v>
      </c>
      <c r="BO12" s="63">
        <f t="shared" si="1"/>
        <v>31</v>
      </c>
      <c r="BP12" s="8">
        <f t="shared" si="27"/>
        <v>31</v>
      </c>
      <c r="BQ12" s="57">
        <f t="shared" si="14"/>
        <v>0</v>
      </c>
      <c r="BR12" s="57">
        <f t="shared" si="15"/>
        <v>0</v>
      </c>
      <c r="BS12" s="57">
        <f t="shared" si="16"/>
        <v>0</v>
      </c>
      <c r="BT12" s="57">
        <f t="shared" si="17"/>
        <v>0</v>
      </c>
      <c r="BU12" s="57">
        <f t="shared" si="18"/>
        <v>0</v>
      </c>
      <c r="BV12" s="57">
        <f t="shared" si="19"/>
        <v>0</v>
      </c>
      <c r="BW12" s="57">
        <f t="shared" si="20"/>
        <v>0</v>
      </c>
      <c r="BX12" s="57">
        <f t="shared" si="21"/>
        <v>0</v>
      </c>
      <c r="BY12" s="57">
        <f t="shared" si="22"/>
        <v>0</v>
      </c>
      <c r="BZ12" s="57">
        <f t="shared" si="23"/>
        <v>0</v>
      </c>
      <c r="CA12" s="57">
        <f t="shared" si="24"/>
        <v>0</v>
      </c>
      <c r="CB12" s="9"/>
      <c r="CD12" s="76">
        <v>0</v>
      </c>
      <c r="CE12" s="76">
        <v>0</v>
      </c>
      <c r="CF12" s="76">
        <v>0</v>
      </c>
      <c r="CG12" s="76">
        <v>0</v>
      </c>
      <c r="CH12" s="76">
        <v>0</v>
      </c>
      <c r="CI12" s="76">
        <v>4</v>
      </c>
      <c r="CJ12" s="76">
        <v>0</v>
      </c>
      <c r="CK12" s="76">
        <v>0</v>
      </c>
      <c r="CL12" s="76">
        <v>0</v>
      </c>
      <c r="CM12" s="76">
        <v>0</v>
      </c>
      <c r="CN12" s="77">
        <f t="shared" si="28"/>
        <v>4</v>
      </c>
    </row>
    <row r="13" spans="1:93" ht="21" customHeight="1" x14ac:dyDescent="0.25">
      <c r="A13" s="6">
        <v>9</v>
      </c>
      <c r="B13" s="10" t="s">
        <v>65</v>
      </c>
      <c r="C13" s="54" t="s">
        <v>66</v>
      </c>
      <c r="D13" s="68">
        <v>46004</v>
      </c>
      <c r="E13" s="60">
        <v>0.3444444444444445</v>
      </c>
      <c r="F13" s="60">
        <v>0.8965277777777777</v>
      </c>
      <c r="G13" s="60">
        <v>0.3611111111111111</v>
      </c>
      <c r="H13" s="60">
        <v>0.89444444444444438</v>
      </c>
      <c r="I13" s="60">
        <v>0.34791666666666665</v>
      </c>
      <c r="J13" s="60">
        <v>0.88194444444444453</v>
      </c>
      <c r="K13" s="60">
        <v>0.34652777777777777</v>
      </c>
      <c r="L13" s="60">
        <v>0.89166666666666661</v>
      </c>
      <c r="M13" s="60">
        <v>0.34722222222222227</v>
      </c>
      <c r="N13" s="60">
        <v>0.87916666666666676</v>
      </c>
      <c r="O13" s="62">
        <v>0.34583333333333338</v>
      </c>
      <c r="P13" s="64">
        <v>1</v>
      </c>
      <c r="Q13" s="60">
        <v>0.34097222222222223</v>
      </c>
      <c r="R13" s="61">
        <v>1</v>
      </c>
      <c r="S13" s="60">
        <v>0.34861111111111115</v>
      </c>
      <c r="T13" s="61">
        <v>1</v>
      </c>
      <c r="U13" s="61">
        <v>1</v>
      </c>
      <c r="V13" s="61">
        <v>1</v>
      </c>
      <c r="W13" s="60">
        <v>0.3430555555555555</v>
      </c>
      <c r="X13" s="61">
        <v>1</v>
      </c>
      <c r="Y13" s="60">
        <v>0.36180555555555555</v>
      </c>
      <c r="Z13" s="61">
        <v>1</v>
      </c>
      <c r="AA13" s="61">
        <v>1</v>
      </c>
      <c r="AB13" s="61">
        <v>1</v>
      </c>
      <c r="AC13" s="62">
        <v>0.36249999999999999</v>
      </c>
      <c r="AD13" s="64">
        <v>1</v>
      </c>
      <c r="AE13" s="60">
        <v>0.35694444444444445</v>
      </c>
      <c r="AF13" s="60">
        <v>0.88124999999999998</v>
      </c>
      <c r="AG13" s="60">
        <v>0.3611111111111111</v>
      </c>
      <c r="AH13" s="60">
        <v>0.87291666666666667</v>
      </c>
      <c r="AI13" s="60">
        <v>0.88194444444444453</v>
      </c>
      <c r="AJ13" s="61">
        <v>1</v>
      </c>
      <c r="AK13" s="60">
        <v>0.35416666666666669</v>
      </c>
      <c r="AL13" s="61">
        <v>1</v>
      </c>
      <c r="AM13" s="60">
        <v>0.3576388888888889</v>
      </c>
      <c r="AN13" s="61">
        <v>1</v>
      </c>
      <c r="AO13" s="61">
        <v>1</v>
      </c>
      <c r="AP13" s="61">
        <v>1</v>
      </c>
      <c r="AQ13" s="62">
        <v>0.91805555555555562</v>
      </c>
      <c r="AR13" s="64">
        <v>1</v>
      </c>
      <c r="AS13" s="60">
        <v>0.33749999999999997</v>
      </c>
      <c r="AT13" s="61">
        <v>1</v>
      </c>
      <c r="AU13" s="60">
        <v>0.33402777777777781</v>
      </c>
      <c r="AV13" s="61">
        <v>1</v>
      </c>
      <c r="AW13" s="60">
        <v>0.35138888888888892</v>
      </c>
      <c r="AX13" s="60">
        <v>0.89097222222222217</v>
      </c>
      <c r="AY13" s="60">
        <v>0.34722222222222227</v>
      </c>
      <c r="AZ13" s="60">
        <v>0.89374999999999993</v>
      </c>
      <c r="BA13" s="60">
        <v>0.3444444444444445</v>
      </c>
      <c r="BB13" s="61">
        <v>1</v>
      </c>
      <c r="BC13" s="60">
        <v>0.34791666666666665</v>
      </c>
      <c r="BD13" s="60">
        <v>0.8833333333333333</v>
      </c>
      <c r="BE13" s="64">
        <v>1</v>
      </c>
      <c r="BF13" s="64">
        <v>1</v>
      </c>
      <c r="BG13" s="60">
        <v>0.35416666666666669</v>
      </c>
      <c r="BH13" s="61">
        <v>1</v>
      </c>
      <c r="BI13" s="60">
        <v>0.36249999999999999</v>
      </c>
      <c r="BJ13" s="60">
        <v>0.88402777777777775</v>
      </c>
      <c r="BK13" s="60">
        <v>0.37847222222222227</v>
      </c>
      <c r="BL13" s="60">
        <v>0.88680555555555562</v>
      </c>
      <c r="BM13" s="60">
        <v>0.35416666666666669</v>
      </c>
      <c r="BN13" s="60">
        <v>0.89374999999999993</v>
      </c>
      <c r="BO13" s="63">
        <f t="shared" si="1"/>
        <v>31</v>
      </c>
      <c r="BP13" s="8">
        <f>COUNT(E13:AH13)/2+COUNT(AI13:BN13)/2</f>
        <v>31</v>
      </c>
      <c r="BQ13" s="57">
        <f t="shared" si="14"/>
        <v>0</v>
      </c>
      <c r="BR13" s="57">
        <f t="shared" si="15"/>
        <v>0</v>
      </c>
      <c r="BS13" s="57">
        <f t="shared" si="16"/>
        <v>0</v>
      </c>
      <c r="BT13" s="57">
        <f t="shared" si="17"/>
        <v>0</v>
      </c>
      <c r="BU13" s="57">
        <f t="shared" si="18"/>
        <v>0</v>
      </c>
      <c r="BV13" s="57">
        <f t="shared" si="19"/>
        <v>0</v>
      </c>
      <c r="BW13" s="57">
        <f t="shared" si="20"/>
        <v>0</v>
      </c>
      <c r="BX13" s="57">
        <f t="shared" si="21"/>
        <v>0</v>
      </c>
      <c r="BY13" s="57">
        <f t="shared" si="22"/>
        <v>0</v>
      </c>
      <c r="BZ13" s="57">
        <f t="shared" si="23"/>
        <v>0</v>
      </c>
      <c r="CA13" s="57">
        <f t="shared" si="24"/>
        <v>0</v>
      </c>
      <c r="CB13" s="9"/>
      <c r="CD13" s="76">
        <v>0</v>
      </c>
      <c r="CE13" s="76">
        <v>0</v>
      </c>
      <c r="CF13" s="76">
        <v>0</v>
      </c>
      <c r="CG13" s="76">
        <v>0</v>
      </c>
      <c r="CH13" s="76">
        <v>0</v>
      </c>
      <c r="CI13" s="76">
        <v>8</v>
      </c>
      <c r="CJ13" s="76">
        <v>0</v>
      </c>
      <c r="CK13" s="76">
        <v>0</v>
      </c>
      <c r="CL13" s="76">
        <v>0</v>
      </c>
      <c r="CM13" s="76">
        <v>0</v>
      </c>
      <c r="CN13" s="75">
        <f t="shared" ref="CN13" si="29">SUM(CD13:CM13)</f>
        <v>8</v>
      </c>
    </row>
    <row r="14" spans="1:93" x14ac:dyDescent="0.25">
      <c r="B14" s="11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V14" s="12"/>
      <c r="BW14" s="12"/>
      <c r="BX14" s="12"/>
      <c r="BY14" s="12"/>
      <c r="BZ14" s="12"/>
      <c r="CA14" s="12"/>
      <c r="CB14" s="12"/>
    </row>
    <row r="15" spans="1:93" x14ac:dyDescent="0.25">
      <c r="B15" s="11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Q15" s="22" t="s">
        <v>44</v>
      </c>
      <c r="BR15" s="23"/>
      <c r="BS15" s="23"/>
      <c r="BT15" s="24" t="s">
        <v>14</v>
      </c>
      <c r="BU15" s="12"/>
      <c r="BV15" s="12"/>
      <c r="BW15" s="25" t="s">
        <v>45</v>
      </c>
      <c r="BX15" s="26"/>
      <c r="BY15" s="26"/>
      <c r="BZ15" s="27"/>
      <c r="CA15" s="28" t="s">
        <v>20</v>
      </c>
      <c r="CB15" s="12"/>
    </row>
    <row r="16" spans="1:93" ht="15.75" x14ac:dyDescent="0.25">
      <c r="B16" s="11"/>
      <c r="E16" s="13"/>
      <c r="F16" s="14" t="s">
        <v>40</v>
      </c>
      <c r="G16" s="15"/>
      <c r="H16" s="14"/>
      <c r="I16" s="16"/>
      <c r="J16" s="16"/>
      <c r="K16" s="17"/>
      <c r="L16" s="18"/>
      <c r="M16" s="18"/>
      <c r="N16" s="19" t="s">
        <v>41</v>
      </c>
      <c r="O16" s="19"/>
      <c r="P16" s="17"/>
      <c r="Q16" s="17"/>
      <c r="R16" s="17"/>
      <c r="S16" s="17"/>
      <c r="T16" s="17" t="s">
        <v>42</v>
      </c>
      <c r="U16" s="17"/>
      <c r="V16" s="17"/>
      <c r="W16" s="17"/>
      <c r="X16" s="19" t="s">
        <v>43</v>
      </c>
      <c r="Y16" s="17"/>
      <c r="Z16" s="20"/>
      <c r="AA16" s="21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Q16" s="22" t="s">
        <v>46</v>
      </c>
      <c r="BR16" s="23"/>
      <c r="BS16" s="23"/>
      <c r="BT16" s="24" t="s">
        <v>15</v>
      </c>
      <c r="BU16" s="12"/>
      <c r="BV16" s="12"/>
      <c r="BW16" s="34" t="s">
        <v>47</v>
      </c>
      <c r="BX16" s="35"/>
      <c r="BY16" s="35"/>
      <c r="BZ16" s="27"/>
      <c r="CA16" s="28" t="s">
        <v>21</v>
      </c>
      <c r="CB16" s="12"/>
    </row>
    <row r="17" spans="2:80" ht="17.25" x14ac:dyDescent="0.25">
      <c r="B17" s="11"/>
      <c r="E17" s="29"/>
      <c r="F17" s="16"/>
      <c r="G17" s="16"/>
      <c r="H17" s="16"/>
      <c r="I17" s="16"/>
      <c r="J17" s="16"/>
      <c r="K17" s="16"/>
      <c r="L17" s="30"/>
      <c r="M17" s="30"/>
      <c r="N17" s="30"/>
      <c r="O17" s="16"/>
      <c r="P17" s="16"/>
      <c r="Q17" s="16"/>
      <c r="R17" s="31"/>
      <c r="S17" s="31"/>
      <c r="T17" s="31"/>
      <c r="U17" s="31"/>
      <c r="V17" s="31"/>
      <c r="W17" s="31"/>
      <c r="X17" s="32"/>
      <c r="Y17" s="32"/>
      <c r="Z17" s="33"/>
      <c r="AA17" s="20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Q17" s="22" t="s">
        <v>48</v>
      </c>
      <c r="BR17" s="23"/>
      <c r="BS17" s="23"/>
      <c r="BT17" s="24" t="s">
        <v>16</v>
      </c>
      <c r="BU17" s="12"/>
      <c r="BV17" s="12"/>
      <c r="BW17" s="34" t="s">
        <v>49</v>
      </c>
      <c r="BX17" s="35"/>
      <c r="BY17" s="35"/>
      <c r="BZ17" s="27"/>
      <c r="CA17" s="28" t="s">
        <v>22</v>
      </c>
      <c r="CB17" s="12"/>
    </row>
    <row r="18" spans="2:80" ht="17.25" x14ac:dyDescent="0.25">
      <c r="B18" s="11"/>
      <c r="E18" s="29"/>
      <c r="F18" s="36"/>
      <c r="G18" s="16"/>
      <c r="H18" s="36"/>
      <c r="I18" s="16"/>
      <c r="J18" s="16"/>
      <c r="K18" s="36" t="s">
        <v>42</v>
      </c>
      <c r="L18" s="37"/>
      <c r="M18" s="37"/>
      <c r="N18" s="30"/>
      <c r="O18" s="16"/>
      <c r="P18" s="36"/>
      <c r="Q18" s="36"/>
      <c r="R18" s="17"/>
      <c r="S18" s="16"/>
      <c r="T18" s="16"/>
      <c r="U18" s="16"/>
      <c r="V18" s="16"/>
      <c r="W18" s="16"/>
      <c r="X18" s="38"/>
      <c r="Y18" s="38"/>
      <c r="Z18" s="39"/>
      <c r="AA18" s="20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BM18" s="12"/>
      <c r="BN18" s="12"/>
      <c r="BQ18" s="22" t="s">
        <v>50</v>
      </c>
      <c r="BR18" s="23"/>
      <c r="BS18" s="23"/>
      <c r="BT18" s="24" t="s">
        <v>17</v>
      </c>
      <c r="BU18" s="12"/>
      <c r="BV18" s="12"/>
      <c r="BW18" s="25" t="s">
        <v>51</v>
      </c>
      <c r="BX18" s="26"/>
      <c r="BY18" s="26"/>
      <c r="BZ18" s="27"/>
      <c r="CA18" s="28" t="s">
        <v>23</v>
      </c>
      <c r="CB18" s="12"/>
    </row>
    <row r="19" spans="2:80" ht="17.25" x14ac:dyDescent="0.25">
      <c r="B19" s="11"/>
      <c r="C19" t="s">
        <v>42</v>
      </c>
      <c r="E19" s="40"/>
      <c r="F19" s="36"/>
      <c r="G19" s="16"/>
      <c r="H19" s="36"/>
      <c r="I19" s="16"/>
      <c r="J19" s="16"/>
      <c r="K19" s="36"/>
      <c r="L19" s="37"/>
      <c r="M19" s="37"/>
      <c r="N19" s="30"/>
      <c r="O19" s="17"/>
      <c r="P19" s="36"/>
      <c r="Q19" s="36"/>
      <c r="R19" s="17"/>
      <c r="S19" s="16"/>
      <c r="T19" s="16"/>
      <c r="U19" s="16"/>
      <c r="V19" s="16"/>
      <c r="W19" s="16"/>
      <c r="X19" s="38"/>
      <c r="Y19" s="38"/>
      <c r="Z19" s="39"/>
      <c r="AA19" s="41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Q19" s="22" t="s">
        <v>55</v>
      </c>
      <c r="BR19" s="23"/>
      <c r="BS19" s="23"/>
      <c r="BT19" s="24" t="s">
        <v>18</v>
      </c>
      <c r="BU19" s="12"/>
      <c r="BV19" s="12"/>
      <c r="BW19" s="25" t="s">
        <v>56</v>
      </c>
      <c r="BX19" s="26"/>
      <c r="BY19" s="26"/>
      <c r="BZ19" s="27"/>
      <c r="CA19" s="28" t="s">
        <v>24</v>
      </c>
      <c r="CB19" s="12"/>
    </row>
    <row r="20" spans="2:80" ht="17.25" x14ac:dyDescent="0.25">
      <c r="B20" s="11"/>
      <c r="E20" s="42" t="s">
        <v>52</v>
      </c>
      <c r="F20" s="43"/>
      <c r="G20" s="13"/>
      <c r="H20" s="42"/>
      <c r="I20" s="16"/>
      <c r="J20" s="16"/>
      <c r="K20" s="36"/>
      <c r="L20" s="30"/>
      <c r="M20" s="37"/>
      <c r="N20" s="15" t="s">
        <v>53</v>
      </c>
      <c r="O20" s="16"/>
      <c r="P20" s="36"/>
      <c r="Q20" s="17"/>
      <c r="R20" s="16"/>
      <c r="S20" s="16"/>
      <c r="T20" s="16"/>
      <c r="U20" s="16"/>
      <c r="V20" s="16"/>
      <c r="W20" s="16"/>
      <c r="X20" s="15" t="s">
        <v>54</v>
      </c>
      <c r="Y20" s="38"/>
      <c r="Z20" s="39"/>
      <c r="AA20" s="41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45"/>
      <c r="AU20" s="12"/>
      <c r="AV20" s="12"/>
      <c r="AW20" s="12"/>
      <c r="AX20" s="12"/>
      <c r="AY20" s="12"/>
      <c r="AZ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22" t="s">
        <v>60</v>
      </c>
      <c r="BR20" s="23"/>
      <c r="BS20" s="23"/>
      <c r="BT20" s="24" t="s">
        <v>19</v>
      </c>
      <c r="BU20" s="12"/>
      <c r="BV20" s="12"/>
      <c r="BW20" s="12"/>
      <c r="BX20" s="12"/>
      <c r="BY20" s="12"/>
      <c r="BZ20" s="12"/>
      <c r="CA20" s="12"/>
      <c r="CB20" s="12"/>
    </row>
    <row r="21" spans="2:80" ht="17.25" x14ac:dyDescent="0.25">
      <c r="E21" s="42"/>
      <c r="F21" s="42" t="s">
        <v>57</v>
      </c>
      <c r="G21" s="40"/>
      <c r="H21" s="40"/>
      <c r="I21" s="16"/>
      <c r="J21" s="16"/>
      <c r="K21" s="15"/>
      <c r="L21" s="44"/>
      <c r="M21" s="44"/>
      <c r="N21" s="15" t="s">
        <v>58</v>
      </c>
      <c r="O21" s="15"/>
      <c r="P21" s="15"/>
      <c r="Q21" s="17"/>
      <c r="R21" s="15"/>
      <c r="S21" s="16"/>
      <c r="T21" s="16" t="s">
        <v>42</v>
      </c>
      <c r="U21" s="16"/>
      <c r="V21" s="16"/>
      <c r="W21" s="16"/>
      <c r="X21" s="15" t="s">
        <v>59</v>
      </c>
      <c r="Y21" s="38"/>
      <c r="Z21" s="39"/>
      <c r="AA21" s="41"/>
    </row>
    <row r="22" spans="2:80" x14ac:dyDescent="0.25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33" spans="1:80" ht="23.25" customHeight="1" x14ac:dyDescent="0.25">
      <c r="A33" s="6">
        <v>2</v>
      </c>
      <c r="B33" s="10" t="s">
        <v>28</v>
      </c>
      <c r="C33" s="53" t="s">
        <v>29</v>
      </c>
      <c r="D33" s="53"/>
      <c r="E33" s="50">
        <v>0.3743055555555555</v>
      </c>
      <c r="F33" s="50">
        <v>0.80347222222222225</v>
      </c>
      <c r="G33" s="50">
        <v>0.37361111111111112</v>
      </c>
      <c r="H33" s="50">
        <v>0.79305555555555562</v>
      </c>
      <c r="I33" s="50">
        <v>0.37361111111111112</v>
      </c>
      <c r="J33" s="51">
        <v>1</v>
      </c>
      <c r="K33" s="50">
        <v>0.37291666666666662</v>
      </c>
      <c r="L33" s="50">
        <v>0.81458333333333333</v>
      </c>
      <c r="M33" s="50">
        <v>0.61597222222222225</v>
      </c>
      <c r="N33" s="50">
        <v>0.77638888888888891</v>
      </c>
      <c r="O33" s="50">
        <v>0.36944444444444446</v>
      </c>
      <c r="P33" s="50">
        <v>0.84722222222222221</v>
      </c>
      <c r="Q33" s="50">
        <v>0.37291666666666662</v>
      </c>
      <c r="R33" s="50">
        <v>0.75277777777777777</v>
      </c>
      <c r="S33" s="50">
        <v>0.37361111111111112</v>
      </c>
      <c r="T33" s="50">
        <v>0.76111111111111107</v>
      </c>
      <c r="U33" s="50">
        <v>0.37222222222222223</v>
      </c>
      <c r="V33" s="51">
        <v>1</v>
      </c>
      <c r="W33" s="50">
        <v>0.66111111111111109</v>
      </c>
      <c r="X33" s="50">
        <v>0.77569444444444446</v>
      </c>
      <c r="Y33" s="50">
        <v>0.36944444444444446</v>
      </c>
      <c r="Z33" s="50">
        <v>0.81041666666666667</v>
      </c>
      <c r="AA33" s="50">
        <v>0.59583333333333333</v>
      </c>
      <c r="AB33" s="50">
        <v>0.81874999999999998</v>
      </c>
      <c r="AC33" s="50">
        <v>0.3743055555555555</v>
      </c>
      <c r="AD33" s="50">
        <v>0.75486111111111109</v>
      </c>
      <c r="AE33" s="50">
        <v>0.37222222222222223</v>
      </c>
      <c r="AF33" s="50">
        <v>0.7416666666666667</v>
      </c>
      <c r="AG33" s="50">
        <v>0.37152777777777773</v>
      </c>
      <c r="AH33" s="50">
        <v>0.79861111111111116</v>
      </c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6"/>
      <c r="AT33" s="56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6"/>
      <c r="BN33" s="56"/>
      <c r="BO33" s="7">
        <f>BP33+BQ33+BR33+BS33+BX33+BV33+BW33+CA33+BT33</f>
        <v>15</v>
      </c>
      <c r="BP33" s="8">
        <f>COUNT(E33:AH33)/2+COUNT(AI33:BN33)/2</f>
        <v>15</v>
      </c>
      <c r="BQ33" s="57">
        <f>COUNTIF(E33:BN33,"OFF")/2</f>
        <v>0</v>
      </c>
      <c r="BR33" s="57">
        <f>COUNTIF(E33:BN33,"MC")/2</f>
        <v>0</v>
      </c>
      <c r="BS33" s="57">
        <f>COUNTIF(E33:BN33,"EL")/2</f>
        <v>0</v>
      </c>
      <c r="BT33" s="57">
        <f>COUNTIF(E33:BN33,"AL")/2</f>
        <v>0</v>
      </c>
      <c r="BU33" s="57">
        <f>COUNTIF(E33:BN33,"SUS")/2</f>
        <v>0</v>
      </c>
      <c r="BV33" s="57">
        <f>COUNTIF(E33:BN33,"FL")/2</f>
        <v>0</v>
      </c>
      <c r="BW33" s="57">
        <f>COUNTIF(E33:BN33,"SICK")/2</f>
        <v>0</v>
      </c>
      <c r="BX33" s="57">
        <f>COUNTIF(E33:BN33,"HD")/2</f>
        <v>0</v>
      </c>
      <c r="BY33" s="57">
        <f>COUNTIF(E33:BN33,"AB")/2</f>
        <v>0</v>
      </c>
      <c r="BZ33" s="57">
        <f>COUNTIF(E33:BN33,"NL")/2</f>
        <v>0</v>
      </c>
      <c r="CA33" s="57">
        <f>COUNTIF(E33:BN33,"SP")/2</f>
        <v>0</v>
      </c>
      <c r="CB33" s="9"/>
    </row>
    <row r="34" spans="1:80" ht="21" customHeight="1" x14ac:dyDescent="0.25">
      <c r="A34" s="6">
        <v>7</v>
      </c>
      <c r="B34" s="10" t="s">
        <v>38</v>
      </c>
      <c r="C34" s="54" t="s">
        <v>39</v>
      </c>
      <c r="D34" s="67"/>
      <c r="E34" s="58">
        <v>0.40833333333333338</v>
      </c>
      <c r="F34" s="58">
        <v>0.88541666666666663</v>
      </c>
      <c r="G34" s="58">
        <v>0.3972222222222222</v>
      </c>
      <c r="H34" s="58">
        <v>0.90833333333333333</v>
      </c>
      <c r="I34" s="58">
        <v>0.39583333333333331</v>
      </c>
      <c r="J34" s="58">
        <v>0.87291666666666667</v>
      </c>
      <c r="K34" s="58">
        <v>0.25138888888888888</v>
      </c>
      <c r="L34" s="58">
        <v>0.93888888888888899</v>
      </c>
      <c r="M34" s="58">
        <v>0.33611111111111108</v>
      </c>
      <c r="N34" s="59">
        <v>1</v>
      </c>
      <c r="O34" s="58">
        <v>0.27013888888888887</v>
      </c>
      <c r="P34" s="58">
        <v>0.89861111111111114</v>
      </c>
      <c r="Q34" s="58">
        <v>0.27708333333333335</v>
      </c>
      <c r="R34" s="58">
        <v>0.93611111111111101</v>
      </c>
      <c r="S34" s="58">
        <v>0.27986111111111112</v>
      </c>
      <c r="T34" s="58">
        <v>0.89027777777777783</v>
      </c>
      <c r="U34" s="58">
        <v>0.26666666666666666</v>
      </c>
      <c r="V34" s="58">
        <v>0.84166666666666667</v>
      </c>
      <c r="W34" s="58">
        <v>0.39583333333333331</v>
      </c>
      <c r="X34" s="58">
        <v>0.87013888888888891</v>
      </c>
      <c r="Y34" s="58">
        <v>0.41736111111111113</v>
      </c>
      <c r="Z34" s="58">
        <v>0.85555555555555562</v>
      </c>
      <c r="AA34" s="59">
        <v>1</v>
      </c>
      <c r="AB34" s="51">
        <v>1</v>
      </c>
      <c r="AC34" s="50">
        <v>0.40763888888888888</v>
      </c>
      <c r="AD34" s="50">
        <v>0.9</v>
      </c>
      <c r="AE34" s="50">
        <v>0.43194444444444446</v>
      </c>
      <c r="AF34" s="50">
        <v>0.87083333333333324</v>
      </c>
      <c r="AG34" s="50">
        <v>0.40486111111111112</v>
      </c>
      <c r="AH34" s="51">
        <v>1</v>
      </c>
      <c r="AI34" s="51">
        <v>1</v>
      </c>
      <c r="AJ34" s="51">
        <v>1</v>
      </c>
      <c r="AK34" s="51">
        <v>1</v>
      </c>
      <c r="AL34" s="51">
        <v>1</v>
      </c>
      <c r="AM34" s="51">
        <v>1</v>
      </c>
      <c r="AN34" s="51">
        <v>1</v>
      </c>
      <c r="AO34" s="50" t="s">
        <v>22</v>
      </c>
      <c r="AP34" s="50" t="s">
        <v>22</v>
      </c>
      <c r="AQ34" s="50" t="s">
        <v>22</v>
      </c>
      <c r="AR34" s="50" t="s">
        <v>22</v>
      </c>
      <c r="AS34" s="50" t="s">
        <v>22</v>
      </c>
      <c r="AT34" s="50" t="s">
        <v>22</v>
      </c>
      <c r="AU34" s="50" t="s">
        <v>22</v>
      </c>
      <c r="AV34" s="50" t="s">
        <v>22</v>
      </c>
      <c r="AW34" s="50" t="s">
        <v>22</v>
      </c>
      <c r="AX34" s="50" t="s">
        <v>22</v>
      </c>
      <c r="AY34" s="50" t="s">
        <v>22</v>
      </c>
      <c r="AZ34" s="50" t="s">
        <v>22</v>
      </c>
      <c r="BA34" s="50" t="s">
        <v>22</v>
      </c>
      <c r="BB34" s="50" t="s">
        <v>22</v>
      </c>
      <c r="BC34" s="50" t="s">
        <v>22</v>
      </c>
      <c r="BD34" s="50" t="s">
        <v>22</v>
      </c>
      <c r="BE34" s="50" t="s">
        <v>22</v>
      </c>
      <c r="BF34" s="50" t="s">
        <v>22</v>
      </c>
      <c r="BG34" s="50"/>
      <c r="BH34" s="50"/>
      <c r="BI34" s="50"/>
      <c r="BJ34" s="50"/>
      <c r="BK34" s="50"/>
      <c r="BL34" s="50"/>
      <c r="BM34" s="50" t="s">
        <v>22</v>
      </c>
      <c r="BN34" s="50" t="s">
        <v>22</v>
      </c>
      <c r="BO34" s="7">
        <f>BP34+BQ34+BR34+BS34+BX34+BV34+BW34+CA34+BT34</f>
        <v>18</v>
      </c>
      <c r="BP34" s="8">
        <f>COUNT(E34:AH34)/2+COUNT(AI34:BN34)/2</f>
        <v>18</v>
      </c>
      <c r="BQ34" s="57">
        <f>COUNTIF(E34:BN34,"OFF")/2</f>
        <v>0</v>
      </c>
      <c r="BR34" s="57">
        <f>COUNTIF(E34:BN34,"MC")/2</f>
        <v>0</v>
      </c>
      <c r="BS34" s="57">
        <f>COUNTIF(E34:BN34,"EL")/2</f>
        <v>0</v>
      </c>
      <c r="BT34" s="57">
        <f>COUNTIF(E34:BN34,"AL")/2</f>
        <v>0</v>
      </c>
      <c r="BU34" s="57">
        <f>COUNTIF(E34:BN34,"SUS")/2</f>
        <v>0</v>
      </c>
      <c r="BV34" s="57">
        <f>COUNTIF(E34:BN34,"FL")/2</f>
        <v>0</v>
      </c>
      <c r="BW34" s="57">
        <f>COUNTIF(E34:BN34,"SICK")/2</f>
        <v>0</v>
      </c>
      <c r="BX34" s="57">
        <f>COUNTIF(E34:BN34,"HD")/2</f>
        <v>0</v>
      </c>
      <c r="BY34" s="57">
        <f>COUNTIF(E34:BN34,"AB")/2</f>
        <v>10</v>
      </c>
      <c r="BZ34" s="57">
        <f>COUNTIF(E34:BN34,"NL")/2</f>
        <v>0</v>
      </c>
      <c r="CA34" s="57">
        <f>COUNTIF(E34:BN34,"SP")/2</f>
        <v>0</v>
      </c>
      <c r="CB34" s="9"/>
    </row>
  </sheetData>
  <mergeCells count="68">
    <mergeCell ref="BK2:BL2"/>
    <mergeCell ref="A1:AH1"/>
    <mergeCell ref="BI3:BJ3"/>
    <mergeCell ref="BI2:BJ2"/>
    <mergeCell ref="BG3:BH3"/>
    <mergeCell ref="BG2:BH2"/>
    <mergeCell ref="AI1:CB1"/>
    <mergeCell ref="A2:C3"/>
    <mergeCell ref="E2:F2"/>
    <mergeCell ref="G2:H2"/>
    <mergeCell ref="I2:J2"/>
    <mergeCell ref="K2:L2"/>
    <mergeCell ref="M2:N2"/>
    <mergeCell ref="O2:P2"/>
    <mergeCell ref="Q2:R2"/>
    <mergeCell ref="AO2:AP2"/>
    <mergeCell ref="S2:T2"/>
    <mergeCell ref="BO2:BO4"/>
    <mergeCell ref="BM3:BN3"/>
    <mergeCell ref="U2:V2"/>
    <mergeCell ref="W2:X2"/>
    <mergeCell ref="AE2:AF2"/>
    <mergeCell ref="AI2:AJ2"/>
    <mergeCell ref="AK2:AL2"/>
    <mergeCell ref="AM2:AN2"/>
    <mergeCell ref="W3:X3"/>
    <mergeCell ref="Y3:Z3"/>
    <mergeCell ref="AA3:AB3"/>
    <mergeCell ref="AC3:AD3"/>
    <mergeCell ref="AE3:AF3"/>
    <mergeCell ref="AG3:AH3"/>
    <mergeCell ref="AI3:AJ3"/>
    <mergeCell ref="Y2:Z2"/>
    <mergeCell ref="AA2:AB2"/>
    <mergeCell ref="AC2:AD2"/>
    <mergeCell ref="AG2:AH2"/>
    <mergeCell ref="AK3:AL3"/>
    <mergeCell ref="AM3:AN3"/>
    <mergeCell ref="BP2:CB2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BC2:BD2"/>
    <mergeCell ref="BE2:BF2"/>
    <mergeCell ref="BM2:BN2"/>
    <mergeCell ref="AW3:AX3"/>
    <mergeCell ref="CD2:CN2"/>
    <mergeCell ref="AO3:AP3"/>
    <mergeCell ref="AQ3:AR3"/>
    <mergeCell ref="AS3:AT3"/>
    <mergeCell ref="AU3:AV3"/>
    <mergeCell ref="AY3:AZ3"/>
    <mergeCell ref="BA3:BB3"/>
    <mergeCell ref="AQ2:AR2"/>
    <mergeCell ref="AS2:AT2"/>
    <mergeCell ref="AU2:AV2"/>
    <mergeCell ref="AW2:AX2"/>
    <mergeCell ref="AY2:AZ2"/>
    <mergeCell ref="BA2:BB2"/>
    <mergeCell ref="BE3:BF3"/>
    <mergeCell ref="BC3:BD3"/>
    <mergeCell ref="BK3:BL3"/>
  </mergeCells>
  <phoneticPr fontId="20" type="noConversion"/>
  <conditionalFormatting sqref="A2">
    <cfRule type="cellIs" dxfId="22" priority="59" operator="equal">
      <formula>";"</formula>
    </cfRule>
  </conditionalFormatting>
  <conditionalFormatting sqref="B7">
    <cfRule type="duplicateValues" dxfId="21" priority="56"/>
  </conditionalFormatting>
  <conditionalFormatting sqref="B10">
    <cfRule type="duplicateValues" dxfId="20" priority="207"/>
  </conditionalFormatting>
  <conditionalFormatting sqref="B12:B13">
    <cfRule type="duplicateValues" dxfId="19" priority="55"/>
  </conditionalFormatting>
  <conditionalFormatting sqref="B33">
    <cfRule type="duplicateValues" dxfId="18" priority="57"/>
  </conditionalFormatting>
  <conditionalFormatting sqref="B34">
    <cfRule type="duplicateValues" dxfId="17" priority="37"/>
  </conditionalFormatting>
  <conditionalFormatting sqref="D6">
    <cfRule type="timePeriod" dxfId="16" priority="2" timePeriod="thisWeek">
      <formula>AND(TODAY()-ROUNDDOWN(D6,0)&lt;=WEEKDAY(TODAY())-1,ROUNDDOWN(D6,0)-TODAY()&lt;=7-WEEKDAY(TODAY()))</formula>
    </cfRule>
    <cfRule type="timePeriod" dxfId="15" priority="1" timePeriod="last7Days">
      <formula>AND(TODAY()-FLOOR(D6,1)&lt;=6,FLOOR(D6,1)&lt;=TODAY())</formula>
    </cfRule>
    <cfRule type="timePeriod" dxfId="14" priority="4" timePeriod="nextWeek">
      <formula>AND(ROUNDDOWN(D6,0)-TODAY()&gt;(7-WEEKDAY(TODAY())),ROUNDDOWN(D6,0)-TODAY()&lt;(15-WEEKDAY(TODAY())))</formula>
    </cfRule>
  </conditionalFormatting>
  <conditionalFormatting sqref="D6:D13">
    <cfRule type="timePeriod" priority="3" timePeriod="nextWeek">
      <formula>AND(ROUNDDOWN(D6,0)-TODAY()&gt;(7-WEEKDAY(TODAY())),ROUNDDOWN(D6,0)-TODAY()&lt;(15-WEEKDAY(TODAY())))</formula>
    </cfRule>
  </conditionalFormatting>
  <conditionalFormatting sqref="D7:D13">
    <cfRule type="timePeriod" dxfId="13" priority="8" timePeriod="nextWeek">
      <formula>AND(ROUNDDOWN(D7,0)-TODAY()&gt;(7-WEEKDAY(TODAY())),ROUNDDOWN(D7,0)-TODAY()&lt;(15-WEEKDAY(TODAY())))</formula>
    </cfRule>
  </conditionalFormatting>
  <conditionalFormatting sqref="D10">
    <cfRule type="timePeriod" dxfId="12" priority="5" timePeriod="last7Days">
      <formula>AND(TODAY()-FLOOR(D10,1)&lt;=6,FLOOR(D10,1)&lt;=TODAY())</formula>
    </cfRule>
    <cfRule type="timePeriod" dxfId="11" priority="6" timePeriod="thisWeek">
      <formula>AND(TODAY()-ROUNDDOWN(D10,0)&lt;=WEEKDAY(TODAY())-1,ROUNDDOWN(D10,0)-TODAY()&lt;=7-WEEKDAY(TODAY()))</formula>
    </cfRule>
  </conditionalFormatting>
  <conditionalFormatting sqref="D11:D12">
    <cfRule type="timePeriod" dxfId="10" priority="11" timePeriod="last7Days">
      <formula>AND(TODAY()-FLOOR(D11,1)&lt;=6,FLOOR(D11,1)&lt;=TODAY())</formula>
    </cfRule>
    <cfRule type="timePeriod" dxfId="9" priority="12" timePeriod="thisWeek">
      <formula>AND(TODAY()-ROUNDDOWN(D11,0)&lt;=WEEKDAY(TODAY())-1,ROUNDDOWN(D11,0)-TODAY()&lt;=7-WEEKDAY(TODAY()))</formula>
    </cfRule>
  </conditionalFormatting>
  <conditionalFormatting sqref="D12:D13">
    <cfRule type="timePeriod" dxfId="8" priority="18" timePeriod="thisWeek">
      <formula>AND(TODAY()-ROUNDDOWN(D12,0)&lt;=WEEKDAY(TODAY())-1,ROUNDDOWN(D12,0)-TODAY()&lt;=7-WEEKDAY(TODAY()))</formula>
    </cfRule>
    <cfRule type="timePeriod" dxfId="7" priority="17" timePeriod="last7Days">
      <formula>AND(TODAY()-FLOOR(D12,1)&lt;=6,FLOOR(D12,1)&lt;=TODAY())</formula>
    </cfRule>
  </conditionalFormatting>
  <conditionalFormatting sqref="AI34:BN34">
    <cfRule type="containsText" dxfId="6" priority="36" stopIfTrue="1" operator="containsText" text="AB">
      <formula>NOT(ISERROR(SEARCH("AB",AI34)))</formula>
    </cfRule>
  </conditionalFormatting>
  <conditionalFormatting sqref="BO5:BO13">
    <cfRule type="containsText" dxfId="5" priority="25" stopIfTrue="1" operator="containsText" text="SP">
      <formula>NOT(ISERROR(SEARCH("SP",BO5)))</formula>
    </cfRule>
    <cfRule type="containsText" dxfId="4" priority="26" stopIfTrue="1" operator="containsText" text="AL">
      <formula>NOT(ISERROR(SEARCH("AL",BO5)))</formula>
    </cfRule>
    <cfRule type="containsText" dxfId="3" priority="27" stopIfTrue="1" operator="containsText" text="EL">
      <formula>NOT(ISERROR(SEARCH("EL",BO5)))</formula>
    </cfRule>
    <cfRule type="containsText" dxfId="2" priority="28" stopIfTrue="1" operator="containsText" text="AB">
      <formula>NOT(ISERROR(SEARCH("AB",BO5)))</formula>
    </cfRule>
    <cfRule type="containsText" dxfId="1" priority="29" stopIfTrue="1" operator="containsText" text="FL">
      <formula>NOT(ISERROR(SEARCH("FL",BO5)))</formula>
    </cfRule>
    <cfRule type="containsText" dxfId="0" priority="30" stopIfTrue="1" operator="containsText" text="SICK">
      <formula>NOT(ISERROR(SEARCH("SICK",BO5)))</formula>
    </cfRule>
  </conditionalFormatting>
  <pageMargins left="0.7" right="0.7" top="0.75" bottom="0.75" header="0.3" footer="0.3"/>
  <pageSetup paperSize="9" scale="2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2026-02-01T05:19:30Z</cp:lastPrinted>
  <dcterms:created xsi:type="dcterms:W3CDTF">2025-11-05T10:24:14Z</dcterms:created>
  <dcterms:modified xsi:type="dcterms:W3CDTF">2026-10-30T09:05:29Z</dcterms:modified>
</cp:coreProperties>
</file>