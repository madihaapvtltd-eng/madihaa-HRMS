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april\"/>
    </mc:Choice>
  </mc:AlternateContent>
  <xr:revisionPtr revIDLastSave="0" documentId="13_ncr:1_{6204B78F-4779-4DF9-B5A2-77D9414128A6}" xr6:coauthVersionLast="47" xr6:coauthVersionMax="47" xr10:uidLastSave="{00000000-0000-0000-0000-000000000000}"/>
  <bookViews>
    <workbookView xWindow="-120" yWindow="-120" windowWidth="29040" windowHeight="15840" tabRatio="620" xr2:uid="{4A30ED18-EEC4-4276-AE32-7D191BED71AC}"/>
  </bookViews>
  <sheets>
    <sheet name="MadiGrand - Foreig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M10" i="1" l="1"/>
  <c r="CM9" i="1"/>
  <c r="CM8" i="1"/>
  <c r="CM7" i="1"/>
  <c r="CM6" i="1"/>
  <c r="CM5" i="1"/>
  <c r="CM4" i="1"/>
  <c r="BN6" i="1" l="1"/>
  <c r="BO6" i="1"/>
  <c r="BP6" i="1"/>
  <c r="BQ6" i="1"/>
  <c r="BR6" i="1"/>
  <c r="BS6" i="1"/>
  <c r="BT6" i="1"/>
  <c r="BU6" i="1"/>
  <c r="BV6" i="1"/>
  <c r="BW6" i="1"/>
  <c r="BX6" i="1"/>
  <c r="BY6" i="1"/>
  <c r="BN7" i="1"/>
  <c r="BO7" i="1"/>
  <c r="BP7" i="1"/>
  <c r="BQ7" i="1"/>
  <c r="BR7" i="1"/>
  <c r="BS7" i="1"/>
  <c r="BT7" i="1"/>
  <c r="BU7" i="1"/>
  <c r="BV7" i="1"/>
  <c r="BW7" i="1"/>
  <c r="BX7" i="1"/>
  <c r="BY7" i="1"/>
  <c r="BN8" i="1"/>
  <c r="BO8" i="1"/>
  <c r="BP8" i="1"/>
  <c r="BQ8" i="1"/>
  <c r="BR8" i="1"/>
  <c r="BS8" i="1"/>
  <c r="BT8" i="1"/>
  <c r="BU8" i="1"/>
  <c r="BV8" i="1"/>
  <c r="BW8" i="1"/>
  <c r="BX8" i="1"/>
  <c r="BY8" i="1"/>
  <c r="BN9" i="1"/>
  <c r="BO9" i="1"/>
  <c r="BP9" i="1"/>
  <c r="BQ9" i="1"/>
  <c r="BR9" i="1"/>
  <c r="BS9" i="1"/>
  <c r="BT9" i="1"/>
  <c r="BU9" i="1"/>
  <c r="BV9" i="1"/>
  <c r="BW9" i="1"/>
  <c r="BX9" i="1"/>
  <c r="BY9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N5" i="1"/>
  <c r="BO5" i="1"/>
  <c r="BP5" i="1"/>
  <c r="BQ5" i="1"/>
  <c r="BR5" i="1"/>
  <c r="BS5" i="1"/>
  <c r="BT5" i="1"/>
  <c r="BU5" i="1"/>
  <c r="BV5" i="1"/>
  <c r="BW5" i="1"/>
  <c r="BX5" i="1"/>
  <c r="BY5" i="1"/>
  <c r="BM7" i="1" l="1"/>
  <c r="BM6" i="1"/>
  <c r="BM8" i="1"/>
  <c r="BM9" i="1"/>
  <c r="BM10" i="1"/>
  <c r="BM5" i="1"/>
</calcChain>
</file>

<file path=xl/sharedStrings.xml><?xml version="1.0" encoding="utf-8"?>
<sst xmlns="http://schemas.openxmlformats.org/spreadsheetml/2006/main" count="168" uniqueCount="64">
  <si>
    <t>FOREIGN 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</si>
  <si>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</si>
  <si>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</si>
  <si>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</si>
  <si>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</si>
  <si>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</si>
  <si>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</si>
  <si>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</si>
  <si>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</si>
  <si>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</si>
  <si>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</si>
  <si>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</si>
  <si>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</si>
  <si>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</si>
  <si>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</si>
  <si>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</si>
  <si>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</si>
  <si>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</si>
  <si>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</si>
  <si>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</si>
  <si>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</si>
  <si>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</si>
  <si>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</si>
  <si>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</si>
  <si>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</si>
  <si>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</si>
  <si>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Jakir Hossain</t>
  </si>
  <si>
    <t>Sachin  kumar</t>
  </si>
  <si>
    <t>chadani shrestha</t>
  </si>
  <si>
    <t>Prepared By:</t>
  </si>
  <si>
    <t>Checked By:</t>
  </si>
  <si>
    <t xml:space="preserve"> </t>
  </si>
  <si>
    <t>Approved By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</si>
  <si>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</si>
  <si>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</si>
  <si>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</si>
  <si>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</si>
  <si>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</si>
  <si>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</si>
  <si>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>ABST</t>
  </si>
  <si>
    <t>MUNESWARI SANDRAPALLI</t>
  </si>
  <si>
    <t>Hussain Mahir</t>
  </si>
  <si>
    <t>Moosa Ahmed</t>
  </si>
  <si>
    <t xml:space="preserve">Annual Leave                     </t>
  </si>
  <si>
    <t xml:space="preserve">No Pay Leave        </t>
  </si>
  <si>
    <t>HR Executive</t>
  </si>
  <si>
    <t>Office Manager</t>
  </si>
  <si>
    <t>Chairman</t>
  </si>
  <si>
    <t>Suspended</t>
  </si>
  <si>
    <t>Special Leave</t>
  </si>
  <si>
    <t>Family Leave</t>
  </si>
  <si>
    <t>MD Hasib Uddin</t>
  </si>
  <si>
    <t>Shariq Ahmed</t>
  </si>
  <si>
    <t>MAD0592</t>
  </si>
  <si>
    <t>MD Rafiqul Isalam</t>
  </si>
  <si>
    <t>MAD0735</t>
  </si>
  <si>
    <t>MAG0001</t>
  </si>
  <si>
    <t>MAD0551</t>
  </si>
  <si>
    <t>MAD0617</t>
  </si>
  <si>
    <t>MAD0695</t>
  </si>
  <si>
    <t>Pls don’t Remove below data</t>
  </si>
  <si>
    <t xml:space="preserve">Used Leave Totals (Running Year, up to end of this month - march 2026) </t>
  </si>
  <si>
    <t>Total</t>
  </si>
  <si>
    <t>Attendance for  APRIL 2026 - Madi Grand  Staff (FOREIGN)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</si>
</sst>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0000"/>
    <numFmt numFmtId="166" formatCode="h:mm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Segoe UI"/>
      <family val="2"/>
    </font>
    <font>
      <sz val="12"/>
      <name val="Segoe UI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b/>
      <u/>
      <sz val="14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76">
    <xf numFmtId="0" fontId="0" fillId="0" borderId="0" xfId="0"/>
    <xf numFmtId="1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" fontId="5" fillId="8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6" fontId="13" fillId="0" borderId="0" xfId="0" applyNumberFormat="1" applyFont="1" applyAlignment="1">
      <alignment horizontal="center" vertical="center" wrapText="1"/>
    </xf>
    <xf numFmtId="0" fontId="10" fillId="0" borderId="0" xfId="0" applyFont="1"/>
    <xf numFmtId="166" fontId="11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9" borderId="0" xfId="0" applyFont="1" applyFill="1" applyAlignment="1">
      <alignment vertical="center"/>
    </xf>
    <xf numFmtId="0" fontId="16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8" fillId="10" borderId="0" xfId="0" applyFont="1" applyFill="1"/>
    <xf numFmtId="0" fontId="17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16" fillId="10" borderId="0" xfId="0" applyNumberFormat="1" applyFont="1" applyFill="1" applyAlignment="1">
      <alignment horizontal="left" vertical="center"/>
    </xf>
    <xf numFmtId="0" fontId="11" fillId="0" borderId="0" xfId="0" applyFont="1"/>
    <xf numFmtId="0" fontId="10" fillId="0" borderId="0" xfId="0" applyFont="1" applyAlignment="1">
      <alignment vertical="center"/>
    </xf>
    <xf numFmtId="0" fontId="20" fillId="0" borderId="0" xfId="0" applyFont="1"/>
    <xf numFmtId="166" fontId="10" fillId="0" borderId="0" xfId="0" applyNumberFormat="1" applyFont="1" applyAlignment="1">
      <alignment horizontal="center" vertical="center"/>
    </xf>
    <xf numFmtId="0" fontId="12" fillId="0" borderId="0" xfId="0" applyFont="1"/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2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24" fillId="7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2" fillId="0" borderId="7" xfId="0" applyFont="1" applyBorder="1" applyAlignment="1">
      <alignment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 wrapText="1"/>
    </xf>
    <xf numFmtId="15" fontId="0" fillId="0" borderId="11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31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A5441-60C8-48F2-8FA1-E2180083072E}" name="Table1" displayName="Table1" ref="CC3:CM10" totalsRowShown="0" headerRowDxfId="30" dataDxfId="28" headerRowBorderDxfId="29" tableBorderDxfId="27" totalsRowBorderDxfId="26">
  <autoFilter ref="CC3:CM10" xr:uid="{D8BA5441-60C8-48F2-8FA1-E2180083072E}"/>
  <tableColumns count="11">
    <tableColumn id="1" xr3:uid="{6E204FE3-A706-4B06-B8CF-3A94E206669F}" name="MC" dataDxfId="25"/>
    <tableColumn id="2" xr3:uid="{AB5E4477-84B5-43DD-9D54-0E3601E3C057}" name="EL" dataDxfId="24"/>
    <tableColumn id="3" xr3:uid="{0EFFD4AC-B462-4D2D-9C04-241C2A862D74}" name="AL" dataDxfId="23"/>
    <tableColumn id="4" xr3:uid="{814F4E2B-5051-4665-994E-D92F799704E0}" name="SUS" dataDxfId="22"/>
    <tableColumn id="5" xr3:uid="{43EBA53D-4013-4824-87C9-6E81C4F24CFD}" name="FL" dataDxfId="21"/>
    <tableColumn id="6" xr3:uid="{7E200FCA-D48E-4FB6-9DC9-E29D8E6D7F3C}" name="S" dataDxfId="20"/>
    <tableColumn id="7" xr3:uid="{D4789D8C-EC40-47CF-BF0A-964598F699D1}" name="HD" dataDxfId="19"/>
    <tableColumn id="8" xr3:uid="{8A8AA058-E096-4C00-B92E-878F9FA2D966}" name="AB" dataDxfId="18"/>
    <tableColumn id="9" xr3:uid="{80620CCD-07AE-46A4-9394-299FAE668240}" name="NL" dataDxfId="17"/>
    <tableColumn id="10" xr3:uid="{0EA0FC50-C76B-45E3-A9E1-07B375352465}" name="SP" dataDxfId="16"/>
    <tableColumn id="11" xr3:uid="{7891E45F-FBDB-43BD-AFEF-12616DF61747}" name="Total" dataDxfId="1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71FE-D03B-4067-85F8-98ADF3025D4D}">
  <sheetPr>
    <pageSetUpPr fitToPage="1"/>
  </sheetPr>
  <dimension ref="A1:CM19"/>
  <sheetViews>
    <sheetView tabSelected="1" workbookViewId="0">
      <pane xSplit="3" ySplit="4" topLeftCell="BF5" activePane="bottomRight" state="frozen"/>
      <selection pane="topRight" activeCell="D1" sqref="D1"/>
      <selection pane="bottomLeft" activeCell="A5" sqref="A5"/>
      <selection pane="bottomRight" activeCell="K9" sqref="K9"/>
    </sheetView>
  </sheetViews>
  <sheetFormatPr defaultRowHeight="15" x14ac:dyDescent="0.25"/>
  <cols>
    <col min="1" max="1" width="5.85546875" customWidth="1"/>
    <col min="2" max="2" width="11" customWidth="1"/>
    <col min="3" max="3" width="18.140625" customWidth="1"/>
    <col min="4" max="4" width="11.7109375" hidden="1" customWidth="1"/>
    <col min="5" max="64" width="6.85546875" customWidth="1"/>
    <col min="65" max="77" width="4.85546875" customWidth="1"/>
    <col min="81" max="91" width="8" customWidth="1"/>
  </cols>
  <sheetData>
    <row r="1" spans="1:91" ht="20.25" x14ac:dyDescent="0.25">
      <c r="A1" s="72" t="s">
        <v>63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69" t="s">
        <v>63</v>
      </c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1"/>
      <c r="CA1" s="61"/>
      <c r="CB1" s="61"/>
      <c r="CC1" s="68" t="s">
        <v>60</v>
      </c>
      <c r="CD1" s="68"/>
      <c r="CE1" s="68"/>
      <c r="CF1" s="68"/>
      <c r="CG1" s="68"/>
      <c r="CH1" s="68"/>
      <c r="CI1" s="68"/>
      <c r="CJ1" s="68"/>
      <c r="CK1" s="68"/>
      <c r="CL1" s="68"/>
      <c r="CM1" s="68"/>
    </row>
    <row r="2" spans="1:91" ht="19.5" customHeight="1" x14ac:dyDescent="0.25">
      <c r="A2" s="74" t="s">
        <v>0</v>
      </c>
      <c r="B2" s="74"/>
      <c r="C2" s="74"/>
      <c r="D2" s="54"/>
      <c r="E2" s="66" t="s">
        <v>1</v>
      </c>
      <c r="F2" s="66"/>
      <c r="G2" s="66" t="s">
        <v>2</v>
      </c>
      <c r="H2" s="66"/>
      <c r="I2" s="66" t="s">
        <v>3</v>
      </c>
      <c r="J2" s="66"/>
      <c r="K2" s="66" t="s">
        <v>4</v>
      </c>
      <c r="L2" s="66"/>
      <c r="M2" s="66" t="s">
        <v>5</v>
      </c>
      <c r="N2" s="66"/>
      <c r="O2" s="66" t="s">
        <v>6</v>
      </c>
      <c r="P2" s="66"/>
      <c r="Q2" s="66" t="s">
        <v>7</v>
      </c>
      <c r="R2" s="66"/>
      <c r="S2" s="66" t="s">
        <v>1</v>
      </c>
      <c r="T2" s="66"/>
      <c r="U2" s="66" t="s">
        <v>2</v>
      </c>
      <c r="V2" s="66"/>
      <c r="W2" s="66" t="s">
        <v>3</v>
      </c>
      <c r="X2" s="66"/>
      <c r="Y2" s="66" t="s">
        <v>4</v>
      </c>
      <c r="Z2" s="66"/>
      <c r="AA2" s="66" t="s">
        <v>5</v>
      </c>
      <c r="AB2" s="66"/>
      <c r="AC2" s="66" t="s">
        <v>6</v>
      </c>
      <c r="AD2" s="66"/>
      <c r="AE2" s="66" t="s">
        <v>7</v>
      </c>
      <c r="AF2" s="66"/>
      <c r="AG2" s="66" t="s">
        <v>1</v>
      </c>
      <c r="AH2" s="66"/>
      <c r="AI2" s="66" t="s">
        <v>2</v>
      </c>
      <c r="AJ2" s="66"/>
      <c r="AK2" s="66" t="s">
        <v>3</v>
      </c>
      <c r="AL2" s="66"/>
      <c r="AM2" s="66" t="s">
        <v>4</v>
      </c>
      <c r="AN2" s="66"/>
      <c r="AO2" s="66" t="s">
        <v>5</v>
      </c>
      <c r="AP2" s="66"/>
      <c r="AQ2" s="66" t="s">
        <v>6</v>
      </c>
      <c r="AR2" s="66"/>
      <c r="AS2" s="66" t="s">
        <v>7</v>
      </c>
      <c r="AT2" s="66"/>
      <c r="AU2" s="66" t="s">
        <v>1</v>
      </c>
      <c r="AV2" s="66"/>
      <c r="AW2" s="66" t="s">
        <v>2</v>
      </c>
      <c r="AX2" s="66"/>
      <c r="AY2" s="66" t="s">
        <v>3</v>
      </c>
      <c r="AZ2" s="66"/>
      <c r="BA2" s="66" t="s">
        <v>4</v>
      </c>
      <c r="BB2" s="66"/>
      <c r="BC2" s="66" t="s">
        <v>5</v>
      </c>
      <c r="BD2" s="66"/>
      <c r="BE2" s="66" t="s">
        <v>6</v>
      </c>
      <c r="BF2" s="66"/>
      <c r="BG2" s="66" t="s">
        <v>7</v>
      </c>
      <c r="BH2" s="66"/>
      <c r="BI2" s="66" t="s">
        <v>1</v>
      </c>
      <c r="BJ2" s="66"/>
      <c r="BK2" s="66" t="s">
        <v>2</v>
      </c>
      <c r="BL2" s="66"/>
      <c r="BM2" s="73" t="s">
        <v>8</v>
      </c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62"/>
      <c r="CB2" s="62"/>
      <c r="CC2" s="55" t="s">
        <v>61</v>
      </c>
      <c r="CD2" s="55"/>
      <c r="CE2" s="55"/>
      <c r="CF2" s="55"/>
      <c r="CG2" s="55"/>
      <c r="CH2" s="55"/>
      <c r="CI2" s="55"/>
      <c r="CJ2" s="55"/>
      <c r="CK2" s="55"/>
      <c r="CL2" s="55"/>
      <c r="CM2" s="52"/>
    </row>
    <row r="3" spans="1:91" ht="21" customHeight="1" x14ac:dyDescent="0.25">
      <c r="A3" s="74"/>
      <c r="B3" s="74"/>
      <c r="C3" s="74"/>
      <c r="D3" s="54"/>
      <c r="E3" s="67">
        <v>46113</v>
      </c>
      <c r="F3" s="67"/>
      <c r="G3" s="67">
        <v>46114</v>
      </c>
      <c r="H3" s="67"/>
      <c r="I3" s="67">
        <v>46115</v>
      </c>
      <c r="J3" s="67"/>
      <c r="K3" s="67">
        <v>46116</v>
      </c>
      <c r="L3" s="67"/>
      <c r="M3" s="67">
        <v>46117</v>
      </c>
      <c r="N3" s="67"/>
      <c r="O3" s="67">
        <v>46118</v>
      </c>
      <c r="P3" s="67"/>
      <c r="Q3" s="67">
        <v>46119</v>
      </c>
      <c r="R3" s="67"/>
      <c r="S3" s="67">
        <v>46120</v>
      </c>
      <c r="T3" s="67"/>
      <c r="U3" s="67">
        <v>46121</v>
      </c>
      <c r="V3" s="67"/>
      <c r="W3" s="67">
        <v>46122</v>
      </c>
      <c r="X3" s="67"/>
      <c r="Y3" s="67">
        <v>46123</v>
      </c>
      <c r="Z3" s="67"/>
      <c r="AA3" s="67">
        <v>46124</v>
      </c>
      <c r="AB3" s="67"/>
      <c r="AC3" s="67">
        <v>46125</v>
      </c>
      <c r="AD3" s="67"/>
      <c r="AE3" s="67">
        <v>46126</v>
      </c>
      <c r="AF3" s="67"/>
      <c r="AG3" s="67">
        <v>46127</v>
      </c>
      <c r="AH3" s="67"/>
      <c r="AI3" s="67">
        <v>46128</v>
      </c>
      <c r="AJ3" s="67"/>
      <c r="AK3" s="67">
        <v>46129</v>
      </c>
      <c r="AL3" s="67"/>
      <c r="AM3" s="67">
        <v>46130</v>
      </c>
      <c r="AN3" s="67"/>
      <c r="AO3" s="67">
        <v>46131</v>
      </c>
      <c r="AP3" s="67"/>
      <c r="AQ3" s="67">
        <v>46132</v>
      </c>
      <c r="AR3" s="67"/>
      <c r="AS3" s="67">
        <v>46133</v>
      </c>
      <c r="AT3" s="67"/>
      <c r="AU3" s="67">
        <v>46134</v>
      </c>
      <c r="AV3" s="67"/>
      <c r="AW3" s="67">
        <v>46135</v>
      </c>
      <c r="AX3" s="67"/>
      <c r="AY3" s="67">
        <v>46136</v>
      </c>
      <c r="AZ3" s="67"/>
      <c r="BA3" s="67">
        <v>46137</v>
      </c>
      <c r="BB3" s="67"/>
      <c r="BC3" s="67">
        <v>46138</v>
      </c>
      <c r="BD3" s="67"/>
      <c r="BE3" s="67">
        <v>46139</v>
      </c>
      <c r="BF3" s="67"/>
      <c r="BG3" s="67">
        <v>46140</v>
      </c>
      <c r="BH3" s="67"/>
      <c r="BI3" s="67">
        <v>46141</v>
      </c>
      <c r="BJ3" s="67"/>
      <c r="BK3" s="67">
        <v>46142</v>
      </c>
      <c r="BL3" s="67"/>
      <c r="BM3" s="73"/>
      <c r="BN3" s="1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3"/>
      <c r="CC3" s="56" t="s">
        <v>15</v>
      </c>
      <c r="CD3" s="57" t="s">
        <v>16</v>
      </c>
      <c r="CE3" s="57" t="s">
        <v>17</v>
      </c>
      <c r="CF3" s="57" t="s">
        <v>18</v>
      </c>
      <c r="CG3" s="57" t="s">
        <v>19</v>
      </c>
      <c r="CH3" s="57" t="s">
        <v>20</v>
      </c>
      <c r="CI3" s="57" t="s">
        <v>21</v>
      </c>
      <c r="CJ3" s="57" t="s">
        <v>22</v>
      </c>
      <c r="CK3" s="57" t="s">
        <v>23</v>
      </c>
      <c r="CL3" s="57" t="s">
        <v>24</v>
      </c>
      <c r="CM3" s="58" t="s">
        <v>62</v>
      </c>
    </row>
    <row r="4" spans="1:91" ht="20.25" customHeight="1" x14ac:dyDescent="0.25">
      <c r="A4" s="4" t="s">
        <v>9</v>
      </c>
      <c r="B4" s="47" t="s">
        <v>10</v>
      </c>
      <c r="C4" s="48" t="s">
        <v>11</v>
      </c>
      <c r="D4" s="63"/>
      <c r="E4" s="49" t="s">
        <v>12</v>
      </c>
      <c r="F4" s="49" t="s">
        <v>13</v>
      </c>
      <c r="G4" s="49" t="s">
        <v>12</v>
      </c>
      <c r="H4" s="49" t="s">
        <v>13</v>
      </c>
      <c r="I4" s="49" t="s">
        <v>12</v>
      </c>
      <c r="J4" s="49" t="s">
        <v>13</v>
      </c>
      <c r="K4" s="49" t="s">
        <v>12</v>
      </c>
      <c r="L4" s="49" t="s">
        <v>13</v>
      </c>
      <c r="M4" s="49" t="s">
        <v>12</v>
      </c>
      <c r="N4" s="49" t="s">
        <v>13</v>
      </c>
      <c r="O4" s="49" t="s">
        <v>12</v>
      </c>
      <c r="P4" s="49" t="s">
        <v>13</v>
      </c>
      <c r="Q4" s="49" t="s">
        <v>12</v>
      </c>
      <c r="R4" s="49" t="s">
        <v>13</v>
      </c>
      <c r="S4" s="49" t="s">
        <v>12</v>
      </c>
      <c r="T4" s="49" t="s">
        <v>13</v>
      </c>
      <c r="U4" s="49" t="s">
        <v>12</v>
      </c>
      <c r="V4" s="49" t="s">
        <v>13</v>
      </c>
      <c r="W4" s="49" t="s">
        <v>12</v>
      </c>
      <c r="X4" s="49" t="s">
        <v>13</v>
      </c>
      <c r="Y4" s="49" t="s">
        <v>12</v>
      </c>
      <c r="Z4" s="49" t="s">
        <v>13</v>
      </c>
      <c r="AA4" s="49" t="s">
        <v>12</v>
      </c>
      <c r="AB4" s="49" t="s">
        <v>13</v>
      </c>
      <c r="AC4" s="49" t="s">
        <v>12</v>
      </c>
      <c r="AD4" s="49" t="s">
        <v>13</v>
      </c>
      <c r="AE4" s="49" t="s">
        <v>12</v>
      </c>
      <c r="AF4" s="49" t="s">
        <v>13</v>
      </c>
      <c r="AG4" s="49" t="s">
        <v>12</v>
      </c>
      <c r="AH4" s="49" t="s">
        <v>13</v>
      </c>
      <c r="AI4" s="5" t="s">
        <v>12</v>
      </c>
      <c r="AJ4" s="5" t="s">
        <v>13</v>
      </c>
      <c r="AK4" s="5" t="s">
        <v>12</v>
      </c>
      <c r="AL4" s="5" t="s">
        <v>13</v>
      </c>
      <c r="AM4" s="5" t="s">
        <v>12</v>
      </c>
      <c r="AN4" s="5" t="s">
        <v>13</v>
      </c>
      <c r="AO4" s="5" t="s">
        <v>12</v>
      </c>
      <c r="AP4" s="5" t="s">
        <v>13</v>
      </c>
      <c r="AQ4" s="5" t="s">
        <v>12</v>
      </c>
      <c r="AR4" s="5" t="s">
        <v>13</v>
      </c>
      <c r="AS4" s="5" t="s">
        <v>12</v>
      </c>
      <c r="AT4" s="5" t="s">
        <v>13</v>
      </c>
      <c r="AU4" s="5" t="s">
        <v>12</v>
      </c>
      <c r="AV4" s="5" t="s">
        <v>13</v>
      </c>
      <c r="AW4" s="5" t="s">
        <v>12</v>
      </c>
      <c r="AX4" s="5" t="s">
        <v>13</v>
      </c>
      <c r="AY4" s="5" t="s">
        <v>12</v>
      </c>
      <c r="AZ4" s="5" t="s">
        <v>13</v>
      </c>
      <c r="BA4" s="5" t="s">
        <v>12</v>
      </c>
      <c r="BB4" s="5" t="s">
        <v>13</v>
      </c>
      <c r="BC4" s="5" t="s">
        <v>12</v>
      </c>
      <c r="BD4" s="5" t="s">
        <v>13</v>
      </c>
      <c r="BE4" s="5" t="s">
        <v>12</v>
      </c>
      <c r="BF4" s="5" t="s">
        <v>13</v>
      </c>
      <c r="BG4" s="5" t="s">
        <v>12</v>
      </c>
      <c r="BH4" s="5" t="s">
        <v>13</v>
      </c>
      <c r="BI4" s="5" t="s">
        <v>12</v>
      </c>
      <c r="BJ4" s="5" t="s">
        <v>13</v>
      </c>
      <c r="BK4" s="5" t="s">
        <v>12</v>
      </c>
      <c r="BL4" s="5" t="s">
        <v>13</v>
      </c>
      <c r="BM4" s="73"/>
      <c r="BN4" s="6"/>
      <c r="BO4" s="2" t="s">
        <v>14</v>
      </c>
      <c r="BP4" s="2" t="s">
        <v>15</v>
      </c>
      <c r="BQ4" s="2" t="s">
        <v>16</v>
      </c>
      <c r="BR4" s="2" t="s">
        <v>17</v>
      </c>
      <c r="BS4" s="2" t="s">
        <v>18</v>
      </c>
      <c r="BT4" s="2" t="s">
        <v>19</v>
      </c>
      <c r="BU4" s="2" t="s">
        <v>20</v>
      </c>
      <c r="BV4" s="2" t="s">
        <v>21</v>
      </c>
      <c r="BW4" s="2" t="s">
        <v>22</v>
      </c>
      <c r="BX4" s="2" t="s">
        <v>23</v>
      </c>
      <c r="BY4" s="2" t="s">
        <v>24</v>
      </c>
      <c r="BZ4" s="7" t="s">
        <v>25</v>
      </c>
      <c r="CC4" s="59">
        <v>0</v>
      </c>
      <c r="CD4" s="59">
        <v>0</v>
      </c>
      <c r="CE4" s="59">
        <v>0</v>
      </c>
      <c r="CF4" s="59">
        <v>0</v>
      </c>
      <c r="CG4" s="59">
        <v>0</v>
      </c>
      <c r="CH4" s="59">
        <v>0</v>
      </c>
      <c r="CI4" s="59">
        <v>0</v>
      </c>
      <c r="CJ4" s="59">
        <v>0</v>
      </c>
      <c r="CK4" s="59">
        <v>0</v>
      </c>
      <c r="CL4" s="59">
        <v>0</v>
      </c>
      <c r="CM4" s="50">
        <f t="shared" ref="CM4:CM5" si="0">SUM(CC4:CL4)</f>
        <v>0</v>
      </c>
    </row>
    <row r="5" spans="1:91" ht="24" customHeight="1" x14ac:dyDescent="0.25">
      <c r="A5" s="8">
        <v>1</v>
      </c>
      <c r="B5" s="9" t="s">
        <v>53</v>
      </c>
      <c r="C5" s="10" t="s">
        <v>26</v>
      </c>
      <c r="E5" s="51">
        <v>0.3125</v>
      </c>
      <c r="F5" s="51">
        <v>0.90486111111111101</v>
      </c>
      <c r="G5" s="51">
        <v>0.31666666666666665</v>
      </c>
      <c r="H5" s="51">
        <v>0.8881944444444444</v>
      </c>
      <c r="I5" s="53">
        <v>0.28611111111111115</v>
      </c>
      <c r="J5" s="53">
        <v>0.89166666666666661</v>
      </c>
      <c r="K5" s="51">
        <v>0.31388888888888888</v>
      </c>
      <c r="L5" s="51">
        <v>0.92083333333333339</v>
      </c>
      <c r="M5" s="51">
        <v>0.28819444444444448</v>
      </c>
      <c r="N5" s="51">
        <v>0.88958333333333339</v>
      </c>
      <c r="O5" s="51">
        <v>0.26458333333333334</v>
      </c>
      <c r="P5" s="51">
        <v>0.89583333333333337</v>
      </c>
      <c r="Q5" s="51">
        <v>0.31319444444444444</v>
      </c>
      <c r="R5" s="51">
        <v>0.8930555555555556</v>
      </c>
      <c r="S5" s="51">
        <v>0.36874999999999997</v>
      </c>
      <c r="T5" s="51">
        <v>0.91875000000000007</v>
      </c>
      <c r="U5" s="51">
        <v>0.29444444444444445</v>
      </c>
      <c r="V5" s="51">
        <v>0.91736111111111107</v>
      </c>
      <c r="W5" s="53">
        <v>0.32430555555555557</v>
      </c>
      <c r="X5" s="53">
        <v>0.88958333333333339</v>
      </c>
      <c r="Y5" s="51">
        <v>0.30624999999999997</v>
      </c>
      <c r="Z5" s="51">
        <v>0.91249999999999998</v>
      </c>
      <c r="AA5" s="51">
        <v>0.32847222222222222</v>
      </c>
      <c r="AB5" s="51">
        <v>0.91527777777777775</v>
      </c>
      <c r="AC5" s="51">
        <v>0.35138888888888892</v>
      </c>
      <c r="AD5" s="51">
        <v>0.92499999999999993</v>
      </c>
      <c r="AE5" s="51">
        <v>0.30416666666666664</v>
      </c>
      <c r="AF5" s="51">
        <v>0.94305555555555554</v>
      </c>
      <c r="AG5" s="51">
        <v>0.31041666666666667</v>
      </c>
      <c r="AH5" s="51">
        <v>0.9159722222222223</v>
      </c>
      <c r="AI5" s="51">
        <v>0.30138888888888887</v>
      </c>
      <c r="AJ5" s="51">
        <v>0.93819444444444444</v>
      </c>
      <c r="AK5" s="53">
        <v>0.30833333333333335</v>
      </c>
      <c r="AL5" s="53">
        <v>0.91875000000000007</v>
      </c>
      <c r="AM5" s="51">
        <v>0.32777777777777778</v>
      </c>
      <c r="AN5" s="51">
        <v>0.90902777777777777</v>
      </c>
      <c r="AO5" s="51">
        <v>0.24513888888888888</v>
      </c>
      <c r="AP5" s="51">
        <v>0.90763888888888899</v>
      </c>
      <c r="AQ5" s="51">
        <v>0.29791666666666666</v>
      </c>
      <c r="AR5" s="51">
        <v>0.89861111111111114</v>
      </c>
      <c r="AS5" s="51">
        <v>0.31458333333333333</v>
      </c>
      <c r="AT5" s="51">
        <v>0.8847222222222223</v>
      </c>
      <c r="AU5" s="51">
        <v>0.29652777777777778</v>
      </c>
      <c r="AV5" s="51">
        <v>0.92569444444444438</v>
      </c>
      <c r="AW5" s="51">
        <v>0.32222222222222224</v>
      </c>
      <c r="AX5" s="51">
        <v>0.92569444444444438</v>
      </c>
      <c r="AY5" s="53">
        <v>0.31180555555555556</v>
      </c>
      <c r="AZ5" s="53">
        <v>0.8847222222222223</v>
      </c>
      <c r="BA5" s="51">
        <v>0.31111111111111112</v>
      </c>
      <c r="BB5" s="51">
        <v>0.87222222222222223</v>
      </c>
      <c r="BC5" s="51">
        <v>0.29652777777777778</v>
      </c>
      <c r="BD5" s="51">
        <v>0.87847222222222221</v>
      </c>
      <c r="BE5" s="51">
        <v>0.32500000000000001</v>
      </c>
      <c r="BF5" s="51">
        <v>0.90972222222222221</v>
      </c>
      <c r="BG5" s="51">
        <v>0.30208333333333331</v>
      </c>
      <c r="BH5" s="51">
        <v>0.8569444444444444</v>
      </c>
      <c r="BI5" s="51">
        <v>0.32222222222222224</v>
      </c>
      <c r="BJ5" s="51">
        <v>0.92569444444444438</v>
      </c>
      <c r="BK5" s="51">
        <v>0.31111111111111112</v>
      </c>
      <c r="BL5" s="51">
        <v>0.87222222222222223</v>
      </c>
      <c r="BM5" s="11">
        <f t="shared" ref="BM5" si="1">BN5+BO5+BP5+BQ5+BR5+BU5+BS5+BT5</f>
        <v>30</v>
      </c>
      <c r="BN5" s="12">
        <f t="shared" ref="BN5:BN10" si="2">COUNT(E5:BL5)/2</f>
        <v>30</v>
      </c>
      <c r="BO5" s="12">
        <f t="shared" ref="BO5:BO10" si="3">COUNTIF(E5:BL5,"OFF")/2</f>
        <v>0</v>
      </c>
      <c r="BP5" s="12">
        <f t="shared" ref="BP5:BP10" si="4">COUNTIF(E5:BL5,"MC")/2</f>
        <v>0</v>
      </c>
      <c r="BQ5" s="12">
        <f t="shared" ref="BQ5:BQ10" si="5">COUNTIF(E5:BL5,"EL")/2</f>
        <v>0</v>
      </c>
      <c r="BR5" s="12">
        <f t="shared" ref="BR5:BR10" si="6">COUNTIF(E5:BL5,"AL")/2</f>
        <v>0</v>
      </c>
      <c r="BS5" s="12">
        <f t="shared" ref="BS5:BS10" si="7">COUNTIF(E5:BL5,"SUS")/2</f>
        <v>0</v>
      </c>
      <c r="BT5" s="12">
        <f t="shared" ref="BT5:BT10" si="8">COUNTIF(E5:BL5,"FL")/2</f>
        <v>0</v>
      </c>
      <c r="BU5" s="12">
        <f t="shared" ref="BU5:BU10" si="9">COUNTIF(E5:BL5,"Sick")/2</f>
        <v>0</v>
      </c>
      <c r="BV5" s="12">
        <f t="shared" ref="BV5:BV10" si="10">COUNTIF(E5:BL5,"HD")/2</f>
        <v>0</v>
      </c>
      <c r="BW5" s="12">
        <f t="shared" ref="BW5:BW10" si="11">COUNTIF(E5:BL5,"AB")/2</f>
        <v>0</v>
      </c>
      <c r="BX5" s="12">
        <f t="shared" ref="BX5:BX10" si="12">COUNTIF(E5:BL5,"NL")/2</f>
        <v>0</v>
      </c>
      <c r="BY5" s="12">
        <f t="shared" ref="BY5:BY10" si="13">COUNTIF(E5:BL5,"SP")/2</f>
        <v>0</v>
      </c>
      <c r="BZ5" s="9"/>
      <c r="CC5" s="59">
        <v>0</v>
      </c>
      <c r="CD5" s="59">
        <v>0</v>
      </c>
      <c r="CE5" s="59">
        <v>0</v>
      </c>
      <c r="CF5" s="59">
        <v>0</v>
      </c>
      <c r="CG5" s="59">
        <v>0</v>
      </c>
      <c r="CH5" s="59">
        <v>0</v>
      </c>
      <c r="CI5" s="59">
        <v>0</v>
      </c>
      <c r="CJ5" s="59">
        <v>0</v>
      </c>
      <c r="CK5" s="59">
        <v>0</v>
      </c>
      <c r="CL5" s="59">
        <v>0</v>
      </c>
      <c r="CM5" s="50">
        <f t="shared" si="0"/>
        <v>0</v>
      </c>
    </row>
    <row r="6" spans="1:91" ht="24" customHeight="1" x14ac:dyDescent="0.25">
      <c r="A6" s="8">
        <v>2</v>
      </c>
      <c r="B6" s="13" t="s">
        <v>57</v>
      </c>
      <c r="C6" s="10" t="s">
        <v>27</v>
      </c>
      <c r="D6" s="64">
        <v>44987</v>
      </c>
      <c r="E6" s="51">
        <v>0.26250000000000001</v>
      </c>
      <c r="F6" s="51">
        <v>0.88958333333333339</v>
      </c>
      <c r="G6" s="51">
        <v>0.24513888888888888</v>
      </c>
      <c r="H6" s="51">
        <v>0.9159722222222223</v>
      </c>
      <c r="I6" s="53">
        <v>0.27569444444444446</v>
      </c>
      <c r="J6" s="53">
        <v>0.91319444444444453</v>
      </c>
      <c r="K6" s="51">
        <v>0.2951388888888889</v>
      </c>
      <c r="L6" s="51">
        <v>0.90486111111111101</v>
      </c>
      <c r="M6" s="51">
        <v>0.25347222222222221</v>
      </c>
      <c r="N6" s="51">
        <v>0.89097222222222217</v>
      </c>
      <c r="O6" s="51">
        <v>0.25486111111111109</v>
      </c>
      <c r="P6" s="51">
        <v>0.8979166666666667</v>
      </c>
      <c r="Q6" s="51">
        <v>0.2951388888888889</v>
      </c>
      <c r="R6" s="51">
        <v>0.90347222222222223</v>
      </c>
      <c r="S6" s="51">
        <v>0.27638888888888885</v>
      </c>
      <c r="T6" s="51">
        <v>0.88194444444444453</v>
      </c>
      <c r="U6" s="51">
        <v>0.23541666666666669</v>
      </c>
      <c r="V6" s="51">
        <v>0.91666666666666663</v>
      </c>
      <c r="W6" s="53">
        <v>0.27777777777777779</v>
      </c>
      <c r="X6" s="53">
        <v>0.90277777777777779</v>
      </c>
      <c r="Y6" s="51">
        <v>0.24374999999999999</v>
      </c>
      <c r="Z6" s="51">
        <v>0.88680555555555562</v>
      </c>
      <c r="AA6" s="51">
        <v>0.28263888888888888</v>
      </c>
      <c r="AB6" s="51">
        <v>0.9375</v>
      </c>
      <c r="AC6" s="51">
        <v>0.27569444444444446</v>
      </c>
      <c r="AD6" s="51">
        <v>0.8965277777777777</v>
      </c>
      <c r="AE6" s="51">
        <v>0.28541666666666665</v>
      </c>
      <c r="AF6" s="51">
        <v>0.94305555555555554</v>
      </c>
      <c r="AG6" s="51">
        <v>0.27430555555555552</v>
      </c>
      <c r="AH6" s="51">
        <v>0.89583333333333337</v>
      </c>
      <c r="AI6" s="51">
        <v>0.26180555555555557</v>
      </c>
      <c r="AJ6" s="51">
        <v>0.9243055555555556</v>
      </c>
      <c r="AK6" s="53">
        <v>0.27499999999999997</v>
      </c>
      <c r="AL6" s="53">
        <v>0.93263888888888891</v>
      </c>
      <c r="AM6" s="51">
        <v>0.24861111111111112</v>
      </c>
      <c r="AN6" s="51">
        <v>0.89722222222222225</v>
      </c>
      <c r="AO6" s="51">
        <v>0.27361111111111108</v>
      </c>
      <c r="AP6" s="51">
        <v>0.90902777777777777</v>
      </c>
      <c r="AQ6" s="51">
        <v>0.24374999999999999</v>
      </c>
      <c r="AR6" s="51">
        <v>0.9145833333333333</v>
      </c>
      <c r="AS6" s="51">
        <v>0.2673611111111111</v>
      </c>
      <c r="AT6" s="51">
        <v>0.89166666666666661</v>
      </c>
      <c r="AU6" s="51">
        <v>0.27986111111111112</v>
      </c>
      <c r="AV6" s="51">
        <v>0.92569444444444438</v>
      </c>
      <c r="AW6" s="51">
        <v>0.27499999999999997</v>
      </c>
      <c r="AX6" s="51">
        <v>0.90069444444444446</v>
      </c>
      <c r="AY6" s="53">
        <v>0.28541666666666665</v>
      </c>
      <c r="AZ6" s="53">
        <v>0.9145833333333333</v>
      </c>
      <c r="BA6" s="51">
        <v>0.28750000000000003</v>
      </c>
      <c r="BB6" s="51">
        <v>0.87430555555555556</v>
      </c>
      <c r="BC6" s="51">
        <v>0.27013888888888887</v>
      </c>
      <c r="BD6" s="51">
        <v>0.87708333333333333</v>
      </c>
      <c r="BE6" s="51">
        <v>0.28750000000000003</v>
      </c>
      <c r="BF6" s="51">
        <v>0.90833333333333333</v>
      </c>
      <c r="BG6" s="51">
        <v>0.23541666666666669</v>
      </c>
      <c r="BH6" s="51">
        <v>0.87569444444444444</v>
      </c>
      <c r="BI6" s="51">
        <v>0.27499999999999997</v>
      </c>
      <c r="BJ6" s="51">
        <v>0.90069444444444446</v>
      </c>
      <c r="BK6" s="51">
        <v>0.26874999999999999</v>
      </c>
      <c r="BL6" s="51">
        <v>0.88194444444444453</v>
      </c>
      <c r="BM6" s="11">
        <f t="shared" ref="BM6:BM10" si="14">BN6+BO6+BP6+BQ6+BR6+BU6+BS6+BT6</f>
        <v>30</v>
      </c>
      <c r="BN6" s="12">
        <f>COUNT(E6:BL6)/2</f>
        <v>30</v>
      </c>
      <c r="BO6" s="12">
        <f>COUNTIF(E6:BL6,"OFF")/2</f>
        <v>0</v>
      </c>
      <c r="BP6" s="12">
        <f>COUNTIF(E6:BL6,"MC")/2</f>
        <v>0</v>
      </c>
      <c r="BQ6" s="12">
        <f>COUNTIF(E6:BL6,"EL")/2</f>
        <v>0</v>
      </c>
      <c r="BR6" s="12">
        <f>COUNTIF(E6:BL6,"AL")/2</f>
        <v>0</v>
      </c>
      <c r="BS6" s="12">
        <f>COUNTIF(E6:BL6,"SUS")/2</f>
        <v>0</v>
      </c>
      <c r="BT6" s="12">
        <f>COUNTIF(E6:BL6,"FL")/2</f>
        <v>0</v>
      </c>
      <c r="BU6" s="12">
        <f>COUNTIF(E6:BL6,"Sick")/2</f>
        <v>0</v>
      </c>
      <c r="BV6" s="12">
        <f>COUNTIF(E6:BL6,"HD")/2</f>
        <v>0</v>
      </c>
      <c r="BW6" s="12">
        <f>COUNTIF(E6:BL6,"AB")/2</f>
        <v>0</v>
      </c>
      <c r="BX6" s="12">
        <f>COUNTIF(E6:BL6,"NL")/2</f>
        <v>0</v>
      </c>
      <c r="BY6" s="12">
        <f>COUNTIF(E6:BL6,"SP")/2</f>
        <v>0</v>
      </c>
      <c r="BZ6" s="9"/>
      <c r="CC6" s="59">
        <v>0</v>
      </c>
      <c r="CD6" s="59">
        <v>0</v>
      </c>
      <c r="CE6" s="59">
        <v>0</v>
      </c>
      <c r="CF6" s="59">
        <v>0</v>
      </c>
      <c r="CG6" s="59">
        <v>0</v>
      </c>
      <c r="CH6" s="59">
        <v>0</v>
      </c>
      <c r="CI6" s="59">
        <v>0</v>
      </c>
      <c r="CJ6" s="59">
        <v>0</v>
      </c>
      <c r="CK6" s="59">
        <v>0</v>
      </c>
      <c r="CL6" s="59">
        <v>0</v>
      </c>
      <c r="CM6" s="50">
        <f t="shared" ref="CM6:CM7" si="15">SUM(CC6:CL6)</f>
        <v>0</v>
      </c>
    </row>
    <row r="7" spans="1:91" ht="24" customHeight="1" x14ac:dyDescent="0.25">
      <c r="A7" s="8">
        <v>3</v>
      </c>
      <c r="B7" s="13" t="s">
        <v>58</v>
      </c>
      <c r="C7" s="10" t="s">
        <v>28</v>
      </c>
      <c r="D7" s="65">
        <v>45461</v>
      </c>
      <c r="E7" s="51">
        <v>0.30208333333333331</v>
      </c>
      <c r="F7" s="51">
        <v>0.89097222222222217</v>
      </c>
      <c r="G7" s="51">
        <v>0.24722222222222223</v>
      </c>
      <c r="H7" s="51">
        <v>0.90277777777777779</v>
      </c>
      <c r="I7" s="53">
        <v>0.2902777777777778</v>
      </c>
      <c r="J7" s="53">
        <v>0.9145833333333333</v>
      </c>
      <c r="K7" s="51">
        <v>0.30069444444444443</v>
      </c>
      <c r="L7" s="51">
        <v>0.90486111111111101</v>
      </c>
      <c r="M7" s="51">
        <v>0.28333333333333333</v>
      </c>
      <c r="N7" s="51">
        <v>0.8965277777777777</v>
      </c>
      <c r="O7" s="51">
        <v>0.26527777777777778</v>
      </c>
      <c r="P7" s="51">
        <v>0.90972222222222221</v>
      </c>
      <c r="Q7" s="51">
        <v>0.30555555555555552</v>
      </c>
      <c r="R7" s="51">
        <v>0.90347222222222223</v>
      </c>
      <c r="S7" s="51">
        <v>0.30902777777777779</v>
      </c>
      <c r="T7" s="51">
        <v>0.88611111111111107</v>
      </c>
      <c r="U7" s="51">
        <v>0.2986111111111111</v>
      </c>
      <c r="V7" s="51">
        <v>0.9159722222222223</v>
      </c>
      <c r="W7" s="53">
        <v>0.30555555555555552</v>
      </c>
      <c r="X7" s="53">
        <v>0.92083333333333339</v>
      </c>
      <c r="Y7" s="51">
        <v>0.30972222222222223</v>
      </c>
      <c r="Z7" s="51">
        <v>0.8930555555555556</v>
      </c>
      <c r="AA7" s="51">
        <v>0.29583333333333334</v>
      </c>
      <c r="AB7" s="51">
        <v>0.9194444444444444</v>
      </c>
      <c r="AC7" s="51">
        <v>0.29583333333333334</v>
      </c>
      <c r="AD7" s="51">
        <v>0.89513888888888893</v>
      </c>
      <c r="AE7" s="51">
        <v>0.28958333333333336</v>
      </c>
      <c r="AF7" s="51">
        <v>0.89861111111111114</v>
      </c>
      <c r="AG7" s="51">
        <v>0.30833333333333335</v>
      </c>
      <c r="AH7" s="51">
        <v>0.90833333333333333</v>
      </c>
      <c r="AI7" s="51">
        <v>0.3034722222222222</v>
      </c>
      <c r="AJ7" s="51">
        <v>0.92847222222222225</v>
      </c>
      <c r="AK7" s="53">
        <v>0.3</v>
      </c>
      <c r="AL7" s="53">
        <v>0.93402777777777779</v>
      </c>
      <c r="AM7" s="51">
        <v>0.28680555555555554</v>
      </c>
      <c r="AN7" s="51">
        <v>0.8965277777777777</v>
      </c>
      <c r="AO7" s="51">
        <v>0.30138888888888887</v>
      </c>
      <c r="AP7" s="51">
        <v>0.90902777777777777</v>
      </c>
      <c r="AQ7" s="51">
        <v>0.30555555555555552</v>
      </c>
      <c r="AR7" s="51">
        <v>0.90416666666666667</v>
      </c>
      <c r="AS7" s="51">
        <v>0.29930555555555555</v>
      </c>
      <c r="AT7" s="51">
        <v>0.8965277777777777</v>
      </c>
      <c r="AU7" s="51">
        <v>0.30486111111111108</v>
      </c>
      <c r="AV7" s="51">
        <v>0.92986111111111114</v>
      </c>
      <c r="AW7" s="51">
        <v>0.30138888888888887</v>
      </c>
      <c r="AX7" s="51">
        <v>0.90972222222222221</v>
      </c>
      <c r="AY7" s="53">
        <v>0.30763888888888891</v>
      </c>
      <c r="AZ7" s="53">
        <v>0.90347222222222223</v>
      </c>
      <c r="BA7" s="51">
        <v>0.30416666666666664</v>
      </c>
      <c r="BB7" s="51">
        <v>0.88055555555555554</v>
      </c>
      <c r="BC7" s="51">
        <v>0.28263888888888888</v>
      </c>
      <c r="BD7" s="51">
        <v>0.89027777777777783</v>
      </c>
      <c r="BE7" s="51">
        <v>0.30694444444444441</v>
      </c>
      <c r="BF7" s="51">
        <v>0.90833333333333333</v>
      </c>
      <c r="BG7" s="51">
        <v>0.30624999999999997</v>
      </c>
      <c r="BH7" s="51">
        <v>0.85625000000000007</v>
      </c>
      <c r="BI7" s="51">
        <v>0.30138888888888887</v>
      </c>
      <c r="BJ7" s="51">
        <v>0.90972222222222221</v>
      </c>
      <c r="BK7" s="51">
        <v>0.28750000000000003</v>
      </c>
      <c r="BL7" s="51">
        <v>0.90833333333333333</v>
      </c>
      <c r="BM7" s="11">
        <f t="shared" si="14"/>
        <v>30</v>
      </c>
      <c r="BN7" s="12">
        <f t="shared" si="2"/>
        <v>30</v>
      </c>
      <c r="BO7" s="12">
        <f t="shared" si="3"/>
        <v>0</v>
      </c>
      <c r="BP7" s="12">
        <f t="shared" si="4"/>
        <v>0</v>
      </c>
      <c r="BQ7" s="12">
        <f t="shared" si="5"/>
        <v>0</v>
      </c>
      <c r="BR7" s="12">
        <f t="shared" si="6"/>
        <v>0</v>
      </c>
      <c r="BS7" s="12">
        <f t="shared" si="7"/>
        <v>0</v>
      </c>
      <c r="BT7" s="12">
        <f t="shared" si="8"/>
        <v>0</v>
      </c>
      <c r="BU7" s="12">
        <f t="shared" si="9"/>
        <v>0</v>
      </c>
      <c r="BV7" s="12">
        <f t="shared" si="10"/>
        <v>0</v>
      </c>
      <c r="BW7" s="12">
        <f t="shared" si="11"/>
        <v>0</v>
      </c>
      <c r="BX7" s="12">
        <f t="shared" si="12"/>
        <v>0</v>
      </c>
      <c r="BY7" s="12">
        <f t="shared" si="13"/>
        <v>0</v>
      </c>
      <c r="BZ7" s="9"/>
      <c r="CC7" s="59">
        <v>0</v>
      </c>
      <c r="CD7" s="59">
        <v>0</v>
      </c>
      <c r="CE7" s="59">
        <v>0</v>
      </c>
      <c r="CF7" s="59">
        <v>0</v>
      </c>
      <c r="CG7" s="59">
        <v>0</v>
      </c>
      <c r="CH7" s="59">
        <v>0</v>
      </c>
      <c r="CI7" s="59">
        <v>0</v>
      </c>
      <c r="CJ7" s="59">
        <v>0</v>
      </c>
      <c r="CK7" s="59">
        <v>0</v>
      </c>
      <c r="CL7" s="59">
        <v>0</v>
      </c>
      <c r="CM7" s="50">
        <f t="shared" si="15"/>
        <v>0</v>
      </c>
    </row>
    <row r="8" spans="1:91" ht="24" customHeight="1" x14ac:dyDescent="0.25">
      <c r="A8" s="8">
        <v>4</v>
      </c>
      <c r="B8" s="13" t="s">
        <v>56</v>
      </c>
      <c r="C8" s="10" t="s">
        <v>52</v>
      </c>
      <c r="D8" s="64">
        <v>45498</v>
      </c>
      <c r="E8" s="51">
        <v>0.30208333333333331</v>
      </c>
      <c r="F8" s="51">
        <v>0.89027777777777783</v>
      </c>
      <c r="G8" s="51">
        <v>0.24444444444444446</v>
      </c>
      <c r="H8" s="51">
        <v>0.90277777777777779</v>
      </c>
      <c r="I8" s="53">
        <v>0.32708333333333334</v>
      </c>
      <c r="J8" s="53">
        <v>0.9145833333333333</v>
      </c>
      <c r="K8" s="51">
        <v>0.28263888888888888</v>
      </c>
      <c r="L8" s="51">
        <v>0.90694444444444444</v>
      </c>
      <c r="M8" s="51">
        <v>0.25277777777777777</v>
      </c>
      <c r="N8" s="51">
        <v>0.9145833333333333</v>
      </c>
      <c r="O8" s="51">
        <v>0.31388888888888888</v>
      </c>
      <c r="P8" s="51">
        <v>0.92083333333333339</v>
      </c>
      <c r="Q8" s="51">
        <v>0.25069444444444444</v>
      </c>
      <c r="R8" s="51">
        <v>0.90416666666666667</v>
      </c>
      <c r="S8" s="51">
        <v>0.24583333333333335</v>
      </c>
      <c r="T8" s="51">
        <v>0.88611111111111107</v>
      </c>
      <c r="U8" s="51">
        <v>0.23541666666666669</v>
      </c>
      <c r="V8" s="51">
        <v>0.91805555555555562</v>
      </c>
      <c r="W8" s="53">
        <v>0.24236111111111111</v>
      </c>
      <c r="X8" s="53">
        <v>0.92083333333333339</v>
      </c>
      <c r="Y8" s="51">
        <v>0.30138888888888887</v>
      </c>
      <c r="Z8" s="51">
        <v>0.8930555555555556</v>
      </c>
      <c r="AA8" s="51">
        <v>0.24374999999999999</v>
      </c>
      <c r="AB8" s="51">
        <v>0.9375</v>
      </c>
      <c r="AC8" s="51">
        <v>0.34652777777777777</v>
      </c>
      <c r="AD8" s="51">
        <v>0.86319444444444438</v>
      </c>
      <c r="AE8" s="51">
        <v>0.24305555555555555</v>
      </c>
      <c r="AF8" s="51">
        <v>0.91319444444444453</v>
      </c>
      <c r="AG8" s="51">
        <v>0.2986111111111111</v>
      </c>
      <c r="AH8" s="51">
        <v>0.90902777777777777</v>
      </c>
      <c r="AI8" s="51">
        <v>0.24097222222222223</v>
      </c>
      <c r="AJ8" s="51">
        <v>0.92708333333333337</v>
      </c>
      <c r="AK8" s="53">
        <v>0.29236111111111113</v>
      </c>
      <c r="AL8" s="53">
        <v>0.93680555555555556</v>
      </c>
      <c r="AM8" s="51">
        <v>0.23402777777777781</v>
      </c>
      <c r="AN8" s="51">
        <v>0.89722222222222225</v>
      </c>
      <c r="AO8" s="51">
        <v>0.33124999999999999</v>
      </c>
      <c r="AP8" s="51">
        <v>0.90902777777777777</v>
      </c>
      <c r="AQ8" s="51">
        <v>0.23680555555555557</v>
      </c>
      <c r="AR8" s="51">
        <v>0.90694444444444444</v>
      </c>
      <c r="AS8" s="51">
        <v>0.30555555555555552</v>
      </c>
      <c r="AT8" s="51">
        <v>0.8965277777777777</v>
      </c>
      <c r="AU8" s="51">
        <v>0.30138888888888887</v>
      </c>
      <c r="AV8" s="51">
        <v>0.93472222222222223</v>
      </c>
      <c r="AW8" s="51">
        <v>0.2986111111111111</v>
      </c>
      <c r="AX8" s="51">
        <v>0.90972222222222221</v>
      </c>
      <c r="AY8" s="53">
        <v>0.24444444444444446</v>
      </c>
      <c r="AZ8" s="53">
        <v>0.91805555555555562</v>
      </c>
      <c r="BA8" s="51">
        <v>0.29097222222222224</v>
      </c>
      <c r="BB8" s="51">
        <v>0.88194444444444453</v>
      </c>
      <c r="BC8" s="51">
        <v>0.23819444444444446</v>
      </c>
      <c r="BD8" s="51">
        <v>0.89097222222222217</v>
      </c>
      <c r="BE8" s="51">
        <v>0.31111111111111112</v>
      </c>
      <c r="BF8" s="51">
        <v>0.90902777777777777</v>
      </c>
      <c r="BG8" s="51">
        <v>0.24722222222222223</v>
      </c>
      <c r="BH8" s="51">
        <v>0.84027777777777779</v>
      </c>
      <c r="BI8" s="51">
        <v>0.2986111111111111</v>
      </c>
      <c r="BJ8" s="51">
        <v>0.90972222222222221</v>
      </c>
      <c r="BK8" s="51">
        <v>0.23819444444444446</v>
      </c>
      <c r="BL8" s="51">
        <v>0.89097222222222217</v>
      </c>
      <c r="BM8" s="11">
        <f t="shared" si="14"/>
        <v>30</v>
      </c>
      <c r="BN8" s="12">
        <f t="shared" si="2"/>
        <v>30</v>
      </c>
      <c r="BO8" s="12">
        <f t="shared" si="3"/>
        <v>0</v>
      </c>
      <c r="BP8" s="12">
        <f t="shared" si="4"/>
        <v>0</v>
      </c>
      <c r="BQ8" s="12">
        <f t="shared" si="5"/>
        <v>0</v>
      </c>
      <c r="BR8" s="12">
        <f t="shared" si="6"/>
        <v>0</v>
      </c>
      <c r="BS8" s="12">
        <f t="shared" si="7"/>
        <v>0</v>
      </c>
      <c r="BT8" s="12">
        <f t="shared" si="8"/>
        <v>0</v>
      </c>
      <c r="BU8" s="12">
        <f t="shared" si="9"/>
        <v>0</v>
      </c>
      <c r="BV8" s="12">
        <f t="shared" si="10"/>
        <v>0</v>
      </c>
      <c r="BW8" s="12">
        <f t="shared" si="11"/>
        <v>0</v>
      </c>
      <c r="BX8" s="12">
        <f t="shared" si="12"/>
        <v>0</v>
      </c>
      <c r="BY8" s="12">
        <f t="shared" si="13"/>
        <v>0</v>
      </c>
      <c r="BZ8" s="9"/>
      <c r="CC8" s="59">
        <v>0</v>
      </c>
      <c r="CD8" s="59">
        <v>0</v>
      </c>
      <c r="CE8" s="59">
        <v>0</v>
      </c>
      <c r="CF8" s="59">
        <v>0</v>
      </c>
      <c r="CG8" s="59">
        <v>0</v>
      </c>
      <c r="CH8" s="59">
        <v>5</v>
      </c>
      <c r="CI8" s="59">
        <v>0</v>
      </c>
      <c r="CJ8" s="59">
        <v>0</v>
      </c>
      <c r="CK8" s="59">
        <v>0</v>
      </c>
      <c r="CL8" s="59">
        <v>0</v>
      </c>
      <c r="CM8" s="50">
        <f t="shared" ref="CM8:CM10" si="16">SUM(CC8:CL8)</f>
        <v>5</v>
      </c>
    </row>
    <row r="9" spans="1:91" ht="24" customHeight="1" x14ac:dyDescent="0.25">
      <c r="A9" s="8">
        <v>5</v>
      </c>
      <c r="B9" s="13" t="s">
        <v>59</v>
      </c>
      <c r="C9" s="10" t="s">
        <v>51</v>
      </c>
      <c r="D9" s="65">
        <v>45822</v>
      </c>
      <c r="E9" s="51">
        <v>0.25833333333333336</v>
      </c>
      <c r="F9" s="51">
        <v>0.90208333333333324</v>
      </c>
      <c r="G9" s="51">
        <v>0.2673611111111111</v>
      </c>
      <c r="H9" s="51">
        <v>0.89722222222222225</v>
      </c>
      <c r="I9" s="53">
        <v>0.25694444444444448</v>
      </c>
      <c r="J9" s="53">
        <v>0.90972222222222221</v>
      </c>
      <c r="K9" s="51">
        <v>0.26458333333333334</v>
      </c>
      <c r="L9" s="51">
        <v>0.89583333333333337</v>
      </c>
      <c r="M9" s="51">
        <v>0.26527777777777778</v>
      </c>
      <c r="N9" s="51">
        <v>0.90972222222222221</v>
      </c>
      <c r="O9" s="51">
        <v>0.2951388888888889</v>
      </c>
      <c r="P9" s="51">
        <v>0.90486111111111101</v>
      </c>
      <c r="Q9" s="51">
        <v>0.27013888888888887</v>
      </c>
      <c r="R9" s="51">
        <v>0.88611111111111107</v>
      </c>
      <c r="S9" s="51">
        <v>0.26458333333333334</v>
      </c>
      <c r="T9" s="51">
        <v>0.90902777777777777</v>
      </c>
      <c r="U9" s="51">
        <v>0.27499999999999997</v>
      </c>
      <c r="V9" s="51">
        <v>0.90972222222222221</v>
      </c>
      <c r="W9" s="53">
        <v>0.26666666666666666</v>
      </c>
      <c r="X9" s="53">
        <v>0.8965277777777777</v>
      </c>
      <c r="Y9" s="51">
        <v>0.26944444444444443</v>
      </c>
      <c r="Z9" s="51">
        <v>0.90555555555555556</v>
      </c>
      <c r="AA9" s="51">
        <v>0.25555555555555559</v>
      </c>
      <c r="AB9" s="51">
        <v>0.91527777777777775</v>
      </c>
      <c r="AC9" s="51">
        <v>0.26319444444444445</v>
      </c>
      <c r="AD9" s="51">
        <v>0.91319444444444453</v>
      </c>
      <c r="AE9" s="51">
        <v>0.27777777777777779</v>
      </c>
      <c r="AF9" s="51">
        <v>0.90902777777777777</v>
      </c>
      <c r="AG9" s="51">
        <v>0.26874999999999999</v>
      </c>
      <c r="AH9" s="51">
        <v>0.91249999999999998</v>
      </c>
      <c r="AI9" s="51">
        <v>0.26527777777777778</v>
      </c>
      <c r="AJ9" s="51">
        <v>0.94305555555555554</v>
      </c>
      <c r="AK9" s="53">
        <v>0.26944444444444443</v>
      </c>
      <c r="AL9" s="53">
        <v>0.94652777777777775</v>
      </c>
      <c r="AM9" s="51">
        <v>0.26874999999999999</v>
      </c>
      <c r="AN9" s="51">
        <v>0.91111111111111109</v>
      </c>
      <c r="AO9" s="51">
        <v>0.27499999999999997</v>
      </c>
      <c r="AP9" s="51">
        <v>0.92569444444444438</v>
      </c>
      <c r="AQ9" s="51">
        <v>0.29444444444444445</v>
      </c>
      <c r="AR9" s="51">
        <v>0.92222222222222217</v>
      </c>
      <c r="AS9" s="51">
        <v>0.27847222222222223</v>
      </c>
      <c r="AT9" s="51">
        <v>0.89583333333333337</v>
      </c>
      <c r="AU9" s="51">
        <v>0.27777777777777779</v>
      </c>
      <c r="AV9" s="51">
        <v>0.94305555555555554</v>
      </c>
      <c r="AW9" s="51">
        <v>0.27013888888888887</v>
      </c>
      <c r="AX9" s="51">
        <v>0.90138888888888891</v>
      </c>
      <c r="AY9" s="53">
        <v>0.28333333333333333</v>
      </c>
      <c r="AZ9" s="53">
        <v>0.90763888888888899</v>
      </c>
      <c r="BA9" s="51">
        <v>0.26874999999999999</v>
      </c>
      <c r="BB9" s="51">
        <v>0.88194444444444453</v>
      </c>
      <c r="BC9" s="51">
        <v>0.28263888888888888</v>
      </c>
      <c r="BD9" s="51">
        <v>0.89027777777777783</v>
      </c>
      <c r="BE9" s="51">
        <v>0.28958333333333336</v>
      </c>
      <c r="BF9" s="51">
        <v>0.92222222222222217</v>
      </c>
      <c r="BG9" s="51">
        <v>0.30555555555555552</v>
      </c>
      <c r="BH9" s="51">
        <v>0.88402777777777775</v>
      </c>
      <c r="BI9" s="51">
        <v>0.27013888888888887</v>
      </c>
      <c r="BJ9" s="51">
        <v>0.90138888888888891</v>
      </c>
      <c r="BK9" s="51">
        <v>0.28750000000000003</v>
      </c>
      <c r="BL9" s="51">
        <v>0.87430555555555556</v>
      </c>
      <c r="BM9" s="11">
        <f t="shared" si="14"/>
        <v>30</v>
      </c>
      <c r="BN9" s="12">
        <f t="shared" si="2"/>
        <v>30</v>
      </c>
      <c r="BO9" s="12">
        <f t="shared" si="3"/>
        <v>0</v>
      </c>
      <c r="BP9" s="12">
        <f t="shared" si="4"/>
        <v>0</v>
      </c>
      <c r="BQ9" s="12">
        <f t="shared" si="5"/>
        <v>0</v>
      </c>
      <c r="BR9" s="12">
        <f t="shared" si="6"/>
        <v>0</v>
      </c>
      <c r="BS9" s="12">
        <f t="shared" si="7"/>
        <v>0</v>
      </c>
      <c r="BT9" s="12">
        <f t="shared" si="8"/>
        <v>0</v>
      </c>
      <c r="BU9" s="12">
        <f t="shared" si="9"/>
        <v>0</v>
      </c>
      <c r="BV9" s="12">
        <f t="shared" si="10"/>
        <v>0</v>
      </c>
      <c r="BW9" s="12">
        <f t="shared" si="11"/>
        <v>0</v>
      </c>
      <c r="BX9" s="12">
        <f t="shared" si="12"/>
        <v>0</v>
      </c>
      <c r="BY9" s="12">
        <f t="shared" si="13"/>
        <v>0</v>
      </c>
      <c r="BZ9" s="9"/>
      <c r="CC9" s="59">
        <v>0</v>
      </c>
      <c r="CD9" s="59">
        <v>0</v>
      </c>
      <c r="CE9" s="59">
        <v>0</v>
      </c>
      <c r="CF9" s="59">
        <v>0</v>
      </c>
      <c r="CG9" s="59">
        <v>0</v>
      </c>
      <c r="CH9" s="59">
        <v>0</v>
      </c>
      <c r="CI9" s="59">
        <v>0</v>
      </c>
      <c r="CJ9" s="59">
        <v>0</v>
      </c>
      <c r="CK9" s="59">
        <v>0</v>
      </c>
      <c r="CL9" s="59">
        <v>0</v>
      </c>
      <c r="CM9" s="60">
        <f t="shared" si="16"/>
        <v>0</v>
      </c>
    </row>
    <row r="10" spans="1:91" ht="24" customHeight="1" x14ac:dyDescent="0.25">
      <c r="A10" s="8">
        <v>6</v>
      </c>
      <c r="B10" s="13" t="s">
        <v>55</v>
      </c>
      <c r="C10" s="10" t="s">
        <v>54</v>
      </c>
      <c r="D10" s="65">
        <v>46005</v>
      </c>
      <c r="E10" s="51">
        <v>0.25833333333333336</v>
      </c>
      <c r="F10" s="51">
        <v>0.90486111111111101</v>
      </c>
      <c r="G10" s="51">
        <v>0.25138888888888888</v>
      </c>
      <c r="H10" s="51">
        <v>0.89930555555555547</v>
      </c>
      <c r="I10" s="53">
        <v>0.25763888888888892</v>
      </c>
      <c r="J10" s="53">
        <v>0.91319444444444453</v>
      </c>
      <c r="K10" s="51">
        <v>0.25486111111111109</v>
      </c>
      <c r="L10" s="51">
        <v>0.8979166666666667</v>
      </c>
      <c r="M10" s="51">
        <v>0.25347222222222221</v>
      </c>
      <c r="N10" s="51">
        <v>0.89930555555555547</v>
      </c>
      <c r="O10" s="51">
        <v>0.30069444444444443</v>
      </c>
      <c r="P10" s="51">
        <v>0.90486111111111101</v>
      </c>
      <c r="Q10" s="51">
        <v>0.25</v>
      </c>
      <c r="R10" s="51">
        <v>0.88263888888888886</v>
      </c>
      <c r="S10" s="51">
        <v>0.25208333333333333</v>
      </c>
      <c r="T10" s="51">
        <v>0.91875000000000007</v>
      </c>
      <c r="U10" s="51">
        <v>0.25972222222222224</v>
      </c>
      <c r="V10" s="51">
        <v>0.9159722222222223</v>
      </c>
      <c r="W10" s="53">
        <v>0.26041666666666669</v>
      </c>
      <c r="X10" s="53">
        <v>0.8847222222222223</v>
      </c>
      <c r="Y10" s="51">
        <v>0.25208333333333333</v>
      </c>
      <c r="Z10" s="51">
        <v>0.89930555555555547</v>
      </c>
      <c r="AA10" s="51">
        <v>0.28263888888888888</v>
      </c>
      <c r="AB10" s="51">
        <v>0.89374999999999993</v>
      </c>
      <c r="AC10" s="51">
        <v>0.25625000000000003</v>
      </c>
      <c r="AD10" s="51">
        <v>0.9194444444444444</v>
      </c>
      <c r="AE10" s="51">
        <v>0.27013888888888887</v>
      </c>
      <c r="AF10" s="51">
        <v>0.91666666666666663</v>
      </c>
      <c r="AG10" s="51">
        <v>0.26319444444444445</v>
      </c>
      <c r="AH10" s="51">
        <v>0.90486111111111101</v>
      </c>
      <c r="AI10" s="51">
        <v>0.26111111111111113</v>
      </c>
      <c r="AJ10" s="51">
        <v>0.94097222222222221</v>
      </c>
      <c r="AK10" s="53">
        <v>0.26250000000000001</v>
      </c>
      <c r="AL10" s="53">
        <v>0.93472222222222223</v>
      </c>
      <c r="AM10" s="51">
        <v>0.25555555555555559</v>
      </c>
      <c r="AN10" s="51">
        <v>0.91666666666666663</v>
      </c>
      <c r="AO10" s="51">
        <v>0.90694444444444444</v>
      </c>
      <c r="AP10" s="51">
        <v>1</v>
      </c>
      <c r="AQ10" s="51">
        <v>0.24305555555555555</v>
      </c>
      <c r="AR10" s="51">
        <v>0.91180555555555554</v>
      </c>
      <c r="AS10" s="51">
        <v>0.26666666666666666</v>
      </c>
      <c r="AT10" s="51">
        <v>0.88611111111111107</v>
      </c>
      <c r="AU10" s="51">
        <v>0.26666666666666666</v>
      </c>
      <c r="AV10" s="51">
        <v>0.93680555555555556</v>
      </c>
      <c r="AW10" s="51">
        <v>0.26250000000000001</v>
      </c>
      <c r="AX10" s="51">
        <v>0.90902777777777777</v>
      </c>
      <c r="AY10" s="53">
        <v>0.26250000000000001</v>
      </c>
      <c r="AZ10" s="53">
        <v>0.89097222222222217</v>
      </c>
      <c r="BA10" s="51">
        <v>0.2590277777777778</v>
      </c>
      <c r="BB10" s="51">
        <v>0.875</v>
      </c>
      <c r="BC10" s="51">
        <v>0.26527777777777778</v>
      </c>
      <c r="BD10" s="51">
        <v>0.87777777777777777</v>
      </c>
      <c r="BE10" s="51">
        <v>0.27152777777777776</v>
      </c>
      <c r="BF10" s="51">
        <v>0.91041666666666676</v>
      </c>
      <c r="BG10" s="51">
        <v>0.25555555555555559</v>
      </c>
      <c r="BH10" s="51">
        <v>0.875</v>
      </c>
      <c r="BI10" s="51">
        <v>0.26527777777777778</v>
      </c>
      <c r="BJ10" s="51">
        <v>0.87777777777777777</v>
      </c>
      <c r="BK10" s="51">
        <v>0.30416666666666664</v>
      </c>
      <c r="BL10" s="51">
        <v>0.88055555555555554</v>
      </c>
      <c r="BM10" s="11">
        <f t="shared" si="14"/>
        <v>30</v>
      </c>
      <c r="BN10" s="12">
        <f t="shared" si="2"/>
        <v>30</v>
      </c>
      <c r="BO10" s="12">
        <f t="shared" si="3"/>
        <v>0</v>
      </c>
      <c r="BP10" s="12">
        <f t="shared" si="4"/>
        <v>0</v>
      </c>
      <c r="BQ10" s="12">
        <f t="shared" si="5"/>
        <v>0</v>
      </c>
      <c r="BR10" s="12">
        <f t="shared" si="6"/>
        <v>0</v>
      </c>
      <c r="BS10" s="12">
        <f t="shared" si="7"/>
        <v>0</v>
      </c>
      <c r="BT10" s="12">
        <f t="shared" si="8"/>
        <v>0</v>
      </c>
      <c r="BU10" s="12">
        <f t="shared" si="9"/>
        <v>0</v>
      </c>
      <c r="BV10" s="12">
        <f t="shared" si="10"/>
        <v>0</v>
      </c>
      <c r="BW10" s="12">
        <f t="shared" si="11"/>
        <v>0</v>
      </c>
      <c r="BX10" s="12">
        <f t="shared" si="12"/>
        <v>0</v>
      </c>
      <c r="BY10" s="12">
        <f t="shared" si="13"/>
        <v>0</v>
      </c>
      <c r="BZ10" s="9"/>
      <c r="CC10" s="59">
        <v>0</v>
      </c>
      <c r="CD10" s="59">
        <v>0</v>
      </c>
      <c r="CE10" s="59">
        <v>0</v>
      </c>
      <c r="CF10" s="59">
        <v>0</v>
      </c>
      <c r="CG10" s="59">
        <v>0</v>
      </c>
      <c r="CH10" s="59">
        <v>0</v>
      </c>
      <c r="CI10" s="59">
        <v>0</v>
      </c>
      <c r="CJ10" s="59">
        <v>0</v>
      </c>
      <c r="CK10" s="59">
        <v>0</v>
      </c>
      <c r="CL10" s="59">
        <v>0</v>
      </c>
      <c r="CM10" s="50">
        <f t="shared" si="16"/>
        <v>0</v>
      </c>
    </row>
    <row r="11" spans="1:91" x14ac:dyDescent="0.25"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91" ht="15.75" x14ac:dyDescent="0.25">
      <c r="E12" s="15"/>
      <c r="F12" s="16" t="s">
        <v>29</v>
      </c>
      <c r="G12" s="17"/>
      <c r="H12" s="16"/>
      <c r="I12" s="18"/>
      <c r="J12" s="18"/>
      <c r="K12" s="19"/>
      <c r="L12" s="20"/>
      <c r="M12" s="20"/>
      <c r="N12" s="21" t="s">
        <v>30</v>
      </c>
      <c r="O12" s="21"/>
      <c r="P12" s="19"/>
      <c r="Q12" s="19"/>
      <c r="R12" s="19"/>
      <c r="S12" s="19"/>
      <c r="T12" s="19" t="s">
        <v>31</v>
      </c>
      <c r="U12" s="19"/>
      <c r="V12" s="19"/>
      <c r="W12" s="19"/>
      <c r="X12" s="21" t="s">
        <v>32</v>
      </c>
      <c r="Y12" s="19"/>
      <c r="Z12" s="22"/>
      <c r="AA12" s="23"/>
      <c r="AB12" s="22"/>
      <c r="AC12" s="22"/>
      <c r="AD12" s="22"/>
      <c r="AE12" s="22"/>
      <c r="AF12" s="23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O12" s="30" t="s">
        <v>33</v>
      </c>
      <c r="BP12" s="31"/>
      <c r="BQ12" s="32"/>
      <c r="BR12" s="33" t="s">
        <v>14</v>
      </c>
      <c r="BS12" s="15"/>
      <c r="BT12" s="34" t="s">
        <v>34</v>
      </c>
      <c r="BU12" s="34"/>
      <c r="BV12" s="34"/>
      <c r="BW12" s="35"/>
      <c r="BX12" s="36" t="s">
        <v>20</v>
      </c>
    </row>
    <row r="13" spans="1:91" ht="17.25" x14ac:dyDescent="0.25">
      <c r="E13" s="24"/>
      <c r="F13" s="18"/>
      <c r="G13" s="18"/>
      <c r="H13" s="18"/>
      <c r="I13" s="18"/>
      <c r="J13" s="18"/>
      <c r="K13" s="18"/>
      <c r="L13" s="25"/>
      <c r="M13" s="25"/>
      <c r="N13" s="25"/>
      <c r="O13" s="18"/>
      <c r="P13" s="18"/>
      <c r="Q13" s="18"/>
      <c r="R13" s="26"/>
      <c r="S13" s="26"/>
      <c r="T13" s="26"/>
      <c r="U13" s="26"/>
      <c r="V13" s="26"/>
      <c r="W13" s="26"/>
      <c r="X13" s="27"/>
      <c r="Y13" s="27"/>
      <c r="Z13" s="28"/>
      <c r="AA13" s="22"/>
      <c r="AB13" s="22"/>
      <c r="AC13" s="22"/>
      <c r="AD13" s="22"/>
      <c r="AE13" s="22"/>
      <c r="AF13" s="29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O13" s="30" t="s">
        <v>35</v>
      </c>
      <c r="BP13" s="31"/>
      <c r="BQ13" s="32"/>
      <c r="BR13" s="33" t="s">
        <v>15</v>
      </c>
      <c r="BS13" s="15"/>
      <c r="BT13" s="41" t="s">
        <v>36</v>
      </c>
      <c r="BU13" s="41"/>
      <c r="BV13" s="41"/>
      <c r="BW13" s="35"/>
      <c r="BX13" s="36" t="s">
        <v>21</v>
      </c>
    </row>
    <row r="14" spans="1:91" ht="17.25" x14ac:dyDescent="0.25">
      <c r="E14" s="24"/>
      <c r="F14" s="37"/>
      <c r="G14" s="18"/>
      <c r="H14" s="37"/>
      <c r="I14" s="18"/>
      <c r="J14" s="18"/>
      <c r="K14" s="37" t="s">
        <v>31</v>
      </c>
      <c r="L14" s="38"/>
      <c r="M14" s="38"/>
      <c r="N14" s="25"/>
      <c r="O14" s="18"/>
      <c r="P14" s="37"/>
      <c r="Q14" s="37"/>
      <c r="R14" s="19"/>
      <c r="S14" s="18"/>
      <c r="T14" s="18"/>
      <c r="U14" s="18"/>
      <c r="V14" s="18"/>
      <c r="W14" s="18"/>
      <c r="X14" s="39"/>
      <c r="Y14" s="39"/>
      <c r="Z14" s="40"/>
      <c r="AA14" s="22"/>
      <c r="AB14" s="22"/>
      <c r="AC14" s="22"/>
      <c r="AD14" s="22"/>
      <c r="AE14" s="22"/>
      <c r="AF14" s="29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O14" s="30" t="s">
        <v>37</v>
      </c>
      <c r="BP14" s="31"/>
      <c r="BQ14" s="32"/>
      <c r="BR14" s="33" t="s">
        <v>16</v>
      </c>
      <c r="BS14" s="15"/>
      <c r="BT14" s="41" t="s">
        <v>38</v>
      </c>
      <c r="BU14" s="41"/>
      <c r="BV14" s="41"/>
      <c r="BW14" s="35"/>
      <c r="BX14" s="36" t="s">
        <v>39</v>
      </c>
    </row>
    <row r="15" spans="1:91" ht="17.25" x14ac:dyDescent="0.25">
      <c r="E15" s="42"/>
      <c r="F15" s="37"/>
      <c r="G15" s="18"/>
      <c r="H15" s="37"/>
      <c r="I15" s="18"/>
      <c r="J15" s="18"/>
      <c r="K15" s="37"/>
      <c r="L15" s="38"/>
      <c r="M15" s="38"/>
      <c r="N15" s="25"/>
      <c r="O15" s="19"/>
      <c r="P15" s="37"/>
      <c r="Q15" s="37"/>
      <c r="R15" s="19"/>
      <c r="S15" s="18"/>
      <c r="T15" s="18"/>
      <c r="U15" s="18"/>
      <c r="V15" s="18"/>
      <c r="W15" s="18"/>
      <c r="X15" s="39"/>
      <c r="Y15" s="39"/>
      <c r="Z15" s="40"/>
      <c r="AA15" s="29"/>
      <c r="AB15" s="22"/>
      <c r="AC15" s="22"/>
      <c r="AD15" s="22"/>
      <c r="AE15" s="22"/>
      <c r="AF15" s="29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O15" s="30" t="s">
        <v>43</v>
      </c>
      <c r="BP15" s="31"/>
      <c r="BQ15" s="32"/>
      <c r="BR15" s="33" t="s">
        <v>17</v>
      </c>
      <c r="BS15" s="15"/>
      <c r="BT15" s="34" t="s">
        <v>44</v>
      </c>
      <c r="BU15" s="34"/>
      <c r="BV15" s="34"/>
      <c r="BW15" s="35"/>
      <c r="BX15" s="36" t="s">
        <v>23</v>
      </c>
    </row>
    <row r="16" spans="1:91" ht="17.25" x14ac:dyDescent="0.25">
      <c r="E16" s="43" t="s">
        <v>40</v>
      </c>
      <c r="F16" s="44"/>
      <c r="G16" s="15"/>
      <c r="H16" s="43"/>
      <c r="I16" s="18"/>
      <c r="J16" s="18"/>
      <c r="K16" s="37"/>
      <c r="L16" s="25"/>
      <c r="M16" s="38"/>
      <c r="N16" s="17" t="s">
        <v>41</v>
      </c>
      <c r="O16" s="18"/>
      <c r="P16" s="37"/>
      <c r="Q16" s="19"/>
      <c r="R16" s="18"/>
      <c r="S16" s="18"/>
      <c r="T16" s="18"/>
      <c r="U16" s="18"/>
      <c r="V16" s="18"/>
      <c r="W16" s="18"/>
      <c r="X16" s="17" t="s">
        <v>42</v>
      </c>
      <c r="Y16" s="39"/>
      <c r="Z16" s="40"/>
      <c r="AA16" s="18"/>
      <c r="AB16" s="22"/>
      <c r="AC16" s="22"/>
      <c r="AD16" s="22"/>
      <c r="AE16" s="22"/>
      <c r="AF16" s="29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O16" s="30" t="s">
        <v>48</v>
      </c>
      <c r="BP16" s="31"/>
      <c r="BQ16" s="32"/>
      <c r="BR16" s="33" t="s">
        <v>18</v>
      </c>
      <c r="BS16" s="15"/>
      <c r="BT16" s="34" t="s">
        <v>49</v>
      </c>
      <c r="BU16" s="34"/>
      <c r="BV16" s="34"/>
      <c r="BW16" s="35"/>
      <c r="BX16" s="36" t="s">
        <v>24</v>
      </c>
    </row>
    <row r="17" spans="5:76" ht="17.25" x14ac:dyDescent="0.25">
      <c r="E17" s="43"/>
      <c r="F17" s="43" t="s">
        <v>45</v>
      </c>
      <c r="G17" s="42"/>
      <c r="H17" s="42"/>
      <c r="I17" s="18"/>
      <c r="J17" s="18"/>
      <c r="K17" s="17"/>
      <c r="L17" s="45"/>
      <c r="M17" s="45"/>
      <c r="N17" s="17" t="s">
        <v>46</v>
      </c>
      <c r="O17" s="17"/>
      <c r="P17" s="17"/>
      <c r="Q17" s="19"/>
      <c r="R17" s="17"/>
      <c r="S17" s="18"/>
      <c r="T17" s="18"/>
      <c r="U17" s="18"/>
      <c r="V17" s="18"/>
      <c r="W17" s="18"/>
      <c r="X17" s="17" t="s">
        <v>47</v>
      </c>
      <c r="Y17" s="39"/>
      <c r="Z17" s="40"/>
      <c r="AA17" s="18"/>
      <c r="AB17" s="22"/>
      <c r="AC17" s="22"/>
      <c r="AD17" s="22"/>
      <c r="AE17" s="22"/>
      <c r="AF17" s="29" t="s">
        <v>31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O17" s="30" t="s">
        <v>50</v>
      </c>
      <c r="BP17" s="31"/>
      <c r="BQ17" s="32"/>
      <c r="BR17" s="33" t="s">
        <v>19</v>
      </c>
      <c r="BS17" s="15"/>
      <c r="BT17" s="15"/>
      <c r="BU17" s="15"/>
      <c r="BV17" s="15"/>
      <c r="BW17" s="15"/>
      <c r="BX17" s="15"/>
    </row>
    <row r="18" spans="5:76" ht="15.75" x14ac:dyDescent="0.25">
      <c r="E18" s="46"/>
      <c r="F18" s="46"/>
      <c r="G18" s="46"/>
      <c r="H18" s="46"/>
      <c r="I18" s="46"/>
      <c r="J18" s="46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46"/>
      <c r="AJ18" s="46"/>
      <c r="AK18" s="46"/>
      <c r="AL18" s="46"/>
      <c r="AM18" s="46"/>
      <c r="AN18" s="46"/>
      <c r="AO18" s="46"/>
      <c r="AP18" s="46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</row>
    <row r="19" spans="5:76" ht="75" customHeight="1" x14ac:dyDescent="0.25"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</row>
  </sheetData>
  <mergeCells count="66">
    <mergeCell ref="AK3:AL3"/>
    <mergeCell ref="AU3:AV3"/>
    <mergeCell ref="AW3:AX3"/>
    <mergeCell ref="AA3:AB3"/>
    <mergeCell ref="AC3:AD3"/>
    <mergeCell ref="AE3:AF3"/>
    <mergeCell ref="AG3:AH3"/>
    <mergeCell ref="AI3:AJ3"/>
    <mergeCell ref="Q3:R3"/>
    <mergeCell ref="S3:T3"/>
    <mergeCell ref="U3:V3"/>
    <mergeCell ref="W3:X3"/>
    <mergeCell ref="Y3:Z3"/>
    <mergeCell ref="W2:X2"/>
    <mergeCell ref="BK3:BL3"/>
    <mergeCell ref="BI3:BJ3"/>
    <mergeCell ref="BG3:BH3"/>
    <mergeCell ref="BK2:BL2"/>
    <mergeCell ref="BI2:BJ2"/>
    <mergeCell ref="BG2:BH2"/>
    <mergeCell ref="AY3:AZ3"/>
    <mergeCell ref="BE3:BF3"/>
    <mergeCell ref="AM3:AN3"/>
    <mergeCell ref="AO2:AP2"/>
    <mergeCell ref="AQ2:AR2"/>
    <mergeCell ref="AS2:AT2"/>
    <mergeCell ref="AM2:AN2"/>
    <mergeCell ref="BA3:BB3"/>
    <mergeCell ref="BC3:BD3"/>
    <mergeCell ref="O2:P2"/>
    <mergeCell ref="BN2:BZ2"/>
    <mergeCell ref="E3:F3"/>
    <mergeCell ref="G3:H3"/>
    <mergeCell ref="I3:J3"/>
    <mergeCell ref="K3:L3"/>
    <mergeCell ref="M3:N3"/>
    <mergeCell ref="O3:P3"/>
    <mergeCell ref="BA2:BB2"/>
    <mergeCell ref="BC2:BD2"/>
    <mergeCell ref="BE2:BF2"/>
    <mergeCell ref="AY2:AZ2"/>
    <mergeCell ref="Y2:Z2"/>
    <mergeCell ref="Q2:R2"/>
    <mergeCell ref="S2:T2"/>
    <mergeCell ref="U2:V2"/>
    <mergeCell ref="E2:F2"/>
    <mergeCell ref="G2:H2"/>
    <mergeCell ref="I2:J2"/>
    <mergeCell ref="K2:L2"/>
    <mergeCell ref="M2:N2"/>
    <mergeCell ref="CC1:CM1"/>
    <mergeCell ref="AI1:BZ1"/>
    <mergeCell ref="AW2:AX2"/>
    <mergeCell ref="AA2:AB2"/>
    <mergeCell ref="A1:AH1"/>
    <mergeCell ref="AU2:AV2"/>
    <mergeCell ref="AC2:AD2"/>
    <mergeCell ref="AE2:AF2"/>
    <mergeCell ref="AG2:AH2"/>
    <mergeCell ref="AI2:AJ2"/>
    <mergeCell ref="AK2:AL2"/>
    <mergeCell ref="BM2:BM4"/>
    <mergeCell ref="AO3:AP3"/>
    <mergeCell ref="AQ3:AR3"/>
    <mergeCell ref="AS3:AT3"/>
    <mergeCell ref="A2:C3"/>
  </mergeCells>
  <phoneticPr fontId="21" type="noConversion"/>
  <conditionalFormatting sqref="B6:B9">
    <cfRule type="duplicateValues" dxfId="14" priority="134"/>
  </conditionalFormatting>
  <conditionalFormatting sqref="B10">
    <cfRule type="duplicateValues" dxfId="13" priority="12"/>
  </conditionalFormatting>
  <conditionalFormatting sqref="D6">
    <cfRule type="timePeriod" dxfId="12" priority="4" timePeriod="nextWeek">
      <formula>AND(ROUNDDOWN(D6,0)-TODAY()&gt;(7-WEEKDAY(TODAY())),ROUNDDOWN(D6,0)-TODAY()&lt;(15-WEEKDAY(TODAY())))</formula>
    </cfRule>
  </conditionalFormatting>
  <conditionalFormatting sqref="D6:D10">
    <cfRule type="timePeriod" priority="3" timePeriod="nextWeek">
      <formula>AND(ROUNDDOWN(D6,0)-TODAY()&gt;(7-WEEKDAY(TODAY())),ROUNDDOWN(D6,0)-TODAY()&lt;(15-WEEKDAY(TODAY())))</formula>
    </cfRule>
  </conditionalFormatting>
  <conditionalFormatting sqref="D7 D9:D10">
    <cfRule type="timePeriod" dxfId="11" priority="8" timePeriod="last7Days">
      <formula>AND(TODAY()-FLOOR(D7,1)&lt;=6,FLOOR(D7,1)&lt;=TODAY())</formula>
    </cfRule>
    <cfRule type="timePeriod" dxfId="10" priority="9" timePeriod="thisWeek">
      <formula>AND(TODAY()-ROUNDDOWN(D7,0)&lt;=WEEKDAY(TODAY())-1,ROUNDDOWN(D7,0)-TODAY()&lt;=7-WEEKDAY(TODAY()))</formula>
    </cfRule>
    <cfRule type="timePeriod" dxfId="9" priority="10" timePeriod="nextWeek">
      <formula>AND(ROUNDDOWN(D7,0)-TODAY()&gt;(7-WEEKDAY(TODAY())),ROUNDDOWN(D7,0)-TODAY()&lt;(15-WEEKDAY(TODAY())))</formula>
    </cfRule>
  </conditionalFormatting>
  <conditionalFormatting sqref="D8">
    <cfRule type="timePeriod" dxfId="8" priority="6" timePeriod="nextWeek">
      <formula>AND(ROUNDDOWN(D8,0)-TODAY()&gt;(7-WEEKDAY(TODAY())),ROUNDDOWN(D8,0)-TODAY()&lt;(15-WEEKDAY(TODAY())))</formula>
    </cfRule>
  </conditionalFormatting>
  <conditionalFormatting sqref="E4:BL4">
    <cfRule type="cellIs" dxfId="7" priority="15" operator="equal">
      <formula>"Sick"</formula>
    </cfRule>
    <cfRule type="cellIs" dxfId="6" priority="16" operator="equal">
      <formula>"AB"</formula>
    </cfRule>
    <cfRule type="cellIs" dxfId="5" priority="17" operator="equal">
      <formula>"OFF"</formula>
    </cfRule>
    <cfRule type="containsText" dxfId="4" priority="18" operator="containsText" text="AB">
      <formula>NOT(ISERROR(SEARCH("AB",#REF!)))</formula>
    </cfRule>
    <cfRule type="containsText" dxfId="3" priority="19" operator="containsText" text="HD">
      <formula>NOT(ISERROR(SEARCH("HD",#REF!)))</formula>
    </cfRule>
    <cfRule type="containsText" dxfId="2" priority="20" operator="containsText" text="S">
      <formula>NOT(ISERROR(SEARCH("S",#REF!)))</formula>
    </cfRule>
  </conditionalFormatting>
  <conditionalFormatting sqref="E5:BL10">
    <cfRule type="containsText" dxfId="1" priority="1" operator="containsText" text="OFF">
      <formula>NOT(ISERROR(SEARCH("OFF",E5)))</formula>
    </cfRule>
    <cfRule type="containsText" dxfId="0" priority="2" operator="containsText" text="AL">
      <formula>NOT(ISERROR(SEARCH("AL",E5)))</formula>
    </cfRule>
  </conditionalFormatting>
  <pageMargins left="0.7" right="0.7" top="0.75" bottom="0.75" header="0.3" footer="0.3"/>
  <pageSetup paperSize="9" scale="24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MadiGrand - Foreigns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2026-04-16T07:14:43Z</cp:lastPrinted>
  <dcterms:created xsi:type="dcterms:W3CDTF">2025-11-05T10:40:17Z</dcterms:created>
  <dcterms:modified xsi:type="dcterms:W3CDTF">2026-10-30T09:13:59Z</dcterms:modified>
</cp:coreProperties>
</file>