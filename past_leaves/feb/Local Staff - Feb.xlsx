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feb\"/>
    </mc:Choice>
  </mc:AlternateContent>
  <xr:revisionPtr revIDLastSave="0" documentId="8_{2B3A5E4F-C88E-42F6-8A3F-DDE9C1C3DF72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Print_Area" localSheetId="0">MASTER!$A$1:$BX$41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7" i="1" l="1"/>
  <c r="BL6" i="1"/>
  <c r="BM6" i="1"/>
  <c r="BN6" i="1"/>
  <c r="BO6" i="1"/>
  <c r="BP6" i="1"/>
  <c r="BQ6" i="1"/>
  <c r="BR6" i="1"/>
  <c r="BS6" i="1"/>
  <c r="BT6" i="1"/>
  <c r="BU6" i="1"/>
  <c r="BV6" i="1"/>
  <c r="BW6" i="1"/>
  <c r="BM7" i="1"/>
  <c r="BN7" i="1"/>
  <c r="BO7" i="1"/>
  <c r="BP7" i="1"/>
  <c r="BQ7" i="1"/>
  <c r="BR7" i="1"/>
  <c r="BS7" i="1"/>
  <c r="BT7" i="1"/>
  <c r="BU7" i="1"/>
  <c r="BV7" i="1"/>
  <c r="BW7" i="1"/>
  <c r="BL8" i="1"/>
  <c r="BM8" i="1"/>
  <c r="BN8" i="1"/>
  <c r="BO8" i="1"/>
  <c r="BP8" i="1"/>
  <c r="BQ8" i="1"/>
  <c r="BR8" i="1"/>
  <c r="BS8" i="1"/>
  <c r="BT8" i="1"/>
  <c r="BU8" i="1"/>
  <c r="BV8" i="1"/>
  <c r="BW8" i="1"/>
  <c r="BL9" i="1"/>
  <c r="BM9" i="1"/>
  <c r="BN9" i="1"/>
  <c r="BO9" i="1"/>
  <c r="BP9" i="1"/>
  <c r="BQ9" i="1"/>
  <c r="BR9" i="1"/>
  <c r="BS9" i="1"/>
  <c r="BT9" i="1"/>
  <c r="BU9" i="1"/>
  <c r="BV9" i="1"/>
  <c r="BW9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J8" i="1" l="1"/>
  <c r="BJ6" i="1"/>
  <c r="BJ7" i="1"/>
  <c r="BJ26" i="1"/>
  <c r="BJ24" i="1"/>
  <c r="BJ23" i="1"/>
  <c r="BJ21" i="1"/>
  <c r="BJ20" i="1"/>
  <c r="BJ19" i="1"/>
  <c r="BJ17" i="1"/>
  <c r="BJ16" i="1"/>
  <c r="BJ12" i="1"/>
  <c r="BJ9" i="1"/>
  <c r="BJ30" i="1"/>
  <c r="BJ22" i="1"/>
  <c r="BJ18" i="1"/>
  <c r="BJ14" i="1"/>
  <c r="BJ15" i="1"/>
  <c r="BJ13" i="1"/>
  <c r="BJ11" i="1"/>
  <c r="BJ10" i="1"/>
  <c r="BJ29" i="1"/>
  <c r="BJ27" i="1"/>
  <c r="BJ31" i="1"/>
  <c r="BJ28" i="1"/>
  <c r="BJ25" i="1"/>
  <c r="CL31" i="1" l="1"/>
  <c r="CL28" i="1"/>
  <c r="CL29" i="1"/>
  <c r="CL26" i="1"/>
  <c r="CL25" i="1"/>
  <c r="CL24" i="1"/>
  <c r="CL23" i="1"/>
  <c r="CL22" i="1"/>
  <c r="CL21" i="1"/>
  <c r="CL20" i="1"/>
  <c r="CL19" i="1"/>
  <c r="CL18" i="1"/>
  <c r="CL59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BL59" i="1" l="1"/>
  <c r="BM59" i="1"/>
  <c r="BN59" i="1"/>
  <c r="BO59" i="1"/>
  <c r="BP59" i="1"/>
  <c r="BQ59" i="1"/>
  <c r="BR59" i="1"/>
  <c r="BS59" i="1"/>
  <c r="BT59" i="1"/>
  <c r="BU59" i="1"/>
  <c r="BV59" i="1"/>
  <c r="BW59" i="1"/>
  <c r="CL27" i="1"/>
  <c r="BL5" i="1"/>
  <c r="BJ59" i="1" l="1"/>
  <c r="BL58" i="1" l="1"/>
  <c r="BM58" i="1"/>
  <c r="BN58" i="1"/>
  <c r="BO58" i="1"/>
  <c r="BP58" i="1"/>
  <c r="BQ58" i="1"/>
  <c r="BR58" i="1"/>
  <c r="BS58" i="1"/>
  <c r="BT58" i="1"/>
  <c r="BU58" i="1"/>
  <c r="BV58" i="1"/>
  <c r="BW58" i="1"/>
  <c r="BW5" i="1"/>
  <c r="BV5" i="1"/>
  <c r="BU5" i="1"/>
  <c r="BT5" i="1"/>
  <c r="BS5" i="1"/>
  <c r="BR5" i="1"/>
  <c r="BQ5" i="1"/>
  <c r="BP5" i="1"/>
  <c r="BO5" i="1"/>
  <c r="BN5" i="1"/>
  <c r="BM5" i="1"/>
  <c r="BJ5" i="1" l="1"/>
  <c r="BJ58" i="1"/>
  <c r="CL57" i="1" l="1"/>
  <c r="CL56" i="1"/>
  <c r="BL57" i="1" l="1"/>
  <c r="BM57" i="1"/>
  <c r="BN57" i="1"/>
  <c r="BO57" i="1"/>
  <c r="BP57" i="1"/>
  <c r="BQ57" i="1"/>
  <c r="BR57" i="1"/>
  <c r="BS57" i="1"/>
  <c r="BT57" i="1"/>
  <c r="BU57" i="1"/>
  <c r="BV57" i="1"/>
  <c r="BW57" i="1"/>
  <c r="BJ57" i="1" l="1"/>
</calcChain>
</file>

<file path=xl/sharedStrings.xml><?xml version="1.0" encoding="utf-8"?>
<sst xmlns="http://schemas.openxmlformats.org/spreadsheetml/2006/main" count="392" uniqueCount="122">
  <si>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</si>
  <si>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</si>
  <si>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</si>
  <si>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</si>
  <si>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</si>
  <si>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</si>
  <si>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</si>
  <si>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</si>
  <si>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</si>
  <si>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</si>
  <si>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</si>
  <si>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</si>
  <si>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</si>
  <si>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</si>
  <si>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</si>
  <si>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</si>
  <si>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</si>
  <si>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</si>
  <si>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</si>
  <si>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</si>
  <si>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</si>
  <si>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</si>
  <si>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</si>
  <si>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</si>
  <si>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</si>
  <si>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</si>
  <si>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</si>
  <si>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</si>
  <si>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</si>
  <si>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</si>
  <si>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</si>
  <si>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</si>
  <si>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</si>
  <si>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MAD0393</t>
  </si>
  <si>
    <t>Mariyam Hameedha</t>
  </si>
  <si>
    <t>MAD0523</t>
  </si>
  <si>
    <t>Aishath Naeema</t>
  </si>
  <si>
    <t>MAD0449</t>
  </si>
  <si>
    <t>Hassan Sameer</t>
  </si>
  <si>
    <t>MAD0509</t>
  </si>
  <si>
    <t>Fathimath Abdulla</t>
  </si>
  <si>
    <t>MAD0536</t>
  </si>
  <si>
    <t>Nuzuhath Abbas</t>
  </si>
  <si>
    <t>MAD0581</t>
  </si>
  <si>
    <t>Abdul Rasheed Ismail</t>
  </si>
  <si>
    <t>MAD0625</t>
  </si>
  <si>
    <t>Aishath Nihaza</t>
  </si>
  <si>
    <t>MAD0631</t>
  </si>
  <si>
    <t>Zumna Ahmed</t>
  </si>
  <si>
    <t>MAD0635</t>
  </si>
  <si>
    <t>Adam Naseer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</si>
  <si>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</si>
  <si>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</si>
  <si>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</si>
  <si>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</si>
  <si>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</si>
  <si>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</si>
  <si>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</si>
  <si>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</si>
  <si>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</si>
  <si>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</si>
  <si>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</si>
  <si>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</si>
  <si>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</si>
  <si>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</si>
  <si>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</si>
  <si>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</si>
  <si>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</si>
  <si>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</si>
  <si>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</si>
  <si>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</si>
  <si>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</si>
  <si>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</si>
  <si>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</si>
  <si>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</si>
  <si>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</si>
  <si>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</si>
  <si>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</si>
  <si>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</si>
  <si>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</si>
  <si>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</si>
  <si>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</si>
  <si>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</si>
  <si>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 xml:space="preserve">Moosa Ahmed </t>
  </si>
  <si>
    <t xml:space="preserve"> </t>
  </si>
  <si>
    <t>Suspended</t>
  </si>
  <si>
    <t>Special Leave</t>
  </si>
  <si>
    <t>HR Executive</t>
  </si>
  <si>
    <t>Office Manager</t>
  </si>
  <si>
    <t>Chairman</t>
  </si>
  <si>
    <t>Family Leave</t>
  </si>
  <si>
    <t>MAD0725</t>
  </si>
  <si>
    <t>Adhham Hassan</t>
  </si>
  <si>
    <t>MAD0730</t>
  </si>
  <si>
    <t>Shezaa Ahmed Quraish</t>
  </si>
  <si>
    <t>Pls don’t Remove below data</t>
  </si>
  <si>
    <t xml:space="preserve">Used Leave Totals (Running Year, up to end of this month - Nov 2025) </t>
  </si>
  <si>
    <t>Total</t>
  </si>
  <si>
    <t>MAD0732</t>
  </si>
  <si>
    <t>Fathmath Nuha</t>
  </si>
  <si>
    <t>MAD0747</t>
  </si>
  <si>
    <t>Attendance  - FEBRUARY 2026 -Male Local Staffs</t>
  </si>
  <si>
    <t>Attendance  -  FEBRUARY 2026 -Male Local Staffs</t>
  </si>
  <si>
    <t>Hussain Rifau</t>
  </si>
  <si>
    <t>Zoona Abbas</t>
  </si>
  <si>
    <t>MAD0751</t>
  </si>
  <si>
    <t>MAD0752</t>
  </si>
  <si>
    <t>Hawwa Shaiha</t>
  </si>
  <si>
    <t>JONING ON 5TH FEBRUARY 2026</t>
  </si>
  <si>
    <t>JOINGING ON 8TH FEBRUARY 2026</t>
  </si>
  <si>
    <t>SICK</t>
  </si>
  <si>
    <t>MAD0753</t>
  </si>
  <si>
    <t>MAD0754</t>
  </si>
  <si>
    <t>Ziyad Moosa</t>
  </si>
  <si>
    <t xml:space="preserve">Terminated </t>
  </si>
  <si>
    <t>Resign</t>
  </si>
  <si>
    <t>Salma Hussain</t>
  </si>
  <si>
    <t>Terminated (09.02.2026)</t>
  </si>
  <si>
    <t>Resign (08.02.2026)</t>
  </si>
  <si>
    <t>Resign (16.02.2026)</t>
  </si>
  <si>
    <t>Resign (25.02.2026)</t>
  </si>
  <si>
    <t>JOINGING ON 10TH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</si>
</sst>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h:mm;@"/>
  </numFmts>
  <fonts count="30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.9"/>
      <color rgb="FF1E293B"/>
      <name val="Arial"/>
      <family val="2"/>
    </font>
    <font>
      <sz val="9"/>
      <name val="Segoe UI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1E293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" fontId="6" fillId="5" borderId="12" xfId="0" applyNumberFormat="1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20" fontId="14" fillId="0" borderId="0" xfId="0" applyNumberFormat="1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0" xfId="0" applyFont="1" applyFill="1" applyAlignment="1">
      <alignment vertical="center"/>
    </xf>
    <xf numFmtId="0" fontId="10" fillId="8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49" fontId="10" fillId="8" borderId="0" xfId="0" applyNumberFormat="1" applyFont="1" applyFill="1" applyAlignment="1">
      <alignment vertical="center"/>
    </xf>
    <xf numFmtId="49" fontId="10" fillId="8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0" fillId="8" borderId="0" xfId="0" applyFont="1" applyFill="1"/>
    <xf numFmtId="0" fontId="6" fillId="3" borderId="12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6" borderId="9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/>
    <xf numFmtId="1" fontId="17" fillId="7" borderId="14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20" fontId="11" fillId="6" borderId="9" xfId="0" applyNumberFormat="1" applyFont="1" applyFill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20" fontId="18" fillId="9" borderId="9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20" fontId="11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20" fontId="18" fillId="6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/>
    <xf numFmtId="1" fontId="17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1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0" fillId="6" borderId="0" xfId="0" applyFill="1"/>
    <xf numFmtId="0" fontId="9" fillId="6" borderId="0" xfId="0" applyFont="1" applyFill="1" applyAlignment="1">
      <alignment horizontal="center" vertical="center"/>
    </xf>
    <xf numFmtId="20" fontId="23" fillId="6" borderId="9" xfId="0" applyNumberFormat="1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20" fontId="24" fillId="6" borderId="9" xfId="0" applyNumberFormat="1" applyFont="1" applyFill="1" applyBorder="1" applyAlignment="1">
      <alignment horizontal="center" vertical="center" wrapText="1"/>
    </xf>
    <xf numFmtId="20" fontId="18" fillId="6" borderId="9" xfId="0" applyNumberFormat="1" applyFont="1" applyFill="1" applyBorder="1" applyAlignment="1">
      <alignment horizontal="center" vertical="center" wrapText="1"/>
    </xf>
    <xf numFmtId="0" fontId="0" fillId="13" borderId="0" xfId="0" applyFill="1"/>
    <xf numFmtId="0" fontId="0" fillId="6" borderId="12" xfId="0" applyFill="1" applyBorder="1" applyAlignment="1">
      <alignment horizontal="center" vertical="center"/>
    </xf>
    <xf numFmtId="20" fontId="23" fillId="6" borderId="18" xfId="0" applyNumberFormat="1" applyFont="1" applyFill="1" applyBorder="1" applyAlignment="1">
      <alignment horizontal="center" vertical="center" wrapText="1"/>
    </xf>
    <xf numFmtId="20" fontId="24" fillId="6" borderId="18" xfId="0" applyNumberFormat="1" applyFont="1" applyFill="1" applyBorder="1" applyAlignment="1">
      <alignment horizontal="center" vertical="center" wrapText="1"/>
    </xf>
    <xf numFmtId="20" fontId="23" fillId="6" borderId="12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/>
    </xf>
    <xf numFmtId="20" fontId="24" fillId="9" borderId="9" xfId="0" applyNumberFormat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/>
    </xf>
    <xf numFmtId="20" fontId="29" fillId="0" borderId="0" xfId="0" applyNumberFormat="1" applyFont="1"/>
    <xf numFmtId="20" fontId="27" fillId="6" borderId="5" xfId="0" applyNumberFormat="1" applyFont="1" applyFill="1" applyBorder="1" applyAlignment="1">
      <alignment horizontal="center" vertical="center" wrapText="1"/>
    </xf>
    <xf numFmtId="20" fontId="27" fillId="6" borderId="6" xfId="0" applyNumberFormat="1" applyFont="1" applyFill="1" applyBorder="1" applyAlignment="1">
      <alignment horizontal="center" vertical="center" wrapText="1"/>
    </xf>
    <xf numFmtId="20" fontId="27" fillId="6" borderId="17" xfId="0" applyNumberFormat="1" applyFont="1" applyFill="1" applyBorder="1" applyAlignment="1">
      <alignment horizontal="center" vertical="center" wrapText="1"/>
    </xf>
    <xf numFmtId="20" fontId="24" fillId="6" borderId="10" xfId="0" applyNumberFormat="1" applyFont="1" applyFill="1" applyBorder="1" applyAlignment="1">
      <alignment horizontal="center" vertical="center" wrapText="1"/>
    </xf>
    <xf numFmtId="20" fontId="24" fillId="6" borderId="13" xfId="0" applyNumberFormat="1" applyFont="1" applyFill="1" applyBorder="1" applyAlignment="1">
      <alignment horizontal="center" vertical="center" wrapText="1"/>
    </xf>
    <xf numFmtId="20" fontId="24" fillId="6" borderId="9" xfId="0" applyNumberFormat="1" applyFont="1" applyFill="1" applyBorder="1" applyAlignment="1">
      <alignment horizontal="center" vertical="center" wrapText="1"/>
    </xf>
    <xf numFmtId="20" fontId="24" fillId="6" borderId="14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20" fontId="27" fillId="6" borderId="9" xfId="0" applyNumberFormat="1" applyFont="1" applyFill="1" applyBorder="1" applyAlignment="1">
      <alignment horizontal="center" vertical="center" wrapText="1"/>
    </xf>
    <xf numFmtId="15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3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20" fontId="28" fillId="6" borderId="10" xfId="0" applyNumberFormat="1" applyFont="1" applyFill="1" applyBorder="1" applyAlignment="1">
      <alignment horizontal="center" vertical="center" wrapText="1"/>
    </xf>
    <xf numFmtId="20" fontId="28" fillId="6" borderId="13" xfId="0" applyNumberFormat="1" applyFont="1" applyFill="1" applyBorder="1" applyAlignment="1">
      <alignment horizontal="center" vertical="center" wrapText="1"/>
    </xf>
    <xf numFmtId="20" fontId="28" fillId="6" borderId="14" xfId="0" applyNumberFormat="1" applyFont="1" applyFill="1" applyBorder="1" applyAlignment="1">
      <alignment horizontal="center" vertical="center" wrapText="1"/>
    </xf>
    <xf numFmtId="0" fontId="21" fillId="10" borderId="0" xfId="0" applyFont="1" applyFill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textRotation="90" wrapText="1"/>
    </xf>
    <xf numFmtId="0" fontId="3" fillId="5" borderId="16" xfId="0" applyFont="1" applyFill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20" fontId="27" fillId="6" borderId="10" xfId="0" applyNumberFormat="1" applyFont="1" applyFill="1" applyBorder="1" applyAlignment="1">
      <alignment horizontal="center" vertical="center" wrapText="1"/>
    </xf>
    <xf numFmtId="20" fontId="27" fillId="6" borderId="13" xfId="0" applyNumberFormat="1" applyFont="1" applyFill="1" applyBorder="1" applyAlignment="1">
      <alignment horizontal="center" vertical="center" wrapText="1"/>
    </xf>
    <xf numFmtId="20" fontId="27" fillId="6" borderId="14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2415"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6E8B-7E5C-428F-AAF0-8F10E6713D94}" name="Table1" displayName="Table1" ref="CB4:CL33" totalsRowShown="0" headerRowDxfId="2414" dataDxfId="2412" headerRowBorderDxfId="2413" tableBorderDxfId="2411" totalsRowBorderDxfId="2410">
  <autoFilter ref="CB4:CL33" xr:uid="{A80F6E8B-7E5C-428F-AAF0-8F10E6713D94}"/>
  <tableColumns count="11">
    <tableColumn id="1" xr3:uid="{6586E15F-C2DD-4486-A747-E3871445E7D8}" name="MC" dataDxfId="2409"/>
    <tableColumn id="2" xr3:uid="{6119AEBA-2882-4A29-8B65-3CE5F50E5A35}" name="EL" dataDxfId="2408"/>
    <tableColumn id="3" xr3:uid="{A4B933EF-91BB-467A-B3E2-F8748BFB0C0C}" name="AL" dataDxfId="2407"/>
    <tableColumn id="4" xr3:uid="{7D2607E7-643A-4BE8-8DCF-5C28EB77BB0E}" name="SUS" dataDxfId="2406"/>
    <tableColumn id="5" xr3:uid="{E23768CA-A8DD-45F9-ACBE-0E9686100AD3}" name="FL" dataDxfId="2405"/>
    <tableColumn id="6" xr3:uid="{D5503395-DEA9-41D3-9732-722A5784A8F4}" name="S" dataDxfId="2404"/>
    <tableColumn id="7" xr3:uid="{A9413DCE-6612-4B99-93F6-5211956ECD22}" name="HD" dataDxfId="2403"/>
    <tableColumn id="8" xr3:uid="{2FC526AB-6D64-4BCF-B522-816D2118C5C0}" name="AB" dataDxfId="2402"/>
    <tableColumn id="9" xr3:uid="{FF68A61F-F40D-49D4-927C-F64709C8B027}" name="NL" dataDxfId="2401"/>
    <tableColumn id="10" xr3:uid="{93843698-215B-41CD-BE9E-5B86DD643899}" name="SP" dataDxfId="2400"/>
    <tableColumn id="11" xr3:uid="{556FE1F1-725C-4D3F-887C-F87A4339643C}" name="Total" dataDxfId="2399">
      <calculatedColumnFormula>SUM(CB5:CK5)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1:CL59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Y19" sqref="BY19"/>
    </sheetView>
  </sheetViews>
  <sheetFormatPr defaultRowHeight="15.75" x14ac:dyDescent="0.25"/>
  <cols>
    <col min="1" max="1" width="5.5703125" customWidth="1"/>
    <col min="2" max="2" width="13.85546875" customWidth="1"/>
    <col min="3" max="3" width="24.7109375" customWidth="1"/>
    <col min="4" max="33" width="7.42578125" customWidth="1"/>
    <col min="34" max="34" width="4.28515625" customWidth="1"/>
    <col min="35" max="35" width="5.5703125" customWidth="1"/>
    <col min="36" max="61" width="6.85546875" customWidth="1"/>
    <col min="62" max="63" width="5.140625" customWidth="1"/>
    <col min="64" max="75" width="5.28515625" customWidth="1"/>
    <col min="76" max="76" width="31.28515625" customWidth="1"/>
    <col min="80" max="89" width="9.140625" style="12"/>
    <col min="90" max="90" width="9.140625" style="19"/>
  </cols>
  <sheetData>
    <row r="1" spans="1:90" ht="30.75" customHeight="1" thickBot="1" x14ac:dyDescent="0.3">
      <c r="A1" s="98" t="s">
        <v>102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108"/>
      <c r="AI1" s="97" t="s">
        <v>101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</row>
    <row r="2" spans="1:90" ht="21.75" customHeight="1" thickBot="1" x14ac:dyDescent="0.3">
      <c r="A2" s="109" t="s">
        <v>0</v>
      </c>
      <c r="B2" s="110"/>
      <c r="C2" s="110"/>
      <c r="D2" s="106" t="s">
        <v>5</v>
      </c>
      <c r="E2" s="107"/>
      <c r="F2" s="106" t="s">
        <v>6</v>
      </c>
      <c r="G2" s="107"/>
      <c r="H2" s="106" t="s">
        <v>7</v>
      </c>
      <c r="I2" s="107"/>
      <c r="J2" s="106" t="s">
        <v>1</v>
      </c>
      <c r="K2" s="107"/>
      <c r="L2" s="106" t="s">
        <v>2</v>
      </c>
      <c r="M2" s="107"/>
      <c r="N2" s="106" t="s">
        <v>3</v>
      </c>
      <c r="O2" s="107"/>
      <c r="P2" s="106" t="s">
        <v>4</v>
      </c>
      <c r="Q2" s="107"/>
      <c r="R2" s="106" t="s">
        <v>5</v>
      </c>
      <c r="S2" s="107"/>
      <c r="T2" s="106" t="s">
        <v>6</v>
      </c>
      <c r="U2" s="107"/>
      <c r="V2" s="106" t="s">
        <v>7</v>
      </c>
      <c r="W2" s="107"/>
      <c r="X2" s="106" t="s">
        <v>1</v>
      </c>
      <c r="Y2" s="107"/>
      <c r="Z2" s="106" t="s">
        <v>2</v>
      </c>
      <c r="AA2" s="107"/>
      <c r="AB2" s="106" t="s">
        <v>3</v>
      </c>
      <c r="AC2" s="107"/>
      <c r="AD2" s="106" t="s">
        <v>4</v>
      </c>
      <c r="AE2" s="107"/>
      <c r="AF2" s="106" t="s">
        <v>5</v>
      </c>
      <c r="AG2" s="107"/>
      <c r="AI2" s="99" t="s">
        <v>8</v>
      </c>
      <c r="AJ2" s="106" t="s">
        <v>6</v>
      </c>
      <c r="AK2" s="107"/>
      <c r="AL2" s="106" t="s">
        <v>7</v>
      </c>
      <c r="AM2" s="107"/>
      <c r="AN2" s="106" t="s">
        <v>1</v>
      </c>
      <c r="AO2" s="107"/>
      <c r="AP2" s="106" t="s">
        <v>2</v>
      </c>
      <c r="AQ2" s="107"/>
      <c r="AR2" s="106" t="s">
        <v>3</v>
      </c>
      <c r="AS2" s="107"/>
      <c r="AT2" s="106" t="s">
        <v>4</v>
      </c>
      <c r="AU2" s="107"/>
      <c r="AV2" s="106" t="s">
        <v>5</v>
      </c>
      <c r="AW2" s="107"/>
      <c r="AX2" s="106" t="s">
        <v>6</v>
      </c>
      <c r="AY2" s="107"/>
      <c r="AZ2" s="106" t="s">
        <v>7</v>
      </c>
      <c r="BA2" s="107"/>
      <c r="BB2" s="106" t="s">
        <v>1</v>
      </c>
      <c r="BC2" s="107"/>
      <c r="BD2" s="106" t="s">
        <v>2</v>
      </c>
      <c r="BE2" s="107"/>
      <c r="BF2" s="106" t="s">
        <v>3</v>
      </c>
      <c r="BG2" s="107"/>
      <c r="BH2" s="106" t="s">
        <v>4</v>
      </c>
      <c r="BI2" s="107"/>
      <c r="BJ2" s="130" t="s">
        <v>57</v>
      </c>
      <c r="BK2" s="122" t="s">
        <v>58</v>
      </c>
      <c r="BL2" s="124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6"/>
      <c r="CB2" s="120" t="s">
        <v>95</v>
      </c>
      <c r="CC2" s="120"/>
      <c r="CD2" s="120"/>
      <c r="CE2" s="120"/>
      <c r="CF2" s="120"/>
      <c r="CG2" s="120"/>
      <c r="CH2" s="120"/>
      <c r="CI2" s="120"/>
      <c r="CJ2" s="120"/>
      <c r="CK2" s="120"/>
    </row>
    <row r="3" spans="1:90" ht="21.75" customHeight="1" x14ac:dyDescent="0.25">
      <c r="A3" s="111"/>
      <c r="B3" s="112"/>
      <c r="C3" s="112"/>
      <c r="D3" s="101">
        <v>46054</v>
      </c>
      <c r="E3" s="102"/>
      <c r="F3" s="101">
        <v>46055</v>
      </c>
      <c r="G3" s="102"/>
      <c r="H3" s="101">
        <v>46056</v>
      </c>
      <c r="I3" s="102"/>
      <c r="J3" s="101">
        <v>46057</v>
      </c>
      <c r="K3" s="102"/>
      <c r="L3" s="101">
        <v>46058</v>
      </c>
      <c r="M3" s="102"/>
      <c r="N3" s="101">
        <v>46059</v>
      </c>
      <c r="O3" s="102"/>
      <c r="P3" s="101">
        <v>46060</v>
      </c>
      <c r="Q3" s="102"/>
      <c r="R3" s="101">
        <v>46061</v>
      </c>
      <c r="S3" s="102"/>
      <c r="T3" s="101">
        <v>46062</v>
      </c>
      <c r="U3" s="102"/>
      <c r="V3" s="101">
        <v>46063</v>
      </c>
      <c r="W3" s="102"/>
      <c r="X3" s="101">
        <v>46064</v>
      </c>
      <c r="Y3" s="102"/>
      <c r="Z3" s="101">
        <v>46065</v>
      </c>
      <c r="AA3" s="102"/>
      <c r="AB3" s="101">
        <v>46066</v>
      </c>
      <c r="AC3" s="102"/>
      <c r="AD3" s="101">
        <v>46067</v>
      </c>
      <c r="AE3" s="102"/>
      <c r="AF3" s="101">
        <v>46068</v>
      </c>
      <c r="AG3" s="102"/>
      <c r="AI3" s="100"/>
      <c r="AJ3" s="104">
        <v>46069</v>
      </c>
      <c r="AK3" s="105"/>
      <c r="AL3" s="104">
        <v>46070</v>
      </c>
      <c r="AM3" s="105"/>
      <c r="AN3" s="104">
        <v>46071</v>
      </c>
      <c r="AO3" s="105"/>
      <c r="AP3" s="104">
        <v>46072</v>
      </c>
      <c r="AQ3" s="105"/>
      <c r="AR3" s="104">
        <v>46073</v>
      </c>
      <c r="AS3" s="105"/>
      <c r="AT3" s="104">
        <v>46074</v>
      </c>
      <c r="AU3" s="105"/>
      <c r="AV3" s="104">
        <v>46075</v>
      </c>
      <c r="AW3" s="105"/>
      <c r="AX3" s="104">
        <v>46076</v>
      </c>
      <c r="AY3" s="105"/>
      <c r="AZ3" s="104">
        <v>46077</v>
      </c>
      <c r="BA3" s="105"/>
      <c r="BB3" s="104">
        <v>46078</v>
      </c>
      <c r="BC3" s="105"/>
      <c r="BD3" s="104">
        <v>46079</v>
      </c>
      <c r="BE3" s="105"/>
      <c r="BF3" s="104">
        <v>46080</v>
      </c>
      <c r="BG3" s="105"/>
      <c r="BH3" s="104">
        <v>46081</v>
      </c>
      <c r="BI3" s="105"/>
      <c r="BJ3" s="131"/>
      <c r="BK3" s="123"/>
      <c r="BL3" s="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5"/>
      <c r="CB3" s="121" t="s">
        <v>96</v>
      </c>
      <c r="CC3" s="121"/>
      <c r="CD3" s="121"/>
      <c r="CE3" s="121"/>
      <c r="CF3" s="121"/>
      <c r="CG3" s="121"/>
      <c r="CH3" s="121"/>
      <c r="CI3" s="121"/>
      <c r="CJ3" s="121"/>
      <c r="CK3" s="121"/>
    </row>
    <row r="4" spans="1:90" ht="25.5" customHeight="1" x14ac:dyDescent="0.25">
      <c r="A4" s="6" t="s">
        <v>8</v>
      </c>
      <c r="B4" s="6" t="s">
        <v>9</v>
      </c>
      <c r="C4" s="31" t="s">
        <v>10</v>
      </c>
      <c r="D4" s="1" t="s">
        <v>11</v>
      </c>
      <c r="E4" s="2" t="s">
        <v>12</v>
      </c>
      <c r="F4" s="1" t="s">
        <v>11</v>
      </c>
      <c r="G4" s="2" t="s">
        <v>12</v>
      </c>
      <c r="H4" s="1" t="s">
        <v>11</v>
      </c>
      <c r="I4" s="2" t="s">
        <v>12</v>
      </c>
      <c r="J4" s="1" t="s">
        <v>11</v>
      </c>
      <c r="K4" s="2" t="s">
        <v>12</v>
      </c>
      <c r="L4" s="1" t="s">
        <v>11</v>
      </c>
      <c r="M4" s="2" t="s">
        <v>12</v>
      </c>
      <c r="N4" s="1" t="s">
        <v>11</v>
      </c>
      <c r="O4" s="2" t="s">
        <v>12</v>
      </c>
      <c r="P4" s="1" t="s">
        <v>11</v>
      </c>
      <c r="Q4" s="2" t="s">
        <v>12</v>
      </c>
      <c r="R4" s="1" t="s">
        <v>11</v>
      </c>
      <c r="S4" s="2" t="s">
        <v>12</v>
      </c>
      <c r="T4" s="1" t="s">
        <v>11</v>
      </c>
      <c r="U4" s="2" t="s">
        <v>12</v>
      </c>
      <c r="V4" s="1" t="s">
        <v>11</v>
      </c>
      <c r="W4" s="2" t="s">
        <v>12</v>
      </c>
      <c r="X4" s="1" t="s">
        <v>11</v>
      </c>
      <c r="Y4" s="2" t="s">
        <v>12</v>
      </c>
      <c r="Z4" s="1" t="s">
        <v>11</v>
      </c>
      <c r="AA4" s="2" t="s">
        <v>12</v>
      </c>
      <c r="AB4" s="1" t="s">
        <v>11</v>
      </c>
      <c r="AC4" s="2" t="s">
        <v>12</v>
      </c>
      <c r="AD4" s="7" t="s">
        <v>11</v>
      </c>
      <c r="AE4" s="8" t="s">
        <v>12</v>
      </c>
      <c r="AF4" s="7" t="s">
        <v>11</v>
      </c>
      <c r="AG4" s="30" t="s">
        <v>12</v>
      </c>
      <c r="AI4" s="100"/>
      <c r="AJ4" s="7" t="s">
        <v>11</v>
      </c>
      <c r="AK4" s="8" t="s">
        <v>12</v>
      </c>
      <c r="AL4" s="7" t="s">
        <v>11</v>
      </c>
      <c r="AM4" s="8" t="s">
        <v>12</v>
      </c>
      <c r="AN4" s="7" t="s">
        <v>11</v>
      </c>
      <c r="AO4" s="8" t="s">
        <v>12</v>
      </c>
      <c r="AP4" s="7" t="s">
        <v>11</v>
      </c>
      <c r="AQ4" s="8" t="s">
        <v>12</v>
      </c>
      <c r="AR4" s="7" t="s">
        <v>11</v>
      </c>
      <c r="AS4" s="8" t="s">
        <v>12</v>
      </c>
      <c r="AT4" s="7" t="s">
        <v>11</v>
      </c>
      <c r="AU4" s="8" t="s">
        <v>12</v>
      </c>
      <c r="AV4" s="7" t="s">
        <v>11</v>
      </c>
      <c r="AW4" s="8" t="s">
        <v>12</v>
      </c>
      <c r="AX4" s="7" t="s">
        <v>11</v>
      </c>
      <c r="AY4" s="8" t="s">
        <v>12</v>
      </c>
      <c r="AZ4" s="7" t="s">
        <v>11</v>
      </c>
      <c r="BA4" s="8" t="s">
        <v>12</v>
      </c>
      <c r="BB4" s="7" t="s">
        <v>11</v>
      </c>
      <c r="BC4" s="8" t="s">
        <v>12</v>
      </c>
      <c r="BD4" s="7" t="s">
        <v>11</v>
      </c>
      <c r="BE4" s="8" t="s">
        <v>12</v>
      </c>
      <c r="BF4" s="7" t="s">
        <v>11</v>
      </c>
      <c r="BG4" s="8" t="s">
        <v>12</v>
      </c>
      <c r="BH4" s="7" t="s">
        <v>11</v>
      </c>
      <c r="BI4" s="8" t="s">
        <v>12</v>
      </c>
      <c r="BJ4" s="131"/>
      <c r="BK4" s="123"/>
      <c r="BL4" s="9"/>
      <c r="BM4" s="10" t="s">
        <v>59</v>
      </c>
      <c r="BN4" s="10" t="s">
        <v>60</v>
      </c>
      <c r="BO4" s="10" t="s">
        <v>61</v>
      </c>
      <c r="BP4" s="10" t="s">
        <v>62</v>
      </c>
      <c r="BQ4" s="10" t="s">
        <v>63</v>
      </c>
      <c r="BR4" s="10" t="s">
        <v>64</v>
      </c>
      <c r="BS4" s="10" t="s">
        <v>65</v>
      </c>
      <c r="BT4" s="10" t="s">
        <v>66</v>
      </c>
      <c r="BU4" s="10" t="s">
        <v>67</v>
      </c>
      <c r="BV4" s="10" t="s">
        <v>68</v>
      </c>
      <c r="BW4" s="10" t="s">
        <v>69</v>
      </c>
      <c r="BX4" s="11" t="s">
        <v>70</v>
      </c>
      <c r="CB4" s="49" t="s">
        <v>60</v>
      </c>
      <c r="CC4" s="50" t="s">
        <v>61</v>
      </c>
      <c r="CD4" s="50" t="s">
        <v>62</v>
      </c>
      <c r="CE4" s="50" t="s">
        <v>63</v>
      </c>
      <c r="CF4" s="50" t="s">
        <v>64</v>
      </c>
      <c r="CG4" s="50" t="s">
        <v>65</v>
      </c>
      <c r="CH4" s="50" t="s">
        <v>66</v>
      </c>
      <c r="CI4" s="50" t="s">
        <v>67</v>
      </c>
      <c r="CJ4" s="50" t="s">
        <v>68</v>
      </c>
      <c r="CK4" s="50" t="s">
        <v>69</v>
      </c>
      <c r="CL4" s="51" t="s">
        <v>97</v>
      </c>
    </row>
    <row r="5" spans="1:90" ht="24.75" customHeight="1" x14ac:dyDescent="0.25">
      <c r="A5" s="32">
        <v>1</v>
      </c>
      <c r="B5" s="33" t="s">
        <v>13</v>
      </c>
      <c r="C5" s="34" t="s">
        <v>14</v>
      </c>
      <c r="D5" s="71">
        <v>1</v>
      </c>
      <c r="E5" s="71">
        <v>1</v>
      </c>
      <c r="F5" s="71">
        <v>1</v>
      </c>
      <c r="G5" s="71">
        <v>1</v>
      </c>
      <c r="H5" s="71">
        <v>1</v>
      </c>
      <c r="I5" s="71">
        <v>1</v>
      </c>
      <c r="J5" s="71">
        <v>1</v>
      </c>
      <c r="K5" s="71">
        <v>1</v>
      </c>
      <c r="L5" s="71">
        <v>1</v>
      </c>
      <c r="M5" s="71">
        <v>1</v>
      </c>
      <c r="N5" s="82" t="s">
        <v>59</v>
      </c>
      <c r="O5" s="82" t="s">
        <v>59</v>
      </c>
      <c r="P5" s="71">
        <v>1</v>
      </c>
      <c r="Q5" s="71">
        <v>1</v>
      </c>
      <c r="R5" s="71">
        <v>1</v>
      </c>
      <c r="S5" s="71">
        <v>1</v>
      </c>
      <c r="T5" s="71">
        <v>1</v>
      </c>
      <c r="U5" s="71">
        <v>1</v>
      </c>
      <c r="V5" s="71">
        <v>1</v>
      </c>
      <c r="W5" s="71">
        <v>1</v>
      </c>
      <c r="X5" s="71">
        <v>1</v>
      </c>
      <c r="Y5" s="71">
        <v>1</v>
      </c>
      <c r="Z5" s="71">
        <v>1</v>
      </c>
      <c r="AA5" s="71">
        <v>1</v>
      </c>
      <c r="AB5" s="82" t="s">
        <v>59</v>
      </c>
      <c r="AC5" s="82" t="s">
        <v>59</v>
      </c>
      <c r="AD5" s="71">
        <v>1</v>
      </c>
      <c r="AE5" s="71">
        <v>1</v>
      </c>
      <c r="AF5" s="71">
        <v>1</v>
      </c>
      <c r="AG5" s="71">
        <v>1</v>
      </c>
      <c r="AH5" s="62"/>
      <c r="AI5" s="35">
        <v>1</v>
      </c>
      <c r="AJ5" s="71">
        <v>1</v>
      </c>
      <c r="AK5" s="71">
        <v>1</v>
      </c>
      <c r="AL5" s="71">
        <v>1</v>
      </c>
      <c r="AM5" s="71">
        <v>1</v>
      </c>
      <c r="AN5" s="71">
        <v>1</v>
      </c>
      <c r="AO5" s="71">
        <v>1</v>
      </c>
      <c r="AP5" s="71">
        <v>1</v>
      </c>
      <c r="AQ5" s="71">
        <v>1</v>
      </c>
      <c r="AR5" s="82" t="s">
        <v>59</v>
      </c>
      <c r="AS5" s="82" t="s">
        <v>59</v>
      </c>
      <c r="AT5" s="71">
        <v>1</v>
      </c>
      <c r="AU5" s="71">
        <v>1</v>
      </c>
      <c r="AV5" s="71">
        <v>1</v>
      </c>
      <c r="AW5" s="71">
        <v>1</v>
      </c>
      <c r="AX5" s="71">
        <v>1</v>
      </c>
      <c r="AY5" s="71">
        <v>1</v>
      </c>
      <c r="AZ5" s="71">
        <v>1</v>
      </c>
      <c r="BA5" s="71">
        <v>1</v>
      </c>
      <c r="BB5" s="71">
        <v>1</v>
      </c>
      <c r="BC5" s="71">
        <v>1</v>
      </c>
      <c r="BD5" s="71">
        <v>1</v>
      </c>
      <c r="BE5" s="71">
        <v>1</v>
      </c>
      <c r="BF5" s="82" t="s">
        <v>59</v>
      </c>
      <c r="BG5" s="82" t="s">
        <v>59</v>
      </c>
      <c r="BH5" s="71">
        <v>1</v>
      </c>
      <c r="BI5" s="71">
        <v>1</v>
      </c>
      <c r="BJ5" s="38">
        <f t="shared" ref="BJ5:BJ31" si="0">BL5+BM5+BN5+BO5+BP5+BT5+BR5+BW5+BS5</f>
        <v>28</v>
      </c>
      <c r="BK5" s="39">
        <v>0</v>
      </c>
      <c r="BL5" s="40">
        <f t="shared" ref="BL5" si="1">COUNT(D5:AG5)/2+COUNT(AJ5:BI5)/2</f>
        <v>24</v>
      </c>
      <c r="BM5" s="41">
        <f t="shared" ref="BM5" si="2">COUNTIF(D5:BI5,"OFF")/2</f>
        <v>4</v>
      </c>
      <c r="BN5" s="41">
        <f t="shared" ref="BN5" si="3">COUNTIF(D5:BI5,"MC")/2</f>
        <v>0</v>
      </c>
      <c r="BO5" s="41">
        <f t="shared" ref="BO5" si="4">COUNTIF(D5:BI5,"EL")/2</f>
        <v>0</v>
      </c>
      <c r="BP5" s="41">
        <f t="shared" ref="BP5" si="5">COUNTIF(D5:BI5,"AL")/2</f>
        <v>0</v>
      </c>
      <c r="BQ5" s="41">
        <f t="shared" ref="BQ5" si="6">COUNTIF(D5:BI5,"SUS")/2</f>
        <v>0</v>
      </c>
      <c r="BR5" s="41">
        <f t="shared" ref="BR5" si="7">COUNTIF(D5:BI5,"FL")/2</f>
        <v>0</v>
      </c>
      <c r="BS5" s="41">
        <f t="shared" ref="BS5" si="8">COUNTIF(D5:BI5,"SICK")/2</f>
        <v>0</v>
      </c>
      <c r="BT5" s="41">
        <f t="shared" ref="BT5" si="9">COUNTIF(D5:BI5,"HD")/2</f>
        <v>0</v>
      </c>
      <c r="BU5" s="41">
        <f t="shared" ref="BU5" si="10">COUNTIF(D5:BI5,"AB")/2</f>
        <v>0</v>
      </c>
      <c r="BV5" s="41">
        <f t="shared" ref="BV5" si="11">COUNTIF(D5:BI5,"NL")/2</f>
        <v>0</v>
      </c>
      <c r="BW5" s="41">
        <f t="shared" ref="BW5" si="12">COUNTIF(D5:BI5,"SP")/2</f>
        <v>0</v>
      </c>
      <c r="BX5" s="42"/>
      <c r="CB5" s="36">
        <v>0</v>
      </c>
      <c r="CC5" s="32">
        <v>0</v>
      </c>
      <c r="CD5" s="32">
        <v>0</v>
      </c>
      <c r="CE5" s="32">
        <v>0</v>
      </c>
      <c r="CF5" s="32">
        <v>0</v>
      </c>
      <c r="CG5" s="32">
        <v>0</v>
      </c>
      <c r="CH5" s="32">
        <v>0</v>
      </c>
      <c r="CI5" s="32">
        <v>0</v>
      </c>
      <c r="CJ5" s="32">
        <v>0</v>
      </c>
      <c r="CK5" s="32">
        <v>0</v>
      </c>
      <c r="CL5" s="48">
        <f t="shared" ref="CL5:CL25" si="13">SUM(CB5:CK5)</f>
        <v>0</v>
      </c>
    </row>
    <row r="6" spans="1:90" ht="24.75" customHeight="1" x14ac:dyDescent="0.25">
      <c r="A6" s="32">
        <v>2</v>
      </c>
      <c r="B6" s="33" t="s">
        <v>15</v>
      </c>
      <c r="C6" s="34" t="s">
        <v>16</v>
      </c>
      <c r="D6" s="78">
        <v>1</v>
      </c>
      <c r="E6" s="78">
        <v>1</v>
      </c>
      <c r="F6" s="78">
        <v>1</v>
      </c>
      <c r="G6" s="78">
        <v>1</v>
      </c>
      <c r="H6" s="78">
        <v>1</v>
      </c>
      <c r="I6" s="78">
        <v>1</v>
      </c>
      <c r="J6" s="78">
        <v>1</v>
      </c>
      <c r="K6" s="78">
        <v>1</v>
      </c>
      <c r="L6" s="78">
        <v>1</v>
      </c>
      <c r="M6" s="78">
        <v>1</v>
      </c>
      <c r="N6" s="82" t="s">
        <v>59</v>
      </c>
      <c r="O6" s="82" t="s">
        <v>59</v>
      </c>
      <c r="P6" s="71">
        <v>1</v>
      </c>
      <c r="Q6" s="71">
        <v>1</v>
      </c>
      <c r="R6" s="71">
        <v>1</v>
      </c>
      <c r="S6" s="71">
        <v>1</v>
      </c>
      <c r="T6" s="71">
        <v>1</v>
      </c>
      <c r="U6" s="71">
        <v>1</v>
      </c>
      <c r="V6" s="71">
        <v>1</v>
      </c>
      <c r="W6" s="71">
        <v>1</v>
      </c>
      <c r="X6" s="71">
        <v>1</v>
      </c>
      <c r="Y6" s="71">
        <v>1</v>
      </c>
      <c r="Z6" s="71">
        <v>1</v>
      </c>
      <c r="AA6" s="71">
        <v>1</v>
      </c>
      <c r="AB6" s="82" t="s">
        <v>59</v>
      </c>
      <c r="AC6" s="82" t="s">
        <v>59</v>
      </c>
      <c r="AD6" s="71">
        <v>1</v>
      </c>
      <c r="AE6" s="71">
        <v>1</v>
      </c>
      <c r="AF6" s="71">
        <v>1</v>
      </c>
      <c r="AG6" s="71">
        <v>1</v>
      </c>
      <c r="AH6" s="62"/>
      <c r="AI6" s="35">
        <v>2</v>
      </c>
      <c r="AJ6" s="71">
        <v>1</v>
      </c>
      <c r="AK6" s="71">
        <v>1</v>
      </c>
      <c r="AL6" s="71">
        <v>1</v>
      </c>
      <c r="AM6" s="71">
        <v>1</v>
      </c>
      <c r="AN6" s="71">
        <v>1</v>
      </c>
      <c r="AO6" s="71">
        <v>1</v>
      </c>
      <c r="AP6" s="71">
        <v>1</v>
      </c>
      <c r="AQ6" s="71">
        <v>1</v>
      </c>
      <c r="AR6" s="82" t="s">
        <v>59</v>
      </c>
      <c r="AS6" s="82" t="s">
        <v>59</v>
      </c>
      <c r="AT6" s="71">
        <v>1</v>
      </c>
      <c r="AU6" s="71">
        <v>1</v>
      </c>
      <c r="AV6" s="71">
        <v>1</v>
      </c>
      <c r="AW6" s="71">
        <v>1</v>
      </c>
      <c r="AX6" s="71">
        <v>1</v>
      </c>
      <c r="AY6" s="71">
        <v>1</v>
      </c>
      <c r="AZ6" s="71">
        <v>1</v>
      </c>
      <c r="BA6" s="71">
        <v>1</v>
      </c>
      <c r="BB6" s="71">
        <v>1</v>
      </c>
      <c r="BC6" s="71">
        <v>1</v>
      </c>
      <c r="BD6" s="71">
        <v>1</v>
      </c>
      <c r="BE6" s="71">
        <v>1</v>
      </c>
      <c r="BF6" s="82" t="s">
        <v>59</v>
      </c>
      <c r="BG6" s="82" t="s">
        <v>59</v>
      </c>
      <c r="BH6" s="71">
        <v>1</v>
      </c>
      <c r="BI6" s="71">
        <v>1</v>
      </c>
      <c r="BJ6" s="38">
        <f t="shared" si="0"/>
        <v>28</v>
      </c>
      <c r="BK6" s="39">
        <v>0</v>
      </c>
      <c r="BL6" s="40">
        <f t="shared" ref="BL6:BL31" si="14">COUNT(D6:AG6)/2+COUNT(AJ6:BI6)/2</f>
        <v>24</v>
      </c>
      <c r="BM6" s="41">
        <f t="shared" ref="BM6:BM31" si="15">COUNTIF(D6:BI6,"OFF")/2</f>
        <v>4</v>
      </c>
      <c r="BN6" s="41">
        <f t="shared" ref="BN6:BN31" si="16">COUNTIF(D6:BI6,"MC")/2</f>
        <v>0</v>
      </c>
      <c r="BO6" s="41">
        <f t="shared" ref="BO6:BO31" si="17">COUNTIF(D6:BI6,"EL")/2</f>
        <v>0</v>
      </c>
      <c r="BP6" s="41">
        <f t="shared" ref="BP6:BP31" si="18">COUNTIF(D6:BI6,"AL")/2</f>
        <v>0</v>
      </c>
      <c r="BQ6" s="41">
        <f t="shared" ref="BQ6:BQ31" si="19">COUNTIF(D6:BI6,"SUS")/2</f>
        <v>0</v>
      </c>
      <c r="BR6" s="41">
        <f t="shared" ref="BR6:BR31" si="20">COUNTIF(D6:BI6,"FL")/2</f>
        <v>0</v>
      </c>
      <c r="BS6" s="41">
        <f t="shared" ref="BS6:BS31" si="21">COUNTIF(D6:BI6,"SICK")/2</f>
        <v>0</v>
      </c>
      <c r="BT6" s="41">
        <f t="shared" ref="BT6:BT31" si="22">COUNTIF(D6:BI6,"HD")/2</f>
        <v>0</v>
      </c>
      <c r="BU6" s="41">
        <f t="shared" ref="BU6:BU31" si="23">COUNTIF(D6:BI6,"AB")/2</f>
        <v>0</v>
      </c>
      <c r="BV6" s="41">
        <f t="shared" ref="BV6:BV31" si="24">COUNTIF(D6:BI6,"NL")/2</f>
        <v>0</v>
      </c>
      <c r="BW6" s="41">
        <f t="shared" ref="BW6:BW31" si="25">COUNTIF(D6:BI6,"SP")/2</f>
        <v>0</v>
      </c>
      <c r="BX6" s="42"/>
      <c r="CB6" s="36">
        <v>0</v>
      </c>
      <c r="CC6" s="32">
        <v>0</v>
      </c>
      <c r="CD6" s="32">
        <v>0</v>
      </c>
      <c r="CE6" s="32">
        <v>0</v>
      </c>
      <c r="CF6" s="32">
        <v>0</v>
      </c>
      <c r="CG6" s="32">
        <v>0</v>
      </c>
      <c r="CH6" s="32">
        <v>0</v>
      </c>
      <c r="CI6" s="32">
        <v>0</v>
      </c>
      <c r="CJ6" s="32">
        <v>0</v>
      </c>
      <c r="CK6" s="32">
        <v>0</v>
      </c>
      <c r="CL6" s="48">
        <f t="shared" si="13"/>
        <v>0</v>
      </c>
    </row>
    <row r="7" spans="1:90" ht="24.75" customHeight="1" x14ac:dyDescent="0.25">
      <c r="A7" s="32">
        <v>3</v>
      </c>
      <c r="B7" s="41" t="s">
        <v>17</v>
      </c>
      <c r="C7" s="34" t="s">
        <v>18</v>
      </c>
      <c r="D7" s="70">
        <v>0.32291666666666669</v>
      </c>
      <c r="E7" s="78">
        <v>1</v>
      </c>
      <c r="F7" s="70">
        <v>0.31527777777777777</v>
      </c>
      <c r="G7" s="78">
        <v>1</v>
      </c>
      <c r="H7" s="78">
        <v>1</v>
      </c>
      <c r="I7" s="78">
        <v>1</v>
      </c>
      <c r="J7" s="70">
        <v>0.32500000000000001</v>
      </c>
      <c r="K7" s="78">
        <v>1</v>
      </c>
      <c r="L7" s="70">
        <v>0.31180555555555556</v>
      </c>
      <c r="M7" s="78">
        <v>1</v>
      </c>
      <c r="N7" s="83">
        <v>0.55763888888888891</v>
      </c>
      <c r="O7" s="84">
        <v>1</v>
      </c>
      <c r="P7" s="70">
        <v>0.31111111111111112</v>
      </c>
      <c r="Q7" s="71">
        <v>1</v>
      </c>
      <c r="R7" s="70">
        <v>0.31527777777777777</v>
      </c>
      <c r="S7" s="71">
        <v>1</v>
      </c>
      <c r="T7" s="70">
        <v>0.31597222222222221</v>
      </c>
      <c r="U7" s="71">
        <v>1</v>
      </c>
      <c r="V7" s="70">
        <v>0.31944444444444448</v>
      </c>
      <c r="W7" s="70">
        <v>0.74513888888888891</v>
      </c>
      <c r="X7" s="70">
        <v>0.31388888888888888</v>
      </c>
      <c r="Y7" s="71">
        <v>1</v>
      </c>
      <c r="Z7" s="70">
        <v>0.31597222222222221</v>
      </c>
      <c r="AA7" s="71">
        <v>1</v>
      </c>
      <c r="AB7" s="83">
        <v>0.55763888888888891</v>
      </c>
      <c r="AC7" s="82">
        <v>1</v>
      </c>
      <c r="AD7" s="70">
        <v>0.31736111111111115</v>
      </c>
      <c r="AE7" s="71">
        <v>1</v>
      </c>
      <c r="AF7" s="70">
        <v>0.32500000000000001</v>
      </c>
      <c r="AG7" s="71">
        <v>1</v>
      </c>
      <c r="AH7" s="62"/>
      <c r="AI7" s="35">
        <v>3</v>
      </c>
      <c r="AJ7" s="70">
        <v>0.32569444444444445</v>
      </c>
      <c r="AK7" s="70">
        <v>1.5277777777777777E-2</v>
      </c>
      <c r="AL7" s="70">
        <v>0.3125</v>
      </c>
      <c r="AM7" s="70">
        <v>0.85</v>
      </c>
      <c r="AN7" s="70">
        <v>0.35625000000000001</v>
      </c>
      <c r="AO7" s="71">
        <v>1</v>
      </c>
      <c r="AP7" s="70">
        <v>0.37361111111111112</v>
      </c>
      <c r="AQ7" s="70">
        <v>0.40277777777777773</v>
      </c>
      <c r="AR7" s="83">
        <v>0.55555555555555558</v>
      </c>
      <c r="AS7" s="82">
        <v>1</v>
      </c>
      <c r="AT7" s="70">
        <v>0.33888888888888885</v>
      </c>
      <c r="AU7" s="71">
        <v>1</v>
      </c>
      <c r="AV7" s="70">
        <v>0.3347222222222222</v>
      </c>
      <c r="AW7" s="71">
        <v>1</v>
      </c>
      <c r="AX7" s="70">
        <v>0.33055555555555555</v>
      </c>
      <c r="AY7" s="71">
        <v>1</v>
      </c>
      <c r="AZ7" s="70">
        <v>0.33402777777777781</v>
      </c>
      <c r="BA7" s="71">
        <v>1</v>
      </c>
      <c r="BB7" s="70">
        <v>0.33402777777777781</v>
      </c>
      <c r="BC7" s="71">
        <v>1</v>
      </c>
      <c r="BD7" s="70">
        <v>0.34236111111111112</v>
      </c>
      <c r="BE7" s="71">
        <v>1</v>
      </c>
      <c r="BF7" s="83">
        <v>0.55763888888888891</v>
      </c>
      <c r="BG7" s="82">
        <v>1</v>
      </c>
      <c r="BH7" s="70">
        <v>0.33611111111111108</v>
      </c>
      <c r="BI7" s="71">
        <v>1</v>
      </c>
      <c r="BJ7" s="38">
        <f t="shared" si="0"/>
        <v>28</v>
      </c>
      <c r="BK7" s="39">
        <v>4</v>
      </c>
      <c r="BL7" s="40">
        <f>COUNT(D7:AG7)/2+COUNT(AJ7:BI7)/2</f>
        <v>28</v>
      </c>
      <c r="BM7" s="41">
        <f t="shared" si="15"/>
        <v>0</v>
      </c>
      <c r="BN7" s="41">
        <f t="shared" si="16"/>
        <v>0</v>
      </c>
      <c r="BO7" s="41">
        <f t="shared" si="17"/>
        <v>0</v>
      </c>
      <c r="BP7" s="41">
        <f t="shared" si="18"/>
        <v>0</v>
      </c>
      <c r="BQ7" s="41">
        <f t="shared" si="19"/>
        <v>0</v>
      </c>
      <c r="BR7" s="41">
        <f t="shared" si="20"/>
        <v>0</v>
      </c>
      <c r="BS7" s="41">
        <f t="shared" si="21"/>
        <v>0</v>
      </c>
      <c r="BT7" s="41">
        <f t="shared" si="22"/>
        <v>0</v>
      </c>
      <c r="BU7" s="41">
        <f t="shared" si="23"/>
        <v>0</v>
      </c>
      <c r="BV7" s="41">
        <f t="shared" si="24"/>
        <v>0</v>
      </c>
      <c r="BW7" s="41">
        <f t="shared" si="25"/>
        <v>0</v>
      </c>
      <c r="BX7" s="42"/>
      <c r="CB7" s="36">
        <v>0</v>
      </c>
      <c r="CC7" s="32">
        <v>0</v>
      </c>
      <c r="CD7" s="32">
        <v>13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47">
        <f t="shared" si="13"/>
        <v>13</v>
      </c>
    </row>
    <row r="8" spans="1:90" ht="24.75" customHeight="1" x14ac:dyDescent="0.25">
      <c r="A8" s="32">
        <v>4</v>
      </c>
      <c r="B8" s="41" t="s">
        <v>19</v>
      </c>
      <c r="C8" s="34" t="s">
        <v>20</v>
      </c>
      <c r="D8" s="78">
        <v>1</v>
      </c>
      <c r="E8" s="78">
        <v>1</v>
      </c>
      <c r="F8" s="78">
        <v>1</v>
      </c>
      <c r="G8" s="78">
        <v>1</v>
      </c>
      <c r="H8" s="78">
        <v>1</v>
      </c>
      <c r="I8" s="78">
        <v>1</v>
      </c>
      <c r="J8" s="78">
        <v>1</v>
      </c>
      <c r="K8" s="78">
        <v>1</v>
      </c>
      <c r="L8" s="78">
        <v>1</v>
      </c>
      <c r="M8" s="78">
        <v>1</v>
      </c>
      <c r="N8" s="82" t="s">
        <v>59</v>
      </c>
      <c r="O8" s="82" t="s">
        <v>59</v>
      </c>
      <c r="P8" s="71">
        <v>1</v>
      </c>
      <c r="Q8" s="71">
        <v>1</v>
      </c>
      <c r="R8" s="71">
        <v>1</v>
      </c>
      <c r="S8" s="71">
        <v>1</v>
      </c>
      <c r="T8" s="71">
        <v>1</v>
      </c>
      <c r="U8" s="71">
        <v>1</v>
      </c>
      <c r="V8" s="71">
        <v>1</v>
      </c>
      <c r="W8" s="71">
        <v>1</v>
      </c>
      <c r="X8" s="71">
        <v>1</v>
      </c>
      <c r="Y8" s="71">
        <v>1</v>
      </c>
      <c r="Z8" s="71">
        <v>1</v>
      </c>
      <c r="AA8" s="71">
        <v>1</v>
      </c>
      <c r="AB8" s="82" t="s">
        <v>59</v>
      </c>
      <c r="AC8" s="82" t="s">
        <v>59</v>
      </c>
      <c r="AD8" s="71">
        <v>1</v>
      </c>
      <c r="AE8" s="71">
        <v>1</v>
      </c>
      <c r="AF8" s="71">
        <v>1</v>
      </c>
      <c r="AG8" s="71">
        <v>1</v>
      </c>
      <c r="AH8" s="62"/>
      <c r="AI8" s="35">
        <v>4</v>
      </c>
      <c r="AJ8" s="71">
        <v>1</v>
      </c>
      <c r="AK8" s="71">
        <v>1</v>
      </c>
      <c r="AL8" s="71">
        <v>1</v>
      </c>
      <c r="AM8" s="71">
        <v>1</v>
      </c>
      <c r="AN8" s="71">
        <v>1</v>
      </c>
      <c r="AO8" s="71">
        <v>1</v>
      </c>
      <c r="AP8" s="71">
        <v>1</v>
      </c>
      <c r="AQ8" s="71">
        <v>1</v>
      </c>
      <c r="AR8" s="82" t="s">
        <v>59</v>
      </c>
      <c r="AS8" s="82" t="s">
        <v>59</v>
      </c>
      <c r="AT8" s="71">
        <v>1</v>
      </c>
      <c r="AU8" s="71">
        <v>1</v>
      </c>
      <c r="AV8" s="71">
        <v>1</v>
      </c>
      <c r="AW8" s="71">
        <v>1</v>
      </c>
      <c r="AX8" s="71">
        <v>1</v>
      </c>
      <c r="AY8" s="71">
        <v>1</v>
      </c>
      <c r="AZ8" s="71">
        <v>1</v>
      </c>
      <c r="BA8" s="71">
        <v>1</v>
      </c>
      <c r="BB8" s="71">
        <v>1</v>
      </c>
      <c r="BC8" s="71">
        <v>1</v>
      </c>
      <c r="BD8" s="71">
        <v>1</v>
      </c>
      <c r="BE8" s="71">
        <v>1</v>
      </c>
      <c r="BF8" s="82" t="s">
        <v>59</v>
      </c>
      <c r="BG8" s="82" t="s">
        <v>59</v>
      </c>
      <c r="BH8" s="71">
        <v>1</v>
      </c>
      <c r="BI8" s="71">
        <v>1</v>
      </c>
      <c r="BJ8" s="38">
        <f t="shared" si="0"/>
        <v>28</v>
      </c>
      <c r="BK8" s="39">
        <v>0</v>
      </c>
      <c r="BL8" s="40">
        <f t="shared" si="14"/>
        <v>24</v>
      </c>
      <c r="BM8" s="41">
        <f t="shared" si="15"/>
        <v>4</v>
      </c>
      <c r="BN8" s="41">
        <f t="shared" si="16"/>
        <v>0</v>
      </c>
      <c r="BO8" s="41">
        <f t="shared" si="17"/>
        <v>0</v>
      </c>
      <c r="BP8" s="41">
        <f t="shared" si="18"/>
        <v>0</v>
      </c>
      <c r="BQ8" s="41">
        <f t="shared" si="19"/>
        <v>0</v>
      </c>
      <c r="BR8" s="41">
        <f t="shared" si="20"/>
        <v>0</v>
      </c>
      <c r="BS8" s="41">
        <f t="shared" si="21"/>
        <v>0</v>
      </c>
      <c r="BT8" s="41">
        <f t="shared" si="22"/>
        <v>0</v>
      </c>
      <c r="BU8" s="41">
        <f t="shared" si="23"/>
        <v>0</v>
      </c>
      <c r="BV8" s="41">
        <f t="shared" si="24"/>
        <v>0</v>
      </c>
      <c r="BW8" s="41">
        <f t="shared" si="25"/>
        <v>0</v>
      </c>
      <c r="BX8" s="42"/>
      <c r="CB8" s="36">
        <v>0</v>
      </c>
      <c r="CC8" s="32">
        <v>0</v>
      </c>
      <c r="CD8" s="32">
        <v>33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47">
        <f t="shared" si="13"/>
        <v>33</v>
      </c>
    </row>
    <row r="9" spans="1:90" ht="24.75" customHeight="1" x14ac:dyDescent="0.25">
      <c r="A9" s="32">
        <v>5</v>
      </c>
      <c r="B9" s="44" t="s">
        <v>21</v>
      </c>
      <c r="C9" s="45" t="s">
        <v>22</v>
      </c>
      <c r="D9" s="78">
        <v>1</v>
      </c>
      <c r="E9" s="78">
        <v>1</v>
      </c>
      <c r="F9" s="78">
        <v>1</v>
      </c>
      <c r="G9" s="78">
        <v>1</v>
      </c>
      <c r="H9" s="78">
        <v>1</v>
      </c>
      <c r="I9" s="78">
        <v>1</v>
      </c>
      <c r="J9" s="78">
        <v>1</v>
      </c>
      <c r="K9" s="78">
        <v>1</v>
      </c>
      <c r="L9" s="78">
        <v>1</v>
      </c>
      <c r="M9" s="78">
        <v>1</v>
      </c>
      <c r="N9" s="82" t="s">
        <v>59</v>
      </c>
      <c r="O9" s="82" t="s">
        <v>59</v>
      </c>
      <c r="P9" s="71">
        <v>1</v>
      </c>
      <c r="Q9" s="71">
        <v>1</v>
      </c>
      <c r="R9" s="71">
        <v>1</v>
      </c>
      <c r="S9" s="71">
        <v>1</v>
      </c>
      <c r="T9" s="71">
        <v>1</v>
      </c>
      <c r="U9" s="71">
        <v>1</v>
      </c>
      <c r="V9" s="71">
        <v>1</v>
      </c>
      <c r="W9" s="71">
        <v>1</v>
      </c>
      <c r="X9" s="71">
        <v>1</v>
      </c>
      <c r="Y9" s="71">
        <v>1</v>
      </c>
      <c r="Z9" s="71">
        <v>1</v>
      </c>
      <c r="AA9" s="71">
        <v>1</v>
      </c>
      <c r="AB9" s="82" t="s">
        <v>59</v>
      </c>
      <c r="AC9" s="82" t="s">
        <v>59</v>
      </c>
      <c r="AD9" s="71">
        <v>1</v>
      </c>
      <c r="AE9" s="71">
        <v>1</v>
      </c>
      <c r="AF9" s="71">
        <v>1</v>
      </c>
      <c r="AG9" s="71">
        <v>1</v>
      </c>
      <c r="AH9" s="62"/>
      <c r="AI9" s="35">
        <v>5</v>
      </c>
      <c r="AJ9" s="71">
        <v>1</v>
      </c>
      <c r="AK9" s="71">
        <v>1</v>
      </c>
      <c r="AL9" s="71">
        <v>1</v>
      </c>
      <c r="AM9" s="71">
        <v>1</v>
      </c>
      <c r="AN9" s="71">
        <v>1</v>
      </c>
      <c r="AO9" s="71">
        <v>1</v>
      </c>
      <c r="AP9" s="71">
        <v>1</v>
      </c>
      <c r="AQ9" s="71">
        <v>1</v>
      </c>
      <c r="AR9" s="82" t="s">
        <v>59</v>
      </c>
      <c r="AS9" s="82" t="s">
        <v>59</v>
      </c>
      <c r="AT9" s="71">
        <v>1</v>
      </c>
      <c r="AU9" s="71">
        <v>1</v>
      </c>
      <c r="AV9" s="71">
        <v>1</v>
      </c>
      <c r="AW9" s="71">
        <v>1</v>
      </c>
      <c r="AX9" s="71">
        <v>1</v>
      </c>
      <c r="AY9" s="71">
        <v>1</v>
      </c>
      <c r="AZ9" s="71">
        <v>1</v>
      </c>
      <c r="BA9" s="71">
        <v>1</v>
      </c>
      <c r="BB9" s="71">
        <v>1</v>
      </c>
      <c r="BC9" s="71">
        <v>1</v>
      </c>
      <c r="BD9" s="71">
        <v>1</v>
      </c>
      <c r="BE9" s="71">
        <v>1</v>
      </c>
      <c r="BF9" s="82" t="s">
        <v>59</v>
      </c>
      <c r="BG9" s="82" t="s">
        <v>59</v>
      </c>
      <c r="BH9" s="71">
        <v>1</v>
      </c>
      <c r="BI9" s="71">
        <v>1</v>
      </c>
      <c r="BJ9" s="38">
        <f t="shared" si="0"/>
        <v>28</v>
      </c>
      <c r="BK9" s="39">
        <v>0</v>
      </c>
      <c r="BL9" s="40">
        <f t="shared" si="14"/>
        <v>24</v>
      </c>
      <c r="BM9" s="41">
        <f t="shared" si="15"/>
        <v>4</v>
      </c>
      <c r="BN9" s="41">
        <f t="shared" si="16"/>
        <v>0</v>
      </c>
      <c r="BO9" s="41">
        <f t="shared" si="17"/>
        <v>0</v>
      </c>
      <c r="BP9" s="41">
        <f t="shared" si="18"/>
        <v>0</v>
      </c>
      <c r="BQ9" s="41">
        <f t="shared" si="19"/>
        <v>0</v>
      </c>
      <c r="BR9" s="41">
        <f t="shared" si="20"/>
        <v>0</v>
      </c>
      <c r="BS9" s="41">
        <f t="shared" si="21"/>
        <v>0</v>
      </c>
      <c r="BT9" s="41">
        <f t="shared" si="22"/>
        <v>0</v>
      </c>
      <c r="BU9" s="41">
        <f t="shared" si="23"/>
        <v>0</v>
      </c>
      <c r="BV9" s="41">
        <f t="shared" si="24"/>
        <v>0</v>
      </c>
      <c r="BW9" s="41">
        <f t="shared" si="25"/>
        <v>0</v>
      </c>
      <c r="BX9" s="42"/>
      <c r="CB9" s="36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47">
        <f t="shared" si="13"/>
        <v>0</v>
      </c>
    </row>
    <row r="10" spans="1:90" ht="24.75" customHeight="1" x14ac:dyDescent="0.25">
      <c r="A10" s="32">
        <v>6</v>
      </c>
      <c r="B10" s="41" t="s">
        <v>23</v>
      </c>
      <c r="C10" s="34" t="s">
        <v>24</v>
      </c>
      <c r="D10" s="70">
        <v>0.39027777777777778</v>
      </c>
      <c r="E10" s="70">
        <v>0.74930555555555556</v>
      </c>
      <c r="F10" s="70">
        <v>0.39583333333333331</v>
      </c>
      <c r="G10" s="70">
        <v>0.79375000000000007</v>
      </c>
      <c r="H10" s="70">
        <v>0.43958333333333338</v>
      </c>
      <c r="I10" s="70">
        <v>0.7909722222222223</v>
      </c>
      <c r="J10" s="70">
        <v>0.4145833333333333</v>
      </c>
      <c r="K10" s="78">
        <v>1</v>
      </c>
      <c r="L10" s="70">
        <v>0.41180555555555554</v>
      </c>
      <c r="M10" s="70">
        <v>0.7597222222222223</v>
      </c>
      <c r="N10" s="83">
        <v>0.41319444444444442</v>
      </c>
      <c r="O10" s="83">
        <v>0.61944444444444446</v>
      </c>
      <c r="P10" s="70">
        <v>0.46249999999999997</v>
      </c>
      <c r="Q10" s="70">
        <v>0.72986111111111107</v>
      </c>
      <c r="R10" s="70">
        <v>0.40763888888888888</v>
      </c>
      <c r="S10" s="70">
        <v>0.75</v>
      </c>
      <c r="T10" s="70">
        <v>0.40138888888888885</v>
      </c>
      <c r="U10" s="70">
        <v>0.75347222222222221</v>
      </c>
      <c r="V10" s="70">
        <v>0.41388888888888892</v>
      </c>
      <c r="W10" s="70">
        <v>0.76111111111111107</v>
      </c>
      <c r="X10" s="70">
        <v>0.41805555555555557</v>
      </c>
      <c r="Y10" s="70">
        <v>0.70833333333333337</v>
      </c>
      <c r="Z10" s="70">
        <v>0.44930555555555557</v>
      </c>
      <c r="AA10" s="70">
        <v>0.7104166666666667</v>
      </c>
      <c r="AB10" s="83">
        <v>0.4055555555555555</v>
      </c>
      <c r="AC10" s="83">
        <v>0.5805555555555556</v>
      </c>
      <c r="AD10" s="70">
        <v>0.48055555555555557</v>
      </c>
      <c r="AE10" s="71">
        <v>1</v>
      </c>
      <c r="AF10" s="70">
        <v>0.43124999999999997</v>
      </c>
      <c r="AG10" s="70">
        <v>0.75694444444444453</v>
      </c>
      <c r="AH10" s="77"/>
      <c r="AI10" s="35">
        <v>6</v>
      </c>
      <c r="AJ10" s="70">
        <v>0.42499999999999999</v>
      </c>
      <c r="AK10" s="70">
        <v>0.78402777777777777</v>
      </c>
      <c r="AL10" s="70">
        <v>0.44513888888888892</v>
      </c>
      <c r="AM10" s="70">
        <v>0.84166666666666667</v>
      </c>
      <c r="AN10" s="70">
        <v>0.47569444444444442</v>
      </c>
      <c r="AO10" s="70">
        <v>0.59444444444444444</v>
      </c>
      <c r="AP10" s="70">
        <v>0.40625</v>
      </c>
      <c r="AQ10" s="70">
        <v>0.67569444444444438</v>
      </c>
      <c r="AR10" s="82" t="s">
        <v>59</v>
      </c>
      <c r="AS10" s="82" t="s">
        <v>59</v>
      </c>
      <c r="AT10" s="70" t="s">
        <v>110</v>
      </c>
      <c r="AU10" s="70" t="s">
        <v>110</v>
      </c>
      <c r="AV10" s="70">
        <v>0.39027777777777778</v>
      </c>
      <c r="AW10" s="70">
        <v>0.66180555555555554</v>
      </c>
      <c r="AX10" s="70">
        <v>0.39305555555555555</v>
      </c>
      <c r="AY10" s="70">
        <v>0.70000000000000007</v>
      </c>
      <c r="AZ10" s="70">
        <v>0.39930555555555558</v>
      </c>
      <c r="BA10" s="70">
        <v>0.69097222222222221</v>
      </c>
      <c r="BB10" s="70">
        <v>0.40277777777777773</v>
      </c>
      <c r="BC10" s="70">
        <v>0.72638888888888886</v>
      </c>
      <c r="BD10" s="70">
        <v>0.42152777777777778</v>
      </c>
      <c r="BE10" s="70">
        <v>0.7270833333333333</v>
      </c>
      <c r="BF10" s="82" t="s">
        <v>59</v>
      </c>
      <c r="BG10" s="82" t="s">
        <v>59</v>
      </c>
      <c r="BH10" s="70">
        <v>0.43124999999999997</v>
      </c>
      <c r="BI10" s="70">
        <v>0.69027777777777777</v>
      </c>
      <c r="BJ10" s="38">
        <f t="shared" si="0"/>
        <v>28</v>
      </c>
      <c r="BK10" s="39">
        <v>2</v>
      </c>
      <c r="BL10" s="40">
        <f t="shared" si="14"/>
        <v>25</v>
      </c>
      <c r="BM10" s="41">
        <f t="shared" si="15"/>
        <v>2</v>
      </c>
      <c r="BN10" s="41">
        <f t="shared" si="16"/>
        <v>0</v>
      </c>
      <c r="BO10" s="41">
        <f t="shared" si="17"/>
        <v>0</v>
      </c>
      <c r="BP10" s="41">
        <f t="shared" si="18"/>
        <v>0</v>
      </c>
      <c r="BQ10" s="41">
        <f t="shared" si="19"/>
        <v>0</v>
      </c>
      <c r="BR10" s="41">
        <f t="shared" si="20"/>
        <v>0</v>
      </c>
      <c r="BS10" s="41">
        <f t="shared" si="21"/>
        <v>1</v>
      </c>
      <c r="BT10" s="41">
        <f t="shared" si="22"/>
        <v>0</v>
      </c>
      <c r="BU10" s="41">
        <f t="shared" si="23"/>
        <v>0</v>
      </c>
      <c r="BV10" s="41">
        <f t="shared" si="24"/>
        <v>0</v>
      </c>
      <c r="BW10" s="41">
        <f t="shared" si="25"/>
        <v>0</v>
      </c>
      <c r="BX10" s="42"/>
      <c r="CB10" s="36">
        <v>0</v>
      </c>
      <c r="CC10" s="32">
        <v>0</v>
      </c>
      <c r="CD10" s="32">
        <v>18</v>
      </c>
      <c r="CE10" s="32">
        <v>0</v>
      </c>
      <c r="CF10" s="32">
        <v>0</v>
      </c>
      <c r="CG10" s="32">
        <v>8</v>
      </c>
      <c r="CH10" s="32">
        <v>0</v>
      </c>
      <c r="CI10" s="32">
        <v>0</v>
      </c>
      <c r="CJ10" s="32">
        <v>0</v>
      </c>
      <c r="CK10" s="32">
        <v>6</v>
      </c>
      <c r="CL10" s="47">
        <f t="shared" si="13"/>
        <v>32</v>
      </c>
    </row>
    <row r="11" spans="1:90" ht="24.75" customHeight="1" x14ac:dyDescent="0.25">
      <c r="A11" s="32">
        <v>7</v>
      </c>
      <c r="B11" s="41" t="s">
        <v>25</v>
      </c>
      <c r="C11" s="34" t="s">
        <v>26</v>
      </c>
      <c r="D11" s="70">
        <v>0.3840277777777778</v>
      </c>
      <c r="E11" s="70">
        <v>2.0833333333333332E-2</v>
      </c>
      <c r="F11" s="70">
        <v>0.42569444444444443</v>
      </c>
      <c r="G11" s="78">
        <v>1</v>
      </c>
      <c r="H11" s="70">
        <v>0.39861111111111108</v>
      </c>
      <c r="I11" s="70">
        <v>6.9444444444444441E-3</v>
      </c>
      <c r="J11" s="70">
        <v>0.41041666666666665</v>
      </c>
      <c r="K11" s="70">
        <v>0.89027777777777783</v>
      </c>
      <c r="L11" s="70">
        <v>0.49583333333333335</v>
      </c>
      <c r="M11" s="70">
        <v>3.3333333333333333E-2</v>
      </c>
      <c r="N11" s="83">
        <v>0.58750000000000002</v>
      </c>
      <c r="O11" s="83">
        <v>0.98888888888888893</v>
      </c>
      <c r="P11" s="70">
        <v>0.39583333333333331</v>
      </c>
      <c r="Q11" s="70">
        <v>3.9583333333333331E-2</v>
      </c>
      <c r="R11" s="70">
        <v>0.41736111111111113</v>
      </c>
      <c r="S11" s="70">
        <v>0.98749999999999993</v>
      </c>
      <c r="T11" s="70">
        <v>0.37708333333333338</v>
      </c>
      <c r="U11" s="70">
        <v>3.472222222222222E-3</v>
      </c>
      <c r="V11" s="70">
        <v>0.39444444444444443</v>
      </c>
      <c r="W11" s="70">
        <v>0.9868055555555556</v>
      </c>
      <c r="X11" s="70">
        <v>0.4604166666666667</v>
      </c>
      <c r="Y11" s="70">
        <v>2.4999999999999998E-2</v>
      </c>
      <c r="Z11" s="70">
        <v>0.3888888888888889</v>
      </c>
      <c r="AA11" s="70">
        <v>3.125E-2</v>
      </c>
      <c r="AB11" s="83">
        <v>0.5854166666666667</v>
      </c>
      <c r="AC11" s="83">
        <v>6.1111111111111116E-2</v>
      </c>
      <c r="AD11" s="70">
        <v>0.41875000000000001</v>
      </c>
      <c r="AE11" s="70">
        <v>0.9506944444444444</v>
      </c>
      <c r="AF11" s="70">
        <v>0.4069444444444445</v>
      </c>
      <c r="AG11" s="78">
        <v>1</v>
      </c>
      <c r="AI11" s="35">
        <v>7</v>
      </c>
      <c r="AJ11" s="70">
        <v>0.42291666666666666</v>
      </c>
      <c r="AK11" s="70">
        <v>5.4166666666666669E-2</v>
      </c>
      <c r="AL11" s="70">
        <v>0.34513888888888888</v>
      </c>
      <c r="AM11" s="70">
        <v>0.13125000000000001</v>
      </c>
      <c r="AN11" s="70">
        <v>0.53680555555555554</v>
      </c>
      <c r="AO11" s="70">
        <v>7.013888888888889E-2</v>
      </c>
      <c r="AP11" s="70">
        <v>0.37291666666666662</v>
      </c>
      <c r="AQ11" s="70">
        <v>0.93402777777777779</v>
      </c>
      <c r="AR11" s="83">
        <v>0.56805555555555554</v>
      </c>
      <c r="AS11" s="83">
        <v>0.1125</v>
      </c>
      <c r="AT11" s="70">
        <v>0.37152777777777773</v>
      </c>
      <c r="AU11" s="70">
        <v>6.9444444444444434E-2</v>
      </c>
      <c r="AV11" s="70">
        <v>0.38055555555555554</v>
      </c>
      <c r="AW11" s="70">
        <v>0.73333333333333339</v>
      </c>
      <c r="AX11" s="70">
        <v>0.3833333333333333</v>
      </c>
      <c r="AY11" s="70">
        <v>0.10277777777777779</v>
      </c>
      <c r="AZ11" s="70">
        <v>0.38194444444444442</v>
      </c>
      <c r="BA11" s="70">
        <v>0.10069444444444443</v>
      </c>
      <c r="BB11" s="70" t="s">
        <v>110</v>
      </c>
      <c r="BC11" s="70" t="s">
        <v>110</v>
      </c>
      <c r="BD11" s="70">
        <v>0.38263888888888892</v>
      </c>
      <c r="BE11" s="70">
        <v>5.9027777777777783E-2</v>
      </c>
      <c r="BF11" s="83">
        <v>0.57361111111111118</v>
      </c>
      <c r="BG11" s="83">
        <v>0.13749999999999998</v>
      </c>
      <c r="BH11" s="70">
        <v>0.375</v>
      </c>
      <c r="BI11" s="70">
        <v>0.10069444444444443</v>
      </c>
      <c r="BJ11" s="38">
        <f t="shared" si="0"/>
        <v>28</v>
      </c>
      <c r="BK11" s="39">
        <v>4</v>
      </c>
      <c r="BL11" s="40">
        <f t="shared" si="14"/>
        <v>27</v>
      </c>
      <c r="BM11" s="41">
        <f t="shared" si="15"/>
        <v>0</v>
      </c>
      <c r="BN11" s="41">
        <f t="shared" si="16"/>
        <v>0</v>
      </c>
      <c r="BO11" s="41">
        <f t="shared" si="17"/>
        <v>0</v>
      </c>
      <c r="BP11" s="41">
        <f t="shared" si="18"/>
        <v>0</v>
      </c>
      <c r="BQ11" s="41">
        <f t="shared" si="19"/>
        <v>0</v>
      </c>
      <c r="BR11" s="41">
        <f t="shared" si="20"/>
        <v>0</v>
      </c>
      <c r="BS11" s="41">
        <f t="shared" si="21"/>
        <v>1</v>
      </c>
      <c r="BT11" s="41">
        <f t="shared" si="22"/>
        <v>0</v>
      </c>
      <c r="BU11" s="41">
        <f t="shared" si="23"/>
        <v>0</v>
      </c>
      <c r="BV11" s="41">
        <f t="shared" si="24"/>
        <v>0</v>
      </c>
      <c r="BW11" s="41">
        <f t="shared" si="25"/>
        <v>0</v>
      </c>
      <c r="BX11" s="42"/>
      <c r="CB11" s="36">
        <v>0</v>
      </c>
      <c r="CC11" s="32">
        <v>0</v>
      </c>
      <c r="CD11" s="32">
        <v>27</v>
      </c>
      <c r="CE11" s="32">
        <v>0</v>
      </c>
      <c r="CF11" s="32">
        <v>0</v>
      </c>
      <c r="CG11" s="32">
        <v>5</v>
      </c>
      <c r="CH11" s="32">
        <v>0</v>
      </c>
      <c r="CI11" s="32">
        <v>0</v>
      </c>
      <c r="CJ11" s="32">
        <v>0</v>
      </c>
      <c r="CK11" s="32">
        <v>0</v>
      </c>
      <c r="CL11" s="47">
        <f t="shared" si="13"/>
        <v>32</v>
      </c>
    </row>
    <row r="12" spans="1:90" ht="24.75" customHeight="1" x14ac:dyDescent="0.25">
      <c r="A12" s="32">
        <v>8</v>
      </c>
      <c r="B12" s="41" t="s">
        <v>27</v>
      </c>
      <c r="C12" s="34" t="s">
        <v>28</v>
      </c>
      <c r="D12" s="70">
        <v>0.23819444444444446</v>
      </c>
      <c r="E12" s="78">
        <v>1</v>
      </c>
      <c r="F12" s="70">
        <v>0.24097222222222223</v>
      </c>
      <c r="G12" s="78">
        <v>1</v>
      </c>
      <c r="H12" s="70">
        <v>0.79305555555555562</v>
      </c>
      <c r="I12" s="78">
        <v>1</v>
      </c>
      <c r="J12" s="70">
        <v>0.24513888888888888</v>
      </c>
      <c r="K12" s="70">
        <v>0.25763888888888892</v>
      </c>
      <c r="L12" s="78">
        <v>1</v>
      </c>
      <c r="M12" s="78">
        <v>1</v>
      </c>
      <c r="N12" s="82" t="s">
        <v>59</v>
      </c>
      <c r="O12" s="82" t="s">
        <v>59</v>
      </c>
      <c r="P12" s="78">
        <v>1</v>
      </c>
      <c r="Q12" s="78">
        <v>1</v>
      </c>
      <c r="R12" s="70">
        <v>0.23680555555555557</v>
      </c>
      <c r="S12" s="78">
        <v>1</v>
      </c>
      <c r="T12" s="70">
        <v>0.34722222222222227</v>
      </c>
      <c r="U12" s="78">
        <v>1</v>
      </c>
      <c r="V12" s="70">
        <v>0.24861111111111112</v>
      </c>
      <c r="W12" s="78">
        <v>1</v>
      </c>
      <c r="X12" s="70">
        <v>0.23750000000000002</v>
      </c>
      <c r="Y12" s="78">
        <v>1</v>
      </c>
      <c r="Z12" s="70">
        <v>0.24374999999999999</v>
      </c>
      <c r="AA12" s="78">
        <v>1</v>
      </c>
      <c r="AB12" s="82" t="s">
        <v>59</v>
      </c>
      <c r="AC12" s="82" t="s">
        <v>59</v>
      </c>
      <c r="AD12" s="70">
        <v>0.92708333333333337</v>
      </c>
      <c r="AE12" s="78">
        <v>1</v>
      </c>
      <c r="AF12" s="70">
        <v>0.25833333333333336</v>
      </c>
      <c r="AG12" s="71">
        <v>1</v>
      </c>
      <c r="AI12" s="35">
        <v>8</v>
      </c>
      <c r="AJ12" s="70">
        <v>0.23958333333333334</v>
      </c>
      <c r="AK12" s="78">
        <v>1</v>
      </c>
      <c r="AL12" s="70">
        <v>0.80138888888888893</v>
      </c>
      <c r="AM12" s="78">
        <v>1</v>
      </c>
      <c r="AN12" s="70">
        <v>0.23541666666666669</v>
      </c>
      <c r="AO12" s="78">
        <v>1</v>
      </c>
      <c r="AP12" s="70">
        <v>0.24027777777777778</v>
      </c>
      <c r="AQ12" s="78">
        <v>1</v>
      </c>
      <c r="AR12" s="82" t="s">
        <v>59</v>
      </c>
      <c r="AS12" s="82" t="s">
        <v>59</v>
      </c>
      <c r="AT12" s="70">
        <v>0.23680555555555557</v>
      </c>
      <c r="AU12" s="78">
        <v>1</v>
      </c>
      <c r="AV12" s="70">
        <v>0.25347222222222221</v>
      </c>
      <c r="AW12" s="78">
        <v>1</v>
      </c>
      <c r="AX12" s="70">
        <v>0.23958333333333334</v>
      </c>
      <c r="AY12" s="78">
        <v>1</v>
      </c>
      <c r="AZ12" s="70">
        <v>0.23750000000000002</v>
      </c>
      <c r="BA12" s="78">
        <v>1</v>
      </c>
      <c r="BB12" s="70">
        <v>0.23611111111111113</v>
      </c>
      <c r="BC12" s="78">
        <v>1</v>
      </c>
      <c r="BD12" s="70">
        <v>0.24097222222222223</v>
      </c>
      <c r="BE12" s="78">
        <v>1</v>
      </c>
      <c r="BF12" s="82" t="s">
        <v>59</v>
      </c>
      <c r="BG12" s="82" t="s">
        <v>59</v>
      </c>
      <c r="BH12" s="78">
        <v>1</v>
      </c>
      <c r="BI12" s="78">
        <v>1</v>
      </c>
      <c r="BJ12" s="38">
        <f t="shared" si="0"/>
        <v>28</v>
      </c>
      <c r="BK12" s="39">
        <v>0</v>
      </c>
      <c r="BL12" s="40">
        <f t="shared" si="14"/>
        <v>24</v>
      </c>
      <c r="BM12" s="41">
        <f t="shared" si="15"/>
        <v>4</v>
      </c>
      <c r="BN12" s="41">
        <f t="shared" si="16"/>
        <v>0</v>
      </c>
      <c r="BO12" s="41">
        <f t="shared" si="17"/>
        <v>0</v>
      </c>
      <c r="BP12" s="41">
        <f t="shared" si="18"/>
        <v>0</v>
      </c>
      <c r="BQ12" s="41">
        <f t="shared" si="19"/>
        <v>0</v>
      </c>
      <c r="BR12" s="41">
        <f t="shared" si="20"/>
        <v>0</v>
      </c>
      <c r="BS12" s="41">
        <f t="shared" si="21"/>
        <v>0</v>
      </c>
      <c r="BT12" s="41">
        <f t="shared" si="22"/>
        <v>0</v>
      </c>
      <c r="BU12" s="41">
        <f t="shared" si="23"/>
        <v>0</v>
      </c>
      <c r="BV12" s="41">
        <f t="shared" si="24"/>
        <v>0</v>
      </c>
      <c r="BW12" s="41">
        <f t="shared" si="25"/>
        <v>0</v>
      </c>
      <c r="BX12" s="42"/>
      <c r="CB12" s="36">
        <v>0</v>
      </c>
      <c r="CC12" s="32">
        <v>0</v>
      </c>
      <c r="CD12" s="32">
        <v>17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47">
        <f t="shared" si="13"/>
        <v>17</v>
      </c>
    </row>
    <row r="13" spans="1:90" ht="24.75" customHeight="1" thickBot="1" x14ac:dyDescent="0.3">
      <c r="A13" s="32">
        <v>9</v>
      </c>
      <c r="B13" s="41" t="s">
        <v>29</v>
      </c>
      <c r="C13" s="34" t="s">
        <v>30</v>
      </c>
      <c r="D13" s="70">
        <v>0.3444444444444445</v>
      </c>
      <c r="E13" s="70">
        <v>0.97986111111111107</v>
      </c>
      <c r="F13" s="70">
        <v>0.3430555555555555</v>
      </c>
      <c r="G13" s="70">
        <v>0.95972222222222225</v>
      </c>
      <c r="H13" s="70">
        <v>0.34583333333333338</v>
      </c>
      <c r="I13" s="70">
        <v>0.95416666666666661</v>
      </c>
      <c r="J13" s="70">
        <v>0.33958333333333335</v>
      </c>
      <c r="K13" s="70">
        <v>0.96597222222222223</v>
      </c>
      <c r="L13" s="70">
        <v>0.34652777777777777</v>
      </c>
      <c r="M13" s="70">
        <v>0.97361111111111109</v>
      </c>
      <c r="N13" s="83">
        <v>0.5756944444444444</v>
      </c>
      <c r="O13" s="83">
        <v>0.95624999999999993</v>
      </c>
      <c r="P13" s="70">
        <v>0.34722222222222227</v>
      </c>
      <c r="Q13" s="70">
        <v>0.97152777777777777</v>
      </c>
      <c r="R13" s="70">
        <v>0.3444444444444445</v>
      </c>
      <c r="S13" s="70">
        <v>0.95000000000000007</v>
      </c>
      <c r="T13" s="70">
        <v>0.34583333333333338</v>
      </c>
      <c r="U13" s="70">
        <v>0.95763888888888893</v>
      </c>
      <c r="V13" s="70">
        <v>0.3430555555555555</v>
      </c>
      <c r="W13" s="70">
        <v>0.95486111111111116</v>
      </c>
      <c r="X13" s="70">
        <v>0.3444444444444445</v>
      </c>
      <c r="Y13" s="70">
        <v>0.95833333333333337</v>
      </c>
      <c r="Z13" s="70">
        <v>0.34652777777777777</v>
      </c>
      <c r="AA13" s="70">
        <v>0.97361111111111109</v>
      </c>
      <c r="AB13" s="83">
        <v>0.57777777777777783</v>
      </c>
      <c r="AC13" s="83">
        <v>0.95972222222222225</v>
      </c>
      <c r="AD13" s="70">
        <v>0.3444444444444445</v>
      </c>
      <c r="AE13" s="70">
        <v>0.98541666666666661</v>
      </c>
      <c r="AF13" s="70">
        <v>0.34236111111111112</v>
      </c>
      <c r="AG13" s="70">
        <v>0.95972222222222225</v>
      </c>
      <c r="AH13" s="68"/>
      <c r="AI13" s="35">
        <v>9</v>
      </c>
      <c r="AJ13" s="70">
        <v>0.34236111111111112</v>
      </c>
      <c r="AK13" s="70">
        <v>0.96805555555555556</v>
      </c>
      <c r="AL13" s="70">
        <v>0.3430555555555555</v>
      </c>
      <c r="AM13" s="71">
        <v>1</v>
      </c>
      <c r="AN13" s="70">
        <v>0.3756944444444445</v>
      </c>
      <c r="AO13" s="70">
        <v>0.99791666666666667</v>
      </c>
      <c r="AP13" s="70">
        <v>0.36805555555555558</v>
      </c>
      <c r="AQ13" s="70">
        <v>1.5972222222222224E-2</v>
      </c>
      <c r="AR13" s="83">
        <v>0.57708333333333328</v>
      </c>
      <c r="AS13" s="83">
        <v>1.9444444444444445E-2</v>
      </c>
      <c r="AT13" s="70">
        <v>0.36319444444444443</v>
      </c>
      <c r="AU13" s="70">
        <v>0.8534722222222223</v>
      </c>
      <c r="AV13" s="70">
        <v>0.36388888888888887</v>
      </c>
      <c r="AW13" s="70">
        <v>0.84791666666666676</v>
      </c>
      <c r="AX13" s="70">
        <v>0.36458333333333331</v>
      </c>
      <c r="AY13" s="70">
        <v>1.5972222222222224E-2</v>
      </c>
      <c r="AZ13" s="70">
        <v>0.3666666666666667</v>
      </c>
      <c r="BA13" s="70">
        <v>8.3333333333333332E-3</v>
      </c>
      <c r="BB13" s="70">
        <v>0.36180555555555555</v>
      </c>
      <c r="BC13" s="70">
        <v>0.85069444444444453</v>
      </c>
      <c r="BD13" s="70">
        <v>0.36736111111111108</v>
      </c>
      <c r="BE13" s="70">
        <v>0.85277777777777775</v>
      </c>
      <c r="BF13" s="83">
        <v>0.57847222222222217</v>
      </c>
      <c r="BG13" s="83">
        <v>0.85138888888888886</v>
      </c>
      <c r="BH13" s="70">
        <v>0.36527777777777781</v>
      </c>
      <c r="BI13" s="70">
        <v>4.8611111111111112E-2</v>
      </c>
      <c r="BJ13" s="38">
        <f t="shared" si="0"/>
        <v>28</v>
      </c>
      <c r="BK13" s="39">
        <v>4</v>
      </c>
      <c r="BL13" s="40">
        <f t="shared" si="14"/>
        <v>28</v>
      </c>
      <c r="BM13" s="41">
        <f t="shared" si="15"/>
        <v>0</v>
      </c>
      <c r="BN13" s="41">
        <f t="shared" si="16"/>
        <v>0</v>
      </c>
      <c r="BO13" s="41">
        <f t="shared" si="17"/>
        <v>0</v>
      </c>
      <c r="BP13" s="41">
        <f t="shared" si="18"/>
        <v>0</v>
      </c>
      <c r="BQ13" s="41">
        <f t="shared" si="19"/>
        <v>0</v>
      </c>
      <c r="BR13" s="41">
        <f t="shared" si="20"/>
        <v>0</v>
      </c>
      <c r="BS13" s="41">
        <f t="shared" si="21"/>
        <v>0</v>
      </c>
      <c r="BT13" s="41">
        <f t="shared" si="22"/>
        <v>0</v>
      </c>
      <c r="BU13" s="41">
        <f t="shared" si="23"/>
        <v>0</v>
      </c>
      <c r="BV13" s="41">
        <f t="shared" si="24"/>
        <v>0</v>
      </c>
      <c r="BW13" s="41">
        <f t="shared" si="25"/>
        <v>0</v>
      </c>
      <c r="BX13" s="42"/>
      <c r="CB13" s="36">
        <v>0</v>
      </c>
      <c r="CC13" s="32">
        <v>0</v>
      </c>
      <c r="CD13" s="32">
        <v>20</v>
      </c>
      <c r="CE13" s="32">
        <v>0</v>
      </c>
      <c r="CF13" s="32">
        <v>0</v>
      </c>
      <c r="CG13" s="32">
        <v>2</v>
      </c>
      <c r="CH13" s="32">
        <v>0</v>
      </c>
      <c r="CI13" s="32">
        <v>0</v>
      </c>
      <c r="CJ13" s="32">
        <v>0</v>
      </c>
      <c r="CK13" s="32">
        <v>0</v>
      </c>
      <c r="CL13" s="47">
        <f t="shared" si="13"/>
        <v>22</v>
      </c>
    </row>
    <row r="14" spans="1:90" ht="24.75" customHeight="1" thickBot="1" x14ac:dyDescent="0.3">
      <c r="A14" s="32">
        <v>10</v>
      </c>
      <c r="B14" s="41" t="s">
        <v>31</v>
      </c>
      <c r="C14" s="34" t="s">
        <v>32</v>
      </c>
      <c r="D14" s="70">
        <v>0.35694444444444445</v>
      </c>
      <c r="E14" s="70">
        <v>0.6479166666666667</v>
      </c>
      <c r="F14" s="70">
        <v>0.35555555555555557</v>
      </c>
      <c r="G14" s="70">
        <v>0.64930555555555558</v>
      </c>
      <c r="H14" s="70">
        <v>0.35625000000000001</v>
      </c>
      <c r="I14" s="70">
        <v>0.64930555555555558</v>
      </c>
      <c r="J14" s="70">
        <v>0.35625000000000001</v>
      </c>
      <c r="K14" s="70">
        <v>0.6479166666666667</v>
      </c>
      <c r="L14" s="70">
        <v>0.35416666666666669</v>
      </c>
      <c r="M14" s="70">
        <v>0.64583333333333337</v>
      </c>
      <c r="N14" s="82" t="s">
        <v>59</v>
      </c>
      <c r="O14" s="82" t="s">
        <v>59</v>
      </c>
      <c r="P14" s="70">
        <v>0.65416666666666667</v>
      </c>
      <c r="Q14" s="70">
        <v>0.94861111111111107</v>
      </c>
      <c r="R14" s="70">
        <v>0.64374999999999993</v>
      </c>
      <c r="S14" s="70">
        <v>0.93472222222222223</v>
      </c>
      <c r="T14" s="70">
        <v>0.35625000000000001</v>
      </c>
      <c r="U14" s="70">
        <v>0.6479166666666667</v>
      </c>
      <c r="V14" s="70">
        <v>0.64652777777777781</v>
      </c>
      <c r="W14" s="70">
        <v>0.93333333333333324</v>
      </c>
      <c r="X14" s="70">
        <v>0.64583333333333337</v>
      </c>
      <c r="Y14" s="70">
        <v>0.93611111111111101</v>
      </c>
      <c r="Z14" s="70" t="s">
        <v>67</v>
      </c>
      <c r="AA14" s="70" t="s">
        <v>67</v>
      </c>
      <c r="AB14" s="83">
        <v>0.5854166666666667</v>
      </c>
      <c r="AC14" s="83">
        <v>0.93402777777777779</v>
      </c>
      <c r="AD14" s="70">
        <v>0.36249999999999999</v>
      </c>
      <c r="AE14" s="70">
        <v>0.65069444444444446</v>
      </c>
      <c r="AF14" s="70">
        <v>0.35625000000000001</v>
      </c>
      <c r="AG14" s="70">
        <v>0.6479166666666667</v>
      </c>
      <c r="AH14" s="87"/>
      <c r="AI14" s="35">
        <v>10</v>
      </c>
      <c r="AJ14" s="70">
        <v>0.35625000000000001</v>
      </c>
      <c r="AK14" s="70">
        <v>0.6479166666666667</v>
      </c>
      <c r="AL14" s="70">
        <v>0.35694444444444445</v>
      </c>
      <c r="AM14" s="70">
        <v>0.64513888888888882</v>
      </c>
      <c r="AN14" s="70">
        <v>0.3923611111111111</v>
      </c>
      <c r="AO14" s="70">
        <v>0.64583333333333337</v>
      </c>
      <c r="AP14" s="70">
        <v>0.38541666666666669</v>
      </c>
      <c r="AQ14" s="70">
        <v>0.64583333333333337</v>
      </c>
      <c r="AR14" s="83">
        <v>0.5805555555555556</v>
      </c>
      <c r="AS14" s="83">
        <v>0.99861111111111101</v>
      </c>
      <c r="AT14" s="70">
        <v>0.64652777777777781</v>
      </c>
      <c r="AU14" s="70">
        <v>2.0833333333333333E-3</v>
      </c>
      <c r="AV14" s="70">
        <v>0.37708333333333338</v>
      </c>
      <c r="AW14" s="70">
        <v>0.64861111111111114</v>
      </c>
      <c r="AX14" s="70">
        <v>0.64722222222222225</v>
      </c>
      <c r="AY14" s="70">
        <v>0.99861111111111101</v>
      </c>
      <c r="AZ14" s="70">
        <v>0.37777777777777777</v>
      </c>
      <c r="BA14" s="70">
        <v>0.64583333333333337</v>
      </c>
      <c r="BB14" s="70">
        <v>0.64444444444444449</v>
      </c>
      <c r="BC14" s="70">
        <v>0.99513888888888891</v>
      </c>
      <c r="BD14" s="70">
        <v>0.64652777777777781</v>
      </c>
      <c r="BE14" s="70">
        <v>0.99583333333333324</v>
      </c>
      <c r="BF14" s="83">
        <v>0.58263888888888882</v>
      </c>
      <c r="BG14" s="83">
        <v>0.98749999999999993</v>
      </c>
      <c r="BH14" s="70">
        <v>0.41805555555555557</v>
      </c>
      <c r="BI14" s="70">
        <v>0.64722222222222225</v>
      </c>
      <c r="BJ14" s="38">
        <f t="shared" si="0"/>
        <v>27</v>
      </c>
      <c r="BK14" s="39">
        <v>3</v>
      </c>
      <c r="BL14" s="40">
        <f>COUNT(D14:AG14)/2+COUNT(AJ14:BI14)/2</f>
        <v>26</v>
      </c>
      <c r="BM14" s="41">
        <f>COUNTIF(D14:BI14,"OFF")/2</f>
        <v>1</v>
      </c>
      <c r="BN14" s="41">
        <f>COUNTIF(D14:BI14,"MC")/2</f>
        <v>0</v>
      </c>
      <c r="BO14" s="41">
        <f>COUNTIF(D14:BI14,"EL")/2</f>
        <v>0</v>
      </c>
      <c r="BP14" s="41">
        <f>COUNTIF(D14:BI14,"AL")/2</f>
        <v>0</v>
      </c>
      <c r="BQ14" s="41">
        <f>COUNTIF(D14:BI14,"SUS")/2</f>
        <v>0</v>
      </c>
      <c r="BR14" s="41">
        <f>COUNTIF(D14:BI14,"FL")/2</f>
        <v>0</v>
      </c>
      <c r="BS14" s="41">
        <f>COUNTIF(D14:BI14,"SICK")/2</f>
        <v>0</v>
      </c>
      <c r="BT14" s="41">
        <f>COUNTIF(D14:BI14,"HD")/2</f>
        <v>0</v>
      </c>
      <c r="BU14" s="41">
        <f>COUNTIF(D14:BI14,"AB")/2</f>
        <v>1</v>
      </c>
      <c r="BV14" s="41">
        <f>COUNTIF(D14:BI14,"NL")/2</f>
        <v>0</v>
      </c>
      <c r="BW14" s="41">
        <f>COUNTIF(D14:BI14,"SP")/2</f>
        <v>0</v>
      </c>
      <c r="BX14" s="42"/>
      <c r="CB14" s="36">
        <v>2</v>
      </c>
      <c r="CC14" s="32">
        <v>1</v>
      </c>
      <c r="CD14" s="72">
        <v>30</v>
      </c>
      <c r="CE14" s="32">
        <v>0</v>
      </c>
      <c r="CF14" s="32">
        <v>0</v>
      </c>
      <c r="CG14" s="32">
        <v>6</v>
      </c>
      <c r="CH14" s="32">
        <v>0</v>
      </c>
      <c r="CI14" s="32">
        <v>0</v>
      </c>
      <c r="CJ14" s="32">
        <v>30</v>
      </c>
      <c r="CK14" s="32">
        <v>0</v>
      </c>
      <c r="CL14" s="47">
        <f t="shared" si="13"/>
        <v>69</v>
      </c>
    </row>
    <row r="15" spans="1:90" ht="24.75" customHeight="1" thickBot="1" x14ac:dyDescent="0.3">
      <c r="A15" s="32">
        <v>11</v>
      </c>
      <c r="B15" s="41" t="s">
        <v>33</v>
      </c>
      <c r="C15" s="34" t="s">
        <v>34</v>
      </c>
      <c r="D15" s="75">
        <v>0.35416666666666669</v>
      </c>
      <c r="E15" s="70">
        <v>0.98541666666666661</v>
      </c>
      <c r="F15" s="70">
        <v>0.35069444444444442</v>
      </c>
      <c r="G15" s="70">
        <v>0.97013888888888899</v>
      </c>
      <c r="H15" s="70">
        <v>0.3520833333333333</v>
      </c>
      <c r="I15" s="70">
        <v>0.96944444444444444</v>
      </c>
      <c r="J15" s="70">
        <v>0.3659722222222222</v>
      </c>
      <c r="K15" s="70">
        <v>0.9604166666666667</v>
      </c>
      <c r="L15" s="70">
        <v>0.3527777777777778</v>
      </c>
      <c r="M15" s="70">
        <v>0.98749999999999993</v>
      </c>
      <c r="N15" s="83">
        <v>0.5805555555555556</v>
      </c>
      <c r="O15" s="83">
        <v>0.96458333333333324</v>
      </c>
      <c r="P15" s="70">
        <v>0.35555555555555557</v>
      </c>
      <c r="Q15" s="70">
        <v>0.97638888888888886</v>
      </c>
      <c r="R15" s="70">
        <v>0.3527777777777778</v>
      </c>
      <c r="S15" s="70">
        <v>0.94444444444444453</v>
      </c>
      <c r="T15" s="70" t="s">
        <v>110</v>
      </c>
      <c r="U15" s="70" t="s">
        <v>110</v>
      </c>
      <c r="V15" s="70">
        <v>0.35416666666666669</v>
      </c>
      <c r="W15" s="70">
        <v>0.96944444444444444</v>
      </c>
      <c r="X15" s="70">
        <v>0.3527777777777778</v>
      </c>
      <c r="Y15" s="70">
        <v>0.9784722222222223</v>
      </c>
      <c r="Z15" s="70">
        <v>0.35416666666666669</v>
      </c>
      <c r="AA15" s="70">
        <v>0.98125000000000007</v>
      </c>
      <c r="AB15" s="83">
        <v>0.58124999999999993</v>
      </c>
      <c r="AC15" s="83">
        <v>0.96250000000000002</v>
      </c>
      <c r="AD15" s="70">
        <v>0.35555555555555557</v>
      </c>
      <c r="AE15" s="70">
        <v>0.98819444444444438</v>
      </c>
      <c r="AF15" s="70">
        <v>0.35625000000000001</v>
      </c>
      <c r="AG15" s="70">
        <v>0.96805555555555556</v>
      </c>
      <c r="AH15" s="87"/>
      <c r="AI15" s="35">
        <v>11</v>
      </c>
      <c r="AJ15" s="70">
        <v>0.35347222222222219</v>
      </c>
      <c r="AK15" s="70">
        <v>0.9819444444444444</v>
      </c>
      <c r="AL15" s="70">
        <v>0.35347222222222219</v>
      </c>
      <c r="AM15" s="70">
        <v>3.4722222222222224E-2</v>
      </c>
      <c r="AN15" s="70">
        <v>0.3756944444444445</v>
      </c>
      <c r="AO15" s="70">
        <v>2.4305555555555556E-2</v>
      </c>
      <c r="AP15" s="70">
        <v>0.37361111111111112</v>
      </c>
      <c r="AQ15" s="70">
        <v>3.6111111111111115E-2</v>
      </c>
      <c r="AR15" s="83">
        <v>0.57916666666666672</v>
      </c>
      <c r="AS15" s="83">
        <v>1.4583333333333332E-2</v>
      </c>
      <c r="AT15" s="70">
        <v>0.37291666666666662</v>
      </c>
      <c r="AU15" s="70">
        <v>1.8055555555555557E-2</v>
      </c>
      <c r="AV15" s="70">
        <v>0.36874999999999997</v>
      </c>
      <c r="AW15" s="70">
        <v>0.85555555555555562</v>
      </c>
      <c r="AX15" s="70">
        <v>0.37152777777777773</v>
      </c>
      <c r="AY15" s="70">
        <v>1.5277777777777777E-2</v>
      </c>
      <c r="AZ15" s="70">
        <v>0.37222222222222223</v>
      </c>
      <c r="BA15" s="70">
        <v>1.4583333333333332E-2</v>
      </c>
      <c r="BB15" s="70">
        <v>0.37222222222222223</v>
      </c>
      <c r="BC15" s="70">
        <v>2.013888888888889E-2</v>
      </c>
      <c r="BD15" s="70">
        <v>0.3756944444444445</v>
      </c>
      <c r="BE15" s="70">
        <v>2.0833333333333332E-2</v>
      </c>
      <c r="BF15" s="83">
        <v>0.57916666666666672</v>
      </c>
      <c r="BG15" s="83">
        <v>4.8611111111111112E-3</v>
      </c>
      <c r="BH15" s="70">
        <v>0.38125000000000003</v>
      </c>
      <c r="BI15" s="70">
        <v>1.4583333333333332E-2</v>
      </c>
      <c r="BJ15" s="38">
        <f t="shared" si="0"/>
        <v>28</v>
      </c>
      <c r="BK15" s="39">
        <v>4</v>
      </c>
      <c r="BL15" s="40">
        <f t="shared" si="14"/>
        <v>27</v>
      </c>
      <c r="BM15" s="41">
        <f t="shared" si="15"/>
        <v>0</v>
      </c>
      <c r="BN15" s="41">
        <f t="shared" si="16"/>
        <v>0</v>
      </c>
      <c r="BO15" s="41">
        <f t="shared" si="17"/>
        <v>0</v>
      </c>
      <c r="BP15" s="41">
        <f t="shared" si="18"/>
        <v>0</v>
      </c>
      <c r="BQ15" s="41">
        <f t="shared" si="19"/>
        <v>0</v>
      </c>
      <c r="BR15" s="41">
        <f t="shared" si="20"/>
        <v>0</v>
      </c>
      <c r="BS15" s="41">
        <f t="shared" si="21"/>
        <v>1</v>
      </c>
      <c r="BT15" s="41">
        <f t="shared" si="22"/>
        <v>0</v>
      </c>
      <c r="BU15" s="41">
        <f t="shared" si="23"/>
        <v>0</v>
      </c>
      <c r="BV15" s="41">
        <f t="shared" si="24"/>
        <v>0</v>
      </c>
      <c r="BW15" s="41">
        <f t="shared" si="25"/>
        <v>0</v>
      </c>
      <c r="BX15" s="42"/>
      <c r="CB15" s="36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0</v>
      </c>
      <c r="CJ15" s="32">
        <v>0</v>
      </c>
      <c r="CK15" s="32">
        <v>0</v>
      </c>
      <c r="CL15" s="47">
        <f t="shared" si="13"/>
        <v>0</v>
      </c>
    </row>
    <row r="16" spans="1:90" ht="24.75" customHeight="1" x14ac:dyDescent="0.25">
      <c r="A16" s="32">
        <v>12</v>
      </c>
      <c r="B16" s="41" t="s">
        <v>35</v>
      </c>
      <c r="C16" s="34" t="s">
        <v>36</v>
      </c>
      <c r="D16" s="70">
        <v>0.63958333333333328</v>
      </c>
      <c r="E16" s="70">
        <v>0.93541666666666667</v>
      </c>
      <c r="F16" s="70">
        <v>0.64027777777777783</v>
      </c>
      <c r="G16" s="70">
        <v>0.93680555555555556</v>
      </c>
      <c r="H16" s="70">
        <v>0.3520833333333333</v>
      </c>
      <c r="I16" s="78">
        <v>1</v>
      </c>
      <c r="J16" s="70">
        <v>0.3527777777777778</v>
      </c>
      <c r="K16" s="70">
        <v>0.65694444444444444</v>
      </c>
      <c r="L16" s="70">
        <v>0.34861111111111115</v>
      </c>
      <c r="M16" s="70">
        <v>0.65277777777777779</v>
      </c>
      <c r="N16" s="82" t="s">
        <v>59</v>
      </c>
      <c r="O16" s="82" t="s">
        <v>59</v>
      </c>
      <c r="P16" s="70">
        <v>0.63055555555555554</v>
      </c>
      <c r="Q16" s="71">
        <v>1</v>
      </c>
      <c r="R16" s="70">
        <v>0.63888888888888895</v>
      </c>
      <c r="S16" s="70">
        <v>0.93611111111111101</v>
      </c>
      <c r="T16" s="70">
        <v>0.3520833333333333</v>
      </c>
      <c r="U16" s="70">
        <v>0.65208333333333335</v>
      </c>
      <c r="V16" s="70">
        <v>0.64513888888888882</v>
      </c>
      <c r="W16" s="70">
        <v>0.93263888888888891</v>
      </c>
      <c r="X16" s="70">
        <v>0.64027777777777783</v>
      </c>
      <c r="Y16" s="70">
        <v>0.93541666666666667</v>
      </c>
      <c r="Z16" s="70">
        <v>0.34791666666666665</v>
      </c>
      <c r="AA16" s="70">
        <v>0.65763888888888888</v>
      </c>
      <c r="AB16" s="83">
        <v>0.58124999999999993</v>
      </c>
      <c r="AC16" s="83">
        <v>0.93333333333333324</v>
      </c>
      <c r="AD16" s="70">
        <v>0.3576388888888889</v>
      </c>
      <c r="AE16" s="71">
        <v>1</v>
      </c>
      <c r="AF16" s="78">
        <v>1</v>
      </c>
      <c r="AG16" s="71">
        <v>1</v>
      </c>
      <c r="AI16" s="35">
        <v>12</v>
      </c>
      <c r="AJ16" s="70">
        <v>0.64513888888888882</v>
      </c>
      <c r="AK16" s="70">
        <v>0.93611111111111101</v>
      </c>
      <c r="AL16" s="70">
        <v>0.64236111111111105</v>
      </c>
      <c r="AM16" s="70">
        <v>6.2499999999999995E-3</v>
      </c>
      <c r="AN16" s="70">
        <v>0.38125000000000003</v>
      </c>
      <c r="AO16" s="70">
        <v>0.64861111111111114</v>
      </c>
      <c r="AP16" s="70">
        <v>0.99097222222222225</v>
      </c>
      <c r="AQ16" s="71">
        <v>1</v>
      </c>
      <c r="AR16" s="83">
        <v>0.5756944444444444</v>
      </c>
      <c r="AS16" s="83">
        <v>0.98749999999999993</v>
      </c>
      <c r="AT16" s="70">
        <v>0.36736111111111108</v>
      </c>
      <c r="AU16" s="70">
        <v>0.64722222222222225</v>
      </c>
      <c r="AV16" s="70">
        <v>0.38055555555555554</v>
      </c>
      <c r="AW16" s="71">
        <v>1</v>
      </c>
      <c r="AX16" s="70">
        <v>0.62083333333333335</v>
      </c>
      <c r="AY16" s="70">
        <v>0.99652777777777779</v>
      </c>
      <c r="AZ16" s="70">
        <v>0.62847222222222221</v>
      </c>
      <c r="BA16" s="70">
        <v>0.98611111111111116</v>
      </c>
      <c r="BB16" s="70">
        <v>0.62638888888888888</v>
      </c>
      <c r="BC16" s="70">
        <v>0.98611111111111116</v>
      </c>
      <c r="BD16" s="70">
        <v>0.37777777777777777</v>
      </c>
      <c r="BE16" s="70">
        <v>0.65138888888888891</v>
      </c>
      <c r="BF16" s="83">
        <v>0.57638888888888895</v>
      </c>
      <c r="BG16" s="83">
        <v>0.98541666666666661</v>
      </c>
      <c r="BH16" s="89">
        <v>0.61319444444444449</v>
      </c>
      <c r="BI16" s="70">
        <v>0.97361111111111109</v>
      </c>
      <c r="BJ16" s="38">
        <f t="shared" si="0"/>
        <v>28</v>
      </c>
      <c r="BK16" s="39">
        <v>3</v>
      </c>
      <c r="BL16" s="40">
        <f t="shared" si="14"/>
        <v>27</v>
      </c>
      <c r="BM16" s="41">
        <f t="shared" si="15"/>
        <v>1</v>
      </c>
      <c r="BN16" s="41">
        <f t="shared" si="16"/>
        <v>0</v>
      </c>
      <c r="BO16" s="41">
        <f t="shared" si="17"/>
        <v>0</v>
      </c>
      <c r="BP16" s="41">
        <f t="shared" si="18"/>
        <v>0</v>
      </c>
      <c r="BQ16" s="41">
        <f t="shared" si="19"/>
        <v>0</v>
      </c>
      <c r="BR16" s="41">
        <f t="shared" si="20"/>
        <v>0</v>
      </c>
      <c r="BS16" s="41">
        <f t="shared" si="21"/>
        <v>0</v>
      </c>
      <c r="BT16" s="41">
        <f t="shared" si="22"/>
        <v>0</v>
      </c>
      <c r="BU16" s="41">
        <f t="shared" si="23"/>
        <v>0</v>
      </c>
      <c r="BV16" s="41">
        <f t="shared" si="24"/>
        <v>0</v>
      </c>
      <c r="BW16" s="41">
        <f t="shared" si="25"/>
        <v>0</v>
      </c>
      <c r="BX16" s="42"/>
      <c r="CB16" s="36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2</v>
      </c>
      <c r="CH16" s="32">
        <v>0</v>
      </c>
      <c r="CI16" s="32">
        <v>0</v>
      </c>
      <c r="CJ16" s="32">
        <v>0</v>
      </c>
      <c r="CK16" s="32">
        <v>0</v>
      </c>
      <c r="CL16" s="47">
        <f t="shared" si="13"/>
        <v>2</v>
      </c>
    </row>
    <row r="17" spans="1:90" ht="24.75" customHeight="1" x14ac:dyDescent="0.25">
      <c r="A17" s="32">
        <v>13</v>
      </c>
      <c r="B17" s="41" t="s">
        <v>37</v>
      </c>
      <c r="C17" s="34" t="s">
        <v>38</v>
      </c>
      <c r="D17" s="81">
        <v>0.34236111111111112</v>
      </c>
      <c r="E17" s="78">
        <v>1</v>
      </c>
      <c r="F17" s="81">
        <v>0.3520833333333333</v>
      </c>
      <c r="G17" s="78">
        <v>1</v>
      </c>
      <c r="H17" s="78">
        <v>1</v>
      </c>
      <c r="I17" s="78">
        <v>1</v>
      </c>
      <c r="J17" s="81">
        <v>0.34375</v>
      </c>
      <c r="K17" s="78">
        <v>1</v>
      </c>
      <c r="L17" s="78">
        <v>1</v>
      </c>
      <c r="M17" s="78">
        <v>1</v>
      </c>
      <c r="N17" s="82" t="s">
        <v>59</v>
      </c>
      <c r="O17" s="82" t="s">
        <v>59</v>
      </c>
      <c r="P17" s="70">
        <v>0.34375</v>
      </c>
      <c r="Q17" s="71">
        <v>1</v>
      </c>
      <c r="R17" s="70">
        <v>0.33819444444444446</v>
      </c>
      <c r="S17" s="71">
        <v>1</v>
      </c>
      <c r="T17" s="70">
        <v>0.3527777777777778</v>
      </c>
      <c r="U17" s="71">
        <v>1</v>
      </c>
      <c r="V17" s="70">
        <v>0.34652777777777777</v>
      </c>
      <c r="W17" s="71">
        <v>1</v>
      </c>
      <c r="X17" s="70">
        <v>0.3520833333333333</v>
      </c>
      <c r="Y17" s="71">
        <v>1</v>
      </c>
      <c r="Z17" s="70">
        <v>0.35138888888888892</v>
      </c>
      <c r="AA17" s="71">
        <v>1</v>
      </c>
      <c r="AB17" s="83">
        <v>0.57500000000000007</v>
      </c>
      <c r="AC17" s="82">
        <v>1</v>
      </c>
      <c r="AD17" s="70">
        <v>0.34513888888888888</v>
      </c>
      <c r="AE17" s="71">
        <v>1</v>
      </c>
      <c r="AF17" s="70">
        <v>0.34791666666666665</v>
      </c>
      <c r="AG17" s="71">
        <v>1</v>
      </c>
      <c r="AH17" s="62"/>
      <c r="AI17" s="35">
        <v>13</v>
      </c>
      <c r="AJ17" s="70">
        <v>0.68333333333333324</v>
      </c>
      <c r="AK17" s="70">
        <v>0.91180555555555554</v>
      </c>
      <c r="AL17" s="70">
        <v>0.35138888888888892</v>
      </c>
      <c r="AM17" s="70">
        <v>0.93472222222222223</v>
      </c>
      <c r="AN17" s="70">
        <v>0.38541666666666669</v>
      </c>
      <c r="AO17" s="70">
        <v>0.97638888888888886</v>
      </c>
      <c r="AP17" s="70">
        <v>0.37708333333333338</v>
      </c>
      <c r="AQ17" s="70">
        <v>0.95208333333333339</v>
      </c>
      <c r="AR17" s="83">
        <v>0.60972222222222217</v>
      </c>
      <c r="AS17" s="83">
        <v>0.96805555555555556</v>
      </c>
      <c r="AT17" s="70">
        <v>0.35625000000000001</v>
      </c>
      <c r="AU17" s="70">
        <v>0.95694444444444438</v>
      </c>
      <c r="AV17" s="70" t="s">
        <v>110</v>
      </c>
      <c r="AW17" s="70" t="s">
        <v>110</v>
      </c>
      <c r="AX17" s="70" t="s">
        <v>110</v>
      </c>
      <c r="AY17" s="70" t="s">
        <v>110</v>
      </c>
      <c r="AZ17" s="70">
        <v>0.46458333333333335</v>
      </c>
      <c r="BA17" s="70">
        <v>0.95347222222222217</v>
      </c>
      <c r="BB17" s="70">
        <v>0.3840277777777778</v>
      </c>
      <c r="BC17" s="70">
        <v>0.86388888888888893</v>
      </c>
      <c r="BD17" s="70">
        <v>0.3756944444444445</v>
      </c>
      <c r="BE17" s="70">
        <v>0.85902777777777783</v>
      </c>
      <c r="BF17" s="70" t="s">
        <v>67</v>
      </c>
      <c r="BG17" s="70" t="s">
        <v>67</v>
      </c>
      <c r="BH17" s="70">
        <v>0.38055555555555554</v>
      </c>
      <c r="BI17" s="70">
        <v>0.72013888888888899</v>
      </c>
      <c r="BJ17" s="38">
        <f t="shared" si="0"/>
        <v>27</v>
      </c>
      <c r="BK17" s="39">
        <v>2</v>
      </c>
      <c r="BL17" s="40">
        <f t="shared" si="14"/>
        <v>24</v>
      </c>
      <c r="BM17" s="41">
        <f t="shared" si="15"/>
        <v>1</v>
      </c>
      <c r="BN17" s="41">
        <f t="shared" si="16"/>
        <v>0</v>
      </c>
      <c r="BO17" s="41">
        <f t="shared" si="17"/>
        <v>0</v>
      </c>
      <c r="BP17" s="41">
        <f t="shared" si="18"/>
        <v>0</v>
      </c>
      <c r="BQ17" s="41">
        <f t="shared" si="19"/>
        <v>0</v>
      </c>
      <c r="BR17" s="41">
        <f t="shared" si="20"/>
        <v>0</v>
      </c>
      <c r="BS17" s="41">
        <f t="shared" si="21"/>
        <v>2</v>
      </c>
      <c r="BT17" s="41">
        <f t="shared" si="22"/>
        <v>0</v>
      </c>
      <c r="BU17" s="41">
        <f t="shared" si="23"/>
        <v>1</v>
      </c>
      <c r="BV17" s="41">
        <f t="shared" si="24"/>
        <v>0</v>
      </c>
      <c r="BW17" s="41">
        <f t="shared" si="25"/>
        <v>0</v>
      </c>
      <c r="BX17" s="42"/>
      <c r="CB17" s="36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47">
        <f t="shared" si="13"/>
        <v>0</v>
      </c>
    </row>
    <row r="18" spans="1:90" ht="24.75" customHeight="1" x14ac:dyDescent="0.25">
      <c r="A18" s="32">
        <v>14</v>
      </c>
      <c r="B18" s="41" t="s">
        <v>41</v>
      </c>
      <c r="C18" s="34" t="s">
        <v>42</v>
      </c>
      <c r="D18" s="70" t="s">
        <v>64</v>
      </c>
      <c r="E18" s="70" t="s">
        <v>64</v>
      </c>
      <c r="F18" s="70" t="s">
        <v>64</v>
      </c>
      <c r="G18" s="70" t="s">
        <v>64</v>
      </c>
      <c r="H18" s="70">
        <v>0.64513888888888882</v>
      </c>
      <c r="I18" s="70">
        <v>0.95000000000000007</v>
      </c>
      <c r="J18" s="70">
        <v>0.64722222222222225</v>
      </c>
      <c r="K18" s="70">
        <v>0.9506944444444444</v>
      </c>
      <c r="L18" s="70">
        <v>0.64652777777777781</v>
      </c>
      <c r="M18" s="70">
        <v>0.91736111111111107</v>
      </c>
      <c r="N18" s="83">
        <v>0.58402777777777781</v>
      </c>
      <c r="O18" s="83">
        <v>0.95208333333333339</v>
      </c>
      <c r="P18" s="70">
        <v>0.35694444444444445</v>
      </c>
      <c r="Q18" s="70">
        <v>0.66041666666666665</v>
      </c>
      <c r="R18" s="70">
        <v>0.64444444444444449</v>
      </c>
      <c r="S18" s="70">
        <v>0.9458333333333333</v>
      </c>
      <c r="T18" s="70">
        <v>0.64583333333333337</v>
      </c>
      <c r="U18" s="70">
        <v>0.95277777777777783</v>
      </c>
      <c r="V18" s="70">
        <v>0.64374999999999993</v>
      </c>
      <c r="W18" s="70">
        <v>0.95277777777777783</v>
      </c>
      <c r="X18" s="70">
        <v>0.64652777777777781</v>
      </c>
      <c r="Y18" s="70">
        <v>0.95416666666666661</v>
      </c>
      <c r="Z18" s="70">
        <v>0.64374999999999993</v>
      </c>
      <c r="AA18" s="70">
        <v>0.97083333333333333</v>
      </c>
      <c r="AB18" s="83">
        <v>0.5805555555555556</v>
      </c>
      <c r="AC18" s="83">
        <v>0.6333333333333333</v>
      </c>
      <c r="AD18" s="70" t="s">
        <v>67</v>
      </c>
      <c r="AE18" s="70" t="s">
        <v>67</v>
      </c>
      <c r="AF18" s="70">
        <v>0.3520833333333333</v>
      </c>
      <c r="AG18" s="70">
        <v>0.6645833333333333</v>
      </c>
      <c r="AH18" s="62"/>
      <c r="AI18" s="35">
        <v>14</v>
      </c>
      <c r="AJ18" s="70">
        <v>0.64583333333333337</v>
      </c>
      <c r="AK18" s="70">
        <v>0.96527777777777779</v>
      </c>
      <c r="AL18" s="70">
        <v>0.64374999999999993</v>
      </c>
      <c r="AM18" s="70">
        <v>1.0416666666666666E-2</v>
      </c>
      <c r="AN18" s="70">
        <v>0.39305555555555555</v>
      </c>
      <c r="AO18" s="70">
        <v>0.9902777777777777</v>
      </c>
      <c r="AP18" s="70">
        <v>0.37291666666666662</v>
      </c>
      <c r="AQ18" s="70">
        <v>0.98472222222222217</v>
      </c>
      <c r="AR18" s="83">
        <v>0.58124999999999993</v>
      </c>
      <c r="AS18" s="83">
        <v>0.98819444444444438</v>
      </c>
      <c r="AT18" s="70">
        <v>0.375</v>
      </c>
      <c r="AU18" s="70">
        <v>0.9902777777777777</v>
      </c>
      <c r="AV18" s="70">
        <v>0.37361111111111112</v>
      </c>
      <c r="AW18" s="70">
        <v>0.99236111111111114</v>
      </c>
      <c r="AX18" s="70">
        <v>0.3756944444444445</v>
      </c>
      <c r="AY18" s="70">
        <v>0.99097222222222225</v>
      </c>
      <c r="AZ18" s="70">
        <v>0.37708333333333338</v>
      </c>
      <c r="BA18" s="70">
        <v>0.9916666666666667</v>
      </c>
      <c r="BB18" s="70">
        <v>0.37777777777777777</v>
      </c>
      <c r="BC18" s="70">
        <v>0.99305555555555547</v>
      </c>
      <c r="BD18" s="70">
        <v>0.375</v>
      </c>
      <c r="BE18" s="70">
        <v>0.98958333333333337</v>
      </c>
      <c r="BF18" s="83">
        <v>0.58263888888888882</v>
      </c>
      <c r="BG18" s="83">
        <v>0.98888888888888893</v>
      </c>
      <c r="BH18" s="70">
        <v>0.37777777777777777</v>
      </c>
      <c r="BI18" s="70">
        <v>1.1111111111111112E-2</v>
      </c>
      <c r="BJ18" s="38">
        <f t="shared" si="0"/>
        <v>27</v>
      </c>
      <c r="BK18" s="39">
        <v>4</v>
      </c>
      <c r="BL18" s="40">
        <f t="shared" si="14"/>
        <v>25</v>
      </c>
      <c r="BM18" s="41">
        <f t="shared" si="15"/>
        <v>0</v>
      </c>
      <c r="BN18" s="41">
        <f t="shared" si="16"/>
        <v>0</v>
      </c>
      <c r="BO18" s="41">
        <f t="shared" si="17"/>
        <v>0</v>
      </c>
      <c r="BP18" s="41">
        <f t="shared" si="18"/>
        <v>0</v>
      </c>
      <c r="BQ18" s="41">
        <f t="shared" si="19"/>
        <v>0</v>
      </c>
      <c r="BR18" s="41">
        <f t="shared" si="20"/>
        <v>2</v>
      </c>
      <c r="BS18" s="41">
        <f t="shared" si="21"/>
        <v>0</v>
      </c>
      <c r="BT18" s="41">
        <f t="shared" si="22"/>
        <v>0</v>
      </c>
      <c r="BU18" s="41">
        <f t="shared" si="23"/>
        <v>1</v>
      </c>
      <c r="BV18" s="41">
        <f t="shared" si="24"/>
        <v>0</v>
      </c>
      <c r="BW18" s="41">
        <f t="shared" si="25"/>
        <v>0</v>
      </c>
      <c r="BX18" s="42"/>
      <c r="CB18" s="36">
        <v>3</v>
      </c>
      <c r="CC18" s="32">
        <v>0</v>
      </c>
      <c r="CD18" s="32">
        <v>19</v>
      </c>
      <c r="CE18" s="32">
        <v>0</v>
      </c>
      <c r="CF18" s="32">
        <v>4</v>
      </c>
      <c r="CG18" s="32">
        <v>4</v>
      </c>
      <c r="CH18" s="32">
        <v>0</v>
      </c>
      <c r="CI18" s="32">
        <v>4</v>
      </c>
      <c r="CJ18" s="32">
        <v>0</v>
      </c>
      <c r="CK18" s="32">
        <v>0</v>
      </c>
      <c r="CL18" s="47">
        <f t="shared" si="13"/>
        <v>34</v>
      </c>
    </row>
    <row r="19" spans="1:90" ht="24.75" customHeight="1" x14ac:dyDescent="0.25">
      <c r="A19" s="32">
        <v>15</v>
      </c>
      <c r="B19" s="41" t="s">
        <v>43</v>
      </c>
      <c r="C19" s="34" t="s">
        <v>44</v>
      </c>
      <c r="D19" s="78">
        <v>1</v>
      </c>
      <c r="E19" s="78">
        <v>1</v>
      </c>
      <c r="F19" s="78">
        <v>1</v>
      </c>
      <c r="G19" s="78">
        <v>1</v>
      </c>
      <c r="H19" s="78">
        <v>1</v>
      </c>
      <c r="I19" s="78">
        <v>1</v>
      </c>
      <c r="J19" s="78">
        <v>1</v>
      </c>
      <c r="K19" s="78">
        <v>1</v>
      </c>
      <c r="L19" s="78">
        <v>1</v>
      </c>
      <c r="M19" s="78">
        <v>1</v>
      </c>
      <c r="N19" s="82" t="s">
        <v>59</v>
      </c>
      <c r="O19" s="82" t="s">
        <v>59</v>
      </c>
      <c r="P19" s="71">
        <v>1</v>
      </c>
      <c r="Q19" s="71">
        <v>1</v>
      </c>
      <c r="R19" s="71">
        <v>1</v>
      </c>
      <c r="S19" s="71">
        <v>1</v>
      </c>
      <c r="T19" s="71">
        <v>1</v>
      </c>
      <c r="U19" s="71">
        <v>1</v>
      </c>
      <c r="V19" s="71">
        <v>1</v>
      </c>
      <c r="W19" s="71">
        <v>1</v>
      </c>
      <c r="X19" s="71">
        <v>1</v>
      </c>
      <c r="Y19" s="71">
        <v>1</v>
      </c>
      <c r="Z19" s="71">
        <v>1</v>
      </c>
      <c r="AA19" s="71">
        <v>1</v>
      </c>
      <c r="AB19" s="82" t="s">
        <v>59</v>
      </c>
      <c r="AC19" s="82" t="s">
        <v>59</v>
      </c>
      <c r="AD19" s="71">
        <v>1</v>
      </c>
      <c r="AE19" s="71">
        <v>1</v>
      </c>
      <c r="AF19" s="78">
        <v>1</v>
      </c>
      <c r="AG19" s="78">
        <v>1</v>
      </c>
      <c r="AH19" s="62"/>
      <c r="AI19" s="35">
        <v>15</v>
      </c>
      <c r="AJ19" s="78">
        <v>1</v>
      </c>
      <c r="AK19" s="78">
        <v>1</v>
      </c>
      <c r="AL19" s="78">
        <v>1</v>
      </c>
      <c r="AM19" s="78">
        <v>1</v>
      </c>
      <c r="AN19" s="78">
        <v>1</v>
      </c>
      <c r="AO19" s="78">
        <v>1</v>
      </c>
      <c r="AP19" s="78">
        <v>1</v>
      </c>
      <c r="AQ19" s="78">
        <v>1</v>
      </c>
      <c r="AR19" s="82" t="s">
        <v>59</v>
      </c>
      <c r="AS19" s="82" t="s">
        <v>59</v>
      </c>
      <c r="AT19" s="78">
        <v>1</v>
      </c>
      <c r="AU19" s="78">
        <v>1</v>
      </c>
      <c r="AV19" s="78">
        <v>1</v>
      </c>
      <c r="AW19" s="78">
        <v>1</v>
      </c>
      <c r="AX19" s="78">
        <v>1</v>
      </c>
      <c r="AY19" s="78">
        <v>1</v>
      </c>
      <c r="AZ19" s="78">
        <v>1</v>
      </c>
      <c r="BA19" s="78">
        <v>1</v>
      </c>
      <c r="BB19" s="78">
        <v>1</v>
      </c>
      <c r="BC19" s="78">
        <v>1</v>
      </c>
      <c r="BD19" s="78">
        <v>1</v>
      </c>
      <c r="BE19" s="78">
        <v>1</v>
      </c>
      <c r="BF19" s="82" t="s">
        <v>59</v>
      </c>
      <c r="BG19" s="82" t="s">
        <v>59</v>
      </c>
      <c r="BH19" s="78">
        <v>1</v>
      </c>
      <c r="BI19" s="78">
        <v>1</v>
      </c>
      <c r="BJ19" s="38">
        <f t="shared" si="0"/>
        <v>28</v>
      </c>
      <c r="BK19" s="39">
        <v>0</v>
      </c>
      <c r="BL19" s="40">
        <f t="shared" si="14"/>
        <v>24</v>
      </c>
      <c r="BM19" s="41">
        <f t="shared" si="15"/>
        <v>4</v>
      </c>
      <c r="BN19" s="41">
        <f t="shared" si="16"/>
        <v>0</v>
      </c>
      <c r="BO19" s="41">
        <f t="shared" si="17"/>
        <v>0</v>
      </c>
      <c r="BP19" s="41">
        <f t="shared" si="18"/>
        <v>0</v>
      </c>
      <c r="BQ19" s="41">
        <f t="shared" si="19"/>
        <v>0</v>
      </c>
      <c r="BR19" s="41">
        <f t="shared" si="20"/>
        <v>0</v>
      </c>
      <c r="BS19" s="41">
        <f t="shared" si="21"/>
        <v>0</v>
      </c>
      <c r="BT19" s="41">
        <f t="shared" si="22"/>
        <v>0</v>
      </c>
      <c r="BU19" s="41">
        <f t="shared" si="23"/>
        <v>0</v>
      </c>
      <c r="BV19" s="41">
        <f t="shared" si="24"/>
        <v>0</v>
      </c>
      <c r="BW19" s="41">
        <f t="shared" si="25"/>
        <v>0</v>
      </c>
      <c r="BX19" s="42"/>
      <c r="CB19" s="36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47">
        <f t="shared" si="13"/>
        <v>0</v>
      </c>
    </row>
    <row r="20" spans="1:90" ht="24.75" customHeight="1" x14ac:dyDescent="0.25">
      <c r="A20" s="32">
        <v>16</v>
      </c>
      <c r="B20" s="41" t="s">
        <v>45</v>
      </c>
      <c r="C20" s="34" t="s">
        <v>46</v>
      </c>
      <c r="D20" s="70">
        <v>0.35416666666666669</v>
      </c>
      <c r="E20" s="78">
        <v>1</v>
      </c>
      <c r="F20" s="78">
        <v>1</v>
      </c>
      <c r="G20" s="78">
        <v>1</v>
      </c>
      <c r="H20" s="70">
        <v>0.64583333333333337</v>
      </c>
      <c r="I20" s="70">
        <v>0.93541666666666667</v>
      </c>
      <c r="J20" s="70">
        <v>0.64513888888888882</v>
      </c>
      <c r="K20" s="70">
        <v>0.93402777777777779</v>
      </c>
      <c r="L20" s="70">
        <v>0.6430555555555556</v>
      </c>
      <c r="M20" s="78">
        <v>1</v>
      </c>
      <c r="N20" s="83">
        <v>0.58194444444444449</v>
      </c>
      <c r="O20" s="84">
        <v>1</v>
      </c>
      <c r="P20" s="70">
        <v>0.35347222222222219</v>
      </c>
      <c r="Q20" s="71">
        <v>1</v>
      </c>
      <c r="R20" s="70" t="s">
        <v>110</v>
      </c>
      <c r="S20" s="70" t="s">
        <v>110</v>
      </c>
      <c r="T20" s="70" t="s">
        <v>67</v>
      </c>
      <c r="U20" s="70" t="s">
        <v>67</v>
      </c>
      <c r="V20" s="70">
        <v>0.3527777777777778</v>
      </c>
      <c r="W20" s="70">
        <v>0.67083333333333339</v>
      </c>
      <c r="X20" s="70">
        <v>0.35347222222222219</v>
      </c>
      <c r="Y20" s="70">
        <v>0.67222222222222217</v>
      </c>
      <c r="Z20" s="70">
        <v>0.6430555555555556</v>
      </c>
      <c r="AA20" s="71">
        <v>1</v>
      </c>
      <c r="AB20" s="83">
        <v>0.58194444444444449</v>
      </c>
      <c r="AC20" s="82">
        <v>1</v>
      </c>
      <c r="AD20" s="70">
        <v>0.64166666666666672</v>
      </c>
      <c r="AE20" s="71">
        <v>1</v>
      </c>
      <c r="AF20" s="70">
        <v>0.35416666666666669</v>
      </c>
      <c r="AG20" s="78">
        <v>1</v>
      </c>
      <c r="AH20" s="77"/>
      <c r="AI20" s="35">
        <v>16</v>
      </c>
      <c r="AJ20" s="70">
        <v>0.3520833333333333</v>
      </c>
      <c r="AK20" s="78">
        <v>1</v>
      </c>
      <c r="AL20" s="70">
        <v>0.35347222222222219</v>
      </c>
      <c r="AM20" s="70">
        <v>0.67291666666666661</v>
      </c>
      <c r="AN20" s="70">
        <v>0.64583333333333337</v>
      </c>
      <c r="AO20" s="78">
        <v>1</v>
      </c>
      <c r="AP20" s="70">
        <v>0.35347222222222219</v>
      </c>
      <c r="AQ20" s="70">
        <v>0.67291666666666661</v>
      </c>
      <c r="AR20" s="83" t="s">
        <v>59</v>
      </c>
      <c r="AS20" s="83" t="s">
        <v>59</v>
      </c>
      <c r="AT20" s="70">
        <v>0.64583333333333337</v>
      </c>
      <c r="AU20" s="70">
        <v>0.85486111111111107</v>
      </c>
      <c r="AV20" s="70">
        <v>0.85486111111111107</v>
      </c>
      <c r="AW20" s="78">
        <v>1</v>
      </c>
      <c r="AX20" s="70">
        <v>0.37361111111111112</v>
      </c>
      <c r="AY20" s="78">
        <v>1</v>
      </c>
      <c r="AZ20" s="70">
        <v>0.37986111111111115</v>
      </c>
      <c r="BA20" s="78">
        <v>1</v>
      </c>
      <c r="BB20" s="70">
        <v>0.3743055555555555</v>
      </c>
      <c r="BC20" s="78">
        <v>1</v>
      </c>
      <c r="BD20" s="70">
        <v>0.64652777777777781</v>
      </c>
      <c r="BE20" s="70">
        <v>0.85277777777777775</v>
      </c>
      <c r="BF20" s="83">
        <v>0.58124999999999993</v>
      </c>
      <c r="BG20" s="83">
        <v>0.99097222222222225</v>
      </c>
      <c r="BH20" s="70">
        <v>0.37291666666666662</v>
      </c>
      <c r="BI20" s="78">
        <v>1</v>
      </c>
      <c r="BJ20" s="38">
        <f t="shared" si="0"/>
        <v>27</v>
      </c>
      <c r="BK20" s="39">
        <v>3</v>
      </c>
      <c r="BL20" s="40">
        <f t="shared" si="14"/>
        <v>25</v>
      </c>
      <c r="BM20" s="41">
        <f t="shared" si="15"/>
        <v>1</v>
      </c>
      <c r="BN20" s="41">
        <f t="shared" si="16"/>
        <v>0</v>
      </c>
      <c r="BO20" s="41">
        <f t="shared" si="17"/>
        <v>0</v>
      </c>
      <c r="BP20" s="41">
        <f t="shared" si="18"/>
        <v>0</v>
      </c>
      <c r="BQ20" s="41">
        <f t="shared" si="19"/>
        <v>0</v>
      </c>
      <c r="BR20" s="41">
        <f t="shared" si="20"/>
        <v>0</v>
      </c>
      <c r="BS20" s="41">
        <f t="shared" si="21"/>
        <v>1</v>
      </c>
      <c r="BT20" s="41">
        <f t="shared" si="22"/>
        <v>0</v>
      </c>
      <c r="BU20" s="41">
        <f t="shared" si="23"/>
        <v>1</v>
      </c>
      <c r="BV20" s="41">
        <f t="shared" si="24"/>
        <v>0</v>
      </c>
      <c r="BW20" s="41">
        <f t="shared" si="25"/>
        <v>0</v>
      </c>
      <c r="BX20" s="42"/>
      <c r="CB20" s="36">
        <v>0</v>
      </c>
      <c r="CC20" s="32">
        <v>10</v>
      </c>
      <c r="CD20" s="32">
        <v>6</v>
      </c>
      <c r="CE20" s="32">
        <v>0</v>
      </c>
      <c r="CF20" s="32">
        <v>0</v>
      </c>
      <c r="CG20" s="32">
        <v>2</v>
      </c>
      <c r="CH20" s="32">
        <v>0</v>
      </c>
      <c r="CI20" s="32">
        <v>1</v>
      </c>
      <c r="CJ20" s="32">
        <v>0</v>
      </c>
      <c r="CK20" s="32">
        <v>0</v>
      </c>
      <c r="CL20" s="47">
        <f t="shared" si="13"/>
        <v>19</v>
      </c>
    </row>
    <row r="21" spans="1:90" ht="24.75" customHeight="1" x14ac:dyDescent="0.25">
      <c r="A21" s="32">
        <v>17</v>
      </c>
      <c r="B21" s="41" t="s">
        <v>47</v>
      </c>
      <c r="C21" s="34" t="s">
        <v>48</v>
      </c>
      <c r="D21" s="70">
        <v>0.64722222222222225</v>
      </c>
      <c r="E21" s="70">
        <v>0.93680555555555556</v>
      </c>
      <c r="F21" s="70">
        <v>0.64861111111111114</v>
      </c>
      <c r="G21" s="70">
        <v>0.93472222222222223</v>
      </c>
      <c r="H21" s="70">
        <v>0.6479166666666667</v>
      </c>
      <c r="I21" s="70">
        <v>0.93194444444444446</v>
      </c>
      <c r="J21" s="70">
        <v>0.64652777777777781</v>
      </c>
      <c r="K21" s="70">
        <v>0.93333333333333324</v>
      </c>
      <c r="L21" s="70">
        <v>0.64583333333333337</v>
      </c>
      <c r="M21" s="70">
        <v>0.94930555555555562</v>
      </c>
      <c r="N21" s="83">
        <v>0.58611111111111114</v>
      </c>
      <c r="O21" s="83">
        <v>0.93819444444444444</v>
      </c>
      <c r="P21" s="70">
        <v>0.35347222222222219</v>
      </c>
      <c r="Q21" s="70">
        <v>0.64861111111111114</v>
      </c>
      <c r="R21" s="70">
        <v>0.35416666666666669</v>
      </c>
      <c r="S21" s="70">
        <v>0.64513888888888882</v>
      </c>
      <c r="T21" s="70">
        <v>0.64722222222222225</v>
      </c>
      <c r="U21" s="70">
        <v>0.80625000000000002</v>
      </c>
      <c r="V21" s="70">
        <v>0.35555555555555557</v>
      </c>
      <c r="W21" s="70">
        <v>0.64930555555555558</v>
      </c>
      <c r="X21" s="70">
        <v>0.35347222222222219</v>
      </c>
      <c r="Y21" s="70">
        <v>0.64652777777777781</v>
      </c>
      <c r="Z21" s="70">
        <v>0.35347222222222219</v>
      </c>
      <c r="AA21" s="70">
        <v>0.65</v>
      </c>
      <c r="AB21" s="83">
        <v>0.58472222222222225</v>
      </c>
      <c r="AC21" s="83">
        <v>0.79375000000000007</v>
      </c>
      <c r="AD21" s="70">
        <v>0.64583333333333337</v>
      </c>
      <c r="AE21" s="70">
        <v>0.95347222222222217</v>
      </c>
      <c r="AF21" s="70" t="s">
        <v>67</v>
      </c>
      <c r="AG21" s="70" t="s">
        <v>67</v>
      </c>
      <c r="AI21" s="35">
        <v>17</v>
      </c>
      <c r="AJ21" s="70">
        <v>0.64444444444444449</v>
      </c>
      <c r="AK21" s="70">
        <v>0.93888888888888899</v>
      </c>
      <c r="AL21" s="70">
        <v>0.64444444444444449</v>
      </c>
      <c r="AM21" s="70">
        <v>1.2499999999999999E-2</v>
      </c>
      <c r="AN21" s="70">
        <v>0.64374999999999993</v>
      </c>
      <c r="AO21" s="70">
        <v>0.98958333333333337</v>
      </c>
      <c r="AP21" s="70">
        <v>0.64513888888888882</v>
      </c>
      <c r="AQ21" s="70">
        <v>0.99375000000000002</v>
      </c>
      <c r="AR21" s="83">
        <v>0.58124999999999993</v>
      </c>
      <c r="AS21" s="83">
        <v>0.99861111111111101</v>
      </c>
      <c r="AT21" s="70">
        <v>0.37638888888888888</v>
      </c>
      <c r="AU21" s="70">
        <v>0.55486111111111114</v>
      </c>
      <c r="AV21" s="70">
        <v>0.64583333333333337</v>
      </c>
      <c r="AW21" s="70">
        <v>0.99513888888888891</v>
      </c>
      <c r="AX21" s="70">
        <v>0.37708333333333338</v>
      </c>
      <c r="AY21" s="70">
        <v>0.64722222222222225</v>
      </c>
      <c r="AZ21" s="70">
        <v>0.64166666666666672</v>
      </c>
      <c r="BA21" s="70">
        <v>9.0277777777777787E-3</v>
      </c>
      <c r="BB21" s="70">
        <v>0.37847222222222227</v>
      </c>
      <c r="BC21" s="70">
        <v>0.64861111111111114</v>
      </c>
      <c r="BD21" s="70" t="s">
        <v>67</v>
      </c>
      <c r="BE21" s="70" t="s">
        <v>67</v>
      </c>
      <c r="BF21" s="83">
        <v>0.58194444444444449</v>
      </c>
      <c r="BG21" s="83">
        <v>0.98749999999999993</v>
      </c>
      <c r="BH21" s="89">
        <v>0.64444444444444449</v>
      </c>
      <c r="BI21" s="70">
        <v>0.98055555555555562</v>
      </c>
      <c r="BJ21" s="38">
        <f t="shared" si="0"/>
        <v>26</v>
      </c>
      <c r="BK21" s="39">
        <v>4</v>
      </c>
      <c r="BL21" s="40">
        <f t="shared" si="14"/>
        <v>26</v>
      </c>
      <c r="BM21" s="41">
        <f t="shared" si="15"/>
        <v>0</v>
      </c>
      <c r="BN21" s="41">
        <f t="shared" si="16"/>
        <v>0</v>
      </c>
      <c r="BO21" s="41">
        <f t="shared" si="17"/>
        <v>0</v>
      </c>
      <c r="BP21" s="41">
        <f t="shared" si="18"/>
        <v>0</v>
      </c>
      <c r="BQ21" s="41">
        <f t="shared" si="19"/>
        <v>0</v>
      </c>
      <c r="BR21" s="41">
        <f t="shared" si="20"/>
        <v>0</v>
      </c>
      <c r="BS21" s="41">
        <f t="shared" si="21"/>
        <v>0</v>
      </c>
      <c r="BT21" s="41">
        <f t="shared" si="22"/>
        <v>0</v>
      </c>
      <c r="BU21" s="41">
        <f t="shared" si="23"/>
        <v>2</v>
      </c>
      <c r="BV21" s="41">
        <f t="shared" si="24"/>
        <v>0</v>
      </c>
      <c r="BW21" s="41">
        <f t="shared" si="25"/>
        <v>0</v>
      </c>
      <c r="BX21" s="42"/>
      <c r="CB21" s="36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10</v>
      </c>
      <c r="CH21" s="32">
        <v>0</v>
      </c>
      <c r="CI21" s="32">
        <v>3</v>
      </c>
      <c r="CJ21" s="32">
        <v>0</v>
      </c>
      <c r="CK21" s="32">
        <v>0</v>
      </c>
      <c r="CL21" s="47">
        <f t="shared" si="13"/>
        <v>13</v>
      </c>
    </row>
    <row r="22" spans="1:90" ht="24.75" customHeight="1" x14ac:dyDescent="0.25">
      <c r="A22" s="32">
        <v>18</v>
      </c>
      <c r="B22" s="46" t="s">
        <v>51</v>
      </c>
      <c r="C22" s="34" t="s">
        <v>52</v>
      </c>
      <c r="D22" s="70">
        <v>0.37361111111111112</v>
      </c>
      <c r="E22" s="70">
        <v>0.86875000000000002</v>
      </c>
      <c r="F22" s="70">
        <v>0.37777777777777777</v>
      </c>
      <c r="G22" s="78">
        <v>1</v>
      </c>
      <c r="H22" s="70">
        <v>0.37847222222222227</v>
      </c>
      <c r="I22" s="78">
        <v>1</v>
      </c>
      <c r="J22" s="70">
        <v>0.43333333333333335</v>
      </c>
      <c r="K22" s="70">
        <v>0.8881944444444444</v>
      </c>
      <c r="L22" s="70">
        <v>0.39930555555555558</v>
      </c>
      <c r="M22" s="70">
        <v>0.91111111111111109</v>
      </c>
      <c r="N22" s="82" t="s">
        <v>59</v>
      </c>
      <c r="O22" s="82" t="s">
        <v>59</v>
      </c>
      <c r="P22" s="70">
        <v>0.37291666666666662</v>
      </c>
      <c r="Q22" s="71">
        <v>1</v>
      </c>
      <c r="R22" s="70">
        <v>0.38194444444444442</v>
      </c>
      <c r="S22" s="71">
        <v>1</v>
      </c>
      <c r="T22" s="70">
        <v>0.40625</v>
      </c>
      <c r="U22" s="71">
        <v>1</v>
      </c>
      <c r="V22" s="70">
        <v>0.41250000000000003</v>
      </c>
      <c r="W22" s="70">
        <v>0.89444444444444438</v>
      </c>
      <c r="X22" s="70">
        <v>0.37847222222222227</v>
      </c>
      <c r="Y22" s="71">
        <v>1</v>
      </c>
      <c r="Z22" s="70">
        <v>0.375</v>
      </c>
      <c r="AA22" s="70">
        <v>0.80138888888888893</v>
      </c>
      <c r="AB22" s="83">
        <v>0.58750000000000002</v>
      </c>
      <c r="AC22" s="82">
        <v>1</v>
      </c>
      <c r="AD22" s="70" t="s">
        <v>110</v>
      </c>
      <c r="AE22" s="70" t="s">
        <v>110</v>
      </c>
      <c r="AF22" s="70">
        <v>0.37291666666666662</v>
      </c>
      <c r="AG22" s="70">
        <v>0.93055555555555547</v>
      </c>
      <c r="AH22" s="77"/>
      <c r="AI22" s="35">
        <v>18</v>
      </c>
      <c r="AJ22" s="70">
        <v>0.37222222222222223</v>
      </c>
      <c r="AK22" s="70">
        <v>0.89513888888888893</v>
      </c>
      <c r="AL22" s="70">
        <v>0.37222222222222223</v>
      </c>
      <c r="AM22" s="70">
        <v>0.90069444444444446</v>
      </c>
      <c r="AN22" s="70">
        <v>0.39861111111111108</v>
      </c>
      <c r="AO22" s="70">
        <v>0.71111111111111114</v>
      </c>
      <c r="AP22" s="70">
        <v>0.375</v>
      </c>
      <c r="AQ22" s="70">
        <v>0.8930555555555556</v>
      </c>
      <c r="AR22" s="83" t="s">
        <v>59</v>
      </c>
      <c r="AS22" s="83" t="s">
        <v>59</v>
      </c>
      <c r="AT22" s="70">
        <v>0.38263888888888892</v>
      </c>
      <c r="AU22" s="70">
        <v>0.7090277777777777</v>
      </c>
      <c r="AV22" s="70">
        <v>0.37083333333333335</v>
      </c>
      <c r="AW22" s="70">
        <v>0.87708333333333333</v>
      </c>
      <c r="AX22" s="70">
        <v>0.3833333333333333</v>
      </c>
      <c r="AY22" s="70">
        <v>0.66805555555555562</v>
      </c>
      <c r="AZ22" s="70">
        <v>0.37916666666666665</v>
      </c>
      <c r="BA22" s="70">
        <v>0.67013888888888884</v>
      </c>
      <c r="BB22" s="70">
        <v>0.3756944444444445</v>
      </c>
      <c r="BC22" s="70">
        <v>0.68333333333333324</v>
      </c>
      <c r="BD22" s="70">
        <v>0.37986111111111115</v>
      </c>
      <c r="BE22" s="70">
        <v>0.66736111111111107</v>
      </c>
      <c r="BF22" s="83">
        <v>0.5805555555555556</v>
      </c>
      <c r="BG22" s="84">
        <v>1</v>
      </c>
      <c r="BH22" s="70">
        <v>0.38958333333333334</v>
      </c>
      <c r="BI22" s="70">
        <v>0.68541666666666667</v>
      </c>
      <c r="BJ22" s="38">
        <f t="shared" si="0"/>
        <v>28</v>
      </c>
      <c r="BK22" s="39">
        <v>2</v>
      </c>
      <c r="BL22" s="40">
        <f t="shared" si="14"/>
        <v>25</v>
      </c>
      <c r="BM22" s="41">
        <f t="shared" si="15"/>
        <v>2</v>
      </c>
      <c r="BN22" s="41">
        <f t="shared" si="16"/>
        <v>0</v>
      </c>
      <c r="BO22" s="41">
        <f t="shared" si="17"/>
        <v>0</v>
      </c>
      <c r="BP22" s="41">
        <f t="shared" si="18"/>
        <v>0</v>
      </c>
      <c r="BQ22" s="41">
        <f t="shared" si="19"/>
        <v>0</v>
      </c>
      <c r="BR22" s="41">
        <f t="shared" si="20"/>
        <v>0</v>
      </c>
      <c r="BS22" s="41">
        <f t="shared" si="21"/>
        <v>1</v>
      </c>
      <c r="BT22" s="41">
        <f t="shared" si="22"/>
        <v>0</v>
      </c>
      <c r="BU22" s="41">
        <f t="shared" si="23"/>
        <v>0</v>
      </c>
      <c r="BV22" s="41">
        <f t="shared" si="24"/>
        <v>0</v>
      </c>
      <c r="BW22" s="41">
        <f t="shared" si="25"/>
        <v>0</v>
      </c>
      <c r="BX22" s="42"/>
      <c r="CB22" s="36">
        <v>0</v>
      </c>
      <c r="CC22" s="32">
        <v>0</v>
      </c>
      <c r="CD22" s="32">
        <v>30</v>
      </c>
      <c r="CE22" s="32">
        <v>0</v>
      </c>
      <c r="CF22" s="32">
        <v>0</v>
      </c>
      <c r="CG22" s="32">
        <v>2</v>
      </c>
      <c r="CH22" s="32">
        <v>0</v>
      </c>
      <c r="CI22" s="32">
        <v>0</v>
      </c>
      <c r="CJ22" s="32">
        <v>0</v>
      </c>
      <c r="CK22" s="32">
        <v>0</v>
      </c>
      <c r="CL22" s="47">
        <f t="shared" si="13"/>
        <v>32</v>
      </c>
    </row>
    <row r="23" spans="1:90" ht="24.75" customHeight="1" x14ac:dyDescent="0.25">
      <c r="A23" s="32">
        <v>19</v>
      </c>
      <c r="B23" s="46" t="s">
        <v>53</v>
      </c>
      <c r="C23" s="34" t="s">
        <v>54</v>
      </c>
      <c r="D23" s="70">
        <v>0.34583333333333338</v>
      </c>
      <c r="E23" s="78">
        <v>1</v>
      </c>
      <c r="F23" s="70">
        <v>0.37916666666666665</v>
      </c>
      <c r="G23" s="78">
        <v>1</v>
      </c>
      <c r="H23" s="70">
        <v>0.37847222222222227</v>
      </c>
      <c r="I23" s="70">
        <v>0.9159722222222223</v>
      </c>
      <c r="J23" s="70">
        <v>0.37291666666666662</v>
      </c>
      <c r="K23" s="78">
        <v>1</v>
      </c>
      <c r="L23" s="70">
        <v>0.36041666666666666</v>
      </c>
      <c r="M23" s="78">
        <v>1</v>
      </c>
      <c r="N23" s="83">
        <v>0.61597222222222225</v>
      </c>
      <c r="O23" s="84">
        <v>1</v>
      </c>
      <c r="P23" s="70">
        <v>0.35416666666666669</v>
      </c>
      <c r="Q23" s="71">
        <v>1</v>
      </c>
      <c r="R23" s="70">
        <v>0.37083333333333335</v>
      </c>
      <c r="S23" s="71">
        <v>1</v>
      </c>
      <c r="T23" s="70">
        <v>0.3743055555555555</v>
      </c>
      <c r="U23" s="70">
        <v>0.94236111111111109</v>
      </c>
      <c r="V23" s="70">
        <v>0.36319444444444443</v>
      </c>
      <c r="W23" s="70">
        <v>0.87916666666666676</v>
      </c>
      <c r="X23" s="70">
        <v>0.38194444444444442</v>
      </c>
      <c r="Y23" s="71">
        <v>1</v>
      </c>
      <c r="Z23" s="71">
        <v>1</v>
      </c>
      <c r="AA23" s="71">
        <v>1</v>
      </c>
      <c r="AB23" s="83">
        <v>0.59583333333333333</v>
      </c>
      <c r="AC23" s="83">
        <v>0.84861111111111109</v>
      </c>
      <c r="AD23" s="70">
        <v>0.36458333333333331</v>
      </c>
      <c r="AE23" s="71">
        <v>1</v>
      </c>
      <c r="AF23" s="70">
        <v>0.35000000000000003</v>
      </c>
      <c r="AG23" s="78">
        <v>1</v>
      </c>
      <c r="AI23" s="35">
        <v>19</v>
      </c>
      <c r="AJ23" s="70">
        <v>0.37708333333333338</v>
      </c>
      <c r="AK23" s="78">
        <v>1</v>
      </c>
      <c r="AL23" s="70">
        <v>0.3659722222222222</v>
      </c>
      <c r="AM23" s="78">
        <v>1</v>
      </c>
      <c r="AN23" s="70">
        <v>0.37152777777777773</v>
      </c>
      <c r="AO23" s="70">
        <v>4.1666666666666666E-3</v>
      </c>
      <c r="AP23" s="70">
        <v>0.37361111111111112</v>
      </c>
      <c r="AQ23" s="70">
        <v>2.013888888888889E-2</v>
      </c>
      <c r="AR23" s="83">
        <v>0.55486111111111114</v>
      </c>
      <c r="AS23" s="83">
        <v>0.56944444444444442</v>
      </c>
      <c r="AT23" s="70">
        <v>0.37291666666666662</v>
      </c>
      <c r="AU23" s="70">
        <v>0.12291666666666667</v>
      </c>
      <c r="AV23" s="70">
        <v>0.3840277777777778</v>
      </c>
      <c r="AW23" s="70">
        <v>0.99930555555555556</v>
      </c>
      <c r="AX23" s="70">
        <v>0.41736111111111113</v>
      </c>
      <c r="AY23" s="70">
        <v>0.12291666666666667</v>
      </c>
      <c r="AZ23" s="70">
        <v>0.37708333333333338</v>
      </c>
      <c r="BA23" s="70">
        <v>5.9722222222222225E-2</v>
      </c>
      <c r="BB23" s="70">
        <v>0.37777777777777777</v>
      </c>
      <c r="BC23" s="70">
        <v>1.3888888888888889E-3</v>
      </c>
      <c r="BD23" s="70">
        <v>0.37916666666666665</v>
      </c>
      <c r="BE23" s="70">
        <v>2.361111111111111E-2</v>
      </c>
      <c r="BF23" s="83">
        <v>0.57708333333333328</v>
      </c>
      <c r="BG23" s="83">
        <v>1.3888888888888889E-3</v>
      </c>
      <c r="BH23" s="70">
        <v>0.36874999999999997</v>
      </c>
      <c r="BI23" s="78">
        <v>1</v>
      </c>
      <c r="BJ23" s="38">
        <f t="shared" si="0"/>
        <v>28</v>
      </c>
      <c r="BK23" s="39">
        <v>4</v>
      </c>
      <c r="BL23" s="40">
        <f t="shared" si="14"/>
        <v>28</v>
      </c>
      <c r="BM23" s="41">
        <f t="shared" si="15"/>
        <v>0</v>
      </c>
      <c r="BN23" s="41">
        <f t="shared" si="16"/>
        <v>0</v>
      </c>
      <c r="BO23" s="41">
        <f t="shared" si="17"/>
        <v>0</v>
      </c>
      <c r="BP23" s="41">
        <f t="shared" si="18"/>
        <v>0</v>
      </c>
      <c r="BQ23" s="41">
        <f t="shared" si="19"/>
        <v>0</v>
      </c>
      <c r="BR23" s="41">
        <f t="shared" si="20"/>
        <v>0</v>
      </c>
      <c r="BS23" s="41">
        <f t="shared" si="21"/>
        <v>0</v>
      </c>
      <c r="BT23" s="41">
        <f t="shared" si="22"/>
        <v>0</v>
      </c>
      <c r="BU23" s="41">
        <f t="shared" si="23"/>
        <v>0</v>
      </c>
      <c r="BV23" s="41">
        <f t="shared" si="24"/>
        <v>0</v>
      </c>
      <c r="BW23" s="41">
        <f t="shared" si="25"/>
        <v>0</v>
      </c>
      <c r="BX23" s="42"/>
      <c r="CB23" s="36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47">
        <f t="shared" si="13"/>
        <v>0</v>
      </c>
    </row>
    <row r="24" spans="1:90" ht="24.75" customHeight="1" x14ac:dyDescent="0.25">
      <c r="A24" s="32">
        <v>20</v>
      </c>
      <c r="B24" s="46" t="s">
        <v>55</v>
      </c>
      <c r="C24" s="34" t="s">
        <v>56</v>
      </c>
      <c r="D24" s="70">
        <v>0.38194444444444442</v>
      </c>
      <c r="E24" s="78">
        <v>1</v>
      </c>
      <c r="F24" s="70">
        <v>0.38055555555555554</v>
      </c>
      <c r="G24" s="70">
        <v>0.99930555555555556</v>
      </c>
      <c r="H24" s="70">
        <v>6.2499999999999995E-3</v>
      </c>
      <c r="I24" s="78">
        <v>1</v>
      </c>
      <c r="J24" s="70">
        <v>0.37013888888888885</v>
      </c>
      <c r="K24" s="78">
        <v>1</v>
      </c>
      <c r="L24" s="70">
        <v>0.37916666666666665</v>
      </c>
      <c r="M24" s="70">
        <v>3.2638888888888891E-2</v>
      </c>
      <c r="N24" s="83">
        <v>0.57847222222222217</v>
      </c>
      <c r="O24" s="83">
        <v>0.98888888888888893</v>
      </c>
      <c r="P24" s="70">
        <v>0.3840277777777778</v>
      </c>
      <c r="Q24" s="70">
        <v>3.8194444444444441E-2</v>
      </c>
      <c r="R24" s="71">
        <v>1</v>
      </c>
      <c r="S24" s="71">
        <v>1</v>
      </c>
      <c r="T24" s="70">
        <v>0.37777777777777777</v>
      </c>
      <c r="U24" s="70">
        <v>3.472222222222222E-3</v>
      </c>
      <c r="V24" s="70">
        <v>0.38958333333333334</v>
      </c>
      <c r="W24" s="71">
        <v>1</v>
      </c>
      <c r="X24" s="70">
        <v>0.37361111111111112</v>
      </c>
      <c r="Y24" s="70">
        <v>2.5694444444444447E-2</v>
      </c>
      <c r="Z24" s="70">
        <v>0.38958333333333334</v>
      </c>
      <c r="AA24" s="70">
        <v>3.125E-2</v>
      </c>
      <c r="AB24" s="83">
        <v>0.3888888888888889</v>
      </c>
      <c r="AC24" s="83">
        <v>6.1111111111111116E-2</v>
      </c>
      <c r="AD24" s="70">
        <v>3.888888888888889E-2</v>
      </c>
      <c r="AE24" s="71">
        <v>1</v>
      </c>
      <c r="AF24" s="70">
        <v>0.38819444444444445</v>
      </c>
      <c r="AG24" s="78">
        <v>1</v>
      </c>
      <c r="AI24" s="35">
        <v>20</v>
      </c>
      <c r="AJ24" s="70">
        <v>0.49722222222222223</v>
      </c>
      <c r="AK24" s="70">
        <v>5.4166666666666669E-2</v>
      </c>
      <c r="AL24" s="70">
        <v>0.33680555555555558</v>
      </c>
      <c r="AM24" s="70">
        <v>0.74791666666666667</v>
      </c>
      <c r="AN24" s="70">
        <v>0.37013888888888885</v>
      </c>
      <c r="AO24" s="70">
        <v>6.3194444444444442E-2</v>
      </c>
      <c r="AP24" s="70">
        <v>0.3576388888888889</v>
      </c>
      <c r="AQ24" s="70">
        <v>6.7361111111111108E-2</v>
      </c>
      <c r="AR24" s="83">
        <v>0.56736111111111109</v>
      </c>
      <c r="AS24" s="83">
        <v>0.11180555555555556</v>
      </c>
      <c r="AT24" s="70">
        <v>0.35902777777777778</v>
      </c>
      <c r="AU24" s="70">
        <v>0.14305555555555557</v>
      </c>
      <c r="AV24" s="70">
        <v>0.375</v>
      </c>
      <c r="AW24" s="70">
        <v>0.87916666666666676</v>
      </c>
      <c r="AX24" s="70">
        <v>0.36944444444444446</v>
      </c>
      <c r="AY24" s="70">
        <v>0.10277777777777779</v>
      </c>
      <c r="AZ24" s="70">
        <v>0.37222222222222223</v>
      </c>
      <c r="BA24" s="70">
        <v>0.10069444444444443</v>
      </c>
      <c r="BB24" s="70">
        <v>0.37152777777777773</v>
      </c>
      <c r="BC24" s="70">
        <v>8.2638888888888887E-2</v>
      </c>
      <c r="BD24" s="70">
        <v>0.37222222222222223</v>
      </c>
      <c r="BE24" s="70">
        <v>6.25E-2</v>
      </c>
      <c r="BF24" s="83">
        <v>0.5708333333333333</v>
      </c>
      <c r="BG24" s="83">
        <v>1.5972222222222224E-2</v>
      </c>
      <c r="BH24" s="70">
        <v>0.375</v>
      </c>
      <c r="BI24" s="70">
        <v>8.819444444444445E-2</v>
      </c>
      <c r="BJ24" s="38">
        <f t="shared" si="0"/>
        <v>28</v>
      </c>
      <c r="BK24" s="39">
        <v>4</v>
      </c>
      <c r="BL24" s="40">
        <f t="shared" si="14"/>
        <v>28</v>
      </c>
      <c r="BM24" s="41">
        <f t="shared" si="15"/>
        <v>0</v>
      </c>
      <c r="BN24" s="41">
        <f t="shared" si="16"/>
        <v>0</v>
      </c>
      <c r="BO24" s="41">
        <f t="shared" si="17"/>
        <v>0</v>
      </c>
      <c r="BP24" s="41">
        <f t="shared" si="18"/>
        <v>0</v>
      </c>
      <c r="BQ24" s="41">
        <f t="shared" si="19"/>
        <v>0</v>
      </c>
      <c r="BR24" s="41">
        <f t="shared" si="20"/>
        <v>0</v>
      </c>
      <c r="BS24" s="41">
        <f t="shared" si="21"/>
        <v>0</v>
      </c>
      <c r="BT24" s="41">
        <f t="shared" si="22"/>
        <v>0</v>
      </c>
      <c r="BU24" s="41">
        <f t="shared" si="23"/>
        <v>0</v>
      </c>
      <c r="BV24" s="41">
        <f t="shared" si="24"/>
        <v>0</v>
      </c>
      <c r="BW24" s="41">
        <f t="shared" si="25"/>
        <v>0</v>
      </c>
      <c r="BX24" s="42"/>
      <c r="CB24" s="36">
        <v>0</v>
      </c>
      <c r="CC24" s="32">
        <v>0</v>
      </c>
      <c r="CD24" s="32">
        <v>0</v>
      </c>
      <c r="CE24" s="32">
        <v>0</v>
      </c>
      <c r="CF24" s="32">
        <v>7</v>
      </c>
      <c r="CG24" s="32">
        <v>1</v>
      </c>
      <c r="CH24" s="32">
        <v>0</v>
      </c>
      <c r="CI24" s="32">
        <v>0</v>
      </c>
      <c r="CJ24" s="32">
        <v>0</v>
      </c>
      <c r="CK24" s="32">
        <v>0</v>
      </c>
      <c r="CL24" s="47">
        <f t="shared" si="13"/>
        <v>8</v>
      </c>
    </row>
    <row r="25" spans="1:90" ht="24.75" customHeight="1" thickBot="1" x14ac:dyDescent="0.3">
      <c r="A25" s="32">
        <v>21</v>
      </c>
      <c r="B25" s="46" t="s">
        <v>93</v>
      </c>
      <c r="C25" s="34" t="s">
        <v>94</v>
      </c>
      <c r="D25" s="70">
        <v>0.37222222222222223</v>
      </c>
      <c r="E25" s="78">
        <v>1</v>
      </c>
      <c r="F25" s="70">
        <v>0.37847222222222227</v>
      </c>
      <c r="G25" s="70">
        <v>0.7631944444444444</v>
      </c>
      <c r="H25" s="70">
        <v>0.37916666666666665</v>
      </c>
      <c r="I25" s="78">
        <v>1</v>
      </c>
      <c r="J25" s="70">
        <v>0.38194444444444442</v>
      </c>
      <c r="K25" s="70">
        <v>0.7368055555555556</v>
      </c>
      <c r="L25" s="70">
        <v>0.38055555555555554</v>
      </c>
      <c r="M25" s="70">
        <v>0.7402777777777777</v>
      </c>
      <c r="N25" s="82" t="s">
        <v>59</v>
      </c>
      <c r="O25" s="82" t="s">
        <v>59</v>
      </c>
      <c r="P25" s="70">
        <v>0.37916666666666665</v>
      </c>
      <c r="Q25" s="70">
        <v>0.74861111111111101</v>
      </c>
      <c r="R25" s="70">
        <v>0.38611111111111113</v>
      </c>
      <c r="S25" s="70">
        <v>0.72361111111111109</v>
      </c>
      <c r="T25" s="70">
        <v>0.38194444444444442</v>
      </c>
      <c r="U25" s="70">
        <v>0.71388888888888891</v>
      </c>
      <c r="V25" s="70">
        <v>0.37986111111111115</v>
      </c>
      <c r="W25" s="71">
        <v>1</v>
      </c>
      <c r="X25" s="70">
        <v>0.37986111111111115</v>
      </c>
      <c r="Y25" s="70">
        <v>0.72499999999999998</v>
      </c>
      <c r="Z25" s="70">
        <v>0.4381944444444445</v>
      </c>
      <c r="AA25" s="70">
        <v>0.81944444444444453</v>
      </c>
      <c r="AB25" s="82" t="s">
        <v>59</v>
      </c>
      <c r="AC25" s="82" t="s">
        <v>59</v>
      </c>
      <c r="AD25" s="70">
        <v>0.37986111111111115</v>
      </c>
      <c r="AE25" s="70">
        <v>0.75208333333333333</v>
      </c>
      <c r="AF25" s="70">
        <v>0.38194444444444442</v>
      </c>
      <c r="AG25" s="70">
        <v>0.92847222222222225</v>
      </c>
      <c r="AH25" s="68"/>
      <c r="AI25" s="35">
        <v>21</v>
      </c>
      <c r="AJ25" s="70">
        <v>0.37847222222222227</v>
      </c>
      <c r="AK25" s="70">
        <v>0.75624999999999998</v>
      </c>
      <c r="AL25" s="70">
        <v>0.36319444444444443</v>
      </c>
      <c r="AM25" s="70">
        <v>0.8041666666666667</v>
      </c>
      <c r="AN25" s="88" t="s">
        <v>69</v>
      </c>
      <c r="AO25" s="88" t="s">
        <v>69</v>
      </c>
      <c r="AP25" s="70">
        <v>0.39166666666666666</v>
      </c>
      <c r="AQ25" s="70">
        <v>0.66875000000000007</v>
      </c>
      <c r="AR25" s="82" t="s">
        <v>59</v>
      </c>
      <c r="AS25" s="82" t="s">
        <v>59</v>
      </c>
      <c r="AT25" s="70">
        <v>0.39305555555555555</v>
      </c>
      <c r="AU25" s="70">
        <v>0.67986111111111114</v>
      </c>
      <c r="AV25" s="70">
        <v>0.39583333333333331</v>
      </c>
      <c r="AW25" s="70">
        <v>0.67222222222222217</v>
      </c>
      <c r="AX25" s="70">
        <v>0.3972222222222222</v>
      </c>
      <c r="AY25" s="70">
        <v>0.67291666666666661</v>
      </c>
      <c r="AZ25" s="70">
        <v>0.3972222222222222</v>
      </c>
      <c r="BA25" s="70">
        <v>0.66875000000000007</v>
      </c>
      <c r="BB25" s="70">
        <v>0.39999999999999997</v>
      </c>
      <c r="BC25" s="70">
        <v>0.67152777777777783</v>
      </c>
      <c r="BD25" s="70">
        <v>0.4284722222222222</v>
      </c>
      <c r="BE25" s="70">
        <v>0.6694444444444444</v>
      </c>
      <c r="BF25" s="82" t="s">
        <v>59</v>
      </c>
      <c r="BG25" s="82" t="s">
        <v>59</v>
      </c>
      <c r="BH25" s="70">
        <v>0.3923611111111111</v>
      </c>
      <c r="BI25" s="70">
        <v>0.67083333333333339</v>
      </c>
      <c r="BJ25" s="38">
        <f t="shared" si="0"/>
        <v>28</v>
      </c>
      <c r="BK25" s="39">
        <v>0</v>
      </c>
      <c r="BL25" s="40">
        <f t="shared" si="14"/>
        <v>23</v>
      </c>
      <c r="BM25" s="41">
        <f t="shared" si="15"/>
        <v>4</v>
      </c>
      <c r="BN25" s="41">
        <f t="shared" si="16"/>
        <v>0</v>
      </c>
      <c r="BO25" s="41">
        <f t="shared" si="17"/>
        <v>0</v>
      </c>
      <c r="BP25" s="41">
        <f t="shared" si="18"/>
        <v>0</v>
      </c>
      <c r="BQ25" s="41">
        <f t="shared" si="19"/>
        <v>0</v>
      </c>
      <c r="BR25" s="41">
        <f t="shared" si="20"/>
        <v>0</v>
      </c>
      <c r="BS25" s="41">
        <f t="shared" si="21"/>
        <v>0</v>
      </c>
      <c r="BT25" s="41">
        <f t="shared" si="22"/>
        <v>0</v>
      </c>
      <c r="BU25" s="41">
        <f t="shared" si="23"/>
        <v>0</v>
      </c>
      <c r="BV25" s="41">
        <f t="shared" si="24"/>
        <v>0</v>
      </c>
      <c r="BW25" s="41">
        <f t="shared" si="25"/>
        <v>1</v>
      </c>
      <c r="BX25" s="42"/>
      <c r="CB25" s="73">
        <v>0</v>
      </c>
      <c r="CC25" s="74">
        <v>0</v>
      </c>
      <c r="CD25" s="74">
        <v>0</v>
      </c>
      <c r="CE25" s="74">
        <v>0</v>
      </c>
      <c r="CF25" s="74">
        <v>0</v>
      </c>
      <c r="CG25" s="74">
        <v>0</v>
      </c>
      <c r="CH25" s="74">
        <v>0</v>
      </c>
      <c r="CI25" s="74">
        <v>0</v>
      </c>
      <c r="CJ25" s="74">
        <v>0</v>
      </c>
      <c r="CK25" s="74">
        <v>0</v>
      </c>
      <c r="CL25" s="52">
        <f t="shared" si="13"/>
        <v>0</v>
      </c>
    </row>
    <row r="26" spans="1:90" s="68" customFormat="1" ht="27.75" customHeight="1" thickBot="1" x14ac:dyDescent="0.3">
      <c r="A26" s="32">
        <v>22</v>
      </c>
      <c r="B26" s="46" t="s">
        <v>98</v>
      </c>
      <c r="C26" s="34" t="s">
        <v>99</v>
      </c>
      <c r="D26" s="70">
        <v>0.35555555555555557</v>
      </c>
      <c r="E26" s="70">
        <v>0.65763888888888888</v>
      </c>
      <c r="F26" s="70">
        <v>0.60416666666666663</v>
      </c>
      <c r="G26" s="70">
        <v>0.95416666666666661</v>
      </c>
      <c r="H26" s="70">
        <v>0.35486111111111113</v>
      </c>
      <c r="I26" s="70">
        <v>0.65</v>
      </c>
      <c r="J26" s="70">
        <v>0.35347222222222219</v>
      </c>
      <c r="K26" s="70">
        <v>0.64583333333333337</v>
      </c>
      <c r="L26" s="70">
        <v>0.35694444444444445</v>
      </c>
      <c r="M26" s="70">
        <v>0.65763888888888888</v>
      </c>
      <c r="N26" s="83">
        <v>0.58472222222222225</v>
      </c>
      <c r="O26" s="83">
        <v>0.95972222222222225</v>
      </c>
      <c r="P26" s="70">
        <v>0.3576388888888889</v>
      </c>
      <c r="Q26" s="70">
        <v>0.65277777777777779</v>
      </c>
      <c r="R26" s="70">
        <v>0.35694444444444445</v>
      </c>
      <c r="S26" s="70">
        <v>0.65555555555555556</v>
      </c>
      <c r="T26" s="70">
        <v>0.35972222222222222</v>
      </c>
      <c r="U26" s="70">
        <v>0.66041666666666665</v>
      </c>
      <c r="V26" s="70">
        <v>0.35555555555555557</v>
      </c>
      <c r="W26" s="70">
        <v>0.65416666666666667</v>
      </c>
      <c r="X26" s="70">
        <v>0.35902777777777778</v>
      </c>
      <c r="Y26" s="70">
        <v>0.65138888888888891</v>
      </c>
      <c r="Z26" s="70">
        <v>0.35486111111111113</v>
      </c>
      <c r="AA26" s="70">
        <v>0.65833333333333333</v>
      </c>
      <c r="AB26" s="83">
        <v>0.58263888888888882</v>
      </c>
      <c r="AC26" s="83">
        <v>0.95486111111111116</v>
      </c>
      <c r="AD26" s="70">
        <v>0.36041666666666666</v>
      </c>
      <c r="AE26" s="70">
        <v>0.65694444444444444</v>
      </c>
      <c r="AF26" s="70">
        <v>0.36319444444444443</v>
      </c>
      <c r="AG26" s="70">
        <v>0.65347222222222223</v>
      </c>
      <c r="AH26" s="86"/>
      <c r="AI26" s="35">
        <v>22</v>
      </c>
      <c r="AJ26" s="70">
        <v>0.35694444444444445</v>
      </c>
      <c r="AK26" s="70">
        <v>0.65277777777777779</v>
      </c>
      <c r="AL26" s="70">
        <v>0.35347222222222219</v>
      </c>
      <c r="AM26" s="70">
        <v>0.64652777777777781</v>
      </c>
      <c r="AN26" s="70">
        <v>0.3756944444444445</v>
      </c>
      <c r="AO26" s="70">
        <v>0.65277777777777779</v>
      </c>
      <c r="AP26" s="70">
        <v>0.39305555555555555</v>
      </c>
      <c r="AQ26" s="70">
        <v>0.65763888888888888</v>
      </c>
      <c r="AR26" s="82" t="s">
        <v>59</v>
      </c>
      <c r="AS26" s="82" t="s">
        <v>59</v>
      </c>
      <c r="AT26" s="70" t="s">
        <v>110</v>
      </c>
      <c r="AU26" s="70" t="s">
        <v>110</v>
      </c>
      <c r="AV26" s="70" t="s">
        <v>67</v>
      </c>
      <c r="AW26" s="70" t="s">
        <v>67</v>
      </c>
      <c r="AX26" s="70">
        <v>0.3743055555555555</v>
      </c>
      <c r="AY26" s="70">
        <v>0.65902777777777777</v>
      </c>
      <c r="AZ26" s="70">
        <v>0.3756944444444445</v>
      </c>
      <c r="BA26" s="70">
        <v>0.65833333333333333</v>
      </c>
      <c r="BB26" s="70">
        <v>0.37708333333333338</v>
      </c>
      <c r="BC26" s="70">
        <v>0.65486111111111112</v>
      </c>
      <c r="BD26" s="70">
        <v>0.375</v>
      </c>
      <c r="BE26" s="70">
        <v>0.65347222222222223</v>
      </c>
      <c r="BF26" s="83">
        <v>0.58124999999999993</v>
      </c>
      <c r="BG26" s="83">
        <v>6.9444444444444447E-4</v>
      </c>
      <c r="BH26" s="70">
        <v>0.37708333333333338</v>
      </c>
      <c r="BI26" s="70">
        <v>0.65555555555555556</v>
      </c>
      <c r="BJ26" s="38">
        <f t="shared" si="0"/>
        <v>27</v>
      </c>
      <c r="BK26" s="39">
        <v>3</v>
      </c>
      <c r="BL26" s="40">
        <f t="shared" si="14"/>
        <v>25</v>
      </c>
      <c r="BM26" s="41">
        <f t="shared" si="15"/>
        <v>1</v>
      </c>
      <c r="BN26" s="41">
        <f t="shared" si="16"/>
        <v>0</v>
      </c>
      <c r="BO26" s="41">
        <f t="shared" si="17"/>
        <v>0</v>
      </c>
      <c r="BP26" s="41">
        <f t="shared" si="18"/>
        <v>0</v>
      </c>
      <c r="BQ26" s="41">
        <f t="shared" si="19"/>
        <v>0</v>
      </c>
      <c r="BR26" s="41">
        <f t="shared" si="20"/>
        <v>0</v>
      </c>
      <c r="BS26" s="41">
        <f t="shared" si="21"/>
        <v>1</v>
      </c>
      <c r="BT26" s="41">
        <f t="shared" si="22"/>
        <v>0</v>
      </c>
      <c r="BU26" s="41">
        <f t="shared" si="23"/>
        <v>1</v>
      </c>
      <c r="BV26" s="41">
        <f t="shared" si="24"/>
        <v>0</v>
      </c>
      <c r="BW26" s="41">
        <f t="shared" si="25"/>
        <v>0</v>
      </c>
      <c r="BX26" s="42"/>
      <c r="CB26" s="73">
        <v>0</v>
      </c>
      <c r="CC26" s="74">
        <v>0</v>
      </c>
      <c r="CD26" s="74">
        <v>0</v>
      </c>
      <c r="CE26" s="74">
        <v>0</v>
      </c>
      <c r="CF26" s="74">
        <v>0</v>
      </c>
      <c r="CG26" s="74">
        <v>1</v>
      </c>
      <c r="CH26" s="74">
        <v>0</v>
      </c>
      <c r="CI26" s="74">
        <v>1</v>
      </c>
      <c r="CJ26" s="74">
        <v>0</v>
      </c>
      <c r="CK26" s="74">
        <v>0</v>
      </c>
      <c r="CL26" s="52">
        <f t="shared" ref="CL26" si="26">SUM(CB26:CK26)</f>
        <v>2</v>
      </c>
    </row>
    <row r="27" spans="1:90" ht="24.75" customHeight="1" x14ac:dyDescent="0.25">
      <c r="A27" s="32">
        <v>23</v>
      </c>
      <c r="B27" s="46" t="s">
        <v>100</v>
      </c>
      <c r="C27" s="34" t="s">
        <v>103</v>
      </c>
      <c r="D27" s="70">
        <v>0.35416666666666669</v>
      </c>
      <c r="E27" s="70">
        <v>0.97986111111111107</v>
      </c>
      <c r="F27" s="70">
        <v>0.35555555555555557</v>
      </c>
      <c r="G27" s="70">
        <v>0.95833333333333337</v>
      </c>
      <c r="H27" s="70">
        <v>0.3527777777777778</v>
      </c>
      <c r="I27" s="70">
        <v>0.99930555555555556</v>
      </c>
      <c r="J27" s="70">
        <v>0.35069444444444442</v>
      </c>
      <c r="K27" s="70">
        <v>0.9868055555555556</v>
      </c>
      <c r="L27" s="70">
        <v>0.35069444444444442</v>
      </c>
      <c r="M27" s="70">
        <v>2.2916666666666669E-2</v>
      </c>
      <c r="N27" s="82" t="s">
        <v>59</v>
      </c>
      <c r="O27" s="82" t="s">
        <v>59</v>
      </c>
      <c r="P27" s="70">
        <v>0.36319444444444443</v>
      </c>
      <c r="Q27" s="71">
        <v>1</v>
      </c>
      <c r="R27" s="70">
        <v>0.35000000000000003</v>
      </c>
      <c r="S27" s="71">
        <v>1</v>
      </c>
      <c r="T27" s="90" t="s">
        <v>117</v>
      </c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2"/>
      <c r="AH27" s="62"/>
      <c r="AI27" s="35">
        <v>23</v>
      </c>
      <c r="AJ27" s="90" t="s">
        <v>114</v>
      </c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2"/>
      <c r="BJ27" s="38">
        <f t="shared" si="0"/>
        <v>8</v>
      </c>
      <c r="BK27" s="39">
        <v>0</v>
      </c>
      <c r="BL27" s="40">
        <f t="shared" si="14"/>
        <v>7</v>
      </c>
      <c r="BM27" s="41">
        <f t="shared" si="15"/>
        <v>1</v>
      </c>
      <c r="BN27" s="41">
        <f t="shared" si="16"/>
        <v>0</v>
      </c>
      <c r="BO27" s="41">
        <f t="shared" si="17"/>
        <v>0</v>
      </c>
      <c r="BP27" s="41">
        <f t="shared" si="18"/>
        <v>0</v>
      </c>
      <c r="BQ27" s="41">
        <f t="shared" si="19"/>
        <v>0</v>
      </c>
      <c r="BR27" s="41">
        <f t="shared" si="20"/>
        <v>0</v>
      </c>
      <c r="BS27" s="41">
        <f t="shared" si="21"/>
        <v>0</v>
      </c>
      <c r="BT27" s="41">
        <f t="shared" si="22"/>
        <v>0</v>
      </c>
      <c r="BU27" s="41">
        <f t="shared" si="23"/>
        <v>0</v>
      </c>
      <c r="BV27" s="41">
        <f t="shared" si="24"/>
        <v>0</v>
      </c>
      <c r="BW27" s="41">
        <f t="shared" si="25"/>
        <v>0</v>
      </c>
      <c r="BX27" s="42"/>
      <c r="CB27" s="36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52">
        <f>SUM(CB27:CK27)</f>
        <v>0</v>
      </c>
    </row>
    <row r="28" spans="1:90" s="68" customFormat="1" ht="27.75" customHeight="1" x14ac:dyDescent="0.25">
      <c r="A28" s="32">
        <v>24</v>
      </c>
      <c r="B28" s="46" t="s">
        <v>105</v>
      </c>
      <c r="C28" s="34" t="s">
        <v>104</v>
      </c>
      <c r="D28" s="93" t="s">
        <v>108</v>
      </c>
      <c r="E28" s="94"/>
      <c r="F28" s="94"/>
      <c r="G28" s="94"/>
      <c r="H28" s="94"/>
      <c r="I28" s="94"/>
      <c r="J28" s="94"/>
      <c r="K28" s="96"/>
      <c r="L28" s="70">
        <v>0.35625000000000001</v>
      </c>
      <c r="M28" s="70">
        <v>0.66666666666666663</v>
      </c>
      <c r="N28" s="83">
        <v>0.5756944444444444</v>
      </c>
      <c r="O28" s="83">
        <v>0.95208333333333339</v>
      </c>
      <c r="P28" s="70">
        <v>0.64374999999999993</v>
      </c>
      <c r="Q28" s="70">
        <v>0.96805555555555556</v>
      </c>
      <c r="R28" s="103" t="s">
        <v>118</v>
      </c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62"/>
      <c r="AI28" s="35">
        <v>24</v>
      </c>
      <c r="AJ28" s="127" t="s">
        <v>115</v>
      </c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9"/>
      <c r="BJ28" s="38">
        <f t="shared" si="0"/>
        <v>3</v>
      </c>
      <c r="BK28" s="39">
        <v>1</v>
      </c>
      <c r="BL28" s="40">
        <f t="shared" si="14"/>
        <v>3</v>
      </c>
      <c r="BM28" s="41">
        <f t="shared" si="15"/>
        <v>0</v>
      </c>
      <c r="BN28" s="41">
        <f t="shared" si="16"/>
        <v>0</v>
      </c>
      <c r="BO28" s="41">
        <f t="shared" si="17"/>
        <v>0</v>
      </c>
      <c r="BP28" s="41">
        <f t="shared" si="18"/>
        <v>0</v>
      </c>
      <c r="BQ28" s="41">
        <f t="shared" si="19"/>
        <v>0</v>
      </c>
      <c r="BR28" s="41">
        <f t="shared" si="20"/>
        <v>0</v>
      </c>
      <c r="BS28" s="41">
        <f t="shared" si="21"/>
        <v>0</v>
      </c>
      <c r="BT28" s="41">
        <f t="shared" si="22"/>
        <v>0</v>
      </c>
      <c r="BU28" s="41">
        <f t="shared" si="23"/>
        <v>0</v>
      </c>
      <c r="BV28" s="41">
        <f t="shared" si="24"/>
        <v>0</v>
      </c>
      <c r="BW28" s="41">
        <f t="shared" si="25"/>
        <v>0</v>
      </c>
      <c r="BX28" s="42"/>
      <c r="CB28" s="73"/>
      <c r="CC28" s="74"/>
      <c r="CD28" s="74"/>
      <c r="CE28" s="74"/>
      <c r="CF28" s="74"/>
      <c r="CG28" s="74"/>
      <c r="CH28" s="74"/>
      <c r="CI28" s="74"/>
      <c r="CJ28" s="74"/>
      <c r="CK28" s="74"/>
      <c r="CL28" s="52">
        <f>SUM(CB28:CK28)</f>
        <v>0</v>
      </c>
    </row>
    <row r="29" spans="1:90" s="68" customFormat="1" ht="27.75" customHeight="1" x14ac:dyDescent="0.25">
      <c r="A29" s="32">
        <v>25</v>
      </c>
      <c r="B29" s="46" t="s">
        <v>106</v>
      </c>
      <c r="C29" s="34" t="s">
        <v>107</v>
      </c>
      <c r="D29" s="93" t="s">
        <v>109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70">
        <v>0.35486111111111113</v>
      </c>
      <c r="S29" s="70">
        <v>0.94236111111111109</v>
      </c>
      <c r="T29" s="70" t="s">
        <v>110</v>
      </c>
      <c r="U29" s="70" t="s">
        <v>110</v>
      </c>
      <c r="V29" s="70">
        <v>0.56388888888888888</v>
      </c>
      <c r="W29" s="70">
        <v>0.68055555555555547</v>
      </c>
      <c r="X29" s="70">
        <v>0.36736111111111108</v>
      </c>
      <c r="Y29" s="70">
        <v>0.65138888888888891</v>
      </c>
      <c r="Z29" s="70">
        <v>0.53611111111111109</v>
      </c>
      <c r="AA29" s="70">
        <v>0.65902777777777777</v>
      </c>
      <c r="AB29" s="82" t="s">
        <v>59</v>
      </c>
      <c r="AC29" s="82" t="s">
        <v>59</v>
      </c>
      <c r="AD29" s="70">
        <v>0.3611111111111111</v>
      </c>
      <c r="AE29" s="70">
        <v>0.65694444444444444</v>
      </c>
      <c r="AF29" s="70">
        <v>0.36527777777777781</v>
      </c>
      <c r="AG29" s="70">
        <v>0.65347222222222223</v>
      </c>
      <c r="AH29" s="62"/>
      <c r="AI29" s="35">
        <v>25</v>
      </c>
      <c r="AJ29" s="127" t="s">
        <v>119</v>
      </c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9"/>
      <c r="BJ29" s="38">
        <f t="shared" si="0"/>
        <v>8</v>
      </c>
      <c r="BK29" s="39">
        <v>0</v>
      </c>
      <c r="BL29" s="40">
        <f t="shared" si="14"/>
        <v>6</v>
      </c>
      <c r="BM29" s="41">
        <f t="shared" si="15"/>
        <v>1</v>
      </c>
      <c r="BN29" s="41">
        <f t="shared" si="16"/>
        <v>0</v>
      </c>
      <c r="BO29" s="41">
        <f t="shared" si="17"/>
        <v>0</v>
      </c>
      <c r="BP29" s="41">
        <f t="shared" si="18"/>
        <v>0</v>
      </c>
      <c r="BQ29" s="41">
        <f t="shared" si="19"/>
        <v>0</v>
      </c>
      <c r="BR29" s="41">
        <f t="shared" si="20"/>
        <v>0</v>
      </c>
      <c r="BS29" s="41">
        <f t="shared" si="21"/>
        <v>1</v>
      </c>
      <c r="BT29" s="41">
        <f t="shared" si="22"/>
        <v>0</v>
      </c>
      <c r="BU29" s="41">
        <f t="shared" si="23"/>
        <v>0</v>
      </c>
      <c r="BV29" s="41">
        <f t="shared" si="24"/>
        <v>0</v>
      </c>
      <c r="BW29" s="41">
        <f t="shared" si="25"/>
        <v>0</v>
      </c>
      <c r="BX29" s="42"/>
      <c r="CB29" s="73"/>
      <c r="CC29" s="74"/>
      <c r="CD29" s="74"/>
      <c r="CE29" s="74"/>
      <c r="CF29" s="74"/>
      <c r="CG29" s="74"/>
      <c r="CH29" s="74"/>
      <c r="CI29" s="74"/>
      <c r="CJ29" s="74"/>
      <c r="CK29" s="74"/>
      <c r="CL29" s="52">
        <f>SUM(CB29:CK29)</f>
        <v>0</v>
      </c>
    </row>
    <row r="30" spans="1:90" s="85" customFormat="1" ht="27.75" customHeight="1" x14ac:dyDescent="0.25">
      <c r="A30" s="32">
        <v>26</v>
      </c>
      <c r="B30" s="46" t="s">
        <v>111</v>
      </c>
      <c r="C30" s="34" t="s">
        <v>113</v>
      </c>
      <c r="D30" s="93" t="s">
        <v>109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71">
        <v>1</v>
      </c>
      <c r="S30" s="71">
        <v>1</v>
      </c>
      <c r="T30" s="70">
        <v>0.375</v>
      </c>
      <c r="U30" s="70">
        <v>0.93541666666666667</v>
      </c>
      <c r="V30" s="70">
        <v>0.37638888888888888</v>
      </c>
      <c r="W30" s="70">
        <v>0.94444444444444453</v>
      </c>
      <c r="X30" s="70">
        <v>0.37152777777777773</v>
      </c>
      <c r="Y30" s="70">
        <v>0.94652777777777775</v>
      </c>
      <c r="Z30" s="70">
        <v>0.37916666666666665</v>
      </c>
      <c r="AA30" s="71">
        <v>1</v>
      </c>
      <c r="AB30" s="83">
        <v>0.59027777777777779</v>
      </c>
      <c r="AC30" s="83">
        <v>0.94861111111111107</v>
      </c>
      <c r="AD30" s="70">
        <v>0.3527777777777778</v>
      </c>
      <c r="AE30" s="70">
        <v>0.97361111111111109</v>
      </c>
      <c r="AF30" s="70">
        <v>0.35000000000000003</v>
      </c>
      <c r="AG30" s="70">
        <v>0.9458333333333333</v>
      </c>
      <c r="AI30" s="35">
        <v>26</v>
      </c>
      <c r="AJ30" s="70">
        <v>0.35972222222222222</v>
      </c>
      <c r="AK30" s="70">
        <v>0.94861111111111107</v>
      </c>
      <c r="AL30" s="70">
        <v>0.37361111111111112</v>
      </c>
      <c r="AM30" s="70">
        <v>0.99930555555555556</v>
      </c>
      <c r="AN30" s="70">
        <v>0.38055555555555554</v>
      </c>
      <c r="AO30" s="70">
        <v>0.98333333333333339</v>
      </c>
      <c r="AP30" s="70">
        <v>0.37638888888888888</v>
      </c>
      <c r="AQ30" s="70">
        <v>0.97986111111111107</v>
      </c>
      <c r="AR30" s="83">
        <v>0.58333333333333337</v>
      </c>
      <c r="AS30" s="83">
        <v>0.98819444444444438</v>
      </c>
      <c r="AT30" s="70">
        <v>0.37777777777777777</v>
      </c>
      <c r="AU30" s="70">
        <v>0.98611111111111116</v>
      </c>
      <c r="AV30" s="70">
        <v>0.37291666666666662</v>
      </c>
      <c r="AW30" s="70">
        <v>0.98402777777777783</v>
      </c>
      <c r="AX30" s="70">
        <v>0.37083333333333335</v>
      </c>
      <c r="AY30" s="70">
        <v>0.98958333333333337</v>
      </c>
      <c r="AZ30" s="70">
        <v>0.38055555555555554</v>
      </c>
      <c r="BA30" s="70">
        <v>0.98333333333333339</v>
      </c>
      <c r="BB30" s="70">
        <v>0.37361111111111112</v>
      </c>
      <c r="BC30" s="70">
        <v>0.98472222222222217</v>
      </c>
      <c r="BD30" s="70">
        <v>0.37361111111111112</v>
      </c>
      <c r="BE30" s="70">
        <v>0.98263888888888884</v>
      </c>
      <c r="BF30" s="83">
        <v>0.58333333333333337</v>
      </c>
      <c r="BG30" s="83">
        <v>1.7361111111111112E-2</v>
      </c>
      <c r="BH30" s="70">
        <v>0.37708333333333338</v>
      </c>
      <c r="BI30" s="70">
        <v>3.6111111111111115E-2</v>
      </c>
      <c r="BJ30" s="38">
        <f t="shared" si="0"/>
        <v>21</v>
      </c>
      <c r="BK30" s="39">
        <v>3</v>
      </c>
      <c r="BL30" s="40">
        <f t="shared" si="14"/>
        <v>21</v>
      </c>
      <c r="BM30" s="41">
        <f t="shared" si="15"/>
        <v>0</v>
      </c>
      <c r="BN30" s="41">
        <f t="shared" si="16"/>
        <v>0</v>
      </c>
      <c r="BO30" s="41">
        <f t="shared" si="17"/>
        <v>0</v>
      </c>
      <c r="BP30" s="41">
        <f t="shared" si="18"/>
        <v>0</v>
      </c>
      <c r="BQ30" s="41">
        <f t="shared" si="19"/>
        <v>0</v>
      </c>
      <c r="BR30" s="41">
        <f t="shared" si="20"/>
        <v>0</v>
      </c>
      <c r="BS30" s="41">
        <f t="shared" si="21"/>
        <v>0</v>
      </c>
      <c r="BT30" s="41">
        <f t="shared" si="22"/>
        <v>0</v>
      </c>
      <c r="BU30" s="41">
        <f t="shared" si="23"/>
        <v>0</v>
      </c>
      <c r="BV30" s="41">
        <f t="shared" si="24"/>
        <v>0</v>
      </c>
      <c r="BW30" s="41">
        <f t="shared" si="25"/>
        <v>0</v>
      </c>
      <c r="BX30" s="42"/>
      <c r="BY30" s="68"/>
      <c r="BZ30" s="68"/>
      <c r="CA30" s="68"/>
    </row>
    <row r="31" spans="1:90" s="68" customFormat="1" ht="27.75" customHeight="1" x14ac:dyDescent="0.25">
      <c r="A31" s="32">
        <v>27</v>
      </c>
      <c r="B31" s="46" t="s">
        <v>112</v>
      </c>
      <c r="C31" s="34" t="s">
        <v>116</v>
      </c>
      <c r="D31" s="95" t="s">
        <v>121</v>
      </c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70">
        <v>0.39097222222222222</v>
      </c>
      <c r="W31" s="70">
        <v>0.9472222222222223</v>
      </c>
      <c r="X31" s="70">
        <v>0.35416666666666669</v>
      </c>
      <c r="Y31" s="70">
        <v>0.95138888888888884</v>
      </c>
      <c r="Z31" s="70">
        <v>0.35347222222222219</v>
      </c>
      <c r="AA31" s="70">
        <v>0.97013888888888899</v>
      </c>
      <c r="AB31" s="83">
        <v>0.58472222222222225</v>
      </c>
      <c r="AC31" s="83">
        <v>0.99444444444444446</v>
      </c>
      <c r="AD31" s="70">
        <v>0.36180555555555555</v>
      </c>
      <c r="AE31" s="70">
        <v>0.95624999999999993</v>
      </c>
      <c r="AF31" s="70">
        <v>0.35694444444444445</v>
      </c>
      <c r="AG31" s="70">
        <v>0.77708333333333324</v>
      </c>
      <c r="AH31" s="62"/>
      <c r="AI31" s="35">
        <v>27</v>
      </c>
      <c r="AJ31" s="70">
        <v>0.35555555555555557</v>
      </c>
      <c r="AK31" s="70">
        <v>0.94166666666666676</v>
      </c>
      <c r="AL31" s="70">
        <v>0.35694444444444445</v>
      </c>
      <c r="AM31" s="70">
        <v>1</v>
      </c>
      <c r="AN31" s="70">
        <v>0.38125000000000003</v>
      </c>
      <c r="AO31" s="70">
        <v>0.99930555555555556</v>
      </c>
      <c r="AP31" s="70">
        <v>0.37638888888888888</v>
      </c>
      <c r="AQ31" s="70">
        <v>2.0833333333333333E-3</v>
      </c>
      <c r="AR31" s="83">
        <v>0.58124999999999993</v>
      </c>
      <c r="AS31" s="83">
        <v>1.3888888888888888E-2</v>
      </c>
      <c r="AT31" s="70">
        <v>0.37638888888888888</v>
      </c>
      <c r="AU31" s="70">
        <v>2.0833333333333333E-3</v>
      </c>
      <c r="AV31" s="70">
        <v>0.38263888888888892</v>
      </c>
      <c r="AW31" s="70">
        <v>2.0833333333333333E-3</v>
      </c>
      <c r="AX31" s="70">
        <v>0.37916666666666665</v>
      </c>
      <c r="AY31" s="70">
        <v>6.2499999999999995E-3</v>
      </c>
      <c r="AZ31" s="70">
        <v>0.37777777777777777</v>
      </c>
      <c r="BA31" s="70">
        <v>9.0277777777777787E-3</v>
      </c>
      <c r="BB31" s="117" t="s">
        <v>120</v>
      </c>
      <c r="BC31" s="118"/>
      <c r="BD31" s="118"/>
      <c r="BE31" s="118"/>
      <c r="BF31" s="118"/>
      <c r="BG31" s="118"/>
      <c r="BH31" s="118"/>
      <c r="BI31" s="119"/>
      <c r="BJ31" s="38">
        <f t="shared" si="0"/>
        <v>15</v>
      </c>
      <c r="BK31" s="39">
        <v>2</v>
      </c>
      <c r="BL31" s="40">
        <f t="shared" si="14"/>
        <v>15</v>
      </c>
      <c r="BM31" s="41">
        <f t="shared" si="15"/>
        <v>0</v>
      </c>
      <c r="BN31" s="41">
        <f t="shared" si="16"/>
        <v>0</v>
      </c>
      <c r="BO31" s="41">
        <f t="shared" si="17"/>
        <v>0</v>
      </c>
      <c r="BP31" s="41">
        <f t="shared" si="18"/>
        <v>0</v>
      </c>
      <c r="BQ31" s="41">
        <f t="shared" si="19"/>
        <v>0</v>
      </c>
      <c r="BR31" s="41">
        <f t="shared" si="20"/>
        <v>0</v>
      </c>
      <c r="BS31" s="41">
        <f t="shared" si="21"/>
        <v>0</v>
      </c>
      <c r="BT31" s="41">
        <f t="shared" si="22"/>
        <v>0</v>
      </c>
      <c r="BU31" s="41">
        <f t="shared" si="23"/>
        <v>0</v>
      </c>
      <c r="BV31" s="41">
        <f t="shared" si="24"/>
        <v>0</v>
      </c>
      <c r="BW31" s="41">
        <f t="shared" si="25"/>
        <v>0</v>
      </c>
      <c r="BX31" s="42"/>
      <c r="BY31"/>
      <c r="BZ31"/>
      <c r="CA31"/>
      <c r="CB31" s="73"/>
      <c r="CC31" s="74"/>
      <c r="CD31" s="74"/>
      <c r="CE31" s="74"/>
      <c r="CF31" s="74"/>
      <c r="CG31" s="74"/>
      <c r="CH31" s="74"/>
      <c r="CI31" s="74"/>
      <c r="CJ31" s="74"/>
      <c r="CK31" s="74"/>
      <c r="CL31" s="52">
        <f>SUM(CB31:CK31)</f>
        <v>0</v>
      </c>
    </row>
    <row r="34" spans="1:90" x14ac:dyDescent="0.25">
      <c r="BY34" s="68"/>
      <c r="BZ34" s="68"/>
      <c r="CA34" s="68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9"/>
    </row>
    <row r="35" spans="1:90" s="68" customFormat="1" ht="27.75" customHeight="1" x14ac:dyDescent="0.25">
      <c r="A35" s="61"/>
      <c r="B35" s="55"/>
      <c r="C35" s="56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61"/>
      <c r="AA35" s="61"/>
      <c r="AB35" s="57"/>
      <c r="AC35" s="57"/>
      <c r="AD35" s="58"/>
      <c r="AE35" s="58"/>
      <c r="AF35" s="58"/>
      <c r="AG35" s="58"/>
      <c r="AH35" s="62"/>
      <c r="AI35" s="61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/>
      <c r="AU35" s="59"/>
      <c r="AV35" s="59"/>
      <c r="AW35" s="59"/>
      <c r="AX35" s="59"/>
      <c r="AY35" s="59"/>
      <c r="AZ35" s="57"/>
      <c r="BA35" s="57"/>
      <c r="BB35" s="57"/>
      <c r="BC35" s="57"/>
      <c r="BD35" s="57"/>
      <c r="BE35" s="57"/>
      <c r="BF35" s="57"/>
      <c r="BG35" s="57"/>
      <c r="BH35" s="60"/>
      <c r="BI35" s="60"/>
      <c r="BJ35" s="63"/>
      <c r="BK35" s="64"/>
      <c r="BL35" s="65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7"/>
      <c r="BY35"/>
      <c r="BZ35"/>
      <c r="CA35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9"/>
    </row>
    <row r="36" spans="1:90" ht="17.25" x14ac:dyDescent="0.3">
      <c r="E36" s="12"/>
      <c r="F36" s="12"/>
      <c r="G36" s="13" t="s">
        <v>71</v>
      </c>
      <c r="H36" s="13"/>
      <c r="I36" s="13"/>
      <c r="J36" s="12"/>
      <c r="K36" s="12"/>
      <c r="L36" s="14"/>
      <c r="P36" s="15"/>
      <c r="Q36" s="13" t="s">
        <v>72</v>
      </c>
      <c r="R36" s="12"/>
      <c r="S36" s="12"/>
      <c r="W36" s="16"/>
      <c r="X36" s="12"/>
      <c r="Y36" s="12"/>
      <c r="Z36" s="13" t="s">
        <v>73</v>
      </c>
      <c r="AA36" s="16"/>
      <c r="AB36" s="16"/>
      <c r="AC36" s="12"/>
      <c r="AD36" s="12"/>
      <c r="AE36" s="12"/>
      <c r="AF36" s="12"/>
      <c r="AQ36" s="12"/>
      <c r="AR36" s="12"/>
      <c r="BL36" s="29" t="s">
        <v>74</v>
      </c>
      <c r="BM36" s="21"/>
      <c r="BN36" s="17"/>
      <c r="BO36" s="17"/>
      <c r="BP36" s="18" t="s">
        <v>59</v>
      </c>
      <c r="BQ36" s="19"/>
      <c r="BR36" s="20" t="s">
        <v>75</v>
      </c>
      <c r="BS36" s="21"/>
      <c r="BT36" s="21"/>
      <c r="BU36" s="12"/>
      <c r="BV36" s="22" t="s">
        <v>65</v>
      </c>
    </row>
    <row r="37" spans="1:90" ht="17.25" x14ac:dyDescent="0.3">
      <c r="E37" s="12"/>
      <c r="F37" s="12"/>
      <c r="G37" s="12"/>
      <c r="H37" s="12"/>
      <c r="I37" s="12"/>
      <c r="J37" s="12"/>
      <c r="K37" s="12"/>
      <c r="L37" s="12"/>
      <c r="P37" s="12"/>
      <c r="Q37" s="12"/>
      <c r="R37" s="12"/>
      <c r="S37" s="12"/>
      <c r="W37" s="16"/>
      <c r="X37" s="12"/>
      <c r="Y37" s="12"/>
      <c r="Z37" s="12"/>
      <c r="AA37" s="12"/>
      <c r="AB37" s="16"/>
      <c r="AC37" s="12"/>
      <c r="AD37" s="12"/>
      <c r="AE37" s="12"/>
      <c r="AF37" s="12"/>
      <c r="AQ37" s="12"/>
      <c r="AR37" s="12"/>
      <c r="BL37" s="29" t="s">
        <v>76</v>
      </c>
      <c r="BM37" s="21"/>
      <c r="BN37" s="17"/>
      <c r="BO37" s="17"/>
      <c r="BP37" s="18" t="s">
        <v>60</v>
      </c>
      <c r="BQ37" s="19"/>
      <c r="BR37" s="23" t="s">
        <v>77</v>
      </c>
      <c r="BS37" s="24"/>
      <c r="BT37" s="24"/>
      <c r="BU37" s="12"/>
      <c r="BV37" s="22" t="s">
        <v>66</v>
      </c>
    </row>
    <row r="38" spans="1:90" ht="17.25" x14ac:dyDescent="0.3">
      <c r="E38" s="12"/>
      <c r="F38" s="12"/>
      <c r="G38" s="12"/>
      <c r="H38" s="12"/>
      <c r="I38" s="12"/>
      <c r="J38" s="12"/>
      <c r="K38" s="12"/>
      <c r="L38" s="12"/>
      <c r="P38" s="12"/>
      <c r="Q38" s="12"/>
      <c r="R38" s="12"/>
      <c r="S38" s="12"/>
      <c r="W38" s="16"/>
      <c r="X38" s="12"/>
      <c r="Y38" s="12"/>
      <c r="Z38" s="12"/>
      <c r="AA38" s="12"/>
      <c r="AB38" s="16"/>
      <c r="AC38" s="12"/>
      <c r="AD38" s="12"/>
      <c r="AE38" s="12"/>
      <c r="AF38" s="12"/>
      <c r="AQ38" s="12"/>
      <c r="AR38" s="12"/>
      <c r="BL38" s="29" t="s">
        <v>78</v>
      </c>
      <c r="BM38" s="21"/>
      <c r="BN38" s="17"/>
      <c r="BO38" s="17"/>
      <c r="BP38" s="18" t="s">
        <v>61</v>
      </c>
      <c r="BQ38" s="19"/>
      <c r="BR38" s="23" t="s">
        <v>79</v>
      </c>
      <c r="BS38" s="24"/>
      <c r="BT38" s="24"/>
      <c r="BU38" s="12"/>
      <c r="BV38" s="22" t="s">
        <v>67</v>
      </c>
    </row>
    <row r="39" spans="1:90" ht="17.25" x14ac:dyDescent="0.3">
      <c r="E39" s="12"/>
      <c r="F39" s="12"/>
      <c r="G39" s="25"/>
      <c r="H39" s="26"/>
      <c r="I39" s="25"/>
      <c r="J39" s="12"/>
      <c r="K39" s="12"/>
      <c r="L39" s="27"/>
      <c r="P39" s="15"/>
      <c r="Q39" s="12"/>
      <c r="R39" s="26"/>
      <c r="S39" s="12"/>
      <c r="W39" s="12"/>
      <c r="X39" s="12"/>
      <c r="Y39" s="26"/>
      <c r="Z39" s="12"/>
      <c r="AA39" s="26"/>
      <c r="AB39" s="12"/>
      <c r="AC39" s="12"/>
      <c r="AD39" s="12"/>
      <c r="AE39" s="12"/>
      <c r="AF39" s="12"/>
      <c r="AQ39" s="12"/>
      <c r="AR39" s="12"/>
      <c r="BL39" s="29" t="s">
        <v>80</v>
      </c>
      <c r="BM39" s="21"/>
      <c r="BN39" s="17"/>
      <c r="BO39" s="17"/>
      <c r="BP39" s="18" t="s">
        <v>62</v>
      </c>
      <c r="BQ39" s="19"/>
      <c r="BR39" s="20" t="s">
        <v>81</v>
      </c>
      <c r="BS39" s="21"/>
      <c r="BT39" s="21"/>
      <c r="BU39" s="12"/>
      <c r="BV39" s="22" t="s">
        <v>68</v>
      </c>
    </row>
    <row r="40" spans="1:90" ht="17.25" x14ac:dyDescent="0.3">
      <c r="E40" s="12"/>
      <c r="F40" s="12"/>
      <c r="G40" s="28" t="s">
        <v>82</v>
      </c>
      <c r="H40" s="28"/>
      <c r="I40" s="26"/>
      <c r="J40" s="12"/>
      <c r="K40" s="12"/>
      <c r="L40" s="15"/>
      <c r="P40" s="15"/>
      <c r="Q40" s="28" t="s">
        <v>26</v>
      </c>
      <c r="R40" s="25"/>
      <c r="S40" s="12"/>
      <c r="W40" s="12"/>
      <c r="X40" s="12" t="s">
        <v>84</v>
      </c>
      <c r="Y40" s="25"/>
      <c r="Z40" s="28" t="s">
        <v>83</v>
      </c>
      <c r="AA40" s="25"/>
      <c r="AB40" s="12"/>
      <c r="AC40" s="12"/>
      <c r="AD40" s="12"/>
      <c r="AE40" s="12"/>
      <c r="AF40" s="12"/>
      <c r="AQ40" s="12"/>
      <c r="AR40" s="12"/>
      <c r="BL40" s="29" t="s">
        <v>85</v>
      </c>
      <c r="BM40" s="21"/>
      <c r="BN40" s="17"/>
      <c r="BO40" s="17"/>
      <c r="BP40" s="18" t="s">
        <v>63</v>
      </c>
      <c r="BQ40" s="19"/>
      <c r="BR40" s="20" t="s">
        <v>86</v>
      </c>
      <c r="BS40" s="21"/>
      <c r="BT40" s="21"/>
      <c r="BU40" s="12"/>
      <c r="BV40" s="22" t="s">
        <v>69</v>
      </c>
    </row>
    <row r="41" spans="1:90" ht="17.25" x14ac:dyDescent="0.3">
      <c r="E41" s="12"/>
      <c r="F41" s="12"/>
      <c r="G41" s="28" t="s">
        <v>87</v>
      </c>
      <c r="H41" s="28"/>
      <c r="I41" s="28"/>
      <c r="J41" s="12"/>
      <c r="K41" s="12"/>
      <c r="L41" s="27"/>
      <c r="P41" s="15"/>
      <c r="Q41" s="28" t="s">
        <v>88</v>
      </c>
      <c r="R41" s="28"/>
      <c r="S41" s="12"/>
      <c r="W41" s="12"/>
      <c r="X41" s="12"/>
      <c r="Y41" s="26"/>
      <c r="Z41" s="28" t="s">
        <v>89</v>
      </c>
      <c r="AA41" s="28"/>
      <c r="AB41" s="12"/>
      <c r="AC41" s="12"/>
      <c r="AD41" s="12"/>
      <c r="AE41" s="12"/>
      <c r="AF41" s="12"/>
      <c r="AQ41" s="12"/>
      <c r="AR41" s="12"/>
      <c r="BL41" s="29" t="s">
        <v>90</v>
      </c>
      <c r="BM41" s="21"/>
      <c r="BN41" s="17"/>
      <c r="BO41" s="17"/>
      <c r="BP41" s="18" t="s">
        <v>64</v>
      </c>
      <c r="BQ41" s="19"/>
      <c r="BR41" s="19"/>
      <c r="BS41" s="19"/>
      <c r="BT41" s="19"/>
      <c r="BU41" s="19"/>
      <c r="BV41" s="19"/>
    </row>
    <row r="42" spans="1:90" ht="17.25" x14ac:dyDescent="0.25">
      <c r="E42" s="26"/>
      <c r="F42" s="25"/>
      <c r="G42" s="26"/>
      <c r="H42" s="26"/>
      <c r="I42" s="26"/>
      <c r="J42" s="26"/>
      <c r="K42" s="27"/>
      <c r="L42" s="27"/>
      <c r="P42" s="15"/>
      <c r="Q42" s="12"/>
      <c r="R42" s="12"/>
      <c r="S42" s="26"/>
      <c r="W42" s="12"/>
      <c r="X42" s="19"/>
      <c r="Y42" s="26"/>
      <c r="Z42" s="12"/>
      <c r="AA42" s="12"/>
      <c r="AB42" s="12"/>
      <c r="AC42" s="19"/>
      <c r="AD42" s="19"/>
      <c r="AE42" s="19"/>
      <c r="AF42" s="19"/>
      <c r="AG42" s="19"/>
      <c r="AH42" s="19"/>
      <c r="AI42" s="12"/>
      <c r="AJ42" s="28"/>
      <c r="AK42" s="28"/>
      <c r="AL42" s="12"/>
      <c r="AM42" s="12"/>
      <c r="AN42" s="12"/>
      <c r="AO42" s="12"/>
      <c r="AP42" s="12"/>
      <c r="AQ42" s="12"/>
      <c r="AR42" s="12"/>
    </row>
    <row r="43" spans="1:90" x14ac:dyDescent="0.25">
      <c r="E43" s="12"/>
      <c r="F43" s="12"/>
      <c r="G43" s="12"/>
      <c r="H43" s="12"/>
      <c r="I43" s="12"/>
      <c r="J43" s="12"/>
      <c r="K43" s="12"/>
      <c r="L43" s="12"/>
      <c r="P43" s="12"/>
      <c r="Q43" s="12"/>
      <c r="R43" s="12"/>
      <c r="S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spans="1:90" x14ac:dyDescent="0.25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7" spans="1:90" ht="21.75" customHeight="1" x14ac:dyDescent="0.25"/>
    <row r="56" spans="1:90" x14ac:dyDescent="0.25">
      <c r="CB56" s="36">
        <v>0</v>
      </c>
      <c r="CC56" s="32">
        <v>0</v>
      </c>
      <c r="CD56" s="32">
        <v>0</v>
      </c>
      <c r="CE56" s="32">
        <v>0</v>
      </c>
      <c r="CF56" s="32">
        <v>0</v>
      </c>
      <c r="CG56" s="32">
        <v>1</v>
      </c>
      <c r="CH56" s="32">
        <v>0</v>
      </c>
      <c r="CI56" s="32">
        <v>1</v>
      </c>
      <c r="CJ56" s="32">
        <v>0</v>
      </c>
      <c r="CK56" s="32">
        <v>0</v>
      </c>
      <c r="CL56" s="47">
        <f>SUM(CB56:CK56)</f>
        <v>2</v>
      </c>
    </row>
    <row r="57" spans="1:90" ht="24.75" customHeight="1" x14ac:dyDescent="0.25">
      <c r="A57" s="32">
        <v>23</v>
      </c>
      <c r="B57" s="46" t="s">
        <v>91</v>
      </c>
      <c r="C57" s="34" t="s">
        <v>92</v>
      </c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43"/>
      <c r="S57" s="35"/>
      <c r="T57" s="43"/>
      <c r="U57" s="43"/>
      <c r="V57" s="43"/>
      <c r="W57" s="43"/>
      <c r="X57" s="43"/>
      <c r="Y57" s="43"/>
      <c r="Z57" s="43"/>
      <c r="AA57" s="43"/>
      <c r="AB57" s="113"/>
      <c r="AC57" s="114"/>
      <c r="AD57" s="114"/>
      <c r="AE57" s="114"/>
      <c r="AF57" s="114"/>
      <c r="AG57" s="115"/>
      <c r="AH57" s="37"/>
      <c r="AI57" s="32">
        <v>23</v>
      </c>
      <c r="AJ57" s="113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38">
        <f>BL57+BM57+BN57+BO57+BP57+BT57+BR57+BS57+BW57</f>
        <v>0</v>
      </c>
      <c r="BK57" s="39">
        <v>0</v>
      </c>
      <c r="BL57" s="40">
        <f>COUNT(B57:AG57)/2+COUNT(AJ57:BI57)/2</f>
        <v>0</v>
      </c>
      <c r="BM57" s="41">
        <f>COUNTIF(D57:BI57,"OFF")/2</f>
        <v>0</v>
      </c>
      <c r="BN57" s="41">
        <f>COUNTIF(D57:BI57,"MC")/2</f>
        <v>0</v>
      </c>
      <c r="BO57" s="41">
        <f>COUNTIF(D57:BI57,"EL")/2</f>
        <v>0</v>
      </c>
      <c r="BP57" s="41">
        <f>COUNTIF(D57:BI57,"AL")/2</f>
        <v>0</v>
      </c>
      <c r="BQ57" s="41">
        <f>COUNTIF(D57:BI57,"SUS")/2</f>
        <v>0</v>
      </c>
      <c r="BR57" s="41">
        <f>COUNTIF(D57:BI57,"FL")/2</f>
        <v>0</v>
      </c>
      <c r="BS57" s="41">
        <f>COUNTIF(D57:BI57,"SICK")/2</f>
        <v>0</v>
      </c>
      <c r="BT57" s="41">
        <f>COUNTIF(D57:BI57,"HD")/2</f>
        <v>0</v>
      </c>
      <c r="BU57" s="41">
        <f>COUNTIF(D57:BI57,"AB")/2</f>
        <v>0</v>
      </c>
      <c r="BV57" s="41">
        <f>COUNTIF(D57:BI57,"NL")/2</f>
        <v>0</v>
      </c>
      <c r="BW57" s="41">
        <f>COUNTIF(D57:BI57,"SP")/2</f>
        <v>0</v>
      </c>
      <c r="BX57" s="42"/>
      <c r="CB57" s="36">
        <v>0</v>
      </c>
      <c r="CC57" s="32">
        <v>0</v>
      </c>
      <c r="CD57" s="32">
        <v>30</v>
      </c>
      <c r="CE57" s="32">
        <v>0</v>
      </c>
      <c r="CF57" s="32">
        <v>0</v>
      </c>
      <c r="CG57" s="32">
        <v>0</v>
      </c>
      <c r="CH57" s="32">
        <v>0</v>
      </c>
      <c r="CI57" s="32">
        <v>0</v>
      </c>
      <c r="CJ57" s="32">
        <v>0</v>
      </c>
      <c r="CK57" s="32">
        <v>0</v>
      </c>
      <c r="CL57" s="47">
        <f>SUM(CB57:CK57)</f>
        <v>30</v>
      </c>
    </row>
    <row r="58" spans="1:90" ht="24.75" customHeight="1" x14ac:dyDescent="0.25">
      <c r="A58" s="32">
        <v>19</v>
      </c>
      <c r="B58" s="41" t="s">
        <v>49</v>
      </c>
      <c r="C58" s="34" t="s">
        <v>50</v>
      </c>
      <c r="D58" s="35" t="s">
        <v>62</v>
      </c>
      <c r="E58" s="35" t="s">
        <v>62</v>
      </c>
      <c r="F58" s="35" t="s">
        <v>62</v>
      </c>
      <c r="G58" s="35" t="s">
        <v>62</v>
      </c>
      <c r="H58" s="35" t="s">
        <v>62</v>
      </c>
      <c r="I58" s="35" t="s">
        <v>62</v>
      </c>
      <c r="J58" s="35" t="s">
        <v>62</v>
      </c>
      <c r="K58" s="35" t="s">
        <v>62</v>
      </c>
      <c r="L58" s="35" t="s">
        <v>62</v>
      </c>
      <c r="M58" s="35" t="s">
        <v>62</v>
      </c>
      <c r="N58" s="35" t="s">
        <v>62</v>
      </c>
      <c r="O58" s="35" t="s">
        <v>62</v>
      </c>
      <c r="P58" s="35" t="s">
        <v>62</v>
      </c>
      <c r="Q58" s="35" t="s">
        <v>62</v>
      </c>
      <c r="R58" s="35" t="s">
        <v>62</v>
      </c>
      <c r="S58" s="35" t="s">
        <v>62</v>
      </c>
      <c r="T58" s="35" t="s">
        <v>62</v>
      </c>
      <c r="U58" s="35" t="s">
        <v>62</v>
      </c>
      <c r="V58" s="35" t="s">
        <v>62</v>
      </c>
      <c r="W58" s="35" t="s">
        <v>62</v>
      </c>
      <c r="X58" s="43" t="s">
        <v>62</v>
      </c>
      <c r="Y58" s="43" t="s">
        <v>62</v>
      </c>
      <c r="Z58" s="54" t="s">
        <v>62</v>
      </c>
      <c r="AA58" s="54" t="s">
        <v>62</v>
      </c>
      <c r="AB58" s="43" t="s">
        <v>62</v>
      </c>
      <c r="AC58" s="43" t="s">
        <v>62</v>
      </c>
      <c r="AD58" s="43" t="s">
        <v>62</v>
      </c>
      <c r="AE58" s="43" t="s">
        <v>62</v>
      </c>
      <c r="AF58" s="43" t="s">
        <v>62</v>
      </c>
      <c r="AG58" s="43" t="s">
        <v>62</v>
      </c>
      <c r="AH58" s="37"/>
      <c r="AI58" s="32">
        <v>19</v>
      </c>
      <c r="AJ58" s="43" t="s">
        <v>62</v>
      </c>
      <c r="AK58" s="43" t="s">
        <v>62</v>
      </c>
      <c r="AL58" s="43" t="s">
        <v>62</v>
      </c>
      <c r="AM58" s="43" t="s">
        <v>62</v>
      </c>
      <c r="AN58" s="43" t="s">
        <v>62</v>
      </c>
      <c r="AO58" s="43" t="s">
        <v>62</v>
      </c>
      <c r="AP58" s="54" t="s">
        <v>62</v>
      </c>
      <c r="AQ58" s="54" t="s">
        <v>62</v>
      </c>
      <c r="AR58" s="35" t="s">
        <v>62</v>
      </c>
      <c r="AS58" s="35" t="s">
        <v>62</v>
      </c>
      <c r="AT58" s="35" t="s">
        <v>62</v>
      </c>
      <c r="AU58" s="35" t="s">
        <v>62</v>
      </c>
      <c r="AV58" s="35" t="s">
        <v>62</v>
      </c>
      <c r="AW58" s="35" t="s">
        <v>62</v>
      </c>
      <c r="AX58" s="35" t="s">
        <v>62</v>
      </c>
      <c r="AY58" s="35" t="s">
        <v>62</v>
      </c>
      <c r="AZ58" s="35" t="s">
        <v>62</v>
      </c>
      <c r="BA58" s="35" t="s">
        <v>62</v>
      </c>
      <c r="BB58" s="35" t="s">
        <v>62</v>
      </c>
      <c r="BC58" s="35" t="s">
        <v>62</v>
      </c>
      <c r="BD58" s="53" t="s">
        <v>62</v>
      </c>
      <c r="BE58" s="53" t="s">
        <v>62</v>
      </c>
      <c r="BF58" s="35" t="s">
        <v>62</v>
      </c>
      <c r="BG58" s="35" t="s">
        <v>62</v>
      </c>
      <c r="BH58" s="35" t="s">
        <v>62</v>
      </c>
      <c r="BI58" s="35" t="s">
        <v>62</v>
      </c>
      <c r="BJ58" s="38">
        <f>BL58+BM58+BN58+BO58+BT58+BR58+BW58</f>
        <v>0</v>
      </c>
      <c r="BK58" s="39">
        <v>0</v>
      </c>
      <c r="BL58" s="40">
        <f>COUNT(D58:AG58)/2+COUNT(AJ58:BI58)/2</f>
        <v>0</v>
      </c>
      <c r="BM58" s="41">
        <f>COUNTIF(D58:BI58,"OFF")/2</f>
        <v>0</v>
      </c>
      <c r="BN58" s="41">
        <f>COUNTIF(D58:BI58,"MC")/2</f>
        <v>0</v>
      </c>
      <c r="BO58" s="41">
        <f>COUNTIF(D58:BI58,"EL")/2</f>
        <v>0</v>
      </c>
      <c r="BP58" s="41">
        <f>COUNTIF(D58:BI58,"AL")/2</f>
        <v>28</v>
      </c>
      <c r="BQ58" s="41">
        <f>COUNTIF(D58:BI58,"SUS")/2</f>
        <v>0</v>
      </c>
      <c r="BR58" s="41">
        <f>COUNTIF(D58:BI58,"FL")/2</f>
        <v>0</v>
      </c>
      <c r="BS58" s="41">
        <f>COUNTIF(D58:BI58,"SICK")/2</f>
        <v>0</v>
      </c>
      <c r="BT58" s="41">
        <f>COUNTIF(D58:BI58,"HD")/2</f>
        <v>0</v>
      </c>
      <c r="BU58" s="41">
        <f>COUNTIF(D58:BI58,"AB")/2</f>
        <v>0</v>
      </c>
      <c r="BV58" s="41">
        <f>COUNTIF(D58:BI58,"NL")/2</f>
        <v>0</v>
      </c>
      <c r="BW58" s="41">
        <f>COUNTIF(D58:BI58,"SP")/2</f>
        <v>0</v>
      </c>
      <c r="BX58" s="42"/>
    </row>
    <row r="59" spans="1:90" ht="24.75" customHeight="1" x14ac:dyDescent="0.25">
      <c r="A59" s="32">
        <v>14</v>
      </c>
      <c r="B59" s="41" t="s">
        <v>39</v>
      </c>
      <c r="C59" s="34" t="s">
        <v>40</v>
      </c>
      <c r="D59" s="79"/>
      <c r="E59" s="79"/>
      <c r="F59" s="80"/>
      <c r="P59" s="70"/>
      <c r="Q59" s="70"/>
      <c r="R59" s="70"/>
      <c r="S59" s="70"/>
      <c r="T59" s="75"/>
      <c r="U59" s="75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62"/>
      <c r="AI59" s="35">
        <v>14</v>
      </c>
      <c r="AJ59" s="75"/>
      <c r="AK59" s="75"/>
      <c r="AL59" s="70"/>
      <c r="AM59" s="70"/>
      <c r="AN59" s="70"/>
      <c r="AO59" s="70"/>
      <c r="AP59" s="70"/>
      <c r="AQ59" s="70"/>
      <c r="AR59" s="70"/>
      <c r="AS59" s="70"/>
      <c r="AT59" s="43"/>
      <c r="AU59" s="43"/>
      <c r="AV59" s="43"/>
      <c r="AW59" s="43"/>
      <c r="AX59" s="76"/>
      <c r="AY59" s="76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38">
        <f>BL59+BM59+BN59+BO59+BP59+BT59+BR59+BW59+BS59</f>
        <v>0</v>
      </c>
      <c r="BK59" s="39"/>
      <c r="BL59" s="40">
        <f>COUNT(D59:AG59)/2+COUNT(AJ59:BI59)/2</f>
        <v>0</v>
      </c>
      <c r="BM59" s="41">
        <f>COUNTIF(D59:BI59,"OFF")/2</f>
        <v>0</v>
      </c>
      <c r="BN59" s="41">
        <f>COUNTIF(D59:BI59,"MC")/2</f>
        <v>0</v>
      </c>
      <c r="BO59" s="41">
        <f>COUNTIF(D59:BI59,"EL")/2</f>
        <v>0</v>
      </c>
      <c r="BP59" s="41">
        <f>COUNTIF(D59:BI59,"AL")/2</f>
        <v>0</v>
      </c>
      <c r="BQ59" s="41">
        <f>COUNTIF(D59:BI59,"SUS")/2</f>
        <v>0</v>
      </c>
      <c r="BR59" s="41">
        <f>COUNTIF(D59:BI59,"FL")/2</f>
        <v>0</v>
      </c>
      <c r="BS59" s="41">
        <f>COUNTIF(D59:BI59,"SICK")/2</f>
        <v>0</v>
      </c>
      <c r="BT59" s="41">
        <f>COUNTIF(D59:BI59,"HD")/2</f>
        <v>0</v>
      </c>
      <c r="BU59" s="41">
        <f>COUNTIF(D59:BI59,"AB")/2</f>
        <v>0</v>
      </c>
      <c r="BV59" s="41">
        <f>COUNTIF(D59:BI59,"NL")/2</f>
        <v>0</v>
      </c>
      <c r="BW59" s="41">
        <f>COUNTIF(D59:BI59,"SP")/2</f>
        <v>0</v>
      </c>
      <c r="BX59" s="42"/>
      <c r="CB59" s="36">
        <v>0</v>
      </c>
      <c r="CC59" s="32">
        <v>0</v>
      </c>
      <c r="CD59" s="32">
        <v>26</v>
      </c>
      <c r="CE59" s="32">
        <v>0</v>
      </c>
      <c r="CF59" s="32">
        <v>0</v>
      </c>
      <c r="CG59" s="32">
        <v>13</v>
      </c>
      <c r="CH59" s="32">
        <v>0</v>
      </c>
      <c r="CI59" s="32">
        <v>14</v>
      </c>
      <c r="CJ59" s="32">
        <v>11</v>
      </c>
      <c r="CK59" s="32">
        <v>0</v>
      </c>
      <c r="CL59" s="47">
        <f>SUM(CB59:CK59)</f>
        <v>64</v>
      </c>
    </row>
  </sheetData>
  <mergeCells count="78">
    <mergeCell ref="BB31:BI31"/>
    <mergeCell ref="CB2:CK2"/>
    <mergeCell ref="CB3:CK3"/>
    <mergeCell ref="BF3:BG3"/>
    <mergeCell ref="BH3:BI3"/>
    <mergeCell ref="BF2:BG2"/>
    <mergeCell ref="BK2:BK4"/>
    <mergeCell ref="BL2:BX2"/>
    <mergeCell ref="BH2:BI2"/>
    <mergeCell ref="AJ27:BI27"/>
    <mergeCell ref="AJ28:BI28"/>
    <mergeCell ref="AJ29:BI29"/>
    <mergeCell ref="AT2:AU2"/>
    <mergeCell ref="AV2:AW2"/>
    <mergeCell ref="AX2:AY2"/>
    <mergeCell ref="BJ2:BJ4"/>
    <mergeCell ref="AB57:AG57"/>
    <mergeCell ref="AJ57:BI57"/>
    <mergeCell ref="D57:Q57"/>
    <mergeCell ref="H3:I3"/>
    <mergeCell ref="J3:K3"/>
    <mergeCell ref="L3:M3"/>
    <mergeCell ref="N3:O3"/>
    <mergeCell ref="P3:Q3"/>
    <mergeCell ref="R3:S3"/>
    <mergeCell ref="T3:U3"/>
    <mergeCell ref="AT3:AU3"/>
    <mergeCell ref="AV3:AW3"/>
    <mergeCell ref="AX3:AY3"/>
    <mergeCell ref="AZ3:BA3"/>
    <mergeCell ref="BB3:BC3"/>
    <mergeCell ref="AL3:AM3"/>
    <mergeCell ref="AJ3:AK3"/>
    <mergeCell ref="BD3:BE3"/>
    <mergeCell ref="AZ2:BA2"/>
    <mergeCell ref="BB2:BC2"/>
    <mergeCell ref="BD2:BE2"/>
    <mergeCell ref="AJ2:AK2"/>
    <mergeCell ref="AL2:AM2"/>
    <mergeCell ref="AN2:AO2"/>
    <mergeCell ref="AP2:AQ2"/>
    <mergeCell ref="AR2:AS2"/>
    <mergeCell ref="AR3:AS3"/>
    <mergeCell ref="A1:AG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AF3:AG3"/>
    <mergeCell ref="AF2:AG2"/>
    <mergeCell ref="T2:U2"/>
    <mergeCell ref="Z3:AA3"/>
    <mergeCell ref="AI1:BX1"/>
    <mergeCell ref="AI2:AI4"/>
    <mergeCell ref="D3:E3"/>
    <mergeCell ref="F3:G3"/>
    <mergeCell ref="R28:AG28"/>
    <mergeCell ref="AN3:AO3"/>
    <mergeCell ref="AP3:AQ3"/>
    <mergeCell ref="AD2:AE2"/>
    <mergeCell ref="Z2:AA2"/>
    <mergeCell ref="AB2:AC2"/>
    <mergeCell ref="AB3:AC3"/>
    <mergeCell ref="V2:W2"/>
    <mergeCell ref="X2:Y2"/>
    <mergeCell ref="AD3:AE3"/>
    <mergeCell ref="V3:W3"/>
    <mergeCell ref="X3:Y3"/>
    <mergeCell ref="T27:AG27"/>
    <mergeCell ref="D30:Q30"/>
    <mergeCell ref="D31:U31"/>
    <mergeCell ref="D28:K28"/>
    <mergeCell ref="D29:Q29"/>
  </mergeCells>
  <phoneticPr fontId="7" type="noConversion"/>
  <conditionalFormatting sqref="B2:B4">
    <cfRule type="duplicateValues" dxfId="2398" priority="9677"/>
  </conditionalFormatting>
  <conditionalFormatting sqref="B5">
    <cfRule type="duplicateValues" dxfId="2397" priority="9659"/>
  </conditionalFormatting>
  <conditionalFormatting sqref="B6:B7">
    <cfRule type="duplicateValues" dxfId="2396" priority="9665"/>
  </conditionalFormatting>
  <conditionalFormatting sqref="B8">
    <cfRule type="duplicateValues" dxfId="2395" priority="9664"/>
  </conditionalFormatting>
  <conditionalFormatting sqref="B18">
    <cfRule type="duplicateValues" dxfId="2394" priority="9662"/>
  </conditionalFormatting>
  <conditionalFormatting sqref="B18:B19">
    <cfRule type="duplicateValues" dxfId="2393" priority="9661"/>
  </conditionalFormatting>
  <conditionalFormatting sqref="B19">
    <cfRule type="duplicateValues" dxfId="2392" priority="9666"/>
  </conditionalFormatting>
  <conditionalFormatting sqref="B20">
    <cfRule type="duplicateValues" dxfId="2391" priority="9667"/>
  </conditionalFormatting>
  <conditionalFormatting sqref="B20:B21">
    <cfRule type="duplicateValues" dxfId="2390" priority="9660"/>
  </conditionalFormatting>
  <conditionalFormatting sqref="B59 B10:B17">
    <cfRule type="duplicateValues" dxfId="2389" priority="11908"/>
  </conditionalFormatting>
  <conditionalFormatting sqref="B5:C7">
    <cfRule type="containsText" dxfId="2388" priority="9658" operator="containsText" text="AB">
      <formula>NOT(ISERROR(SEARCH("AB",B5)))</formula>
    </cfRule>
  </conditionalFormatting>
  <conditionalFormatting sqref="B8:C8 B10:C17 B18:B21 C35 C57:C58 B59:C59">
    <cfRule type="containsText" dxfId="2387" priority="9657" operator="containsText" text="ABST">
      <formula>NOT(ISERROR(SEARCH("ABST",B8)))</formula>
    </cfRule>
  </conditionalFormatting>
  <conditionalFormatting sqref="C18:C31">
    <cfRule type="containsText" dxfId="2386" priority="1743" operator="containsText" text="ABST">
      <formula>NOT(ISERROR(SEARCH("ABST",C18)))</formula>
    </cfRule>
  </conditionalFormatting>
  <conditionalFormatting sqref="C27">
    <cfRule type="duplicateValues" dxfId="2385" priority="4667"/>
  </conditionalFormatting>
  <conditionalFormatting sqref="C30:C31">
    <cfRule type="duplicateValues" dxfId="2384" priority="1744"/>
  </conditionalFormatting>
  <conditionalFormatting sqref="C35 C28:C29 C59 C5:C26">
    <cfRule type="duplicateValues" dxfId="2383" priority="11911"/>
  </conditionalFormatting>
  <conditionalFormatting sqref="D8:D9 P59:AE59">
    <cfRule type="containsText" dxfId="2382" priority="7516" operator="containsText" text="NL">
      <formula>NOT(ISERROR(SEARCH("NL",D8)))</formula>
    </cfRule>
    <cfRule type="containsText" dxfId="2381" priority="7515" operator="containsText" text="SICK">
      <formula>NOT(ISERROR(SEARCH("SICK",D8)))</formula>
    </cfRule>
  </conditionalFormatting>
  <conditionalFormatting sqref="D5:M6 D8:M9 D58:AG58 AJ58:AQ58">
    <cfRule type="containsText" dxfId="2380" priority="8856" operator="containsText" text="NL">
      <formula>NOT(ISERROR(SEARCH("NL",D5)))</formula>
    </cfRule>
  </conditionalFormatting>
  <conditionalFormatting sqref="D5:M6 D8:M9 X58:AG58 AJ58:AQ58">
    <cfRule type="containsText" dxfId="2379" priority="8855" operator="containsText" text="SICK">
      <formula>NOT(ISERROR(SEARCH("SICK",D5)))</formula>
    </cfRule>
  </conditionalFormatting>
  <conditionalFormatting sqref="D19:M19">
    <cfRule type="containsText" dxfId="2378" priority="3021" operator="containsText" text="AB">
      <formula>NOT(ISERROR(SEARCH("AB",D19)))</formula>
    </cfRule>
    <cfRule type="containsText" dxfId="2377" priority="3029" stopIfTrue="1" operator="containsText" text="AL">
      <formula>NOT(ISERROR(SEARCH("AL",D19)))</formula>
    </cfRule>
    <cfRule type="containsText" dxfId="2376" priority="3025" operator="containsText" text="AL">
      <formula>NOT(ISERROR(SEARCH("AL",D19)))</formula>
    </cfRule>
    <cfRule type="containsText" dxfId="2375" priority="3028" operator="containsText" text="AB">
      <formula>NOT(ISERROR(SEARCH("AB",D19)))</formula>
    </cfRule>
    <cfRule type="containsText" dxfId="2374" priority="3027" operator="containsText" text="NL">
      <formula>NOT(ISERROR(SEARCH("NL",D19)))</formula>
    </cfRule>
    <cfRule type="containsText" dxfId="2373" priority="3026" operator="containsText" text="SICK">
      <formula>NOT(ISERROR(SEARCH("SICK",D19)))</formula>
    </cfRule>
    <cfRule type="containsText" dxfId="2372" priority="3022" operator="containsText" text="AL">
      <formula>NOT(ISERROR(SEARCH("AL",D19)))</formula>
    </cfRule>
    <cfRule type="containsText" dxfId="2371" priority="3030" stopIfTrue="1" operator="containsText" text="SP">
      <formula>NOT(ISERROR(SEARCH("SP",D19)))</formula>
    </cfRule>
    <cfRule type="containsText" dxfId="2370" priority="3024" operator="containsText" text="SICK">
      <formula>NOT(ISERROR(SEARCH("SICK",D19)))</formula>
    </cfRule>
    <cfRule type="containsText" dxfId="2369" priority="3023" operator="containsText" text="EL">
      <formula>NOT(ISERROR(SEARCH("EL",D19)))</formula>
    </cfRule>
    <cfRule type="containsText" dxfId="2368" priority="3031" stopIfTrue="1" operator="containsText" text="SICK">
      <formula>NOT(ISERROR(SEARCH("SICK",D19)))</formula>
    </cfRule>
  </conditionalFormatting>
  <conditionalFormatting sqref="D18:O19">
    <cfRule type="containsText" dxfId="2367" priority="2643" operator="containsText" text="AL">
      <formula>NOT(ISERROR(SEARCH("AL",D18)))</formula>
    </cfRule>
    <cfRule type="containsText" priority="2642" operator="containsText" text="FL">
      <formula>NOT(ISERROR(SEARCH("FL",D18)))</formula>
    </cfRule>
    <cfRule type="containsText" dxfId="2366" priority="2646" operator="containsText" text="AB">
      <formula>NOT(ISERROR(SEARCH("AB",D18)))</formula>
    </cfRule>
    <cfRule type="containsText" dxfId="2365" priority="2641" operator="containsText" text="FL">
      <formula>NOT(ISERROR(SEARCH("FL",D18)))</formula>
    </cfRule>
    <cfRule type="containsText" dxfId="2364" priority="2648" operator="containsText" text="SICK">
      <formula>NOT(ISERROR(SEARCH("SICK",D18)))</formula>
    </cfRule>
  </conditionalFormatting>
  <conditionalFormatting sqref="D4:AG4">
    <cfRule type="cellIs" dxfId="2363" priority="9670" operator="equal">
      <formula>"OFF"</formula>
    </cfRule>
    <cfRule type="cellIs" dxfId="2362" priority="9668" operator="equal">
      <formula>"Sick"</formula>
    </cfRule>
    <cfRule type="expression" priority="9672">
      <formula>AND(ISNUMBER($Y2), ISNUMBER($Z2))</formula>
    </cfRule>
    <cfRule type="containsText" dxfId="2361" priority="9674" operator="containsText" text="AB">
      <formula>NOT(ISERROR(SEARCH("AB",#REF!)))</formula>
    </cfRule>
    <cfRule type="dataBar" priority="9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ellIs" dxfId="2360" priority="9669" operator="equal">
      <formula>"AB"</formula>
    </cfRule>
    <cfRule type="containsText" dxfId="2359" priority="9676" operator="containsText" text="S">
      <formula>NOT(ISERROR(SEARCH("S",#REF!)))</formula>
    </cfRule>
    <cfRule type="containsText" dxfId="2358" priority="9675" operator="containsText" text="HD">
      <formula>NOT(ISERROR(SEARCH("HD",#REF!)))</formula>
    </cfRule>
  </conditionalFormatting>
  <conditionalFormatting sqref="D5:AH6 Y7 AA7 D8:M9 AB8:AC9 D58:W58">
    <cfRule type="containsText" dxfId="2357" priority="9453" stopIfTrue="1" operator="containsText" text="SICK">
      <formula>NOT(ISERROR(SEARCH("SICK",D5)))</formula>
    </cfRule>
    <cfRule type="containsText" dxfId="2356" priority="9452" stopIfTrue="1" operator="containsText" text="SP">
      <formula>NOT(ISERROR(SEARCH("SP",D5)))</formula>
    </cfRule>
  </conditionalFormatting>
  <conditionalFormatting sqref="D5:AH6 Y7 AA7 D8:M9 AB8:AC9">
    <cfRule type="containsText" dxfId="2355" priority="9451" stopIfTrue="1" operator="containsText" text="AL">
      <formula>NOT(ISERROR(SEARCH("AL",D5)))</formula>
    </cfRule>
  </conditionalFormatting>
  <conditionalFormatting sqref="D5:AS6 Y7 AA7 AO7 AI7:AI31 D8:O9 AB8:AC9 D59:F59 AI59">
    <cfRule type="containsText" dxfId="2354" priority="7299" operator="containsText" text="AB">
      <formula>NOT(ISERROR(SEARCH("AB",D5)))</formula>
    </cfRule>
    <cfRule type="containsText" dxfId="2353" priority="7300" operator="containsText" text="SICK">
      <formula>NOT(ISERROR(SEARCH("SICK",D5)))</formula>
    </cfRule>
  </conditionalFormatting>
  <conditionalFormatting sqref="D5:AS6 AB8:AC9 AO7 Y7 AA7 D8:O9 AI7:AI31 D59:F59">
    <cfRule type="containsText" dxfId="2352" priority="7171" operator="containsText" text="FL">
      <formula>NOT(ISERROR(SEARCH("FL",D5)))</formula>
    </cfRule>
  </conditionalFormatting>
  <conditionalFormatting sqref="E7">
    <cfRule type="containsText" dxfId="2351" priority="3210" operator="containsText" text="AL">
      <formula>NOT(ISERROR(SEARCH("AL",E7)))</formula>
    </cfRule>
    <cfRule type="containsText" dxfId="2350" priority="3211" operator="containsText" text="AB">
      <formula>NOT(ISERROR(SEARCH("AB",E7)))</formula>
    </cfRule>
    <cfRule type="containsText" dxfId="2349" priority="3212" operator="containsText" text="SICK">
      <formula>NOT(ISERROR(SEARCH("SICK",E7)))</formula>
    </cfRule>
    <cfRule type="containsText" dxfId="2348" priority="3213" operator="containsText" text="AB">
      <formula>NOT(ISERROR(SEARCH("AB",E7)))</formula>
    </cfRule>
    <cfRule type="containsText" dxfId="2347" priority="3214" operator="containsText" text="AL">
      <formula>NOT(ISERROR(SEARCH("AL",E7)))</formula>
    </cfRule>
    <cfRule type="containsText" dxfId="2346" priority="3215" operator="containsText" text="EL">
      <formula>NOT(ISERROR(SEARCH("EL",E7)))</formula>
    </cfRule>
    <cfRule type="containsText" dxfId="2345" priority="3216" operator="containsText" text="SICK">
      <formula>NOT(ISERROR(SEARCH("SICK",E7)))</formula>
    </cfRule>
    <cfRule type="containsText" dxfId="2344" priority="3217" operator="containsText" text="AL">
      <formula>NOT(ISERROR(SEARCH("AL",E7)))</formula>
    </cfRule>
    <cfRule type="containsText" dxfId="2343" priority="3218" operator="containsText" text="SICK">
      <formula>NOT(ISERROR(SEARCH("SICK",E7)))</formula>
    </cfRule>
    <cfRule type="containsText" dxfId="2342" priority="3219" operator="containsText" text="NL">
      <formula>NOT(ISERROR(SEARCH("NL",E7)))</formula>
    </cfRule>
    <cfRule type="containsText" dxfId="2341" priority="3220" operator="containsText" text="AB">
      <formula>NOT(ISERROR(SEARCH("AB",E7)))</formula>
    </cfRule>
    <cfRule type="containsText" dxfId="2340" priority="3221" stopIfTrue="1" operator="containsText" text="AL">
      <formula>NOT(ISERROR(SEARCH("AL",E7)))</formula>
    </cfRule>
    <cfRule type="containsText" dxfId="2339" priority="3222" stopIfTrue="1" operator="containsText" text="SP">
      <formula>NOT(ISERROR(SEARCH("SP",E7)))</formula>
    </cfRule>
    <cfRule type="containsText" dxfId="2338" priority="3223" stopIfTrue="1" operator="containsText" text="SICK">
      <formula>NOT(ISERROR(SEARCH("SICK",E7)))</formula>
    </cfRule>
    <cfRule type="containsText" dxfId="2337" priority="3208" operator="containsText" text="FL">
      <formula>NOT(ISERROR(SEARCH("FL",E7)))</formula>
    </cfRule>
    <cfRule type="containsText" priority="3209" operator="containsText" text="FL">
      <formula>NOT(ISERROR(SEARCH("FL",E7)))</formula>
    </cfRule>
  </conditionalFormatting>
  <conditionalFormatting sqref="E12">
    <cfRule type="containsText" dxfId="2336" priority="2596" operator="containsText" text="EL">
      <formula>NOT(ISERROR(SEARCH("EL",E12)))</formula>
    </cfRule>
    <cfRule type="containsText" dxfId="2335" priority="2597" operator="containsText" text="SICK">
      <formula>NOT(ISERROR(SEARCH("SICK",E12)))</formula>
    </cfRule>
    <cfRule type="containsText" dxfId="2334" priority="2598" operator="containsText" text="AL">
      <formula>NOT(ISERROR(SEARCH("AL",E12)))</formula>
    </cfRule>
    <cfRule type="containsText" dxfId="2333" priority="2599" operator="containsText" text="SICK">
      <formula>NOT(ISERROR(SEARCH("SICK",E12)))</formula>
    </cfRule>
    <cfRule type="containsText" dxfId="2332" priority="2600" operator="containsText" text="NL">
      <formula>NOT(ISERROR(SEARCH("NL",E12)))</formula>
    </cfRule>
    <cfRule type="containsText" dxfId="2331" priority="2591" operator="containsText" text="AL">
      <formula>NOT(ISERROR(SEARCH("AL",E12)))</formula>
    </cfRule>
    <cfRule type="containsText" dxfId="2330" priority="2602" stopIfTrue="1" operator="containsText" text="AL">
      <formula>NOT(ISERROR(SEARCH("AL",E12)))</formula>
    </cfRule>
    <cfRule type="containsText" dxfId="2329" priority="2603" stopIfTrue="1" operator="containsText" text="SP">
      <formula>NOT(ISERROR(SEARCH("SP",E12)))</formula>
    </cfRule>
    <cfRule type="containsText" dxfId="2328" priority="2604" stopIfTrue="1" operator="containsText" text="SICK">
      <formula>NOT(ISERROR(SEARCH("SICK",E12)))</formula>
    </cfRule>
    <cfRule type="containsText" dxfId="2327" priority="2589" operator="containsText" text="FL">
      <formula>NOT(ISERROR(SEARCH("FL",E12)))</formula>
    </cfRule>
    <cfRule type="containsText" priority="2590" operator="containsText" text="FL">
      <formula>NOT(ISERROR(SEARCH("FL",E12)))</formula>
    </cfRule>
    <cfRule type="containsText" dxfId="2326" priority="2592" operator="containsText" text="AB">
      <formula>NOT(ISERROR(SEARCH("AB",E12)))</formula>
    </cfRule>
    <cfRule type="containsText" dxfId="2325" priority="2593" operator="containsText" text="SICK">
      <formula>NOT(ISERROR(SEARCH("SICK",E12)))</formula>
    </cfRule>
    <cfRule type="containsText" dxfId="2324" priority="2594" operator="containsText" text="AB">
      <formula>NOT(ISERROR(SEARCH("AB",E12)))</formula>
    </cfRule>
    <cfRule type="containsText" dxfId="2323" priority="2595" operator="containsText" text="AL">
      <formula>NOT(ISERROR(SEARCH("AL",E12)))</formula>
    </cfRule>
    <cfRule type="containsText" dxfId="2322" priority="2601" operator="containsText" text="AB">
      <formula>NOT(ISERROR(SEARCH("AB",E12)))</formula>
    </cfRule>
  </conditionalFormatting>
  <conditionalFormatting sqref="E17">
    <cfRule type="containsText" dxfId="2321" priority="3104" operator="containsText" text="SICK">
      <formula>NOT(ISERROR(SEARCH("SICK",E17)))</formula>
    </cfRule>
    <cfRule type="containsText" dxfId="2320" priority="3103" operator="containsText" text="EL">
      <formula>NOT(ISERROR(SEARCH("EL",E17)))</formula>
    </cfRule>
    <cfRule type="containsText" dxfId="2319" priority="3108" operator="containsText" text="AB">
      <formula>NOT(ISERROR(SEARCH("AB",E17)))</formula>
    </cfRule>
    <cfRule type="containsText" dxfId="2318" priority="3109" stopIfTrue="1" operator="containsText" text="AL">
      <formula>NOT(ISERROR(SEARCH("AL",E17)))</formula>
    </cfRule>
    <cfRule type="containsText" dxfId="2317" priority="3111" stopIfTrue="1" operator="containsText" text="SICK">
      <formula>NOT(ISERROR(SEARCH("SICK",E17)))</formula>
    </cfRule>
    <cfRule type="containsText" dxfId="2316" priority="3110" stopIfTrue="1" operator="containsText" text="SP">
      <formula>NOT(ISERROR(SEARCH("SP",E17)))</formula>
    </cfRule>
    <cfRule type="containsText" dxfId="2315" priority="3102" operator="containsText" text="AL">
      <formula>NOT(ISERROR(SEARCH("AL",E17)))</formula>
    </cfRule>
    <cfRule type="containsText" dxfId="2314" priority="3101" operator="containsText" text="AB">
      <formula>NOT(ISERROR(SEARCH("AB",E17)))</formula>
    </cfRule>
    <cfRule type="containsText" dxfId="2313" priority="3096" operator="containsText" text="FL">
      <formula>NOT(ISERROR(SEARCH("FL",E17)))</formula>
    </cfRule>
    <cfRule type="containsText" priority="3097" operator="containsText" text="FL">
      <formula>NOT(ISERROR(SEARCH("FL",E17)))</formula>
    </cfRule>
    <cfRule type="containsText" dxfId="2312" priority="3098" operator="containsText" text="AL">
      <formula>NOT(ISERROR(SEARCH("AL",E17)))</formula>
    </cfRule>
    <cfRule type="containsText" dxfId="2311" priority="3099" operator="containsText" text="AB">
      <formula>NOT(ISERROR(SEARCH("AB",E17)))</formula>
    </cfRule>
    <cfRule type="containsText" dxfId="2310" priority="3100" operator="containsText" text="SICK">
      <formula>NOT(ISERROR(SEARCH("SICK",E17)))</formula>
    </cfRule>
    <cfRule type="containsText" dxfId="2309" priority="3105" operator="containsText" text="AL">
      <formula>NOT(ISERROR(SEARCH("AL",E17)))</formula>
    </cfRule>
    <cfRule type="containsText" dxfId="2308" priority="3106" operator="containsText" text="SICK">
      <formula>NOT(ISERROR(SEARCH("SICK",E17)))</formula>
    </cfRule>
    <cfRule type="containsText" dxfId="2307" priority="3107" operator="containsText" text="NL">
      <formula>NOT(ISERROR(SEARCH("NL",E17)))</formula>
    </cfRule>
  </conditionalFormatting>
  <conditionalFormatting sqref="E20">
    <cfRule type="containsText" dxfId="2306" priority="3015" stopIfTrue="1" operator="containsText" text="SICK">
      <formula>NOT(ISERROR(SEARCH("SICK",E20)))</formula>
    </cfRule>
    <cfRule type="containsText" dxfId="2305" priority="3009" operator="containsText" text="AL">
      <formula>NOT(ISERROR(SEARCH("AL",E20)))</formula>
    </cfRule>
    <cfRule type="containsText" dxfId="2304" priority="3007" operator="containsText" text="EL">
      <formula>NOT(ISERROR(SEARCH("EL",E20)))</formula>
    </cfRule>
    <cfRule type="containsText" dxfId="2303" priority="3004" operator="containsText" text="SICK">
      <formula>NOT(ISERROR(SEARCH("SICK",E20)))</formula>
    </cfRule>
    <cfRule type="containsText" dxfId="2302" priority="3006" operator="containsText" text="AL">
      <formula>NOT(ISERROR(SEARCH("AL",E20)))</formula>
    </cfRule>
    <cfRule type="containsText" dxfId="2301" priority="3008" operator="containsText" text="SICK">
      <formula>NOT(ISERROR(SEARCH("SICK",E20)))</formula>
    </cfRule>
    <cfRule type="containsText" dxfId="2300" priority="3014" stopIfTrue="1" operator="containsText" text="SP">
      <formula>NOT(ISERROR(SEARCH("SP",E20)))</formula>
    </cfRule>
    <cfRule type="containsText" dxfId="2299" priority="3012" operator="containsText" text="AB">
      <formula>NOT(ISERROR(SEARCH("AB",E20)))</formula>
    </cfRule>
    <cfRule type="containsText" dxfId="2298" priority="3005" operator="containsText" text="AB">
      <formula>NOT(ISERROR(SEARCH("AB",E20)))</formula>
    </cfRule>
    <cfRule type="containsText" dxfId="2297" priority="3011" operator="containsText" text="NL">
      <formula>NOT(ISERROR(SEARCH("NL",E20)))</formula>
    </cfRule>
    <cfRule type="containsText" dxfId="2296" priority="3010" operator="containsText" text="SICK">
      <formula>NOT(ISERROR(SEARCH("SICK",E20)))</formula>
    </cfRule>
    <cfRule type="containsText" dxfId="2295" priority="3013" stopIfTrue="1" operator="containsText" text="AL">
      <formula>NOT(ISERROR(SEARCH("AL",E20)))</formula>
    </cfRule>
  </conditionalFormatting>
  <conditionalFormatting sqref="E23">
    <cfRule type="containsText" dxfId="2294" priority="2924" operator="containsText" text="SICK">
      <formula>NOT(ISERROR(SEARCH("SICK",E23)))</formula>
    </cfRule>
    <cfRule type="containsText" dxfId="2293" priority="2935" stopIfTrue="1" operator="containsText" text="SICK">
      <formula>NOT(ISERROR(SEARCH("SICK",E23)))</formula>
    </cfRule>
    <cfRule type="containsText" dxfId="2292" priority="2934" stopIfTrue="1" operator="containsText" text="SP">
      <formula>NOT(ISERROR(SEARCH("SP",E23)))</formula>
    </cfRule>
    <cfRule type="containsText" dxfId="2291" priority="2929" operator="containsText" text="AL">
      <formula>NOT(ISERROR(SEARCH("AL",E23)))</formula>
    </cfRule>
    <cfRule type="containsText" dxfId="2290" priority="2928" operator="containsText" text="SICK">
      <formula>NOT(ISERROR(SEARCH("SICK",E23)))</formula>
    </cfRule>
    <cfRule type="containsText" dxfId="2289" priority="2927" operator="containsText" text="EL">
      <formula>NOT(ISERROR(SEARCH("EL",E23)))</formula>
    </cfRule>
    <cfRule type="containsText" dxfId="2288" priority="2926" operator="containsText" text="AL">
      <formula>NOT(ISERROR(SEARCH("AL",E23)))</formula>
    </cfRule>
    <cfRule type="containsText" dxfId="2287" priority="2925" operator="containsText" text="AB">
      <formula>NOT(ISERROR(SEARCH("AB",E23)))</formula>
    </cfRule>
    <cfRule type="containsText" dxfId="2286" priority="2932" operator="containsText" text="AB">
      <formula>NOT(ISERROR(SEARCH("AB",E23)))</formula>
    </cfRule>
    <cfRule type="containsText" dxfId="2285" priority="2933" stopIfTrue="1" operator="containsText" text="AL">
      <formula>NOT(ISERROR(SEARCH("AL",E23)))</formula>
    </cfRule>
    <cfRule type="containsText" dxfId="2284" priority="2931" operator="containsText" text="NL">
      <formula>NOT(ISERROR(SEARCH("NL",E23)))</formula>
    </cfRule>
    <cfRule type="containsText" dxfId="2283" priority="2930" operator="containsText" text="SICK">
      <formula>NOT(ISERROR(SEARCH("SICK",E23)))</formula>
    </cfRule>
  </conditionalFormatting>
  <conditionalFormatting sqref="E23:E24">
    <cfRule type="containsText" dxfId="2282" priority="2814" operator="containsText" text="AL">
      <formula>NOT(ISERROR(SEARCH("AL",E23)))</formula>
    </cfRule>
    <cfRule type="containsText" dxfId="2281" priority="2820" operator="containsText" text="AB">
      <formula>NOT(ISERROR(SEARCH("AB",E23)))</formula>
    </cfRule>
  </conditionalFormatting>
  <conditionalFormatting sqref="E23:E25">
    <cfRule type="containsText" priority="2729" operator="containsText" text="FL">
      <formula>NOT(ISERROR(SEARCH("FL",E23)))</formula>
    </cfRule>
    <cfRule type="containsText" dxfId="2280" priority="2728" operator="containsText" text="FL">
      <formula>NOT(ISERROR(SEARCH("FL",E23)))</formula>
    </cfRule>
  </conditionalFormatting>
  <conditionalFormatting sqref="E24">
    <cfRule type="containsText" dxfId="2279" priority="2817" operator="containsText" text="AL">
      <formula>NOT(ISERROR(SEARCH("AL",E24)))</formula>
    </cfRule>
    <cfRule type="containsText" dxfId="2278" priority="2815" operator="containsText" text="EL">
      <formula>NOT(ISERROR(SEARCH("EL",E24)))</formula>
    </cfRule>
    <cfRule type="containsText" dxfId="2277" priority="2816" operator="containsText" text="SICK">
      <formula>NOT(ISERROR(SEARCH("SICK",E24)))</formula>
    </cfRule>
    <cfRule type="containsText" dxfId="2276" priority="2821" stopIfTrue="1" operator="containsText" text="AL">
      <formula>NOT(ISERROR(SEARCH("AL",E24)))</formula>
    </cfRule>
    <cfRule type="containsText" dxfId="2275" priority="2823" stopIfTrue="1" operator="containsText" text="SICK">
      <formula>NOT(ISERROR(SEARCH("SICK",E24)))</formula>
    </cfRule>
    <cfRule type="containsText" dxfId="2274" priority="2822" stopIfTrue="1" operator="containsText" text="SP">
      <formula>NOT(ISERROR(SEARCH("SP",E24)))</formula>
    </cfRule>
    <cfRule type="containsText" dxfId="2273" priority="2819" operator="containsText" text="NL">
      <formula>NOT(ISERROR(SEARCH("NL",E24)))</formula>
    </cfRule>
    <cfRule type="containsText" dxfId="2272" priority="2818" operator="containsText" text="SICK">
      <formula>NOT(ISERROR(SEARCH("SICK",E24)))</formula>
    </cfRule>
    <cfRule type="containsText" dxfId="2271" priority="2812" operator="containsText" text="SICK">
      <formula>NOT(ISERROR(SEARCH("SICK",E24)))</formula>
    </cfRule>
    <cfRule type="containsText" dxfId="2270" priority="2813" operator="containsText" text="AB">
      <formula>NOT(ISERROR(SEARCH("AB",E24)))</formula>
    </cfRule>
  </conditionalFormatting>
  <conditionalFormatting sqref="E24:E25">
    <cfRule type="containsText" dxfId="2269" priority="2734" operator="containsText" text="AL">
      <formula>NOT(ISERROR(SEARCH("AL",E24)))</formula>
    </cfRule>
    <cfRule type="containsText" dxfId="2268" priority="2740" operator="containsText" text="AB">
      <formula>NOT(ISERROR(SEARCH("AB",E24)))</formula>
    </cfRule>
  </conditionalFormatting>
  <conditionalFormatting sqref="E25">
    <cfRule type="containsText" dxfId="2267" priority="2736" operator="containsText" text="SICK">
      <formula>NOT(ISERROR(SEARCH("SICK",E25)))</formula>
    </cfRule>
    <cfRule type="containsText" dxfId="2266" priority="2737" operator="containsText" text="AL">
      <formula>NOT(ISERROR(SEARCH("AL",E25)))</formula>
    </cfRule>
    <cfRule type="containsText" dxfId="2265" priority="2738" operator="containsText" text="SICK">
      <formula>NOT(ISERROR(SEARCH("SICK",E25)))</formula>
    </cfRule>
    <cfRule type="containsText" dxfId="2264" priority="2739" operator="containsText" text="NL">
      <formula>NOT(ISERROR(SEARCH("NL",E25)))</formula>
    </cfRule>
    <cfRule type="containsText" dxfId="2263" priority="2735" operator="containsText" text="EL">
      <formula>NOT(ISERROR(SEARCH("EL",E25)))</formula>
    </cfRule>
    <cfRule type="containsText" dxfId="2262" priority="2730" operator="containsText" text="AL">
      <formula>NOT(ISERROR(SEARCH("AL",E25)))</formula>
    </cfRule>
    <cfRule type="containsText" dxfId="2261" priority="2731" operator="containsText" text="AB">
      <formula>NOT(ISERROR(SEARCH("AB",E25)))</formula>
    </cfRule>
    <cfRule type="containsText" dxfId="2260" priority="2732" operator="containsText" text="SICK">
      <formula>NOT(ISERROR(SEARCH("SICK",E25)))</formula>
    </cfRule>
    <cfRule type="containsText" dxfId="2259" priority="2741" stopIfTrue="1" operator="containsText" text="AL">
      <formula>NOT(ISERROR(SEARCH("AL",E25)))</formula>
    </cfRule>
    <cfRule type="containsText" dxfId="2258" priority="2742" stopIfTrue="1" operator="containsText" text="SP">
      <formula>NOT(ISERROR(SEARCH("SP",E25)))</formula>
    </cfRule>
    <cfRule type="containsText" dxfId="2257" priority="2743" stopIfTrue="1" operator="containsText" text="SICK">
      <formula>NOT(ISERROR(SEARCH("SICK",E25)))</formula>
    </cfRule>
    <cfRule type="containsText" dxfId="2256" priority="2733" operator="containsText" text="AB">
      <formula>NOT(ISERROR(SEARCH("AB",E25)))</formula>
    </cfRule>
  </conditionalFormatting>
  <conditionalFormatting sqref="E20:G20">
    <cfRule type="containsText" dxfId="2255" priority="2304" operator="containsText" text="AB">
      <formula>NOT(ISERROR(SEARCH("AB",E20)))</formula>
    </cfRule>
    <cfRule type="containsText" priority="2293" operator="containsText" text="FL">
      <formula>NOT(ISERROR(SEARCH("FL",E20)))</formula>
    </cfRule>
    <cfRule type="containsText" dxfId="2254" priority="2298" operator="containsText" text="AL">
      <formula>NOT(ISERROR(SEARCH("AL",E20)))</formula>
    </cfRule>
    <cfRule type="containsText" dxfId="2253" priority="2292" operator="containsText" text="FL">
      <formula>NOT(ISERROR(SEARCH("FL",E20)))</formula>
    </cfRule>
  </conditionalFormatting>
  <conditionalFormatting sqref="F5:G6">
    <cfRule type="containsText" dxfId="2252" priority="7520" operator="containsText" text="SICK">
      <formula>NOT(ISERROR(SEARCH("SICK",F5)))</formula>
    </cfRule>
    <cfRule type="containsText" dxfId="2251" priority="7519" operator="containsText" text="EL">
      <formula>NOT(ISERROR(SEARCH("EL",F5)))</formula>
    </cfRule>
    <cfRule type="containsText" dxfId="2250" priority="7518" operator="containsText" text="AL">
      <formula>NOT(ISERROR(SEARCH("AL",F5)))</formula>
    </cfRule>
  </conditionalFormatting>
  <conditionalFormatting sqref="F8:G9 P59:AE59">
    <cfRule type="containsText" dxfId="2249" priority="7305" operator="containsText" text="AB">
      <formula>NOT(ISERROR(SEARCH("AB",F8)))</formula>
    </cfRule>
  </conditionalFormatting>
  <conditionalFormatting sqref="F8:G9">
    <cfRule type="containsText" dxfId="2248" priority="7307" operator="containsText" text="EL">
      <formula>NOT(ISERROR(SEARCH("EL",F8)))</formula>
    </cfRule>
    <cfRule type="containsText" dxfId="2247" priority="7306" operator="containsText" text="AL">
      <formula>NOT(ISERROR(SEARCH("AL",F8)))</formula>
    </cfRule>
    <cfRule type="containsText" dxfId="2246" priority="7308" operator="containsText" text="SICK">
      <formula>NOT(ISERROR(SEARCH("SICK",F8)))</formula>
    </cfRule>
  </conditionalFormatting>
  <conditionalFormatting sqref="F20:G20">
    <cfRule type="containsText" dxfId="2245" priority="2300" operator="containsText" text="SICK">
      <formula>NOT(ISERROR(SEARCH("SICK",F20)))</formula>
    </cfRule>
    <cfRule type="containsText" dxfId="2244" priority="2302" operator="containsText" text="SICK">
      <formula>NOT(ISERROR(SEARCH("SICK",F20)))</formula>
    </cfRule>
    <cfRule type="containsText" dxfId="2243" priority="2303" operator="containsText" text="NL">
      <formula>NOT(ISERROR(SEARCH("NL",F20)))</formula>
    </cfRule>
    <cfRule type="containsText" dxfId="2242" priority="2305" stopIfTrue="1" operator="containsText" text="AL">
      <formula>NOT(ISERROR(SEARCH("AL",F20)))</formula>
    </cfRule>
    <cfRule type="containsText" dxfId="2241" priority="2306" stopIfTrue="1" operator="containsText" text="SP">
      <formula>NOT(ISERROR(SEARCH("SP",F20)))</formula>
    </cfRule>
    <cfRule type="containsText" dxfId="2240" priority="2307" stopIfTrue="1" operator="containsText" text="SICK">
      <formula>NOT(ISERROR(SEARCH("SICK",F20)))</formula>
    </cfRule>
    <cfRule type="containsText" dxfId="2239" priority="2301" operator="containsText" text="AL">
      <formula>NOT(ISERROR(SEARCH("AL",F20)))</formula>
    </cfRule>
    <cfRule type="containsText" dxfId="2238" priority="2294" operator="containsText" text="AL">
      <formula>NOT(ISERROR(SEARCH("AL",F20)))</formula>
    </cfRule>
    <cfRule type="containsText" dxfId="2237" priority="2295" operator="containsText" text="AB">
      <formula>NOT(ISERROR(SEARCH("AB",F20)))</formula>
    </cfRule>
    <cfRule type="containsText" dxfId="2236" priority="2296" operator="containsText" text="SICK">
      <formula>NOT(ISERROR(SEARCH("SICK",F20)))</formula>
    </cfRule>
    <cfRule type="containsText" dxfId="2235" priority="2297" operator="containsText" text="AB">
      <formula>NOT(ISERROR(SEARCH("AB",F20)))</formula>
    </cfRule>
    <cfRule type="containsText" dxfId="2234" priority="2299" operator="containsText" text="EL">
      <formula>NOT(ISERROR(SEARCH("EL",F20)))</formula>
    </cfRule>
  </conditionalFormatting>
  <conditionalFormatting sqref="F5:AG6 Y7 AA7">
    <cfRule type="containsText" dxfId="2233" priority="7517" operator="containsText" text="AB">
      <formula>NOT(ISERROR(SEARCH("AB",F5)))</formula>
    </cfRule>
  </conditionalFormatting>
  <conditionalFormatting sqref="G11">
    <cfRule type="containsText" dxfId="2232" priority="3134" operator="containsText" text="AL">
      <formula>NOT(ISERROR(SEARCH("AL",G11)))</formula>
    </cfRule>
    <cfRule type="containsText" dxfId="2231" priority="3135" operator="containsText" text="EL">
      <formula>NOT(ISERROR(SEARCH("EL",G11)))</formula>
    </cfRule>
    <cfRule type="containsText" dxfId="2230" priority="3136" operator="containsText" text="SICK">
      <formula>NOT(ISERROR(SEARCH("SICK",G11)))</formula>
    </cfRule>
    <cfRule type="containsText" dxfId="2229" priority="3137" operator="containsText" text="AL">
      <formula>NOT(ISERROR(SEARCH("AL",G11)))</formula>
    </cfRule>
    <cfRule type="containsText" dxfId="2228" priority="3138" operator="containsText" text="SICK">
      <formula>NOT(ISERROR(SEARCH("SICK",G11)))</formula>
    </cfRule>
    <cfRule type="containsText" dxfId="2227" priority="3139" operator="containsText" text="NL">
      <formula>NOT(ISERROR(SEARCH("NL",G11)))</formula>
    </cfRule>
    <cfRule type="containsText" dxfId="2226" priority="3140" operator="containsText" text="AB">
      <formula>NOT(ISERROR(SEARCH("AB",G11)))</formula>
    </cfRule>
    <cfRule type="containsText" dxfId="2225" priority="3141" stopIfTrue="1" operator="containsText" text="AL">
      <formula>NOT(ISERROR(SEARCH("AL",G11)))</formula>
    </cfRule>
    <cfRule type="containsText" dxfId="2224" priority="3132" operator="containsText" text="SICK">
      <formula>NOT(ISERROR(SEARCH("SICK",G11)))</formula>
    </cfRule>
    <cfRule type="containsText" dxfId="2223" priority="3143" stopIfTrue="1" operator="containsText" text="SICK">
      <formula>NOT(ISERROR(SEARCH("SICK",G11)))</formula>
    </cfRule>
    <cfRule type="containsText" dxfId="2222" priority="3142" stopIfTrue="1" operator="containsText" text="SP">
      <formula>NOT(ISERROR(SEARCH("SP",G11)))</formula>
    </cfRule>
    <cfRule type="containsText" dxfId="2221" priority="3133" operator="containsText" text="AB">
      <formula>NOT(ISERROR(SEARCH("AB",G11)))</formula>
    </cfRule>
  </conditionalFormatting>
  <conditionalFormatting sqref="G11:G12">
    <cfRule type="containsText" priority="2574" operator="containsText" text="FL">
      <formula>NOT(ISERROR(SEARCH("FL",G11)))</formula>
    </cfRule>
    <cfRule type="containsText" dxfId="2220" priority="2579" operator="containsText" text="AL">
      <formula>NOT(ISERROR(SEARCH("AL",G11)))</formula>
    </cfRule>
    <cfRule type="containsText" dxfId="2219" priority="2573" operator="containsText" text="FL">
      <formula>NOT(ISERROR(SEARCH("FL",G11)))</formula>
    </cfRule>
    <cfRule type="containsText" dxfId="2218" priority="2585" operator="containsText" text="AB">
      <formula>NOT(ISERROR(SEARCH("AB",G11)))</formula>
    </cfRule>
  </conditionalFormatting>
  <conditionalFormatting sqref="G12">
    <cfRule type="containsText" dxfId="2217" priority="2575" operator="containsText" text="AL">
      <formula>NOT(ISERROR(SEARCH("AL",G12)))</formula>
    </cfRule>
    <cfRule type="containsText" dxfId="2216" priority="2576" operator="containsText" text="AB">
      <formula>NOT(ISERROR(SEARCH("AB",G12)))</formula>
    </cfRule>
    <cfRule type="containsText" dxfId="2215" priority="2577" operator="containsText" text="SICK">
      <formula>NOT(ISERROR(SEARCH("SICK",G12)))</formula>
    </cfRule>
    <cfRule type="containsText" dxfId="2214" priority="2586" stopIfTrue="1" operator="containsText" text="AL">
      <formula>NOT(ISERROR(SEARCH("AL",G12)))</formula>
    </cfRule>
    <cfRule type="containsText" dxfId="2213" priority="2582" operator="containsText" text="AL">
      <formula>NOT(ISERROR(SEARCH("AL",G12)))</formula>
    </cfRule>
    <cfRule type="containsText" dxfId="2212" priority="2584" operator="containsText" text="NL">
      <formula>NOT(ISERROR(SEARCH("NL",G12)))</formula>
    </cfRule>
    <cfRule type="containsText" dxfId="2211" priority="2580" operator="containsText" text="EL">
      <formula>NOT(ISERROR(SEARCH("EL",G12)))</formula>
    </cfRule>
    <cfRule type="containsText" dxfId="2210" priority="2578" operator="containsText" text="AB">
      <formula>NOT(ISERROR(SEARCH("AB",G12)))</formula>
    </cfRule>
    <cfRule type="containsText" dxfId="2209" priority="2581" operator="containsText" text="SICK">
      <formula>NOT(ISERROR(SEARCH("SICK",G12)))</formula>
    </cfRule>
    <cfRule type="containsText" dxfId="2208" priority="2583" operator="containsText" text="SICK">
      <formula>NOT(ISERROR(SEARCH("SICK",G12)))</formula>
    </cfRule>
    <cfRule type="containsText" dxfId="2207" priority="2587" stopIfTrue="1" operator="containsText" text="SP">
      <formula>NOT(ISERROR(SEARCH("SP",G12)))</formula>
    </cfRule>
    <cfRule type="containsText" dxfId="2206" priority="2588" stopIfTrue="1" operator="containsText" text="SICK">
      <formula>NOT(ISERROR(SEARCH("SICK",G12)))</formula>
    </cfRule>
  </conditionalFormatting>
  <conditionalFormatting sqref="G17">
    <cfRule type="containsText" dxfId="2205" priority="3094" stopIfTrue="1" operator="containsText" text="SP">
      <formula>NOT(ISERROR(SEARCH("SP",G17)))</formula>
    </cfRule>
    <cfRule type="containsText" dxfId="2204" priority="3089" operator="containsText" text="AL">
      <formula>NOT(ISERROR(SEARCH("AL",G17)))</formula>
    </cfRule>
    <cfRule type="containsText" dxfId="2203" priority="3088" operator="containsText" text="SICK">
      <formula>NOT(ISERROR(SEARCH("SICK",G17)))</formula>
    </cfRule>
    <cfRule type="containsText" dxfId="2202" priority="3087" operator="containsText" text="EL">
      <formula>NOT(ISERROR(SEARCH("EL",G17)))</formula>
    </cfRule>
    <cfRule type="containsText" dxfId="2201" priority="3086" operator="containsText" text="AL">
      <formula>NOT(ISERROR(SEARCH("AL",G17)))</formula>
    </cfRule>
    <cfRule type="containsText" dxfId="2200" priority="3084" operator="containsText" text="SICK">
      <formula>NOT(ISERROR(SEARCH("SICK",G17)))</formula>
    </cfRule>
    <cfRule type="containsText" dxfId="2199" priority="3092" operator="containsText" text="AB">
      <formula>NOT(ISERROR(SEARCH("AB",G17)))</formula>
    </cfRule>
    <cfRule type="containsText" dxfId="2198" priority="3085" operator="containsText" text="AB">
      <formula>NOT(ISERROR(SEARCH("AB",G17)))</formula>
    </cfRule>
    <cfRule type="containsText" dxfId="2197" priority="3095" stopIfTrue="1" operator="containsText" text="SICK">
      <formula>NOT(ISERROR(SEARCH("SICK",G17)))</formula>
    </cfRule>
    <cfRule type="containsText" dxfId="2196" priority="3090" operator="containsText" text="SICK">
      <formula>NOT(ISERROR(SEARCH("SICK",G17)))</formula>
    </cfRule>
    <cfRule type="containsText" dxfId="2195" priority="3091" operator="containsText" text="NL">
      <formula>NOT(ISERROR(SEARCH("NL",G17)))</formula>
    </cfRule>
    <cfRule type="containsText" dxfId="2194" priority="3093" stopIfTrue="1" operator="containsText" text="AL">
      <formula>NOT(ISERROR(SEARCH("AL",G17)))</formula>
    </cfRule>
  </conditionalFormatting>
  <conditionalFormatting sqref="G22">
    <cfRule type="containsText" dxfId="2193" priority="2963" operator="containsText" text="NL">
      <formula>NOT(ISERROR(SEARCH("NL",G22)))</formula>
    </cfRule>
    <cfRule type="containsText" dxfId="2192" priority="2962" operator="containsText" text="SICK">
      <formula>NOT(ISERROR(SEARCH("SICK",G22)))</formula>
    </cfRule>
    <cfRule type="containsText" dxfId="2191" priority="2961" operator="containsText" text="AL">
      <formula>NOT(ISERROR(SEARCH("AL",G22)))</formula>
    </cfRule>
    <cfRule type="containsText" dxfId="2190" priority="2967" stopIfTrue="1" operator="containsText" text="SICK">
      <formula>NOT(ISERROR(SEARCH("SICK",G22)))</formula>
    </cfRule>
    <cfRule type="containsText" dxfId="2189" priority="2966" stopIfTrue="1" operator="containsText" text="SP">
      <formula>NOT(ISERROR(SEARCH("SP",G22)))</formula>
    </cfRule>
    <cfRule type="containsText" dxfId="2188" priority="2959" operator="containsText" text="EL">
      <formula>NOT(ISERROR(SEARCH("EL",G22)))</formula>
    </cfRule>
    <cfRule type="containsText" dxfId="2187" priority="2958" operator="containsText" text="AL">
      <formula>NOT(ISERROR(SEARCH("AL",G22)))</formula>
    </cfRule>
    <cfRule type="containsText" dxfId="2186" priority="2956" operator="containsText" text="SICK">
      <formula>NOT(ISERROR(SEARCH("SICK",G22)))</formula>
    </cfRule>
    <cfRule type="containsText" dxfId="2185" priority="2957" operator="containsText" text="AB">
      <formula>NOT(ISERROR(SEARCH("AB",G22)))</formula>
    </cfRule>
    <cfRule type="containsText" dxfId="2184" priority="2965" stopIfTrue="1" operator="containsText" text="AL">
      <formula>NOT(ISERROR(SEARCH("AL",G22)))</formula>
    </cfRule>
    <cfRule type="containsText" dxfId="2183" priority="2964" operator="containsText" text="AB">
      <formula>NOT(ISERROR(SEARCH("AB",G22)))</formula>
    </cfRule>
    <cfRule type="containsText" dxfId="2182" priority="2960" operator="containsText" text="SICK">
      <formula>NOT(ISERROR(SEARCH("SICK",G22)))</formula>
    </cfRule>
  </conditionalFormatting>
  <conditionalFormatting sqref="G22:G23">
    <cfRule type="containsText" dxfId="2181" priority="2904" operator="containsText" text="FL">
      <formula>NOT(ISERROR(SEARCH("FL",G22)))</formula>
    </cfRule>
    <cfRule type="containsText" dxfId="2180" priority="2910" operator="containsText" text="AL">
      <formula>NOT(ISERROR(SEARCH("AL",G22)))</formula>
    </cfRule>
    <cfRule type="containsText" priority="2905" operator="containsText" text="FL">
      <formula>NOT(ISERROR(SEARCH("FL",G22)))</formula>
    </cfRule>
    <cfRule type="containsText" dxfId="2179" priority="2916" operator="containsText" text="AB">
      <formula>NOT(ISERROR(SEARCH("AB",G22)))</formula>
    </cfRule>
  </conditionalFormatting>
  <conditionalFormatting sqref="G23">
    <cfRule type="containsText" dxfId="2178" priority="2908" operator="containsText" text="SICK">
      <formula>NOT(ISERROR(SEARCH("SICK",G23)))</formula>
    </cfRule>
    <cfRule type="containsText" dxfId="2177" priority="2911" operator="containsText" text="EL">
      <formula>NOT(ISERROR(SEARCH("EL",G23)))</formula>
    </cfRule>
    <cfRule type="containsText" dxfId="2176" priority="2912" operator="containsText" text="SICK">
      <formula>NOT(ISERROR(SEARCH("SICK",G23)))</formula>
    </cfRule>
    <cfRule type="containsText" dxfId="2175" priority="2913" operator="containsText" text="AL">
      <formula>NOT(ISERROR(SEARCH("AL",G23)))</formula>
    </cfRule>
    <cfRule type="containsText" dxfId="2174" priority="2914" operator="containsText" text="SICK">
      <formula>NOT(ISERROR(SEARCH("SICK",G23)))</formula>
    </cfRule>
    <cfRule type="containsText" dxfId="2173" priority="2915" operator="containsText" text="NL">
      <formula>NOT(ISERROR(SEARCH("NL",G23)))</formula>
    </cfRule>
    <cfRule type="containsText" dxfId="2172" priority="2917" stopIfTrue="1" operator="containsText" text="AL">
      <formula>NOT(ISERROR(SEARCH("AL",G23)))</formula>
    </cfRule>
    <cfRule type="containsText" dxfId="2171" priority="2918" stopIfTrue="1" operator="containsText" text="SP">
      <formula>NOT(ISERROR(SEARCH("SP",G23)))</formula>
    </cfRule>
    <cfRule type="containsText" dxfId="2170" priority="2919" stopIfTrue="1" operator="containsText" text="SICK">
      <formula>NOT(ISERROR(SEARCH("SICK",G23)))</formula>
    </cfRule>
    <cfRule type="containsText" dxfId="2169" priority="2909" operator="containsText" text="AB">
      <formula>NOT(ISERROR(SEARCH("AB",G23)))</formula>
    </cfRule>
    <cfRule type="containsText" dxfId="2168" priority="2906" operator="containsText" text="AL">
      <formula>NOT(ISERROR(SEARCH("AL",G23)))</formula>
    </cfRule>
    <cfRule type="containsText" dxfId="2167" priority="2907" operator="containsText" text="AB">
      <formula>NOT(ISERROR(SEARCH("AB",G23)))</formula>
    </cfRule>
  </conditionalFormatting>
  <conditionalFormatting sqref="G7:I7">
    <cfRule type="containsText" dxfId="2166" priority="3234" operator="containsText" text="SICK">
      <formula>NOT(ISERROR(SEARCH("SICK",G7)))</formula>
    </cfRule>
    <cfRule type="containsText" dxfId="2165" priority="3236" operator="containsText" text="AB">
      <formula>NOT(ISERROR(SEARCH("AB",G7)))</formula>
    </cfRule>
    <cfRule type="containsText" dxfId="2164" priority="3235" operator="containsText" text="NL">
      <formula>NOT(ISERROR(SEARCH("NL",G7)))</formula>
    </cfRule>
    <cfRule type="containsText" dxfId="2163" priority="3233" operator="containsText" text="AL">
      <formula>NOT(ISERROR(SEARCH("AL",G7)))</formula>
    </cfRule>
    <cfRule type="containsText" dxfId="2162" priority="3232" operator="containsText" text="SICK">
      <formula>NOT(ISERROR(SEARCH("SICK",G7)))</formula>
    </cfRule>
    <cfRule type="containsText" dxfId="2161" priority="3231" operator="containsText" text="EL">
      <formula>NOT(ISERROR(SEARCH("EL",G7)))</formula>
    </cfRule>
    <cfRule type="containsText" dxfId="2160" priority="3229" operator="containsText" text="AB">
      <formula>NOT(ISERROR(SEARCH("AB",G7)))</formula>
    </cfRule>
    <cfRule type="containsText" dxfId="2159" priority="3227" operator="containsText" text="AB">
      <formula>NOT(ISERROR(SEARCH("AB",G7)))</formula>
    </cfRule>
    <cfRule type="containsText" dxfId="2158" priority="3237" stopIfTrue="1" operator="containsText" text="AL">
      <formula>NOT(ISERROR(SEARCH("AL",G7)))</formula>
    </cfRule>
    <cfRule type="containsText" dxfId="2157" priority="3228" operator="containsText" text="SICK">
      <formula>NOT(ISERROR(SEARCH("SICK",G7)))</formula>
    </cfRule>
    <cfRule type="containsText" dxfId="2156" priority="3226" operator="containsText" text="AL">
      <formula>NOT(ISERROR(SEARCH("AL",G7)))</formula>
    </cfRule>
    <cfRule type="containsText" priority="3225" operator="containsText" text="FL">
      <formula>NOT(ISERROR(SEARCH("FL",G7)))</formula>
    </cfRule>
    <cfRule type="containsText" dxfId="2155" priority="3224" operator="containsText" text="FL">
      <formula>NOT(ISERROR(SEARCH("FL",G7)))</formula>
    </cfRule>
    <cfRule type="containsText" dxfId="2154" priority="3239" stopIfTrue="1" operator="containsText" text="SICK">
      <formula>NOT(ISERROR(SEARCH("SICK",G7)))</formula>
    </cfRule>
    <cfRule type="containsText" dxfId="2153" priority="3238" stopIfTrue="1" operator="containsText" text="SP">
      <formula>NOT(ISERROR(SEARCH("SP",G7)))</formula>
    </cfRule>
    <cfRule type="containsText" dxfId="2152" priority="3230" operator="containsText" text="AL">
      <formula>NOT(ISERROR(SEARCH("AL",G7)))</formula>
    </cfRule>
  </conditionalFormatting>
  <conditionalFormatting sqref="G17:I17">
    <cfRule type="containsText" dxfId="2151" priority="3076" operator="containsText" text="AB">
      <formula>NOT(ISERROR(SEARCH("AB",G17)))</formula>
    </cfRule>
    <cfRule type="containsText" dxfId="2150" priority="3070" operator="containsText" text="AL">
      <formula>NOT(ISERROR(SEARCH("AL",G17)))</formula>
    </cfRule>
    <cfRule type="containsText" dxfId="2149" priority="3064" operator="containsText" text="FL">
      <formula>NOT(ISERROR(SEARCH("FL",G17)))</formula>
    </cfRule>
    <cfRule type="containsText" priority="3065" operator="containsText" text="FL">
      <formula>NOT(ISERROR(SEARCH("FL",G17)))</formula>
    </cfRule>
  </conditionalFormatting>
  <conditionalFormatting sqref="H17:I17">
    <cfRule type="containsText" dxfId="2148" priority="3071" operator="containsText" text="EL">
      <formula>NOT(ISERROR(SEARCH("EL",H17)))</formula>
    </cfRule>
    <cfRule type="containsText" dxfId="2147" priority="3069" operator="containsText" text="AB">
      <formula>NOT(ISERROR(SEARCH("AB",H17)))</formula>
    </cfRule>
    <cfRule type="containsText" dxfId="2146" priority="3068" operator="containsText" text="SICK">
      <formula>NOT(ISERROR(SEARCH("SICK",H17)))</formula>
    </cfRule>
    <cfRule type="containsText" dxfId="2145" priority="3067" operator="containsText" text="AB">
      <formula>NOT(ISERROR(SEARCH("AB",H17)))</formula>
    </cfRule>
    <cfRule type="containsText" dxfId="2144" priority="3079" stopIfTrue="1" operator="containsText" text="SICK">
      <formula>NOT(ISERROR(SEARCH("SICK",H17)))</formula>
    </cfRule>
    <cfRule type="containsText" dxfId="2143" priority="3077" stopIfTrue="1" operator="containsText" text="AL">
      <formula>NOT(ISERROR(SEARCH("AL",H17)))</formula>
    </cfRule>
    <cfRule type="containsText" dxfId="2142" priority="3066" operator="containsText" text="AL">
      <formula>NOT(ISERROR(SEARCH("AL",H17)))</formula>
    </cfRule>
    <cfRule type="containsText" dxfId="2141" priority="3078" stopIfTrue="1" operator="containsText" text="SP">
      <formula>NOT(ISERROR(SEARCH("SP",H17)))</formula>
    </cfRule>
    <cfRule type="containsText" dxfId="2140" priority="3075" operator="containsText" text="NL">
      <formula>NOT(ISERROR(SEARCH("NL",H17)))</formula>
    </cfRule>
    <cfRule type="containsText" dxfId="2139" priority="3074" operator="containsText" text="SICK">
      <formula>NOT(ISERROR(SEARCH("SICK",H17)))</formula>
    </cfRule>
    <cfRule type="containsText" dxfId="2138" priority="3073" operator="containsText" text="AL">
      <formula>NOT(ISERROR(SEARCH("AL",H17)))</formula>
    </cfRule>
    <cfRule type="containsText" dxfId="2137" priority="3072" operator="containsText" text="SICK">
      <formula>NOT(ISERROR(SEARCH("SICK",H17)))</formula>
    </cfRule>
  </conditionalFormatting>
  <conditionalFormatting sqref="H8:O9">
    <cfRule type="containsText" dxfId="2136" priority="7511" stopIfTrue="1" operator="containsText" text="AL">
      <formula>NOT(ISERROR(SEARCH("AL",H8)))</formula>
    </cfRule>
    <cfRule type="containsText" dxfId="2135" priority="7513" stopIfTrue="1" operator="containsText" text="SICK">
      <formula>NOT(ISERROR(SEARCH("SICK",H8)))</formula>
    </cfRule>
    <cfRule type="containsText" dxfId="2134" priority="7512" stopIfTrue="1" operator="containsText" text="SP">
      <formula>NOT(ISERROR(SEARCH("SP",H8)))</formula>
    </cfRule>
    <cfRule type="containsText" dxfId="2133" priority="7509" operator="containsText" text="NL">
      <formula>NOT(ISERROR(SEARCH("NL",H8)))</formula>
    </cfRule>
    <cfRule type="containsText" dxfId="2132" priority="7508" operator="containsText" text="SICK">
      <formula>NOT(ISERROR(SEARCH("SICK",H8)))</formula>
    </cfRule>
    <cfRule type="containsText" dxfId="2131" priority="7507" operator="containsText" text="AL">
      <formula>NOT(ISERROR(SEARCH("AL",H8)))</formula>
    </cfRule>
    <cfRule type="containsText" dxfId="2130" priority="7510" operator="containsText" text="AB">
      <formula>NOT(ISERROR(SEARCH("AB",H8)))</formula>
    </cfRule>
  </conditionalFormatting>
  <conditionalFormatting sqref="H5:AG6 AJ5:AS6 Y7 AA7 AO7 D8:D9 AB8:AC9 D35 AJ35:AS35 AU35:BI35 D58:W58 AR58:BI58">
    <cfRule type="containsText" dxfId="2129" priority="9092" operator="containsText" text="SICK">
      <formula>NOT(ISERROR(SEARCH("SICK",D5)))</formula>
    </cfRule>
  </conditionalFormatting>
  <conditionalFormatting sqref="H5:AG6 AJ5:AS6 Y7 AA7 AO7 D8:D9 AB8:AC9 D35 AJ35:AS35 AU35:BI35">
    <cfRule type="containsText" dxfId="2128" priority="9093" operator="containsText" text="NL">
      <formula>NOT(ISERROR(SEARCH("NL",D5)))</formula>
    </cfRule>
  </conditionalFormatting>
  <conditionalFormatting sqref="H5:AG6 AJ5:AS6 AO7 D8:D9 AB8:AC9 D35 AJ35:AS35 AU35:BI35 D58:W58 AR58:BI58 Y7 AA7">
    <cfRule type="containsText" dxfId="2127" priority="9091" operator="containsText" text="AL">
      <formula>NOT(ISERROR(SEARCH("AL",D5)))</formula>
    </cfRule>
  </conditionalFormatting>
  <conditionalFormatting sqref="I12">
    <cfRule type="containsText" dxfId="2126" priority="2564" operator="containsText" text="EL">
      <formula>NOT(ISERROR(SEARCH("EL",I12)))</formula>
    </cfRule>
    <cfRule type="containsText" dxfId="2125" priority="2565" operator="containsText" text="SICK">
      <formula>NOT(ISERROR(SEARCH("SICK",I12)))</formula>
    </cfRule>
    <cfRule type="containsText" dxfId="2124" priority="2566" operator="containsText" text="AL">
      <formula>NOT(ISERROR(SEARCH("AL",I12)))</formula>
    </cfRule>
    <cfRule type="containsText" dxfId="2123" priority="2567" operator="containsText" text="SICK">
      <formula>NOT(ISERROR(SEARCH("SICK",I12)))</formula>
    </cfRule>
    <cfRule type="containsText" priority="2558" operator="containsText" text="FL">
      <formula>NOT(ISERROR(SEARCH("FL",I12)))</formula>
    </cfRule>
    <cfRule type="containsText" dxfId="2122" priority="2572" stopIfTrue="1" operator="containsText" text="SICK">
      <formula>NOT(ISERROR(SEARCH("SICK",I12)))</formula>
    </cfRule>
    <cfRule type="containsText" dxfId="2121" priority="2571" stopIfTrue="1" operator="containsText" text="SP">
      <formula>NOT(ISERROR(SEARCH("SP",I12)))</formula>
    </cfRule>
    <cfRule type="containsText" dxfId="2120" priority="2570" stopIfTrue="1" operator="containsText" text="AL">
      <formula>NOT(ISERROR(SEARCH("AL",I12)))</formula>
    </cfRule>
    <cfRule type="containsText" dxfId="2119" priority="2557" operator="containsText" text="FL">
      <formula>NOT(ISERROR(SEARCH("FL",I12)))</formula>
    </cfRule>
    <cfRule type="containsText" dxfId="2118" priority="2559" operator="containsText" text="AL">
      <formula>NOT(ISERROR(SEARCH("AL",I12)))</formula>
    </cfRule>
    <cfRule type="containsText" dxfId="2117" priority="2568" operator="containsText" text="NL">
      <formula>NOT(ISERROR(SEARCH("NL",I12)))</formula>
    </cfRule>
    <cfRule type="containsText" dxfId="2116" priority="2563" operator="containsText" text="AL">
      <formula>NOT(ISERROR(SEARCH("AL",I12)))</formula>
    </cfRule>
    <cfRule type="containsText" dxfId="2115" priority="2569" operator="containsText" text="AB">
      <formula>NOT(ISERROR(SEARCH("AB",I12)))</formula>
    </cfRule>
    <cfRule type="containsText" dxfId="2114" priority="2560" operator="containsText" text="AB">
      <formula>NOT(ISERROR(SEARCH("AB",I12)))</formula>
    </cfRule>
    <cfRule type="containsText" dxfId="2113" priority="2561" operator="containsText" text="SICK">
      <formula>NOT(ISERROR(SEARCH("SICK",I12)))</formula>
    </cfRule>
    <cfRule type="containsText" dxfId="2112" priority="2562" operator="containsText" text="AB">
      <formula>NOT(ISERROR(SEARCH("AB",I12)))</formula>
    </cfRule>
  </conditionalFormatting>
  <conditionalFormatting sqref="I16">
    <cfRule type="containsText" dxfId="2111" priority="3120" operator="containsText" text="SICK">
      <formula>NOT(ISERROR(SEARCH("SICK",I16)))</formula>
    </cfRule>
    <cfRule type="containsText" dxfId="2110" priority="3121" operator="containsText" text="AL">
      <formula>NOT(ISERROR(SEARCH("AL",I16)))</formula>
    </cfRule>
    <cfRule type="containsText" dxfId="2109" priority="3122" operator="containsText" text="SICK">
      <formula>NOT(ISERROR(SEARCH("SICK",I16)))</formula>
    </cfRule>
    <cfRule type="containsText" dxfId="2108" priority="3123" operator="containsText" text="NL">
      <formula>NOT(ISERROR(SEARCH("NL",I16)))</formula>
    </cfRule>
    <cfRule type="containsText" dxfId="2107" priority="3124" operator="containsText" text="AB">
      <formula>NOT(ISERROR(SEARCH("AB",I16)))</formula>
    </cfRule>
    <cfRule type="containsText" dxfId="2106" priority="3125" stopIfTrue="1" operator="containsText" text="AL">
      <formula>NOT(ISERROR(SEARCH("AL",I16)))</formula>
    </cfRule>
    <cfRule type="containsText" dxfId="2105" priority="3126" stopIfTrue="1" operator="containsText" text="SP">
      <formula>NOT(ISERROR(SEARCH("SP",I16)))</formula>
    </cfRule>
    <cfRule type="containsText" dxfId="2104" priority="3127" stopIfTrue="1" operator="containsText" text="SICK">
      <formula>NOT(ISERROR(SEARCH("SICK",I16)))</formula>
    </cfRule>
    <cfRule type="containsText" dxfId="2103" priority="3118" operator="containsText" text="AL">
      <formula>NOT(ISERROR(SEARCH("AL",I16)))</formula>
    </cfRule>
    <cfRule type="containsText" dxfId="2102" priority="3115" operator="containsText" text="AB">
      <formula>NOT(ISERROR(SEARCH("AB",I16)))</formula>
    </cfRule>
    <cfRule type="containsText" dxfId="2101" priority="3112" operator="containsText" text="FL">
      <formula>NOT(ISERROR(SEARCH("FL",I16)))</formula>
    </cfRule>
    <cfRule type="containsText" priority="3113" operator="containsText" text="FL">
      <formula>NOT(ISERROR(SEARCH("FL",I16)))</formula>
    </cfRule>
    <cfRule type="containsText" dxfId="2100" priority="3114" operator="containsText" text="AL">
      <formula>NOT(ISERROR(SEARCH("AL",I16)))</formula>
    </cfRule>
    <cfRule type="containsText" dxfId="2099" priority="3116" operator="containsText" text="SICK">
      <formula>NOT(ISERROR(SEARCH("SICK",I16)))</formula>
    </cfRule>
    <cfRule type="containsText" dxfId="2098" priority="3117" operator="containsText" text="AB">
      <formula>NOT(ISERROR(SEARCH("AB",I16)))</formula>
    </cfRule>
    <cfRule type="containsText" dxfId="2097" priority="3119" operator="containsText" text="EL">
      <formula>NOT(ISERROR(SEARCH("EL",I16)))</formula>
    </cfRule>
  </conditionalFormatting>
  <conditionalFormatting sqref="I22">
    <cfRule type="containsText" dxfId="2096" priority="2943" operator="containsText" text="EL">
      <formula>NOT(ISERROR(SEARCH("EL",I22)))</formula>
    </cfRule>
    <cfRule type="containsText" dxfId="2095" priority="2951" stopIfTrue="1" operator="containsText" text="SICK">
      <formula>NOT(ISERROR(SEARCH("SICK",I22)))</formula>
    </cfRule>
    <cfRule type="containsText" dxfId="2094" priority="2949" stopIfTrue="1" operator="containsText" text="AL">
      <formula>NOT(ISERROR(SEARCH("AL",I22)))</formula>
    </cfRule>
    <cfRule type="containsText" dxfId="2093" priority="2948" operator="containsText" text="AB">
      <formula>NOT(ISERROR(SEARCH("AB",I22)))</formula>
    </cfRule>
    <cfRule type="containsText" dxfId="2092" priority="2947" operator="containsText" text="NL">
      <formula>NOT(ISERROR(SEARCH("NL",I22)))</formula>
    </cfRule>
    <cfRule type="containsText" dxfId="2091" priority="2950" stopIfTrue="1" operator="containsText" text="SP">
      <formula>NOT(ISERROR(SEARCH("SP",I22)))</formula>
    </cfRule>
    <cfRule type="containsText" dxfId="2090" priority="2942" operator="containsText" text="AL">
      <formula>NOT(ISERROR(SEARCH("AL",I22)))</formula>
    </cfRule>
    <cfRule type="containsText" dxfId="2089" priority="2939" operator="containsText" text="AB">
      <formula>NOT(ISERROR(SEARCH("AB",I22)))</formula>
    </cfRule>
    <cfRule type="containsText" dxfId="2088" priority="2944" operator="containsText" text="SICK">
      <formula>NOT(ISERROR(SEARCH("SICK",I22)))</formula>
    </cfRule>
    <cfRule type="containsText" dxfId="2087" priority="2941" operator="containsText" text="AB">
      <formula>NOT(ISERROR(SEARCH("AB",I22)))</formula>
    </cfRule>
    <cfRule type="containsText" dxfId="2086" priority="2940" operator="containsText" text="SICK">
      <formula>NOT(ISERROR(SEARCH("SICK",I22)))</formula>
    </cfRule>
    <cfRule type="containsText" dxfId="2085" priority="2938" operator="containsText" text="AL">
      <formula>NOT(ISERROR(SEARCH("AL",I22)))</formula>
    </cfRule>
    <cfRule type="containsText" priority="2937" operator="containsText" text="FL">
      <formula>NOT(ISERROR(SEARCH("FL",I22)))</formula>
    </cfRule>
    <cfRule type="containsText" dxfId="2084" priority="2945" operator="containsText" text="AL">
      <formula>NOT(ISERROR(SEARCH("AL",I22)))</formula>
    </cfRule>
    <cfRule type="containsText" dxfId="2083" priority="2946" operator="containsText" text="SICK">
      <formula>NOT(ISERROR(SEARCH("SICK",I22)))</formula>
    </cfRule>
    <cfRule type="containsText" dxfId="2082" priority="2936" operator="containsText" text="FL">
      <formula>NOT(ISERROR(SEARCH("FL",I22)))</formula>
    </cfRule>
  </conditionalFormatting>
  <conditionalFormatting sqref="I24">
    <cfRule type="containsText" dxfId="2081" priority="2829" operator="containsText" text="AB">
      <formula>NOT(ISERROR(SEARCH("AB",I24)))</formula>
    </cfRule>
    <cfRule type="containsText" dxfId="2080" priority="2828" operator="containsText" text="SICK">
      <formula>NOT(ISERROR(SEARCH("SICK",I24)))</formula>
    </cfRule>
    <cfRule type="containsText" dxfId="2079" priority="2834" operator="containsText" text="SICK">
      <formula>NOT(ISERROR(SEARCH("SICK",I24)))</formula>
    </cfRule>
    <cfRule type="containsText" dxfId="2078" priority="2835" operator="containsText" text="NL">
      <formula>NOT(ISERROR(SEARCH("NL",I24)))</formula>
    </cfRule>
    <cfRule type="containsText" dxfId="2077" priority="2830" operator="containsText" text="AL">
      <formula>NOT(ISERROR(SEARCH("AL",I24)))</formula>
    </cfRule>
    <cfRule type="containsText" dxfId="2076" priority="2839" stopIfTrue="1" operator="containsText" text="SICK">
      <formula>NOT(ISERROR(SEARCH("SICK",I24)))</formula>
    </cfRule>
    <cfRule type="containsText" dxfId="2075" priority="2838" stopIfTrue="1" operator="containsText" text="SP">
      <formula>NOT(ISERROR(SEARCH("SP",I24)))</formula>
    </cfRule>
    <cfRule type="containsText" dxfId="2074" priority="2837" stopIfTrue="1" operator="containsText" text="AL">
      <formula>NOT(ISERROR(SEARCH("AL",I24)))</formula>
    </cfRule>
    <cfRule type="containsText" dxfId="2073" priority="2836" operator="containsText" text="AB">
      <formula>NOT(ISERROR(SEARCH("AB",I24)))</formula>
    </cfRule>
    <cfRule type="containsText" dxfId="2072" priority="2833" operator="containsText" text="AL">
      <formula>NOT(ISERROR(SEARCH("AL",I24)))</formula>
    </cfRule>
    <cfRule type="containsText" dxfId="2071" priority="2832" operator="containsText" text="SICK">
      <formula>NOT(ISERROR(SEARCH("SICK",I24)))</formula>
    </cfRule>
    <cfRule type="containsText" dxfId="2070" priority="2831" operator="containsText" text="EL">
      <formula>NOT(ISERROR(SEARCH("EL",I24)))</formula>
    </cfRule>
  </conditionalFormatting>
  <conditionalFormatting sqref="I24:I25">
    <cfRule type="containsText" priority="2713" operator="containsText" text="FL">
      <formula>NOT(ISERROR(SEARCH("FL",I24)))</formula>
    </cfRule>
    <cfRule type="containsText" dxfId="2069" priority="2724" operator="containsText" text="AB">
      <formula>NOT(ISERROR(SEARCH("AB",I24)))</formula>
    </cfRule>
    <cfRule type="containsText" dxfId="2068" priority="2718" operator="containsText" text="AL">
      <formula>NOT(ISERROR(SEARCH("AL",I24)))</formula>
    </cfRule>
    <cfRule type="containsText" dxfId="2067" priority="2712" operator="containsText" text="FL">
      <formula>NOT(ISERROR(SEARCH("FL",I24)))</formula>
    </cfRule>
  </conditionalFormatting>
  <conditionalFormatting sqref="I25">
    <cfRule type="containsText" dxfId="2066" priority="2717" operator="containsText" text="AB">
      <formula>NOT(ISERROR(SEARCH("AB",I25)))</formula>
    </cfRule>
    <cfRule type="containsText" dxfId="2065" priority="2716" operator="containsText" text="SICK">
      <formula>NOT(ISERROR(SEARCH("SICK",I25)))</formula>
    </cfRule>
    <cfRule type="containsText" dxfId="2064" priority="2715" operator="containsText" text="AB">
      <formula>NOT(ISERROR(SEARCH("AB",I25)))</formula>
    </cfRule>
    <cfRule type="containsText" dxfId="2063" priority="2714" operator="containsText" text="AL">
      <formula>NOT(ISERROR(SEARCH("AL",I25)))</formula>
    </cfRule>
    <cfRule type="containsText" dxfId="2062" priority="2725" stopIfTrue="1" operator="containsText" text="AL">
      <formula>NOT(ISERROR(SEARCH("AL",I25)))</formula>
    </cfRule>
    <cfRule type="containsText" dxfId="2061" priority="2719" operator="containsText" text="EL">
      <formula>NOT(ISERROR(SEARCH("EL",I25)))</formula>
    </cfRule>
    <cfRule type="containsText" dxfId="2060" priority="2727" stopIfTrue="1" operator="containsText" text="SICK">
      <formula>NOT(ISERROR(SEARCH("SICK",I25)))</formula>
    </cfRule>
    <cfRule type="containsText" dxfId="2059" priority="2723" operator="containsText" text="NL">
      <formula>NOT(ISERROR(SEARCH("NL",I25)))</formula>
    </cfRule>
    <cfRule type="containsText" dxfId="2058" priority="2722" operator="containsText" text="SICK">
      <formula>NOT(ISERROR(SEARCH("SICK",I25)))</formula>
    </cfRule>
    <cfRule type="containsText" dxfId="2057" priority="2721" operator="containsText" text="AL">
      <formula>NOT(ISERROR(SEARCH("AL",I25)))</formula>
    </cfRule>
    <cfRule type="containsText" dxfId="2056" priority="2720" operator="containsText" text="SICK">
      <formula>NOT(ISERROR(SEARCH("SICK",I25)))</formula>
    </cfRule>
    <cfRule type="containsText" dxfId="2055" priority="2726" stopIfTrue="1" operator="containsText" text="SP">
      <formula>NOT(ISERROR(SEARCH("SP",I25)))</formula>
    </cfRule>
  </conditionalFormatting>
  <conditionalFormatting sqref="K7">
    <cfRule type="containsText" dxfId="2054" priority="3204" operator="containsText" text="AB">
      <formula>NOT(ISERROR(SEARCH("AB",K7)))</formula>
    </cfRule>
    <cfRule type="containsText" dxfId="2053" priority="3205" stopIfTrue="1" operator="containsText" text="AL">
      <formula>NOT(ISERROR(SEARCH("AL",K7)))</formula>
    </cfRule>
    <cfRule type="containsText" dxfId="2052" priority="3206" stopIfTrue="1" operator="containsText" text="SP">
      <formula>NOT(ISERROR(SEARCH("SP",K7)))</formula>
    </cfRule>
    <cfRule type="containsText" dxfId="2051" priority="3207" stopIfTrue="1" operator="containsText" text="SICK">
      <formula>NOT(ISERROR(SEARCH("SICK",K7)))</formula>
    </cfRule>
    <cfRule type="containsText" dxfId="2050" priority="3203" operator="containsText" text="NL">
      <formula>NOT(ISERROR(SEARCH("NL",K7)))</formula>
    </cfRule>
    <cfRule type="containsText" dxfId="2049" priority="3197" operator="containsText" text="AB">
      <formula>NOT(ISERROR(SEARCH("AB",K7)))</formula>
    </cfRule>
    <cfRule type="containsText" dxfId="2048" priority="3198" operator="containsText" text="AL">
      <formula>NOT(ISERROR(SEARCH("AL",K7)))</formula>
    </cfRule>
    <cfRule type="containsText" dxfId="2047" priority="3201" operator="containsText" text="AL">
      <formula>NOT(ISERROR(SEARCH("AL",K7)))</formula>
    </cfRule>
    <cfRule type="containsText" dxfId="2046" priority="3196" operator="containsText" text="SICK">
      <formula>NOT(ISERROR(SEARCH("SICK",K7)))</formula>
    </cfRule>
    <cfRule type="containsText" dxfId="2045" priority="3192" operator="containsText" text="FL">
      <formula>NOT(ISERROR(SEARCH("FL",K7)))</formula>
    </cfRule>
    <cfRule type="containsText" dxfId="2044" priority="3200" operator="containsText" text="SICK">
      <formula>NOT(ISERROR(SEARCH("SICK",K7)))</formula>
    </cfRule>
    <cfRule type="containsText" priority="3193" operator="containsText" text="FL">
      <formula>NOT(ISERROR(SEARCH("FL",K7)))</formula>
    </cfRule>
    <cfRule type="containsText" dxfId="2043" priority="3202" operator="containsText" text="SICK">
      <formula>NOT(ISERROR(SEARCH("SICK",K7)))</formula>
    </cfRule>
    <cfRule type="containsText" dxfId="2042" priority="3194" operator="containsText" text="AL">
      <formula>NOT(ISERROR(SEARCH("AL",K7)))</formula>
    </cfRule>
    <cfRule type="containsText" dxfId="2041" priority="3195" operator="containsText" text="AB">
      <formula>NOT(ISERROR(SEARCH("AB",K7)))</formula>
    </cfRule>
    <cfRule type="containsText" dxfId="2040" priority="3199" operator="containsText" text="EL">
      <formula>NOT(ISERROR(SEARCH("EL",K7)))</formula>
    </cfRule>
  </conditionalFormatting>
  <conditionalFormatting sqref="K10">
    <cfRule type="containsText" dxfId="2039" priority="3149" operator="containsText" text="AB">
      <formula>NOT(ISERROR(SEARCH("AB",K10)))</formula>
    </cfRule>
    <cfRule type="containsText" dxfId="2038" priority="3148" operator="containsText" text="SICK">
      <formula>NOT(ISERROR(SEARCH("SICK",K10)))</formula>
    </cfRule>
    <cfRule type="containsText" dxfId="2037" priority="3147" operator="containsText" text="AB">
      <formula>NOT(ISERROR(SEARCH("AB",K10)))</formula>
    </cfRule>
    <cfRule type="containsText" dxfId="2036" priority="3146" operator="containsText" text="AL">
      <formula>NOT(ISERROR(SEARCH("AL",K10)))</formula>
    </cfRule>
    <cfRule type="containsText" priority="3145" operator="containsText" text="FL">
      <formula>NOT(ISERROR(SEARCH("FL",K10)))</formula>
    </cfRule>
    <cfRule type="containsText" dxfId="2035" priority="3144" operator="containsText" text="FL">
      <formula>NOT(ISERROR(SEARCH("FL",K10)))</formula>
    </cfRule>
    <cfRule type="containsText" dxfId="2034" priority="3159" stopIfTrue="1" operator="containsText" text="SICK">
      <formula>NOT(ISERROR(SEARCH("SICK",K10)))</formula>
    </cfRule>
    <cfRule type="containsText" dxfId="2033" priority="3158" stopIfTrue="1" operator="containsText" text="SP">
      <formula>NOT(ISERROR(SEARCH("SP",K10)))</formula>
    </cfRule>
    <cfRule type="containsText" dxfId="2032" priority="3157" stopIfTrue="1" operator="containsText" text="AL">
      <formula>NOT(ISERROR(SEARCH("AL",K10)))</formula>
    </cfRule>
    <cfRule type="containsText" dxfId="2031" priority="3156" operator="containsText" text="AB">
      <formula>NOT(ISERROR(SEARCH("AB",K10)))</formula>
    </cfRule>
    <cfRule type="containsText" dxfId="2030" priority="3155" operator="containsText" text="NL">
      <formula>NOT(ISERROR(SEARCH("NL",K10)))</formula>
    </cfRule>
    <cfRule type="containsText" dxfId="2029" priority="3154" operator="containsText" text="SICK">
      <formula>NOT(ISERROR(SEARCH("SICK",K10)))</formula>
    </cfRule>
    <cfRule type="containsText" dxfId="2028" priority="3153" operator="containsText" text="AL">
      <formula>NOT(ISERROR(SEARCH("AL",K10)))</formula>
    </cfRule>
    <cfRule type="containsText" dxfId="2027" priority="3152" operator="containsText" text="SICK">
      <formula>NOT(ISERROR(SEARCH("SICK",K10)))</formula>
    </cfRule>
    <cfRule type="containsText" dxfId="2026" priority="3151" operator="containsText" text="EL">
      <formula>NOT(ISERROR(SEARCH("EL",K10)))</formula>
    </cfRule>
    <cfRule type="containsText" dxfId="2025" priority="3150" operator="containsText" text="AL">
      <formula>NOT(ISERROR(SEARCH("AL",K10)))</formula>
    </cfRule>
  </conditionalFormatting>
  <conditionalFormatting sqref="K17">
    <cfRule type="containsText" dxfId="2024" priority="3057" operator="containsText" text="AL">
      <formula>NOT(ISERROR(SEARCH("AL",K17)))</formula>
    </cfRule>
    <cfRule type="containsText" dxfId="2023" priority="3058" operator="containsText" text="SICK">
      <formula>NOT(ISERROR(SEARCH("SICK",K17)))</formula>
    </cfRule>
    <cfRule type="containsText" dxfId="2022" priority="3059" operator="containsText" text="NL">
      <formula>NOT(ISERROR(SEARCH("NL",K17)))</formula>
    </cfRule>
    <cfRule type="containsText" dxfId="2021" priority="3060" operator="containsText" text="AB">
      <formula>NOT(ISERROR(SEARCH("AB",K17)))</formula>
    </cfRule>
    <cfRule type="containsText" dxfId="2020" priority="3061" stopIfTrue="1" operator="containsText" text="AL">
      <formula>NOT(ISERROR(SEARCH("AL",K17)))</formula>
    </cfRule>
    <cfRule type="containsText" dxfId="2019" priority="3052" operator="containsText" text="SICK">
      <formula>NOT(ISERROR(SEARCH("SICK",K17)))</formula>
    </cfRule>
    <cfRule type="containsText" dxfId="2018" priority="3053" operator="containsText" text="AB">
      <formula>NOT(ISERROR(SEARCH("AB",K17)))</formula>
    </cfRule>
    <cfRule type="containsText" dxfId="2017" priority="3054" operator="containsText" text="AL">
      <formula>NOT(ISERROR(SEARCH("AL",K17)))</formula>
    </cfRule>
    <cfRule type="containsText" dxfId="2016" priority="3055" operator="containsText" text="EL">
      <formula>NOT(ISERROR(SEARCH("EL",K17)))</formula>
    </cfRule>
    <cfRule type="containsText" dxfId="2015" priority="3056" operator="containsText" text="SICK">
      <formula>NOT(ISERROR(SEARCH("SICK",K17)))</formula>
    </cfRule>
    <cfRule type="containsText" dxfId="2014" priority="3062" stopIfTrue="1" operator="containsText" text="SP">
      <formula>NOT(ISERROR(SEARCH("SP",K17)))</formula>
    </cfRule>
    <cfRule type="containsText" dxfId="2013" priority="3063" stopIfTrue="1" operator="containsText" text="SICK">
      <formula>NOT(ISERROR(SEARCH("SICK",K17)))</formula>
    </cfRule>
  </conditionalFormatting>
  <conditionalFormatting sqref="K23">
    <cfRule type="containsText" dxfId="2012" priority="2898" operator="containsText" text="SICK">
      <formula>NOT(ISERROR(SEARCH("SICK",K23)))</formula>
    </cfRule>
    <cfRule type="containsText" dxfId="2011" priority="2903" stopIfTrue="1" operator="containsText" text="SICK">
      <formula>NOT(ISERROR(SEARCH("SICK",K23)))</formula>
    </cfRule>
    <cfRule type="containsText" dxfId="2010" priority="2902" stopIfTrue="1" operator="containsText" text="SP">
      <formula>NOT(ISERROR(SEARCH("SP",K23)))</formula>
    </cfRule>
    <cfRule type="containsText" dxfId="2009" priority="2901" stopIfTrue="1" operator="containsText" text="AL">
      <formula>NOT(ISERROR(SEARCH("AL",K23)))</formula>
    </cfRule>
    <cfRule type="containsText" dxfId="2008" priority="2900" operator="containsText" text="AB">
      <formula>NOT(ISERROR(SEARCH("AB",K23)))</formula>
    </cfRule>
    <cfRule type="containsText" dxfId="2007" priority="2899" operator="containsText" text="NL">
      <formula>NOT(ISERROR(SEARCH("NL",K23)))</formula>
    </cfRule>
    <cfRule type="containsText" dxfId="2006" priority="2897" operator="containsText" text="AL">
      <formula>NOT(ISERROR(SEARCH("AL",K23)))</formula>
    </cfRule>
    <cfRule type="containsText" dxfId="2005" priority="2896" operator="containsText" text="SICK">
      <formula>NOT(ISERROR(SEARCH("SICK",K23)))</formula>
    </cfRule>
    <cfRule type="containsText" dxfId="2004" priority="2895" operator="containsText" text="EL">
      <formula>NOT(ISERROR(SEARCH("EL",K23)))</formula>
    </cfRule>
    <cfRule type="containsText" dxfId="2003" priority="2894" operator="containsText" text="AL">
      <formula>NOT(ISERROR(SEARCH("AL",K23)))</formula>
    </cfRule>
    <cfRule type="containsText" dxfId="2002" priority="2893" operator="containsText" text="AB">
      <formula>NOT(ISERROR(SEARCH("AB",K23)))</formula>
    </cfRule>
    <cfRule type="containsText" dxfId="2001" priority="2892" operator="containsText" text="SICK">
      <formula>NOT(ISERROR(SEARCH("SICK",K23)))</formula>
    </cfRule>
  </conditionalFormatting>
  <conditionalFormatting sqref="K23:K24">
    <cfRule type="containsText" dxfId="2000" priority="2846" operator="containsText" text="AL">
      <formula>NOT(ISERROR(SEARCH("AL",K23)))</formula>
    </cfRule>
    <cfRule type="containsText" priority="2841" operator="containsText" text="FL">
      <formula>NOT(ISERROR(SEARCH("FL",K23)))</formula>
    </cfRule>
    <cfRule type="containsText" dxfId="1999" priority="2840" operator="containsText" text="FL">
      <formula>NOT(ISERROR(SEARCH("FL",K23)))</formula>
    </cfRule>
    <cfRule type="containsText" dxfId="1998" priority="2852" operator="containsText" text="AB">
      <formula>NOT(ISERROR(SEARCH("AB",K23)))</formula>
    </cfRule>
  </conditionalFormatting>
  <conditionalFormatting sqref="K24">
    <cfRule type="containsText" dxfId="1997" priority="2850" operator="containsText" text="SICK">
      <formula>NOT(ISERROR(SEARCH("SICK",K24)))</formula>
    </cfRule>
    <cfRule type="containsText" dxfId="1996" priority="2843" operator="containsText" text="AB">
      <formula>NOT(ISERROR(SEARCH("AB",K24)))</formula>
    </cfRule>
    <cfRule type="containsText" dxfId="1995" priority="2851" operator="containsText" text="NL">
      <formula>NOT(ISERROR(SEARCH("NL",K24)))</formula>
    </cfRule>
    <cfRule type="containsText" dxfId="1994" priority="2845" operator="containsText" text="AB">
      <formula>NOT(ISERROR(SEARCH("AB",K24)))</formula>
    </cfRule>
    <cfRule type="containsText" dxfId="1993" priority="2842" operator="containsText" text="AL">
      <formula>NOT(ISERROR(SEARCH("AL",K24)))</formula>
    </cfRule>
    <cfRule type="containsText" dxfId="1992" priority="2844" operator="containsText" text="SICK">
      <formula>NOT(ISERROR(SEARCH("SICK",K24)))</formula>
    </cfRule>
    <cfRule type="containsText" dxfId="1991" priority="2855" stopIfTrue="1" operator="containsText" text="SICK">
      <formula>NOT(ISERROR(SEARCH("SICK",K24)))</formula>
    </cfRule>
    <cfRule type="containsText" dxfId="1990" priority="2853" stopIfTrue="1" operator="containsText" text="AL">
      <formula>NOT(ISERROR(SEARCH("AL",K24)))</formula>
    </cfRule>
    <cfRule type="containsText" dxfId="1989" priority="2854" stopIfTrue="1" operator="containsText" text="SP">
      <formula>NOT(ISERROR(SEARCH("SP",K24)))</formula>
    </cfRule>
    <cfRule type="containsText" dxfId="1988" priority="2847" operator="containsText" text="EL">
      <formula>NOT(ISERROR(SEARCH("EL",K24)))</formula>
    </cfRule>
    <cfRule type="containsText" dxfId="1987" priority="2848" operator="containsText" text="SICK">
      <formula>NOT(ISERROR(SEARCH("SICK",K24)))</formula>
    </cfRule>
    <cfRule type="containsText" dxfId="1986" priority="2849" operator="containsText" text="AL">
      <formula>NOT(ISERROR(SEARCH("AL",K24)))</formula>
    </cfRule>
  </conditionalFormatting>
  <conditionalFormatting sqref="K17:M17">
    <cfRule type="containsText" dxfId="1985" priority="3032" operator="containsText" text="FL">
      <formula>NOT(ISERROR(SEARCH("FL",K17)))</formula>
    </cfRule>
    <cfRule type="containsText" dxfId="1984" priority="3044" operator="containsText" text="AB">
      <formula>NOT(ISERROR(SEARCH("AB",K17)))</formula>
    </cfRule>
    <cfRule type="containsText" dxfId="1983" priority="3038" operator="containsText" text="AL">
      <formula>NOT(ISERROR(SEARCH("AL",K17)))</formula>
    </cfRule>
    <cfRule type="containsText" priority="3033" operator="containsText" text="FL">
      <formula>NOT(ISERROR(SEARCH("FL",K17)))</formula>
    </cfRule>
  </conditionalFormatting>
  <conditionalFormatting sqref="L12">
    <cfRule type="containsText" dxfId="1982" priority="2545" operator="containsText" text="SICK">
      <formula>NOT(ISERROR(SEARCH("SICK",L12)))</formula>
    </cfRule>
    <cfRule type="containsText" dxfId="1981" priority="2546" operator="containsText" text="AB">
      <formula>NOT(ISERROR(SEARCH("AB",L12)))</formula>
    </cfRule>
    <cfRule type="containsText" dxfId="1980" priority="2556" stopIfTrue="1" operator="containsText" text="SICK">
      <formula>NOT(ISERROR(SEARCH("SICK",L12)))</formula>
    </cfRule>
    <cfRule type="containsText" dxfId="1979" priority="2555" stopIfTrue="1" operator="containsText" text="SP">
      <formula>NOT(ISERROR(SEARCH("SP",L12)))</formula>
    </cfRule>
    <cfRule type="containsText" dxfId="1978" priority="2554" stopIfTrue="1" operator="containsText" text="AL">
      <formula>NOT(ISERROR(SEARCH("AL",L12)))</formula>
    </cfRule>
    <cfRule type="containsText" dxfId="1977" priority="2553" operator="containsText" text="AB">
      <formula>NOT(ISERROR(SEARCH("AB",L12)))</formula>
    </cfRule>
    <cfRule type="containsText" dxfId="1976" priority="2552" operator="containsText" text="NL">
      <formula>NOT(ISERROR(SEARCH("NL",L12)))</formula>
    </cfRule>
    <cfRule type="containsText" dxfId="1975" priority="2551" operator="containsText" text="SICK">
      <formula>NOT(ISERROR(SEARCH("SICK",L12)))</formula>
    </cfRule>
    <cfRule type="containsText" dxfId="1974" priority="2550" operator="containsText" text="AL">
      <formula>NOT(ISERROR(SEARCH("AL",L12)))</formula>
    </cfRule>
    <cfRule type="containsText" dxfId="1973" priority="2549" operator="containsText" text="SICK">
      <formula>NOT(ISERROR(SEARCH("SICK",L12)))</formula>
    </cfRule>
    <cfRule type="containsText" dxfId="1972" priority="2548" operator="containsText" text="EL">
      <formula>NOT(ISERROR(SEARCH("EL",L12)))</formula>
    </cfRule>
    <cfRule type="containsText" dxfId="1971" priority="2547" operator="containsText" text="AL">
      <formula>NOT(ISERROR(SEARCH("AL",L12)))</formula>
    </cfRule>
  </conditionalFormatting>
  <conditionalFormatting sqref="L12:M12">
    <cfRule type="containsText" dxfId="1970" priority="2531" operator="containsText" text="AL">
      <formula>NOT(ISERROR(SEARCH("AL",L12)))</formula>
    </cfRule>
    <cfRule type="containsText" dxfId="1969" priority="2537" operator="containsText" text="AB">
      <formula>NOT(ISERROR(SEARCH("AB",L12)))</formula>
    </cfRule>
  </conditionalFormatting>
  <conditionalFormatting sqref="L17:M17">
    <cfRule type="containsText" dxfId="1968" priority="3042" operator="containsText" text="SICK">
      <formula>NOT(ISERROR(SEARCH("SICK",L17)))</formula>
    </cfRule>
    <cfRule type="containsText" dxfId="1967" priority="3047" stopIfTrue="1" operator="containsText" text="SICK">
      <formula>NOT(ISERROR(SEARCH("SICK",L17)))</formula>
    </cfRule>
    <cfRule type="containsText" dxfId="1966" priority="3046" stopIfTrue="1" operator="containsText" text="SP">
      <formula>NOT(ISERROR(SEARCH("SP",L17)))</formula>
    </cfRule>
    <cfRule type="containsText" dxfId="1965" priority="3045" stopIfTrue="1" operator="containsText" text="AL">
      <formula>NOT(ISERROR(SEARCH("AL",L17)))</formula>
    </cfRule>
    <cfRule type="containsText" dxfId="1964" priority="3043" operator="containsText" text="NL">
      <formula>NOT(ISERROR(SEARCH("NL",L17)))</formula>
    </cfRule>
    <cfRule type="containsText" dxfId="1963" priority="3041" operator="containsText" text="AL">
      <formula>NOT(ISERROR(SEARCH("AL",L17)))</formula>
    </cfRule>
    <cfRule type="containsText" dxfId="1962" priority="3040" operator="containsText" text="SICK">
      <formula>NOT(ISERROR(SEARCH("SICK",L17)))</formula>
    </cfRule>
    <cfRule type="containsText" dxfId="1961" priority="3039" operator="containsText" text="EL">
      <formula>NOT(ISERROR(SEARCH("EL",L17)))</formula>
    </cfRule>
    <cfRule type="containsText" dxfId="1960" priority="3037" operator="containsText" text="AB">
      <formula>NOT(ISERROR(SEARCH("AB",L17)))</formula>
    </cfRule>
    <cfRule type="containsText" dxfId="1959" priority="3036" operator="containsText" text="SICK">
      <formula>NOT(ISERROR(SEARCH("SICK",L17)))</formula>
    </cfRule>
    <cfRule type="containsText" dxfId="1958" priority="3035" operator="containsText" text="AB">
      <formula>NOT(ISERROR(SEARCH("AB",L17)))</formula>
    </cfRule>
    <cfRule type="containsText" dxfId="1957" priority="3034" operator="containsText" text="AL">
      <formula>NOT(ISERROR(SEARCH("AL",L17)))</formula>
    </cfRule>
  </conditionalFormatting>
  <conditionalFormatting sqref="L12:Q12">
    <cfRule type="containsText" dxfId="1956" priority="65" operator="containsText" text="FL">
      <formula>NOT(ISERROR(SEARCH("FL",L12)))</formula>
    </cfRule>
    <cfRule type="containsText" priority="66" operator="containsText" text="FL">
      <formula>NOT(ISERROR(SEARCH("FL",L12)))</formula>
    </cfRule>
  </conditionalFormatting>
  <conditionalFormatting sqref="M7">
    <cfRule type="containsText" dxfId="1955" priority="3187" operator="containsText" text="NL">
      <formula>NOT(ISERROR(SEARCH("NL",M7)))</formula>
    </cfRule>
    <cfRule type="containsText" dxfId="1954" priority="3188" operator="containsText" text="AB">
      <formula>NOT(ISERROR(SEARCH("AB",M7)))</formula>
    </cfRule>
    <cfRule type="containsText" dxfId="1953" priority="3189" stopIfTrue="1" operator="containsText" text="AL">
      <formula>NOT(ISERROR(SEARCH("AL",M7)))</formula>
    </cfRule>
    <cfRule type="containsText" dxfId="1952" priority="3190" stopIfTrue="1" operator="containsText" text="SP">
      <formula>NOT(ISERROR(SEARCH("SP",M7)))</formula>
    </cfRule>
    <cfRule type="containsText" dxfId="1951" priority="3191" stopIfTrue="1" operator="containsText" text="SICK">
      <formula>NOT(ISERROR(SEARCH("SICK",M7)))</formula>
    </cfRule>
    <cfRule type="containsText" dxfId="1950" priority="3178" operator="containsText" text="AL">
      <formula>NOT(ISERROR(SEARCH("AL",M7)))</formula>
    </cfRule>
    <cfRule type="containsText" dxfId="1949" priority="3179" operator="containsText" text="AB">
      <formula>NOT(ISERROR(SEARCH("AB",M7)))</formula>
    </cfRule>
    <cfRule type="containsText" dxfId="1948" priority="3186" operator="containsText" text="SICK">
      <formula>NOT(ISERROR(SEARCH("SICK",M7)))</formula>
    </cfRule>
    <cfRule type="containsText" dxfId="1947" priority="3180" operator="containsText" text="SICK">
      <formula>NOT(ISERROR(SEARCH("SICK",M7)))</formula>
    </cfRule>
    <cfRule type="containsText" dxfId="1946" priority="3181" operator="containsText" text="AB">
      <formula>NOT(ISERROR(SEARCH("AB",M7)))</formula>
    </cfRule>
    <cfRule type="containsText" dxfId="1945" priority="3182" operator="containsText" text="AL">
      <formula>NOT(ISERROR(SEARCH("AL",M7)))</formula>
    </cfRule>
    <cfRule type="containsText" dxfId="1944" priority="3183" operator="containsText" text="EL">
      <formula>NOT(ISERROR(SEARCH("EL",M7)))</formula>
    </cfRule>
    <cfRule type="containsText" dxfId="1943" priority="3184" operator="containsText" text="SICK">
      <formula>NOT(ISERROR(SEARCH("SICK",M7)))</formula>
    </cfRule>
    <cfRule type="containsText" dxfId="1942" priority="3185" operator="containsText" text="AL">
      <formula>NOT(ISERROR(SEARCH("AL",M7)))</formula>
    </cfRule>
    <cfRule type="containsText" dxfId="1941" priority="3176" operator="containsText" text="FL">
      <formula>NOT(ISERROR(SEARCH("FL",M7)))</formula>
    </cfRule>
    <cfRule type="containsText" priority="3177" operator="containsText" text="FL">
      <formula>NOT(ISERROR(SEARCH("FL",M7)))</formula>
    </cfRule>
  </conditionalFormatting>
  <conditionalFormatting sqref="M12">
    <cfRule type="containsText" dxfId="1940" priority="2540" stopIfTrue="1" operator="containsText" text="SICK">
      <formula>NOT(ISERROR(SEARCH("SICK",M12)))</formula>
    </cfRule>
    <cfRule type="containsText" dxfId="1939" priority="2529" operator="containsText" text="SICK">
      <formula>NOT(ISERROR(SEARCH("SICK",M12)))</formula>
    </cfRule>
    <cfRule type="containsText" dxfId="1938" priority="2530" operator="containsText" text="AB">
      <formula>NOT(ISERROR(SEARCH("AB",M12)))</formula>
    </cfRule>
    <cfRule type="containsText" dxfId="1937" priority="2532" operator="containsText" text="EL">
      <formula>NOT(ISERROR(SEARCH("EL",M12)))</formula>
    </cfRule>
    <cfRule type="containsText" dxfId="1936" priority="2533" operator="containsText" text="SICK">
      <formula>NOT(ISERROR(SEARCH("SICK",M12)))</formula>
    </cfRule>
    <cfRule type="containsText" dxfId="1935" priority="2534" operator="containsText" text="AL">
      <formula>NOT(ISERROR(SEARCH("AL",M12)))</formula>
    </cfRule>
    <cfRule type="containsText" dxfId="1934" priority="2535" operator="containsText" text="SICK">
      <formula>NOT(ISERROR(SEARCH("SICK",M12)))</formula>
    </cfRule>
    <cfRule type="containsText" dxfId="1933" priority="2536" operator="containsText" text="NL">
      <formula>NOT(ISERROR(SEARCH("NL",M12)))</formula>
    </cfRule>
    <cfRule type="containsText" dxfId="1932" priority="2538" stopIfTrue="1" operator="containsText" text="AL">
      <formula>NOT(ISERROR(SEARCH("AL",M12)))</formula>
    </cfRule>
    <cfRule type="containsText" dxfId="1931" priority="2539" stopIfTrue="1" operator="containsText" text="SP">
      <formula>NOT(ISERROR(SEARCH("SP",M12)))</formula>
    </cfRule>
  </conditionalFormatting>
  <conditionalFormatting sqref="M20">
    <cfRule type="containsText" dxfId="1930" priority="2989" operator="containsText" text="AB">
      <formula>NOT(ISERROR(SEARCH("AB",M20)))</formula>
    </cfRule>
    <cfRule type="containsText" dxfId="1929" priority="2997" stopIfTrue="1" operator="containsText" text="AL">
      <formula>NOT(ISERROR(SEARCH("AL",M20)))</formula>
    </cfRule>
    <cfRule type="containsText" dxfId="1928" priority="2998" stopIfTrue="1" operator="containsText" text="SP">
      <formula>NOT(ISERROR(SEARCH("SP",M20)))</formula>
    </cfRule>
    <cfRule type="containsText" dxfId="1927" priority="2999" stopIfTrue="1" operator="containsText" text="SICK">
      <formula>NOT(ISERROR(SEARCH("SICK",M20)))</formula>
    </cfRule>
    <cfRule type="containsText" dxfId="1926" priority="2986" operator="containsText" text="AL">
      <formula>NOT(ISERROR(SEARCH("AL",M20)))</formula>
    </cfRule>
    <cfRule type="containsText" dxfId="1925" priority="2987" operator="containsText" text="AB">
      <formula>NOT(ISERROR(SEARCH("AB",M20)))</formula>
    </cfRule>
    <cfRule type="containsText" dxfId="1924" priority="2988" operator="containsText" text="SICK">
      <formula>NOT(ISERROR(SEARCH("SICK",M20)))</formula>
    </cfRule>
    <cfRule type="containsText" dxfId="1923" priority="2990" operator="containsText" text="AL">
      <formula>NOT(ISERROR(SEARCH("AL",M20)))</formula>
    </cfRule>
    <cfRule type="containsText" dxfId="1922" priority="2991" operator="containsText" text="EL">
      <formula>NOT(ISERROR(SEARCH("EL",M20)))</formula>
    </cfRule>
    <cfRule type="containsText" dxfId="1921" priority="2992" operator="containsText" text="SICK">
      <formula>NOT(ISERROR(SEARCH("SICK",M20)))</formula>
    </cfRule>
    <cfRule type="containsText" dxfId="1920" priority="2996" operator="containsText" text="AB">
      <formula>NOT(ISERROR(SEARCH("AB",M20)))</formula>
    </cfRule>
    <cfRule type="containsText" dxfId="1919" priority="2995" operator="containsText" text="NL">
      <formula>NOT(ISERROR(SEARCH("NL",M20)))</formula>
    </cfRule>
    <cfRule type="containsText" dxfId="1918" priority="2994" operator="containsText" text="SICK">
      <formula>NOT(ISERROR(SEARCH("SICK",M20)))</formula>
    </cfRule>
    <cfRule type="containsText" dxfId="1917" priority="2993" operator="containsText" text="AL">
      <formula>NOT(ISERROR(SEARCH("AL",M20)))</formula>
    </cfRule>
    <cfRule type="containsText" priority="2985" operator="containsText" text="FL">
      <formula>NOT(ISERROR(SEARCH("FL",M20)))</formula>
    </cfRule>
    <cfRule type="containsText" dxfId="1916" priority="2984" operator="containsText" text="FL">
      <formula>NOT(ISERROR(SEARCH("FL",M20)))</formula>
    </cfRule>
  </conditionalFormatting>
  <conditionalFormatting sqref="M23">
    <cfRule type="containsText" dxfId="1915" priority="2880" operator="containsText" text="SICK">
      <formula>NOT(ISERROR(SEARCH("SICK",M23)))</formula>
    </cfRule>
    <cfRule type="containsText" dxfId="1914" priority="2879" operator="containsText" text="EL">
      <formula>NOT(ISERROR(SEARCH("EL",M23)))</formula>
    </cfRule>
    <cfRule type="containsText" dxfId="1913" priority="2878" operator="containsText" text="AL">
      <formula>NOT(ISERROR(SEARCH("AL",M23)))</formula>
    </cfRule>
    <cfRule type="containsText" dxfId="1912" priority="2877" operator="containsText" text="AB">
      <formula>NOT(ISERROR(SEARCH("AB",M23)))</formula>
    </cfRule>
    <cfRule type="containsText" dxfId="1911" priority="2876" operator="containsText" text="SICK">
      <formula>NOT(ISERROR(SEARCH("SICK",M23)))</formula>
    </cfRule>
    <cfRule type="containsText" dxfId="1910" priority="2875" operator="containsText" text="AB">
      <formula>NOT(ISERROR(SEARCH("AB",M23)))</formula>
    </cfRule>
    <cfRule type="containsText" dxfId="1909" priority="2874" operator="containsText" text="AL">
      <formula>NOT(ISERROR(SEARCH("AL",M23)))</formula>
    </cfRule>
    <cfRule type="containsText" dxfId="1908" priority="2872" operator="containsText" text="FL">
      <formula>NOT(ISERROR(SEARCH("FL",M23)))</formula>
    </cfRule>
    <cfRule type="containsText" dxfId="1907" priority="2881" operator="containsText" text="AL">
      <formula>NOT(ISERROR(SEARCH("AL",M23)))</formula>
    </cfRule>
    <cfRule type="containsText" dxfId="1906" priority="2886" stopIfTrue="1" operator="containsText" text="SP">
      <formula>NOT(ISERROR(SEARCH("SP",M23)))</formula>
    </cfRule>
    <cfRule type="containsText" priority="2873" operator="containsText" text="FL">
      <formula>NOT(ISERROR(SEARCH("FL",M23)))</formula>
    </cfRule>
    <cfRule type="containsText" dxfId="1905" priority="2887" stopIfTrue="1" operator="containsText" text="SICK">
      <formula>NOT(ISERROR(SEARCH("SICK",M23)))</formula>
    </cfRule>
    <cfRule type="containsText" dxfId="1904" priority="2885" stopIfTrue="1" operator="containsText" text="AL">
      <formula>NOT(ISERROR(SEARCH("AL",M23)))</formula>
    </cfRule>
    <cfRule type="containsText" dxfId="1903" priority="2884" operator="containsText" text="AB">
      <formula>NOT(ISERROR(SEARCH("AB",M23)))</formula>
    </cfRule>
    <cfRule type="containsText" dxfId="1902" priority="2883" operator="containsText" text="NL">
      <formula>NOT(ISERROR(SEARCH("NL",M23)))</formula>
    </cfRule>
    <cfRule type="containsText" dxfId="1901" priority="2882" operator="containsText" text="SICK">
      <formula>NOT(ISERROR(SEARCH("SICK",M23)))</formula>
    </cfRule>
  </conditionalFormatting>
  <conditionalFormatting sqref="M12:Q12">
    <cfRule type="containsText" dxfId="1900" priority="73" operator="containsText" text="AB">
      <formula>NOT(ISERROR(SEARCH("AB",M12)))</formula>
    </cfRule>
    <cfRule type="containsText" dxfId="1899" priority="67" operator="containsText" text="AL">
      <formula>NOT(ISERROR(SEARCH("AL",M12)))</formula>
    </cfRule>
  </conditionalFormatting>
  <conditionalFormatting sqref="N12:O12">
    <cfRule type="containsText" dxfId="1898" priority="74" stopIfTrue="1" operator="containsText" text="AL">
      <formula>NOT(ISERROR(SEARCH("AL",N12)))</formula>
    </cfRule>
    <cfRule type="containsText" dxfId="1897" priority="64" stopIfTrue="1" operator="containsText" text="SICK">
      <formula>NOT(ISERROR(SEARCH("SICK",N12)))</formula>
    </cfRule>
    <cfRule type="containsText" dxfId="1896" priority="69" operator="containsText" text="SICK">
      <formula>NOT(ISERROR(SEARCH("SICK",N12)))</formula>
    </cfRule>
    <cfRule type="containsText" dxfId="1895" priority="76" stopIfTrue="1" operator="containsText" text="SICK">
      <formula>NOT(ISERROR(SEARCH("SICK",N12)))</formula>
    </cfRule>
    <cfRule type="containsText" dxfId="1894" priority="70" operator="containsText" text="AL">
      <formula>NOT(ISERROR(SEARCH("AL",N12)))</formula>
    </cfRule>
    <cfRule type="containsText" dxfId="1893" priority="71" operator="containsText" text="SICK">
      <formula>NOT(ISERROR(SEARCH("SICK",N12)))</formula>
    </cfRule>
    <cfRule type="containsText" dxfId="1892" priority="72" operator="containsText" text="NL">
      <formula>NOT(ISERROR(SEARCH("NL",N12)))</formula>
    </cfRule>
    <cfRule type="containsText" dxfId="1891" priority="63" stopIfTrue="1" operator="containsText" text="SP">
      <formula>NOT(ISERROR(SEARCH("SP",N12)))</formula>
    </cfRule>
    <cfRule type="containsText" dxfId="1890" priority="68" operator="containsText" text="AB">
      <formula>NOT(ISERROR(SEARCH("AB",N12)))</formula>
    </cfRule>
    <cfRule type="containsText" dxfId="1889" priority="60" operator="containsText" text="SICK">
      <formula>NOT(ISERROR(SEARCH("SICK",N12)))</formula>
    </cfRule>
    <cfRule type="containsText" dxfId="1888" priority="61" operator="containsText" text="NL">
      <formula>NOT(ISERROR(SEARCH("NL",N12)))</formula>
    </cfRule>
    <cfRule type="containsText" dxfId="1887" priority="62" stopIfTrue="1" operator="containsText" text="AL">
      <formula>NOT(ISERROR(SEARCH("AL",N12)))</formula>
    </cfRule>
    <cfRule type="containsText" dxfId="1886" priority="75" stopIfTrue="1" operator="containsText" text="SP">
      <formula>NOT(ISERROR(SEARCH("SP",N12)))</formula>
    </cfRule>
    <cfRule type="containsText" dxfId="1885" priority="58" operator="containsText" text="AB">
      <formula>NOT(ISERROR(SEARCH("AB",N12)))</formula>
    </cfRule>
    <cfRule type="containsText" dxfId="1884" priority="59" operator="containsText" text="AL">
      <formula>NOT(ISERROR(SEARCH("AL",N12)))</formula>
    </cfRule>
  </conditionalFormatting>
  <conditionalFormatting sqref="N14:O14">
    <cfRule type="containsText" dxfId="1883" priority="2665" operator="containsText" text="FL">
      <formula>NOT(ISERROR(SEARCH("FL",N14)))</formula>
    </cfRule>
    <cfRule type="containsText" priority="2666" operator="containsText" text="FL">
      <formula>NOT(ISERROR(SEARCH("FL",N14)))</formula>
    </cfRule>
    <cfRule type="containsText" dxfId="1882" priority="2667" operator="containsText" text="AL">
      <formula>NOT(ISERROR(SEARCH("AL",N14)))</formula>
    </cfRule>
    <cfRule type="containsText" dxfId="1881" priority="2668" operator="containsText" text="AB">
      <formula>NOT(ISERROR(SEARCH("AB",N14)))</formula>
    </cfRule>
    <cfRule type="containsText" dxfId="1880" priority="2670" operator="containsText" text="AB">
      <formula>NOT(ISERROR(SEARCH("AB",N14)))</formula>
    </cfRule>
    <cfRule type="containsText" dxfId="1879" priority="2671" operator="containsText" text="AL">
      <formula>NOT(ISERROR(SEARCH("AL",N14)))</formula>
    </cfRule>
    <cfRule type="containsText" dxfId="1878" priority="2672" operator="containsText" text="SICK">
      <formula>NOT(ISERROR(SEARCH("SICK",N14)))</formula>
    </cfRule>
    <cfRule type="containsText" dxfId="1877" priority="2673" operator="containsText" text="NL">
      <formula>NOT(ISERROR(SEARCH("NL",N14)))</formula>
    </cfRule>
    <cfRule type="containsText" dxfId="1876" priority="2674" stopIfTrue="1" operator="containsText" text="AL">
      <formula>NOT(ISERROR(SEARCH("AL",N14)))</formula>
    </cfRule>
    <cfRule type="containsText" dxfId="1875" priority="2675" stopIfTrue="1" operator="containsText" text="SP">
      <formula>NOT(ISERROR(SEARCH("SP",N14)))</formula>
    </cfRule>
    <cfRule type="containsText" dxfId="1874" priority="2676" stopIfTrue="1" operator="containsText" text="SICK">
      <formula>NOT(ISERROR(SEARCH("SICK",N14)))</formula>
    </cfRule>
    <cfRule type="containsText" dxfId="1873" priority="2669" operator="containsText" text="SICK">
      <formula>NOT(ISERROR(SEARCH("SICK",N14)))</formula>
    </cfRule>
  </conditionalFormatting>
  <conditionalFormatting sqref="N16:O17">
    <cfRule type="containsText" dxfId="1872" priority="2664" stopIfTrue="1" operator="containsText" text="SICK">
      <formula>NOT(ISERROR(SEARCH("SICK",N16)))</formula>
    </cfRule>
    <cfRule type="containsText" dxfId="1871" priority="2663" stopIfTrue="1" operator="containsText" text="SP">
      <formula>NOT(ISERROR(SEARCH("SP",N16)))</formula>
    </cfRule>
    <cfRule type="containsText" dxfId="1870" priority="2661" operator="containsText" text="NL">
      <formula>NOT(ISERROR(SEARCH("NL",N16)))</formula>
    </cfRule>
    <cfRule type="containsText" dxfId="1869" priority="2660" operator="containsText" text="SICK">
      <formula>NOT(ISERROR(SEARCH("SICK",N16)))</formula>
    </cfRule>
    <cfRule type="containsText" dxfId="1868" priority="2659" operator="containsText" text="AL">
      <formula>NOT(ISERROR(SEARCH("AL",N16)))</formula>
    </cfRule>
    <cfRule type="containsText" dxfId="1867" priority="2658" operator="containsText" text="AB">
      <formula>NOT(ISERROR(SEARCH("AB",N16)))</formula>
    </cfRule>
    <cfRule type="containsText" dxfId="1866" priority="2657" operator="containsText" text="SICK">
      <formula>NOT(ISERROR(SEARCH("SICK",N16)))</formula>
    </cfRule>
    <cfRule type="containsText" dxfId="1865" priority="2656" operator="containsText" text="AB">
      <formula>NOT(ISERROR(SEARCH("AB",N16)))</formula>
    </cfRule>
    <cfRule type="containsText" dxfId="1864" priority="2655" operator="containsText" text="AL">
      <formula>NOT(ISERROR(SEARCH("AL",N16)))</formula>
    </cfRule>
    <cfRule type="containsText" priority="2654" operator="containsText" text="FL">
      <formula>NOT(ISERROR(SEARCH("FL",N16)))</formula>
    </cfRule>
    <cfRule type="containsText" dxfId="1863" priority="2653" operator="containsText" text="FL">
      <formula>NOT(ISERROR(SEARCH("FL",N16)))</formula>
    </cfRule>
    <cfRule type="containsText" dxfId="1862" priority="2662" stopIfTrue="1" operator="containsText" text="AL">
      <formula>NOT(ISERROR(SEARCH("AL",N16)))</formula>
    </cfRule>
  </conditionalFormatting>
  <conditionalFormatting sqref="N19:O19">
    <cfRule type="containsText" dxfId="1861" priority="2652" stopIfTrue="1" operator="containsText" text="SICK">
      <formula>NOT(ISERROR(SEARCH("SICK",N19)))</formula>
    </cfRule>
    <cfRule type="containsText" dxfId="1860" priority="2647" operator="containsText" text="AL">
      <formula>NOT(ISERROR(SEARCH("AL",N19)))</formula>
    </cfRule>
    <cfRule type="containsText" dxfId="1859" priority="2650" stopIfTrue="1" operator="containsText" text="AL">
      <formula>NOT(ISERROR(SEARCH("AL",N19)))</formula>
    </cfRule>
    <cfRule type="containsText" dxfId="1858" priority="2651" stopIfTrue="1" operator="containsText" text="SP">
      <formula>NOT(ISERROR(SEARCH("SP",N19)))</formula>
    </cfRule>
    <cfRule type="containsText" dxfId="1857" priority="2649" operator="containsText" text="NL">
      <formula>NOT(ISERROR(SEARCH("NL",N19)))</formula>
    </cfRule>
    <cfRule type="containsText" dxfId="1856" priority="2645" operator="containsText" text="SICK">
      <formula>NOT(ISERROR(SEARCH("SICK",N19)))</formula>
    </cfRule>
    <cfRule type="containsText" dxfId="1855" priority="2644" operator="containsText" text="AB">
      <formula>NOT(ISERROR(SEARCH("AB",N19)))</formula>
    </cfRule>
  </conditionalFormatting>
  <conditionalFormatting sqref="N22:O22">
    <cfRule type="containsText" dxfId="1854" priority="2636" operator="containsText" text="SICK">
      <formula>NOT(ISERROR(SEARCH("SICK",N22)))</formula>
    </cfRule>
    <cfRule type="containsText" dxfId="1853" priority="2637" operator="containsText" text="NL">
      <formula>NOT(ISERROR(SEARCH("NL",N22)))</formula>
    </cfRule>
    <cfRule type="containsText" dxfId="1852" priority="2635" operator="containsText" text="AL">
      <formula>NOT(ISERROR(SEARCH("AL",N22)))</formula>
    </cfRule>
    <cfRule type="containsText" dxfId="1851" priority="2631" operator="containsText" text="AL">
      <formula>NOT(ISERROR(SEARCH("AL",N22)))</formula>
    </cfRule>
    <cfRule type="containsText" priority="2630" operator="containsText" text="FL">
      <formula>NOT(ISERROR(SEARCH("FL",N22)))</formula>
    </cfRule>
    <cfRule type="containsText" dxfId="1850" priority="2629" operator="containsText" text="FL">
      <formula>NOT(ISERROR(SEARCH("FL",N22)))</formula>
    </cfRule>
    <cfRule type="containsText" dxfId="1849" priority="2634" operator="containsText" text="AB">
      <formula>NOT(ISERROR(SEARCH("AB",N22)))</formula>
    </cfRule>
    <cfRule type="containsText" dxfId="1848" priority="2633" operator="containsText" text="SICK">
      <formula>NOT(ISERROR(SEARCH("SICK",N22)))</formula>
    </cfRule>
    <cfRule type="containsText" dxfId="1847" priority="2640" stopIfTrue="1" operator="containsText" text="SICK">
      <formula>NOT(ISERROR(SEARCH("SICK",N22)))</formula>
    </cfRule>
    <cfRule type="containsText" dxfId="1846" priority="2639" stopIfTrue="1" operator="containsText" text="SP">
      <formula>NOT(ISERROR(SEARCH("SP",N22)))</formula>
    </cfRule>
    <cfRule type="containsText" dxfId="1845" priority="2638" stopIfTrue="1" operator="containsText" text="AL">
      <formula>NOT(ISERROR(SEARCH("AL",N22)))</formula>
    </cfRule>
    <cfRule type="containsText" dxfId="1844" priority="2632" operator="containsText" text="AB">
      <formula>NOT(ISERROR(SEARCH("AB",N22)))</formula>
    </cfRule>
  </conditionalFormatting>
  <conditionalFormatting sqref="N25:O25">
    <cfRule type="containsText" dxfId="1843" priority="2617" operator="containsText" text="FL">
      <formula>NOT(ISERROR(SEARCH("FL",N25)))</formula>
    </cfRule>
    <cfRule type="containsText" dxfId="1842" priority="2622" operator="containsText" text="AB">
      <formula>NOT(ISERROR(SEARCH("AB",N25)))</formula>
    </cfRule>
    <cfRule type="containsText" priority="2618" operator="containsText" text="FL">
      <formula>NOT(ISERROR(SEARCH("FL",N25)))</formula>
    </cfRule>
    <cfRule type="containsText" dxfId="1841" priority="2619" operator="containsText" text="AL">
      <formula>NOT(ISERROR(SEARCH("AL",N25)))</formula>
    </cfRule>
    <cfRule type="containsText" dxfId="1840" priority="2620" operator="containsText" text="AB">
      <formula>NOT(ISERROR(SEARCH("AB",N25)))</formula>
    </cfRule>
    <cfRule type="containsText" dxfId="1839" priority="2628" stopIfTrue="1" operator="containsText" text="SICK">
      <formula>NOT(ISERROR(SEARCH("SICK",N25)))</formula>
    </cfRule>
    <cfRule type="containsText" dxfId="1838" priority="2627" stopIfTrue="1" operator="containsText" text="SP">
      <formula>NOT(ISERROR(SEARCH("SP",N25)))</formula>
    </cfRule>
    <cfRule type="containsText" dxfId="1837" priority="2626" stopIfTrue="1" operator="containsText" text="AL">
      <formula>NOT(ISERROR(SEARCH("AL",N25)))</formula>
    </cfRule>
    <cfRule type="containsText" dxfId="1836" priority="2625" operator="containsText" text="NL">
      <formula>NOT(ISERROR(SEARCH("NL",N25)))</formula>
    </cfRule>
    <cfRule type="containsText" dxfId="1835" priority="2621" operator="containsText" text="SICK">
      <formula>NOT(ISERROR(SEARCH("SICK",N25)))</formula>
    </cfRule>
    <cfRule type="containsText" dxfId="1834" priority="2623" operator="containsText" text="AL">
      <formula>NOT(ISERROR(SEARCH("AL",N25)))</formula>
    </cfRule>
    <cfRule type="containsText" dxfId="1833" priority="2624" operator="containsText" text="SICK">
      <formula>NOT(ISERROR(SEARCH("SICK",N25)))</formula>
    </cfRule>
  </conditionalFormatting>
  <conditionalFormatting sqref="N27:O27">
    <cfRule type="containsText" dxfId="1832" priority="2614" stopIfTrue="1" operator="containsText" text="AL">
      <formula>NOT(ISERROR(SEARCH("AL",N27)))</formula>
    </cfRule>
    <cfRule type="containsText" dxfId="1831" priority="2615" stopIfTrue="1" operator="containsText" text="SP">
      <formula>NOT(ISERROR(SEARCH("SP",N27)))</formula>
    </cfRule>
    <cfRule type="containsText" dxfId="1830" priority="2616" stopIfTrue="1" operator="containsText" text="SICK">
      <formula>NOT(ISERROR(SEARCH("SICK",N27)))</formula>
    </cfRule>
    <cfRule type="containsText" dxfId="1829" priority="2608" operator="containsText" text="AB">
      <formula>NOT(ISERROR(SEARCH("AB",N27)))</formula>
    </cfRule>
    <cfRule type="containsText" dxfId="1828" priority="2609" operator="containsText" text="SICK">
      <formula>NOT(ISERROR(SEARCH("SICK",N27)))</formula>
    </cfRule>
    <cfRule type="containsText" dxfId="1827" priority="2610" operator="containsText" text="AB">
      <formula>NOT(ISERROR(SEARCH("AB",N27)))</formula>
    </cfRule>
    <cfRule type="containsText" dxfId="1826" priority="2612" operator="containsText" text="SICK">
      <formula>NOT(ISERROR(SEARCH("SICK",N27)))</formula>
    </cfRule>
    <cfRule type="containsText" dxfId="1825" priority="2605" operator="containsText" text="FL">
      <formula>NOT(ISERROR(SEARCH("FL",N27)))</formula>
    </cfRule>
    <cfRule type="containsText" priority="2606" operator="containsText" text="FL">
      <formula>NOT(ISERROR(SEARCH("FL",N27)))</formula>
    </cfRule>
    <cfRule type="containsText" dxfId="1824" priority="2607" operator="containsText" text="AL">
      <formula>NOT(ISERROR(SEARCH("AL",N27)))</formula>
    </cfRule>
    <cfRule type="containsText" dxfId="1823" priority="2611" operator="containsText" text="AL">
      <formula>NOT(ISERROR(SEARCH("AL",N27)))</formula>
    </cfRule>
    <cfRule type="containsText" dxfId="1822" priority="2613" operator="containsText" text="NL">
      <formula>NOT(ISERROR(SEARCH("NL",N27)))</formula>
    </cfRule>
  </conditionalFormatting>
  <conditionalFormatting sqref="N8:AA9">
    <cfRule type="containsText" dxfId="1821" priority="2439" stopIfTrue="1" operator="containsText" text="SP">
      <formula>NOT(ISERROR(SEARCH("SP",N8)))</formula>
    </cfRule>
    <cfRule type="containsText" dxfId="1820" priority="2438" stopIfTrue="1" operator="containsText" text="AL">
      <formula>NOT(ISERROR(SEARCH("AL",N8)))</formula>
    </cfRule>
    <cfRule type="containsText" dxfId="1819" priority="2434" operator="containsText" text="AB">
      <formula>NOT(ISERROR(SEARCH("AB",N8)))</formula>
    </cfRule>
    <cfRule type="containsText" dxfId="1818" priority="2440" stopIfTrue="1" operator="containsText" text="SICK">
      <formula>NOT(ISERROR(SEARCH("SICK",N8)))</formula>
    </cfRule>
  </conditionalFormatting>
  <conditionalFormatting sqref="N8:AC9">
    <cfRule type="containsText" dxfId="1817" priority="2437" operator="containsText" text="NL">
      <formula>NOT(ISERROR(SEARCH("NL",N8)))</formula>
    </cfRule>
    <cfRule type="containsText" dxfId="1816" priority="2436" operator="containsText" text="SICK">
      <formula>NOT(ISERROR(SEARCH("SICK",N8)))</formula>
    </cfRule>
    <cfRule type="containsText" dxfId="1815" priority="2435" operator="containsText" text="AL">
      <formula>NOT(ISERROR(SEARCH("AL",N8)))</formula>
    </cfRule>
  </conditionalFormatting>
  <conditionalFormatting sqref="O7">
    <cfRule type="containsText" dxfId="1814" priority="3173" stopIfTrue="1" operator="containsText" text="AL">
      <formula>NOT(ISERROR(SEARCH("AL",O7)))</formula>
    </cfRule>
    <cfRule type="containsText" dxfId="1813" priority="3174" stopIfTrue="1" operator="containsText" text="SP">
      <formula>NOT(ISERROR(SEARCH("SP",O7)))</formula>
    </cfRule>
    <cfRule type="containsText" dxfId="1812" priority="3169" operator="containsText" text="AL">
      <formula>NOT(ISERROR(SEARCH("AL",O7)))</formula>
    </cfRule>
    <cfRule type="containsText" dxfId="1811" priority="3168" operator="containsText" text="SICK">
      <formula>NOT(ISERROR(SEARCH("SICK",O7)))</formula>
    </cfRule>
    <cfRule type="containsText" dxfId="1810" priority="3166" operator="containsText" text="AL">
      <formula>NOT(ISERROR(SEARCH("AL",O7)))</formula>
    </cfRule>
    <cfRule type="containsText" dxfId="1809" priority="3165" operator="containsText" text="AB">
      <formula>NOT(ISERROR(SEARCH("AB",O7)))</formula>
    </cfRule>
    <cfRule type="containsText" dxfId="1808" priority="3167" operator="containsText" text="EL">
      <formula>NOT(ISERROR(SEARCH("EL",O7)))</formula>
    </cfRule>
    <cfRule type="containsText" dxfId="1807" priority="3164" operator="containsText" text="SICK">
      <formula>NOT(ISERROR(SEARCH("SICK",O7)))</formula>
    </cfRule>
    <cfRule type="containsText" dxfId="1806" priority="3163" operator="containsText" text="AB">
      <formula>NOT(ISERROR(SEARCH("AB",O7)))</formula>
    </cfRule>
    <cfRule type="containsText" dxfId="1805" priority="3162" operator="containsText" text="AL">
      <formula>NOT(ISERROR(SEARCH("AL",O7)))</formula>
    </cfRule>
    <cfRule type="containsText" priority="3161" operator="containsText" text="FL">
      <formula>NOT(ISERROR(SEARCH("FL",O7)))</formula>
    </cfRule>
    <cfRule type="containsText" dxfId="1804" priority="3160" operator="containsText" text="FL">
      <formula>NOT(ISERROR(SEARCH("FL",O7)))</formula>
    </cfRule>
    <cfRule type="containsText" dxfId="1803" priority="3175" stopIfTrue="1" operator="containsText" text="SICK">
      <formula>NOT(ISERROR(SEARCH("SICK",O7)))</formula>
    </cfRule>
    <cfRule type="containsText" dxfId="1802" priority="3170" operator="containsText" text="SICK">
      <formula>NOT(ISERROR(SEARCH("SICK",O7)))</formula>
    </cfRule>
    <cfRule type="containsText" dxfId="1801" priority="3171" operator="containsText" text="NL">
      <formula>NOT(ISERROR(SEARCH("NL",O7)))</formula>
    </cfRule>
    <cfRule type="containsText" dxfId="1800" priority="3172" operator="containsText" text="AB">
      <formula>NOT(ISERROR(SEARCH("AB",O7)))</formula>
    </cfRule>
  </conditionalFormatting>
  <conditionalFormatting sqref="O20">
    <cfRule type="containsText" dxfId="1799" priority="2982" stopIfTrue="1" operator="containsText" text="SP">
      <formula>NOT(ISERROR(SEARCH("SP",O20)))</formula>
    </cfRule>
    <cfRule type="containsText" dxfId="1798" priority="2981" stopIfTrue="1" operator="containsText" text="AL">
      <formula>NOT(ISERROR(SEARCH("AL",O20)))</formula>
    </cfRule>
    <cfRule type="containsText" dxfId="1797" priority="2977" operator="containsText" text="AL">
      <formula>NOT(ISERROR(SEARCH("AL",O20)))</formula>
    </cfRule>
    <cfRule type="containsText" dxfId="1796" priority="2978" operator="containsText" text="SICK">
      <formula>NOT(ISERROR(SEARCH("SICK",O20)))</formula>
    </cfRule>
    <cfRule type="containsText" dxfId="1795" priority="2979" operator="containsText" text="NL">
      <formula>NOT(ISERROR(SEARCH("NL",O20)))</formula>
    </cfRule>
    <cfRule type="containsText" dxfId="1794" priority="2980" operator="containsText" text="AB">
      <formula>NOT(ISERROR(SEARCH("AB",O20)))</formula>
    </cfRule>
    <cfRule type="containsText" dxfId="1793" priority="2968" operator="containsText" text="FL">
      <formula>NOT(ISERROR(SEARCH("FL",O20)))</formula>
    </cfRule>
    <cfRule type="containsText" priority="2969" operator="containsText" text="FL">
      <formula>NOT(ISERROR(SEARCH("FL",O20)))</formula>
    </cfRule>
    <cfRule type="containsText" dxfId="1792" priority="2971" operator="containsText" text="AB">
      <formula>NOT(ISERROR(SEARCH("AB",O20)))</formula>
    </cfRule>
    <cfRule type="containsText" dxfId="1791" priority="2972" operator="containsText" text="SICK">
      <formula>NOT(ISERROR(SEARCH("SICK",O20)))</formula>
    </cfRule>
    <cfRule type="containsText" dxfId="1790" priority="2973" operator="containsText" text="AB">
      <formula>NOT(ISERROR(SEARCH("AB",O20)))</formula>
    </cfRule>
    <cfRule type="containsText" dxfId="1789" priority="2974" operator="containsText" text="AL">
      <formula>NOT(ISERROR(SEARCH("AL",O20)))</formula>
    </cfRule>
    <cfRule type="containsText" dxfId="1788" priority="2975" operator="containsText" text="EL">
      <formula>NOT(ISERROR(SEARCH("EL",O20)))</formula>
    </cfRule>
    <cfRule type="containsText" dxfId="1787" priority="2976" operator="containsText" text="SICK">
      <formula>NOT(ISERROR(SEARCH("SICK",O20)))</formula>
    </cfRule>
    <cfRule type="containsText" dxfId="1786" priority="2970" operator="containsText" text="AL">
      <formula>NOT(ISERROR(SEARCH("AL",O20)))</formula>
    </cfRule>
    <cfRule type="containsText" dxfId="1785" priority="2983" stopIfTrue="1" operator="containsText" text="SICK">
      <formula>NOT(ISERROR(SEARCH("SICK",O20)))</formula>
    </cfRule>
  </conditionalFormatting>
  <conditionalFormatting sqref="O23">
    <cfRule type="containsText" dxfId="1784" priority="2865" operator="containsText" text="AL">
      <formula>NOT(ISERROR(SEARCH("AL",O23)))</formula>
    </cfRule>
    <cfRule type="containsText" dxfId="1783" priority="2864" operator="containsText" text="SICK">
      <formula>NOT(ISERROR(SEARCH("SICK",O23)))</formula>
    </cfRule>
    <cfRule type="containsText" dxfId="1782" priority="2863" operator="containsText" text="EL">
      <formula>NOT(ISERROR(SEARCH("EL",O23)))</formula>
    </cfRule>
    <cfRule type="containsText" dxfId="1781" priority="2862" operator="containsText" text="AL">
      <formula>NOT(ISERROR(SEARCH("AL",O23)))</formula>
    </cfRule>
    <cfRule type="containsText" dxfId="1780" priority="2861" operator="containsText" text="AB">
      <formula>NOT(ISERROR(SEARCH("AB",O23)))</formula>
    </cfRule>
    <cfRule type="containsText" dxfId="1779" priority="2860" operator="containsText" text="SICK">
      <formula>NOT(ISERROR(SEARCH("SICK",O23)))</formula>
    </cfRule>
    <cfRule type="containsText" dxfId="1778" priority="2859" operator="containsText" text="AB">
      <formula>NOT(ISERROR(SEARCH("AB",O23)))</formula>
    </cfRule>
    <cfRule type="containsText" dxfId="1777" priority="2858" operator="containsText" text="AL">
      <formula>NOT(ISERROR(SEARCH("AL",O23)))</formula>
    </cfRule>
    <cfRule type="containsText" priority="2857" operator="containsText" text="FL">
      <formula>NOT(ISERROR(SEARCH("FL",O23)))</formula>
    </cfRule>
    <cfRule type="containsText" dxfId="1776" priority="2856" operator="containsText" text="FL">
      <formula>NOT(ISERROR(SEARCH("FL",O23)))</formula>
    </cfRule>
    <cfRule type="containsText" dxfId="1775" priority="2871" stopIfTrue="1" operator="containsText" text="SICK">
      <formula>NOT(ISERROR(SEARCH("SICK",O23)))</formula>
    </cfRule>
    <cfRule type="containsText" dxfId="1774" priority="2870" stopIfTrue="1" operator="containsText" text="SP">
      <formula>NOT(ISERROR(SEARCH("SP",O23)))</formula>
    </cfRule>
    <cfRule type="containsText" dxfId="1773" priority="2869" stopIfTrue="1" operator="containsText" text="AL">
      <formula>NOT(ISERROR(SEARCH("AL",O23)))</formula>
    </cfRule>
    <cfRule type="containsText" dxfId="1772" priority="2868" operator="containsText" text="AB">
      <formula>NOT(ISERROR(SEARCH("AB",O23)))</formula>
    </cfRule>
    <cfRule type="containsText" dxfId="1771" priority="2867" operator="containsText" text="NL">
      <formula>NOT(ISERROR(SEARCH("NL",O23)))</formula>
    </cfRule>
    <cfRule type="containsText" dxfId="1770" priority="2866" operator="containsText" text="SICK">
      <formula>NOT(ISERROR(SEARCH("SICK",O23)))</formula>
    </cfRule>
  </conditionalFormatting>
  <conditionalFormatting sqref="P12:Q12">
    <cfRule type="containsText" dxfId="1769" priority="1733" stopIfTrue="1" operator="containsText" text="AL">
      <formula>NOT(ISERROR(SEARCH("AL",P12)))</formula>
    </cfRule>
    <cfRule type="containsText" dxfId="1768" priority="1732" operator="containsText" text="AB">
      <formula>NOT(ISERROR(SEARCH("AB",P12)))</formula>
    </cfRule>
    <cfRule type="containsText" dxfId="1767" priority="1731" operator="containsText" text="NL">
      <formula>NOT(ISERROR(SEARCH("NL",P12)))</formula>
    </cfRule>
    <cfRule type="containsText" dxfId="1766" priority="1730" operator="containsText" text="SICK">
      <formula>NOT(ISERROR(SEARCH("SICK",P12)))</formula>
    </cfRule>
    <cfRule type="containsText" dxfId="1765" priority="1729" operator="containsText" text="AL">
      <formula>NOT(ISERROR(SEARCH("AL",P12)))</formula>
    </cfRule>
    <cfRule type="containsText" dxfId="1764" priority="1740" stopIfTrue="1" operator="containsText" text="AL">
      <formula>NOT(ISERROR(SEARCH("AL",P12)))</formula>
    </cfRule>
    <cfRule type="containsText" dxfId="1763" priority="1741" stopIfTrue="1" operator="containsText" text="SP">
      <formula>NOT(ISERROR(SEARCH("SP",P12)))</formula>
    </cfRule>
    <cfRule type="containsText" dxfId="1762" priority="1742" stopIfTrue="1" operator="containsText" text="SICK">
      <formula>NOT(ISERROR(SEARCH("SICK",P12)))</formula>
    </cfRule>
    <cfRule type="containsText" dxfId="1761" priority="1728" operator="containsText" text="SICK">
      <formula>NOT(ISERROR(SEARCH("SICK",P12)))</formula>
    </cfRule>
    <cfRule type="containsText" dxfId="1760" priority="1739" operator="containsText" text="AB">
      <formula>NOT(ISERROR(SEARCH("AB",P12)))</formula>
    </cfRule>
    <cfRule type="containsText" dxfId="1759" priority="1738" operator="containsText" text="NL">
      <formula>NOT(ISERROR(SEARCH("NL",P12)))</formula>
    </cfRule>
    <cfRule type="containsText" dxfId="1758" priority="1737" operator="containsText" text="SICK">
      <formula>NOT(ISERROR(SEARCH("SICK",P12)))</formula>
    </cfRule>
    <cfRule type="containsText" dxfId="1757" priority="1736" operator="containsText" text="AL">
      <formula>NOT(ISERROR(SEARCH("AL",P12)))</formula>
    </cfRule>
    <cfRule type="containsText" dxfId="1756" priority="1735" stopIfTrue="1" operator="containsText" text="SICK">
      <formula>NOT(ISERROR(SEARCH("SICK",P12)))</formula>
    </cfRule>
    <cfRule type="containsText" dxfId="1755" priority="1734" stopIfTrue="1" operator="containsText" text="SP">
      <formula>NOT(ISERROR(SEARCH("SP",P12)))</formula>
    </cfRule>
  </conditionalFormatting>
  <conditionalFormatting sqref="P5:AA6 Y7 AA7">
    <cfRule type="containsText" dxfId="1754" priority="2444" operator="containsText" text="AB">
      <formula>NOT(ISERROR(SEARCH("AB",P5)))</formula>
    </cfRule>
    <cfRule type="containsText" dxfId="1753" priority="2443" operator="containsText" text="NL">
      <formula>NOT(ISERROR(SEARCH("NL",P5)))</formula>
    </cfRule>
    <cfRule type="containsText" dxfId="1752" priority="2442" operator="containsText" text="SICK">
      <formula>NOT(ISERROR(SEARCH("SICK",P5)))</formula>
    </cfRule>
    <cfRule type="containsText" dxfId="1751" priority="2441" operator="containsText" text="AL">
      <formula>NOT(ISERROR(SEARCH("AL",P5)))</formula>
    </cfRule>
  </conditionalFormatting>
  <conditionalFormatting sqref="P8:AA9">
    <cfRule type="containsText" dxfId="1750" priority="2428" operator="containsText" text="AB">
      <formula>NOT(ISERROR(SEARCH("AB",P8)))</formula>
    </cfRule>
    <cfRule type="containsText" dxfId="1749" priority="2433" operator="containsText" text="NL">
      <formula>NOT(ISERROR(SEARCH("NL",P8)))</formula>
    </cfRule>
    <cfRule type="containsText" dxfId="1748" priority="2432" operator="containsText" text="SICK">
      <formula>NOT(ISERROR(SEARCH("SICK",P8)))</formula>
    </cfRule>
    <cfRule type="containsText" dxfId="1747" priority="2431" operator="containsText" text="AL">
      <formula>NOT(ISERROR(SEARCH("AL",P8)))</formula>
    </cfRule>
    <cfRule type="containsText" dxfId="1746" priority="2430" operator="containsText" text="AB">
      <formula>NOT(ISERROR(SEARCH("AB",P8)))</formula>
    </cfRule>
    <cfRule type="containsText" dxfId="1745" priority="2429" operator="containsText" text="SICK">
      <formula>NOT(ISERROR(SEARCH("SICK",P8)))</formula>
    </cfRule>
    <cfRule type="containsText" dxfId="1744" priority="2427" operator="containsText" text="AL">
      <formula>NOT(ISERROR(SEARCH("AL",P8)))</formula>
    </cfRule>
    <cfRule type="containsText" priority="2426" operator="containsText" text="FL">
      <formula>NOT(ISERROR(SEARCH("FL",P8)))</formula>
    </cfRule>
    <cfRule type="containsText" dxfId="1743" priority="2425" operator="containsText" text="FL">
      <formula>NOT(ISERROR(SEARCH("FL",P8)))</formula>
    </cfRule>
  </conditionalFormatting>
  <conditionalFormatting sqref="P19:AA19">
    <cfRule type="containsText" dxfId="1742" priority="2418" operator="containsText" text="AB">
      <formula>NOT(ISERROR(SEARCH("AB",P19)))</formula>
    </cfRule>
    <cfRule type="containsText" dxfId="1741" priority="2417" operator="containsText" text="NL">
      <formula>NOT(ISERROR(SEARCH("NL",P19)))</formula>
    </cfRule>
    <cfRule type="containsText" dxfId="1740" priority="2416" operator="containsText" text="SICK">
      <formula>NOT(ISERROR(SEARCH("SICK",P19)))</formula>
    </cfRule>
    <cfRule type="containsText" dxfId="1739" priority="2415" operator="containsText" text="AL">
      <formula>NOT(ISERROR(SEARCH("AL",P19)))</formula>
    </cfRule>
    <cfRule type="containsText" dxfId="1738" priority="2414" operator="containsText" text="AB">
      <formula>NOT(ISERROR(SEARCH("AB",P19)))</formula>
    </cfRule>
    <cfRule type="containsText" dxfId="1737" priority="2419" operator="containsText" text="AL">
      <formula>NOT(ISERROR(SEARCH("AL",P19)))</formula>
    </cfRule>
    <cfRule type="containsText" dxfId="1736" priority="2424" stopIfTrue="1" operator="containsText" text="SICK">
      <formula>NOT(ISERROR(SEARCH("SICK",P19)))</formula>
    </cfRule>
    <cfRule type="containsText" dxfId="1735" priority="2423" stopIfTrue="1" operator="containsText" text="SP">
      <formula>NOT(ISERROR(SEARCH("SP",P19)))</formula>
    </cfRule>
    <cfRule type="containsText" dxfId="1734" priority="2422" stopIfTrue="1" operator="containsText" text="AL">
      <formula>NOT(ISERROR(SEARCH("AL",P19)))</formula>
    </cfRule>
    <cfRule type="containsText" dxfId="1733" priority="2421" operator="containsText" text="NL">
      <formula>NOT(ISERROR(SEARCH("NL",P19)))</formula>
    </cfRule>
    <cfRule type="containsText" dxfId="1732" priority="2420" operator="containsText" text="SICK">
      <formula>NOT(ISERROR(SEARCH("SICK",P19)))</formula>
    </cfRule>
  </conditionalFormatting>
  <conditionalFormatting sqref="P19:AC19">
    <cfRule type="containsText" dxfId="1731" priority="1357" operator="containsText" text="AB">
      <formula>NOT(ISERROR(SEARCH("AB",P19)))</formula>
    </cfRule>
    <cfRule type="containsText" dxfId="1730" priority="1359" operator="containsText" text="SICK">
      <formula>NOT(ISERROR(SEARCH("SICK",P19)))</formula>
    </cfRule>
  </conditionalFormatting>
  <conditionalFormatting sqref="P59:AE59 D8:D9">
    <cfRule type="containsText" dxfId="1729" priority="7514" operator="containsText" text="AL">
      <formula>NOT(ISERROR(SEARCH("AL",D8)))</formula>
    </cfRule>
  </conditionalFormatting>
  <conditionalFormatting sqref="P19:AG19">
    <cfRule type="containsText" dxfId="1728" priority="1069" operator="containsText" text="AL">
      <formula>NOT(ISERROR(SEARCH("AL",P19)))</formula>
    </cfRule>
    <cfRule type="containsText" dxfId="1727" priority="1067" operator="containsText" text="FL">
      <formula>NOT(ISERROR(SEARCH("FL",P19)))</formula>
    </cfRule>
    <cfRule type="containsText" priority="1068" operator="containsText" text="FL">
      <formula>NOT(ISERROR(SEARCH("FL",P19)))</formula>
    </cfRule>
  </conditionalFormatting>
  <conditionalFormatting sqref="P59:AG59 AI59:AS59">
    <cfRule type="containsText" dxfId="1726" priority="6802" operator="containsText" text="FL">
      <formula>NOT(ISERROR(SEARCH("FL",P59)))</formula>
    </cfRule>
  </conditionalFormatting>
  <conditionalFormatting sqref="P59:AG59 AJ59:AS59">
    <cfRule type="containsText" dxfId="1725" priority="6809" operator="containsText" text="SICK">
      <formula>NOT(ISERROR(SEARCH("SICK",P59)))</formula>
    </cfRule>
    <cfRule type="containsText" dxfId="1724" priority="6807" operator="containsText" text="AB">
      <formula>NOT(ISERROR(SEARCH("AB",P59)))</formula>
    </cfRule>
    <cfRule type="containsText" dxfId="1723" priority="6804" operator="containsText" text="AL">
      <formula>NOT(ISERROR(SEARCH("AL",P59)))</formula>
    </cfRule>
    <cfRule type="containsText" priority="6803" operator="containsText" text="FL">
      <formula>NOT(ISERROR(SEARCH("FL",P59)))</formula>
    </cfRule>
  </conditionalFormatting>
  <conditionalFormatting sqref="Q7">
    <cfRule type="containsText" dxfId="1722" priority="2035" stopIfTrue="1" operator="containsText" text="SICK">
      <formula>NOT(ISERROR(SEARCH("SICK",Q7)))</formula>
    </cfRule>
    <cfRule type="containsText" dxfId="1721" priority="2034" stopIfTrue="1" operator="containsText" text="SP">
      <formula>NOT(ISERROR(SEARCH("SP",Q7)))</formula>
    </cfRule>
    <cfRule type="containsText" dxfId="1720" priority="2032" operator="containsText" text="NL">
      <formula>NOT(ISERROR(SEARCH("NL",Q7)))</formula>
    </cfRule>
    <cfRule type="containsText" dxfId="1719" priority="2031" operator="containsText" text="SICK">
      <formula>NOT(ISERROR(SEARCH("SICK",Q7)))</formula>
    </cfRule>
    <cfRule type="containsText" dxfId="1718" priority="2030" operator="containsText" text="AL">
      <formula>NOT(ISERROR(SEARCH("AL",Q7)))</formula>
    </cfRule>
    <cfRule type="containsText" dxfId="1717" priority="2029" operator="containsText" text="AB">
      <formula>NOT(ISERROR(SEARCH("AB",Q7)))</formula>
    </cfRule>
    <cfRule type="containsText" dxfId="1716" priority="2028" operator="containsText" text="NL">
      <formula>NOT(ISERROR(SEARCH("NL",Q7)))</formula>
    </cfRule>
    <cfRule type="containsText" dxfId="1715" priority="2027" operator="containsText" text="SICK">
      <formula>NOT(ISERROR(SEARCH("SICK",Q7)))</formula>
    </cfRule>
    <cfRule type="containsText" dxfId="1714" priority="2026" operator="containsText" text="AL">
      <formula>NOT(ISERROR(SEARCH("AL",Q7)))</formula>
    </cfRule>
    <cfRule type="containsText" dxfId="1713" priority="2033" stopIfTrue="1" operator="containsText" text="AL">
      <formula>NOT(ISERROR(SEARCH("AL",Q7)))</formula>
    </cfRule>
    <cfRule type="containsText" dxfId="1712" priority="2024" operator="containsText" text="SICK">
      <formula>NOT(ISERROR(SEARCH("SICK",Q7)))</formula>
    </cfRule>
    <cfRule type="containsText" dxfId="1711" priority="2023" operator="containsText" text="AB">
      <formula>NOT(ISERROR(SEARCH("AB",Q7)))</formula>
    </cfRule>
    <cfRule type="containsText" dxfId="1710" priority="2022" operator="containsText" text="AL">
      <formula>NOT(ISERROR(SEARCH("AL",Q7)))</formula>
    </cfRule>
    <cfRule type="containsText" priority="2021" operator="containsText" text="FL">
      <formula>NOT(ISERROR(SEARCH("FL",Q7)))</formula>
    </cfRule>
    <cfRule type="containsText" dxfId="1709" priority="2020" operator="containsText" text="FL">
      <formula>NOT(ISERROR(SEARCH("FL",Q7)))</formula>
    </cfRule>
    <cfRule type="containsText" dxfId="1708" priority="2025" operator="containsText" text="AB">
      <formula>NOT(ISERROR(SEARCH("AB",Q7)))</formula>
    </cfRule>
  </conditionalFormatting>
  <conditionalFormatting sqref="Q16:Q17">
    <cfRule type="containsText" dxfId="1707" priority="1985" stopIfTrue="1" operator="containsText" text="AL">
      <formula>NOT(ISERROR(SEARCH("AL",Q16)))</formula>
    </cfRule>
    <cfRule type="containsText" dxfId="1706" priority="1984" operator="containsText" text="NL">
      <formula>NOT(ISERROR(SEARCH("NL",Q16)))</formula>
    </cfRule>
    <cfRule type="containsText" dxfId="1705" priority="1983" operator="containsText" text="SICK">
      <formula>NOT(ISERROR(SEARCH("SICK",Q16)))</formula>
    </cfRule>
    <cfRule type="containsText" dxfId="1704" priority="1982" operator="containsText" text="AL">
      <formula>NOT(ISERROR(SEARCH("AL",Q16)))</formula>
    </cfRule>
    <cfRule type="containsText" dxfId="1703" priority="1980" operator="containsText" text="NL">
      <formula>NOT(ISERROR(SEARCH("NL",Q16)))</formula>
    </cfRule>
    <cfRule type="containsText" dxfId="1702" priority="1981" operator="containsText" text="AB">
      <formula>NOT(ISERROR(SEARCH("AB",Q16)))</formula>
    </cfRule>
    <cfRule type="containsText" dxfId="1701" priority="1987" stopIfTrue="1" operator="containsText" text="SICK">
      <formula>NOT(ISERROR(SEARCH("SICK",Q16)))</formula>
    </cfRule>
    <cfRule type="containsText" dxfId="1700" priority="1986" stopIfTrue="1" operator="containsText" text="SP">
      <formula>NOT(ISERROR(SEARCH("SP",Q16)))</formula>
    </cfRule>
    <cfRule type="containsText" dxfId="1699" priority="1979" operator="containsText" text="SICK">
      <formula>NOT(ISERROR(SEARCH("SICK",Q16)))</formula>
    </cfRule>
    <cfRule type="containsText" dxfId="1698" priority="1978" operator="containsText" text="AL">
      <formula>NOT(ISERROR(SEARCH("AL",Q16)))</formula>
    </cfRule>
    <cfRule type="containsText" dxfId="1697" priority="1977" operator="containsText" text="AB">
      <formula>NOT(ISERROR(SEARCH("AB",Q16)))</formula>
    </cfRule>
    <cfRule type="containsText" dxfId="1696" priority="1976" operator="containsText" text="SICK">
      <formula>NOT(ISERROR(SEARCH("SICK",Q16)))</formula>
    </cfRule>
    <cfRule type="containsText" dxfId="1695" priority="1975" operator="containsText" text="AB">
      <formula>NOT(ISERROR(SEARCH("AB",Q16)))</formula>
    </cfRule>
    <cfRule type="containsText" dxfId="1694" priority="1974" operator="containsText" text="AL">
      <formula>NOT(ISERROR(SEARCH("AL",Q16)))</formula>
    </cfRule>
    <cfRule type="containsText" priority="1973" operator="containsText" text="FL">
      <formula>NOT(ISERROR(SEARCH("FL",Q16)))</formula>
    </cfRule>
    <cfRule type="containsText" dxfId="1693" priority="1972" operator="containsText" text="FL">
      <formula>NOT(ISERROR(SEARCH("FL",Q16)))</formula>
    </cfRule>
  </conditionalFormatting>
  <conditionalFormatting sqref="Q20">
    <cfRule type="containsText" dxfId="1692" priority="1911" operator="containsText" text="AB">
      <formula>NOT(ISERROR(SEARCH("AB",Q20)))</formula>
    </cfRule>
    <cfRule type="containsText" dxfId="1691" priority="1922" stopIfTrue="1" operator="containsText" text="SP">
      <formula>NOT(ISERROR(SEARCH("SP",Q20)))</formula>
    </cfRule>
    <cfRule type="containsText" dxfId="1690" priority="1923" stopIfTrue="1" operator="containsText" text="SICK">
      <formula>NOT(ISERROR(SEARCH("SICK",Q20)))</formula>
    </cfRule>
    <cfRule type="containsText" dxfId="1689" priority="1921" stopIfTrue="1" operator="containsText" text="AL">
      <formula>NOT(ISERROR(SEARCH("AL",Q20)))</formula>
    </cfRule>
    <cfRule type="containsText" dxfId="1688" priority="1908" operator="containsText" text="FL">
      <formula>NOT(ISERROR(SEARCH("FL",Q20)))</formula>
    </cfRule>
    <cfRule type="containsText" priority="1909" operator="containsText" text="FL">
      <formula>NOT(ISERROR(SEARCH("FL",Q20)))</formula>
    </cfRule>
    <cfRule type="containsText" dxfId="1687" priority="1910" operator="containsText" text="AL">
      <formula>NOT(ISERROR(SEARCH("AL",Q20)))</formula>
    </cfRule>
    <cfRule type="containsText" dxfId="1686" priority="1920" operator="containsText" text="NL">
      <formula>NOT(ISERROR(SEARCH("NL",Q20)))</formula>
    </cfRule>
    <cfRule type="containsText" dxfId="1685" priority="1919" operator="containsText" text="SICK">
      <formula>NOT(ISERROR(SEARCH("SICK",Q20)))</formula>
    </cfRule>
    <cfRule type="containsText" dxfId="1684" priority="1918" operator="containsText" text="AL">
      <formula>NOT(ISERROR(SEARCH("AL",Q20)))</formula>
    </cfRule>
    <cfRule type="containsText" dxfId="1683" priority="1917" operator="containsText" text="AB">
      <formula>NOT(ISERROR(SEARCH("AB",Q20)))</formula>
    </cfRule>
    <cfRule type="containsText" dxfId="1682" priority="1916" operator="containsText" text="NL">
      <formula>NOT(ISERROR(SEARCH("NL",Q20)))</formula>
    </cfRule>
    <cfRule type="containsText" dxfId="1681" priority="1915" operator="containsText" text="SICK">
      <formula>NOT(ISERROR(SEARCH("SICK",Q20)))</formula>
    </cfRule>
    <cfRule type="containsText" dxfId="1680" priority="1914" operator="containsText" text="AL">
      <formula>NOT(ISERROR(SEARCH("AL",Q20)))</formula>
    </cfRule>
    <cfRule type="containsText" dxfId="1679" priority="1913" operator="containsText" text="AB">
      <formula>NOT(ISERROR(SEARCH("AB",Q20)))</formula>
    </cfRule>
    <cfRule type="containsText" dxfId="1678" priority="1912" operator="containsText" text="SICK">
      <formula>NOT(ISERROR(SEARCH("SICK",Q20)))</formula>
    </cfRule>
  </conditionalFormatting>
  <conditionalFormatting sqref="Q22:Q23">
    <cfRule type="containsText" priority="1893" operator="containsText" text="FL">
      <formula>NOT(ISERROR(SEARCH("FL",Q22)))</formula>
    </cfRule>
    <cfRule type="containsText" dxfId="1677" priority="1901" operator="containsText" text="AB">
      <formula>NOT(ISERROR(SEARCH("AB",Q22)))</formula>
    </cfRule>
    <cfRule type="containsText" dxfId="1676" priority="1902" operator="containsText" text="AL">
      <formula>NOT(ISERROR(SEARCH("AL",Q22)))</formula>
    </cfRule>
    <cfRule type="containsText" dxfId="1675" priority="1904" operator="containsText" text="NL">
      <formula>NOT(ISERROR(SEARCH("NL",Q22)))</formula>
    </cfRule>
    <cfRule type="containsText" dxfId="1674" priority="1905" stopIfTrue="1" operator="containsText" text="AL">
      <formula>NOT(ISERROR(SEARCH("AL",Q22)))</formula>
    </cfRule>
    <cfRule type="containsText" dxfId="1673" priority="1906" stopIfTrue="1" operator="containsText" text="SP">
      <formula>NOT(ISERROR(SEARCH("SP",Q22)))</formula>
    </cfRule>
    <cfRule type="containsText" dxfId="1672" priority="1907" stopIfTrue="1" operator="containsText" text="SICK">
      <formula>NOT(ISERROR(SEARCH("SICK",Q22)))</formula>
    </cfRule>
    <cfRule type="containsText" dxfId="1671" priority="1903" operator="containsText" text="SICK">
      <formula>NOT(ISERROR(SEARCH("SICK",Q22)))</formula>
    </cfRule>
    <cfRule type="containsText" dxfId="1670" priority="1900" operator="containsText" text="NL">
      <formula>NOT(ISERROR(SEARCH("NL",Q22)))</formula>
    </cfRule>
    <cfRule type="containsText" dxfId="1669" priority="1892" operator="containsText" text="FL">
      <formula>NOT(ISERROR(SEARCH("FL",Q22)))</formula>
    </cfRule>
    <cfRule type="containsText" dxfId="1668" priority="1894" operator="containsText" text="AL">
      <formula>NOT(ISERROR(SEARCH("AL",Q22)))</formula>
    </cfRule>
    <cfRule type="containsText" dxfId="1667" priority="1895" operator="containsText" text="AB">
      <formula>NOT(ISERROR(SEARCH("AB",Q22)))</formula>
    </cfRule>
    <cfRule type="containsText" dxfId="1666" priority="1896" operator="containsText" text="SICK">
      <formula>NOT(ISERROR(SEARCH("SICK",Q22)))</formula>
    </cfRule>
    <cfRule type="containsText" dxfId="1665" priority="1897" operator="containsText" text="AB">
      <formula>NOT(ISERROR(SEARCH("AB",Q22)))</formula>
    </cfRule>
    <cfRule type="containsText" dxfId="1664" priority="1898" operator="containsText" text="AL">
      <formula>NOT(ISERROR(SEARCH("AL",Q22)))</formula>
    </cfRule>
    <cfRule type="containsText" dxfId="1663" priority="1899" operator="containsText" text="SICK">
      <formula>NOT(ISERROR(SEARCH("SICK",Q22)))</formula>
    </cfRule>
  </conditionalFormatting>
  <conditionalFormatting sqref="Q27">
    <cfRule type="containsText" dxfId="1662" priority="1773" operator="containsText" text="AB">
      <formula>NOT(ISERROR(SEARCH("AB",Q27)))</formula>
    </cfRule>
    <cfRule type="containsText" dxfId="1661" priority="1776" operator="containsText" text="NL">
      <formula>NOT(ISERROR(SEARCH("NL",Q27)))</formula>
    </cfRule>
    <cfRule type="containsText" dxfId="1660" priority="1777" stopIfTrue="1" operator="containsText" text="AL">
      <formula>NOT(ISERROR(SEARCH("AL",Q27)))</formula>
    </cfRule>
    <cfRule type="containsText" dxfId="1659" priority="1778" stopIfTrue="1" operator="containsText" text="SP">
      <formula>NOT(ISERROR(SEARCH("SP",Q27)))</formula>
    </cfRule>
    <cfRule type="containsText" dxfId="1658" priority="1779" stopIfTrue="1" operator="containsText" text="SICK">
      <formula>NOT(ISERROR(SEARCH("SICK",Q27)))</formula>
    </cfRule>
    <cfRule type="containsText" dxfId="1657" priority="1769" operator="containsText" text="AB">
      <formula>NOT(ISERROR(SEARCH("AB",Q27)))</formula>
    </cfRule>
    <cfRule type="containsText" dxfId="1656" priority="1770" operator="containsText" text="AL">
      <formula>NOT(ISERROR(SEARCH("AL",Q27)))</formula>
    </cfRule>
    <cfRule type="containsText" dxfId="1655" priority="1771" operator="containsText" text="SICK">
      <formula>NOT(ISERROR(SEARCH("SICK",Q27)))</formula>
    </cfRule>
    <cfRule type="containsText" dxfId="1654" priority="1772" operator="containsText" text="NL">
      <formula>NOT(ISERROR(SEARCH("NL",Q27)))</formula>
    </cfRule>
    <cfRule type="containsText" dxfId="1653" priority="1774" operator="containsText" text="AL">
      <formula>NOT(ISERROR(SEARCH("AL",Q27)))</formula>
    </cfRule>
    <cfRule type="containsText" dxfId="1652" priority="1775" operator="containsText" text="SICK">
      <formula>NOT(ISERROR(SEARCH("SICK",Q27)))</formula>
    </cfRule>
    <cfRule type="containsText" priority="1765" operator="containsText" text="FL">
      <formula>NOT(ISERROR(SEARCH("FL",Q27)))</formula>
    </cfRule>
    <cfRule type="containsText" dxfId="1651" priority="1764" operator="containsText" text="FL">
      <formula>NOT(ISERROR(SEARCH("FL",Q27)))</formula>
    </cfRule>
    <cfRule type="containsText" dxfId="1650" priority="1766" operator="containsText" text="AL">
      <formula>NOT(ISERROR(SEARCH("AL",Q27)))</formula>
    </cfRule>
    <cfRule type="containsText" dxfId="1649" priority="1767" operator="containsText" text="AB">
      <formula>NOT(ISERROR(SEARCH("AB",Q27)))</formula>
    </cfRule>
    <cfRule type="containsText" dxfId="1648" priority="1768" operator="containsText" text="SICK">
      <formula>NOT(ISERROR(SEARCH("SICK",Q27)))</formula>
    </cfRule>
  </conditionalFormatting>
  <conditionalFormatting sqref="R28">
    <cfRule type="containsText" dxfId="1647" priority="1239" operator="containsText" text="NL">
      <formula>NOT(ISERROR(SEARCH("NL",R28)))</formula>
    </cfRule>
  </conditionalFormatting>
  <conditionalFormatting sqref="R20:S20">
    <cfRule type="containsText" dxfId="1646" priority="1747" operator="containsText" text="SICK">
      <formula>NOT(ISERROR(SEARCH("SICK",R20)))</formula>
    </cfRule>
  </conditionalFormatting>
  <conditionalFormatting sqref="R24:S24">
    <cfRule type="containsText" dxfId="1645" priority="1799" operator="containsText" text="AB">
      <formula>NOT(ISERROR(SEARCH("AB",R24)))</formula>
    </cfRule>
    <cfRule type="containsText" dxfId="1644" priority="1798" operator="containsText" text="AL">
      <formula>NOT(ISERROR(SEARCH("AL",R24)))</formula>
    </cfRule>
    <cfRule type="containsText" dxfId="1643" priority="1807" operator="containsText" text="SICK">
      <formula>NOT(ISERROR(SEARCH("SICK",R24)))</formula>
    </cfRule>
    <cfRule type="containsText" dxfId="1642" priority="1806" operator="containsText" text="AL">
      <formula>NOT(ISERROR(SEARCH("AL",R24)))</formula>
    </cfRule>
    <cfRule type="containsText" dxfId="1641" priority="1805" operator="containsText" text="AB">
      <formula>NOT(ISERROR(SEARCH("AB",R24)))</formula>
    </cfRule>
    <cfRule type="containsText" dxfId="1640" priority="1804" operator="containsText" text="NL">
      <formula>NOT(ISERROR(SEARCH("NL",R24)))</formula>
    </cfRule>
    <cfRule type="containsText" dxfId="1639" priority="1803" operator="containsText" text="SICK">
      <formula>NOT(ISERROR(SEARCH("SICK",R24)))</formula>
    </cfRule>
    <cfRule type="containsText" dxfId="1638" priority="1802" operator="containsText" text="AL">
      <formula>NOT(ISERROR(SEARCH("AL",R24)))</formula>
    </cfRule>
    <cfRule type="containsText" dxfId="1637" priority="1801" operator="containsText" text="AB">
      <formula>NOT(ISERROR(SEARCH("AB",R24)))</formula>
    </cfRule>
    <cfRule type="containsText" priority="1797" operator="containsText" text="FL">
      <formula>NOT(ISERROR(SEARCH("FL",R24)))</formula>
    </cfRule>
    <cfRule type="containsText" dxfId="1636" priority="1800" operator="containsText" text="SICK">
      <formula>NOT(ISERROR(SEARCH("SICK",R24)))</formula>
    </cfRule>
    <cfRule type="containsText" dxfId="1635" priority="1809" stopIfTrue="1" operator="containsText" text="AL">
      <formula>NOT(ISERROR(SEARCH("AL",R24)))</formula>
    </cfRule>
    <cfRule type="containsText" dxfId="1634" priority="1811" stopIfTrue="1" operator="containsText" text="SICK">
      <formula>NOT(ISERROR(SEARCH("SICK",R24)))</formula>
    </cfRule>
    <cfRule type="containsText" dxfId="1633" priority="1810" stopIfTrue="1" operator="containsText" text="SP">
      <formula>NOT(ISERROR(SEARCH("SP",R24)))</formula>
    </cfRule>
    <cfRule type="containsText" dxfId="1632" priority="1796" operator="containsText" text="FL">
      <formula>NOT(ISERROR(SEARCH("FL",R24)))</formula>
    </cfRule>
    <cfRule type="containsText" dxfId="1631" priority="1808" operator="containsText" text="NL">
      <formula>NOT(ISERROR(SEARCH("NL",R24)))</formula>
    </cfRule>
  </conditionalFormatting>
  <conditionalFormatting sqref="R30:S30">
    <cfRule type="containsText" dxfId="1630" priority="1487" stopIfTrue="1" operator="containsText" text="SP">
      <formula>NOT(ISERROR(SEARCH("SP",R30)))</formula>
    </cfRule>
    <cfRule type="containsText" dxfId="1629" priority="1486" stopIfTrue="1" operator="containsText" text="AL">
      <formula>NOT(ISERROR(SEARCH("AL",R30)))</formula>
    </cfRule>
    <cfRule type="containsText" dxfId="1628" priority="1485" operator="containsText" text="NL">
      <formula>NOT(ISERROR(SEARCH("NL",R30)))</formula>
    </cfRule>
    <cfRule type="containsText" dxfId="1627" priority="1484" operator="containsText" text="SICK">
      <formula>NOT(ISERROR(SEARCH("SICK",R30)))</formula>
    </cfRule>
    <cfRule type="containsText" dxfId="1626" priority="1473" operator="containsText" text="FL">
      <formula>NOT(ISERROR(SEARCH("FL",R30)))</formula>
    </cfRule>
    <cfRule type="containsText" priority="1474" operator="containsText" text="FL">
      <formula>NOT(ISERROR(SEARCH("FL",R30)))</formula>
    </cfRule>
    <cfRule type="containsText" dxfId="1625" priority="1475" operator="containsText" text="AL">
      <formula>NOT(ISERROR(SEARCH("AL",R30)))</formula>
    </cfRule>
    <cfRule type="containsText" dxfId="1624" priority="1478" operator="containsText" text="AB">
      <formula>NOT(ISERROR(SEARCH("AB",R30)))</formula>
    </cfRule>
    <cfRule type="containsText" dxfId="1623" priority="1488" stopIfTrue="1" operator="containsText" text="SICK">
      <formula>NOT(ISERROR(SEARCH("SICK",R30)))</formula>
    </cfRule>
    <cfRule type="containsText" dxfId="1622" priority="1479" operator="containsText" text="AL">
      <formula>NOT(ISERROR(SEARCH("AL",R30)))</formula>
    </cfRule>
    <cfRule type="containsText" dxfId="1621" priority="1480" operator="containsText" text="SICK">
      <formula>NOT(ISERROR(SEARCH("SICK",R30)))</formula>
    </cfRule>
    <cfRule type="containsText" dxfId="1620" priority="1481" operator="containsText" text="NL">
      <formula>NOT(ISERROR(SEARCH("NL",R30)))</formula>
    </cfRule>
    <cfRule type="containsText" dxfId="1619" priority="1482" operator="containsText" text="AB">
      <formula>NOT(ISERROR(SEARCH("AB",R30)))</formula>
    </cfRule>
    <cfRule type="containsText" dxfId="1618" priority="1476" operator="containsText" text="AB">
      <formula>NOT(ISERROR(SEARCH("AB",R30)))</formula>
    </cfRule>
    <cfRule type="containsText" dxfId="1617" priority="1483" operator="containsText" text="AL">
      <formula>NOT(ISERROR(SEARCH("AL",R30)))</formula>
    </cfRule>
    <cfRule type="containsText" dxfId="1616" priority="1477" operator="containsText" text="SICK">
      <formula>NOT(ISERROR(SEARCH("SICK",R30)))</formula>
    </cfRule>
  </conditionalFormatting>
  <conditionalFormatting sqref="R57:AB57">
    <cfRule type="containsText" dxfId="1615" priority="9102" stopIfTrue="1" operator="containsText" text="SICK">
      <formula>NOT(ISERROR(SEARCH("SICK",R57)))</formula>
    </cfRule>
    <cfRule type="containsText" dxfId="1614" priority="9101" stopIfTrue="1" operator="containsText" text="SP">
      <formula>NOT(ISERROR(SEARCH("SP",R57)))</formula>
    </cfRule>
    <cfRule type="containsText" dxfId="1613" priority="9100" stopIfTrue="1" operator="containsText" text="AL">
      <formula>NOT(ISERROR(SEARCH("AL",R57)))</formula>
    </cfRule>
  </conditionalFormatting>
  <conditionalFormatting sqref="S7">
    <cfRule type="containsText" dxfId="1612" priority="2015" operator="containsText" text="SICK">
      <formula>NOT(ISERROR(SEARCH("SICK",S7)))</formula>
    </cfRule>
    <cfRule type="containsText" dxfId="1611" priority="2014" operator="containsText" text="AL">
      <formula>NOT(ISERROR(SEARCH("AL",S7)))</formula>
    </cfRule>
    <cfRule type="containsText" dxfId="1610" priority="2013" operator="containsText" text="AB">
      <formula>NOT(ISERROR(SEARCH("AB",S7)))</formula>
    </cfRule>
    <cfRule type="containsText" dxfId="1609" priority="2012" operator="containsText" text="NL">
      <formula>NOT(ISERROR(SEARCH("NL",S7)))</formula>
    </cfRule>
    <cfRule type="containsText" dxfId="1608" priority="2018" stopIfTrue="1" operator="containsText" text="SP">
      <formula>NOT(ISERROR(SEARCH("SP",S7)))</formula>
    </cfRule>
    <cfRule type="containsText" dxfId="1607" priority="2011" operator="containsText" text="SICK">
      <formula>NOT(ISERROR(SEARCH("SICK",S7)))</formula>
    </cfRule>
    <cfRule type="containsText" dxfId="1606" priority="2004" operator="containsText" text="FL">
      <formula>NOT(ISERROR(SEARCH("FL",S7)))</formula>
    </cfRule>
    <cfRule type="containsText" priority="2005" operator="containsText" text="FL">
      <formula>NOT(ISERROR(SEARCH("FL",S7)))</formula>
    </cfRule>
    <cfRule type="containsText" dxfId="1605" priority="2006" operator="containsText" text="AL">
      <formula>NOT(ISERROR(SEARCH("AL",S7)))</formula>
    </cfRule>
    <cfRule type="containsText" dxfId="1604" priority="2007" operator="containsText" text="AB">
      <formula>NOT(ISERROR(SEARCH("AB",S7)))</formula>
    </cfRule>
    <cfRule type="containsText" dxfId="1603" priority="2008" operator="containsText" text="SICK">
      <formula>NOT(ISERROR(SEARCH("SICK",S7)))</formula>
    </cfRule>
    <cfRule type="containsText" dxfId="1602" priority="2009" operator="containsText" text="AB">
      <formula>NOT(ISERROR(SEARCH("AB",S7)))</formula>
    </cfRule>
    <cfRule type="containsText" dxfId="1601" priority="2010" operator="containsText" text="AL">
      <formula>NOT(ISERROR(SEARCH("AL",S7)))</formula>
    </cfRule>
    <cfRule type="containsText" dxfId="1600" priority="2019" stopIfTrue="1" operator="containsText" text="SICK">
      <formula>NOT(ISERROR(SEARCH("SICK",S7)))</formula>
    </cfRule>
    <cfRule type="containsText" dxfId="1599" priority="2017" stopIfTrue="1" operator="containsText" text="AL">
      <formula>NOT(ISERROR(SEARCH("AL",S7)))</formula>
    </cfRule>
    <cfRule type="containsText" dxfId="1598" priority="2016" operator="containsText" text="NL">
      <formula>NOT(ISERROR(SEARCH("NL",S7)))</formula>
    </cfRule>
  </conditionalFormatting>
  <conditionalFormatting sqref="S12">
    <cfRule type="containsText" dxfId="1597" priority="1686" operator="containsText" text="FL">
      <formula>NOT(ISERROR(SEARCH("FL",S12)))</formula>
    </cfRule>
    <cfRule type="containsText" dxfId="1596" priority="1692" operator="containsText" text="SICK">
      <formula>NOT(ISERROR(SEARCH("SICK",S12)))</formula>
    </cfRule>
    <cfRule type="containsText" dxfId="1595" priority="1702" stopIfTrue="1" operator="containsText" text="AL">
      <formula>NOT(ISERROR(SEARCH("AL",S12)))</formula>
    </cfRule>
    <cfRule type="containsText" dxfId="1594" priority="1703" stopIfTrue="1" operator="containsText" text="SP">
      <formula>NOT(ISERROR(SEARCH("SP",S12)))</formula>
    </cfRule>
    <cfRule type="containsText" dxfId="1593" priority="1695" stopIfTrue="1" operator="containsText" text="AL">
      <formula>NOT(ISERROR(SEARCH("AL",S12)))</formula>
    </cfRule>
    <cfRule type="containsText" dxfId="1592" priority="1704" stopIfTrue="1" operator="containsText" text="SICK">
      <formula>NOT(ISERROR(SEARCH("SICK",S12)))</formula>
    </cfRule>
    <cfRule type="containsText" dxfId="1591" priority="1693" operator="containsText" text="NL">
      <formula>NOT(ISERROR(SEARCH("NL",S12)))</formula>
    </cfRule>
    <cfRule type="containsText" dxfId="1590" priority="1694" operator="containsText" text="AB">
      <formula>NOT(ISERROR(SEARCH("AB",S12)))</formula>
    </cfRule>
    <cfRule type="containsText" dxfId="1589" priority="1696" stopIfTrue="1" operator="containsText" text="SP">
      <formula>NOT(ISERROR(SEARCH("SP",S12)))</formula>
    </cfRule>
    <cfRule type="containsText" dxfId="1588" priority="1697" stopIfTrue="1" operator="containsText" text="SICK">
      <formula>NOT(ISERROR(SEARCH("SICK",S12)))</formula>
    </cfRule>
    <cfRule type="containsText" dxfId="1587" priority="1698" operator="containsText" text="AL">
      <formula>NOT(ISERROR(SEARCH("AL",S12)))</formula>
    </cfRule>
    <cfRule type="containsText" dxfId="1586" priority="1699" operator="containsText" text="SICK">
      <formula>NOT(ISERROR(SEARCH("SICK",S12)))</formula>
    </cfRule>
    <cfRule type="containsText" dxfId="1585" priority="1700" operator="containsText" text="NL">
      <formula>NOT(ISERROR(SEARCH("NL",S12)))</formula>
    </cfRule>
    <cfRule type="containsText" dxfId="1584" priority="1701" operator="containsText" text="AB">
      <formula>NOT(ISERROR(SEARCH("AB",S12)))</formula>
    </cfRule>
    <cfRule type="containsText" priority="1687" operator="containsText" text="FL">
      <formula>NOT(ISERROR(SEARCH("FL",S12)))</formula>
    </cfRule>
    <cfRule type="containsText" dxfId="1583" priority="1688" operator="containsText" text="AL">
      <formula>NOT(ISERROR(SEARCH("AL",S12)))</formula>
    </cfRule>
    <cfRule type="containsText" dxfId="1582" priority="1689" operator="containsText" text="AB">
      <formula>NOT(ISERROR(SEARCH("AB",S12)))</formula>
    </cfRule>
    <cfRule type="containsText" dxfId="1581" priority="1690" operator="containsText" text="SICK">
      <formula>NOT(ISERROR(SEARCH("SICK",S12)))</formula>
    </cfRule>
    <cfRule type="containsText" dxfId="1580" priority="1691" operator="containsText" text="AL">
      <formula>NOT(ISERROR(SEARCH("AL",S12)))</formula>
    </cfRule>
  </conditionalFormatting>
  <conditionalFormatting sqref="S17">
    <cfRule type="containsText" priority="1957" operator="containsText" text="FL">
      <formula>NOT(ISERROR(SEARCH("FL",S17)))</formula>
    </cfRule>
    <cfRule type="containsText" dxfId="1579" priority="1958" operator="containsText" text="AL">
      <formula>NOT(ISERROR(SEARCH("AL",S17)))</formula>
    </cfRule>
    <cfRule type="containsText" dxfId="1578" priority="1959" operator="containsText" text="AB">
      <formula>NOT(ISERROR(SEARCH("AB",S17)))</formula>
    </cfRule>
    <cfRule type="containsText" dxfId="1577" priority="1960" operator="containsText" text="SICK">
      <formula>NOT(ISERROR(SEARCH("SICK",S17)))</formula>
    </cfRule>
    <cfRule type="containsText" dxfId="1576" priority="1961" operator="containsText" text="AB">
      <formula>NOT(ISERROR(SEARCH("AB",S17)))</formula>
    </cfRule>
    <cfRule type="containsText" dxfId="1575" priority="1962" operator="containsText" text="AL">
      <formula>NOT(ISERROR(SEARCH("AL",S17)))</formula>
    </cfRule>
    <cfRule type="containsText" dxfId="1574" priority="1963" operator="containsText" text="SICK">
      <formula>NOT(ISERROR(SEARCH("SICK",S17)))</formula>
    </cfRule>
    <cfRule type="containsText" dxfId="1573" priority="1964" operator="containsText" text="NL">
      <formula>NOT(ISERROR(SEARCH("NL",S17)))</formula>
    </cfRule>
    <cfRule type="containsText" dxfId="1572" priority="1965" operator="containsText" text="AB">
      <formula>NOT(ISERROR(SEARCH("AB",S17)))</formula>
    </cfRule>
    <cfRule type="containsText" dxfId="1571" priority="1966" operator="containsText" text="AL">
      <formula>NOT(ISERROR(SEARCH("AL",S17)))</formula>
    </cfRule>
    <cfRule type="containsText" dxfId="1570" priority="1967" operator="containsText" text="SICK">
      <formula>NOT(ISERROR(SEARCH("SICK",S17)))</formula>
    </cfRule>
    <cfRule type="containsText" dxfId="1569" priority="1968" operator="containsText" text="NL">
      <formula>NOT(ISERROR(SEARCH("NL",S17)))</formula>
    </cfRule>
    <cfRule type="containsText" dxfId="1568" priority="1956" operator="containsText" text="FL">
      <formula>NOT(ISERROR(SEARCH("FL",S17)))</formula>
    </cfRule>
    <cfRule type="containsText" dxfId="1567" priority="1971" stopIfTrue="1" operator="containsText" text="SICK">
      <formula>NOT(ISERROR(SEARCH("SICK",S17)))</formula>
    </cfRule>
    <cfRule type="containsText" dxfId="1566" priority="1970" stopIfTrue="1" operator="containsText" text="SP">
      <formula>NOT(ISERROR(SEARCH("SP",S17)))</formula>
    </cfRule>
    <cfRule type="containsText" dxfId="1565" priority="1969" stopIfTrue="1" operator="containsText" text="AL">
      <formula>NOT(ISERROR(SEARCH("AL",S17)))</formula>
    </cfRule>
  </conditionalFormatting>
  <conditionalFormatting sqref="S22:S23">
    <cfRule type="containsText" dxfId="1564" priority="1878" operator="containsText" text="AL">
      <formula>NOT(ISERROR(SEARCH("AL",S22)))</formula>
    </cfRule>
    <cfRule type="containsText" priority="1877" operator="containsText" text="FL">
      <formula>NOT(ISERROR(SEARCH("FL",S22)))</formula>
    </cfRule>
    <cfRule type="containsText" dxfId="1563" priority="1876" operator="containsText" text="FL">
      <formula>NOT(ISERROR(SEARCH("FL",S22)))</formula>
    </cfRule>
    <cfRule type="containsText" dxfId="1562" priority="1889" stopIfTrue="1" operator="containsText" text="AL">
      <formula>NOT(ISERROR(SEARCH("AL",S22)))</formula>
    </cfRule>
    <cfRule type="containsText" dxfId="1561" priority="1891" stopIfTrue="1" operator="containsText" text="SICK">
      <formula>NOT(ISERROR(SEARCH("SICK",S22)))</formula>
    </cfRule>
    <cfRule type="containsText" dxfId="1560" priority="1890" stopIfTrue="1" operator="containsText" text="SP">
      <formula>NOT(ISERROR(SEARCH("SP",S22)))</formula>
    </cfRule>
    <cfRule type="containsText" dxfId="1559" priority="1888" operator="containsText" text="NL">
      <formula>NOT(ISERROR(SEARCH("NL",S22)))</formula>
    </cfRule>
    <cfRule type="containsText" dxfId="1558" priority="1887" operator="containsText" text="SICK">
      <formula>NOT(ISERROR(SEARCH("SICK",S22)))</formula>
    </cfRule>
    <cfRule type="containsText" dxfId="1557" priority="1886" operator="containsText" text="AL">
      <formula>NOT(ISERROR(SEARCH("AL",S22)))</formula>
    </cfRule>
    <cfRule type="containsText" dxfId="1556" priority="1885" operator="containsText" text="AB">
      <formula>NOT(ISERROR(SEARCH("AB",S22)))</formula>
    </cfRule>
    <cfRule type="containsText" dxfId="1555" priority="1884" operator="containsText" text="NL">
      <formula>NOT(ISERROR(SEARCH("NL",S22)))</formula>
    </cfRule>
    <cfRule type="containsText" dxfId="1554" priority="1883" operator="containsText" text="SICK">
      <formula>NOT(ISERROR(SEARCH("SICK",S22)))</formula>
    </cfRule>
    <cfRule type="containsText" dxfId="1553" priority="1882" operator="containsText" text="AL">
      <formula>NOT(ISERROR(SEARCH("AL",S22)))</formula>
    </cfRule>
    <cfRule type="containsText" dxfId="1552" priority="1881" operator="containsText" text="AB">
      <formula>NOT(ISERROR(SEARCH("AB",S22)))</formula>
    </cfRule>
    <cfRule type="containsText" dxfId="1551" priority="1880" operator="containsText" text="SICK">
      <formula>NOT(ISERROR(SEARCH("SICK",S22)))</formula>
    </cfRule>
    <cfRule type="containsText" dxfId="1550" priority="1879" operator="containsText" text="AB">
      <formula>NOT(ISERROR(SEARCH("AB",S22)))</formula>
    </cfRule>
  </conditionalFormatting>
  <conditionalFormatting sqref="S27">
    <cfRule type="containsText" dxfId="1549" priority="1752" operator="containsText" text="SICK">
      <formula>NOT(ISERROR(SEARCH("SICK",S27)))</formula>
    </cfRule>
    <cfRule type="containsText" dxfId="1548" priority="1751" operator="containsText" text="AB">
      <formula>NOT(ISERROR(SEARCH("AB",S27)))</formula>
    </cfRule>
    <cfRule type="containsText" dxfId="1547" priority="1763" stopIfTrue="1" operator="containsText" text="SICK">
      <formula>NOT(ISERROR(SEARCH("SICK",S27)))</formula>
    </cfRule>
    <cfRule type="containsText" dxfId="1546" priority="1750" operator="containsText" text="AL">
      <formula>NOT(ISERROR(SEARCH("AL",S27)))</formula>
    </cfRule>
    <cfRule type="containsText" dxfId="1545" priority="1757" operator="containsText" text="AB">
      <formula>NOT(ISERROR(SEARCH("AB",S27)))</formula>
    </cfRule>
    <cfRule type="containsText" dxfId="1544" priority="1756" operator="containsText" text="NL">
      <formula>NOT(ISERROR(SEARCH("NL",S27)))</formula>
    </cfRule>
    <cfRule type="containsText" dxfId="1543" priority="1755" operator="containsText" text="SICK">
      <formula>NOT(ISERROR(SEARCH("SICK",S27)))</formula>
    </cfRule>
    <cfRule type="containsText" dxfId="1542" priority="1754" operator="containsText" text="AL">
      <formula>NOT(ISERROR(SEARCH("AL",S27)))</formula>
    </cfRule>
    <cfRule type="containsText" dxfId="1541" priority="1748" operator="containsText" text="FL">
      <formula>NOT(ISERROR(SEARCH("FL",S27)))</formula>
    </cfRule>
    <cfRule type="containsText" priority="1749" operator="containsText" text="FL">
      <formula>NOT(ISERROR(SEARCH("FL",S27)))</formula>
    </cfRule>
    <cfRule type="containsText" dxfId="1540" priority="1760" operator="containsText" text="NL">
      <formula>NOT(ISERROR(SEARCH("NL",S27)))</formula>
    </cfRule>
    <cfRule type="containsText" dxfId="1539" priority="1761" stopIfTrue="1" operator="containsText" text="AL">
      <formula>NOT(ISERROR(SEARCH("AL",S27)))</formula>
    </cfRule>
    <cfRule type="containsText" dxfId="1538" priority="1762" stopIfTrue="1" operator="containsText" text="SP">
      <formula>NOT(ISERROR(SEARCH("SP",S27)))</formula>
    </cfRule>
    <cfRule type="containsText" dxfId="1537" priority="1759" operator="containsText" text="SICK">
      <formula>NOT(ISERROR(SEARCH("SICK",S27)))</formula>
    </cfRule>
    <cfRule type="containsText" dxfId="1536" priority="1753" operator="containsText" text="AB">
      <formula>NOT(ISERROR(SEARCH("AB",S27)))</formula>
    </cfRule>
    <cfRule type="containsText" dxfId="1535" priority="1758" operator="containsText" text="AL">
      <formula>NOT(ISERROR(SEARCH("AL",S27)))</formula>
    </cfRule>
  </conditionalFormatting>
  <conditionalFormatting sqref="T27">
    <cfRule type="containsText" dxfId="1534" priority="1745" operator="containsText" text="NL">
      <formula>NOT(ISERROR(SEARCH("NL",T27)))</formula>
    </cfRule>
  </conditionalFormatting>
  <conditionalFormatting sqref="T5:U6">
    <cfRule type="containsText" dxfId="1533" priority="7170" operator="containsText" text="SICK">
      <formula>NOT(ISERROR(SEARCH("SICK",T5)))</formula>
    </cfRule>
    <cfRule type="containsText" dxfId="1532" priority="7169" operator="containsText" text="EL">
      <formula>NOT(ISERROR(SEARCH("EL",T5)))</formula>
    </cfRule>
    <cfRule type="containsText" dxfId="1531" priority="7168" operator="containsText" text="AL">
      <formula>NOT(ISERROR(SEARCH("AL",T5)))</formula>
    </cfRule>
  </conditionalFormatting>
  <conditionalFormatting sqref="T15:U15">
    <cfRule type="containsText" dxfId="1530" priority="1746" operator="containsText" text="SICK">
      <formula>NOT(ISERROR(SEARCH("SICK",T15)))</formula>
    </cfRule>
  </conditionalFormatting>
  <conditionalFormatting sqref="T20:U20">
    <cfRule type="containsText" dxfId="1529" priority="1143" operator="containsText" text="AB">
      <formula>NOT(ISERROR(SEARCH("AB",T20)))</formula>
    </cfRule>
  </conditionalFormatting>
  <conditionalFormatting sqref="T29:U29">
    <cfRule type="containsText" dxfId="1528" priority="1456" operator="containsText" text="SICK">
      <formula>NOT(ISERROR(SEARCH("SICK",T29)))</formula>
    </cfRule>
  </conditionalFormatting>
  <conditionalFormatting sqref="U7">
    <cfRule type="containsText" dxfId="1527" priority="1988" operator="containsText" text="FL">
      <formula>NOT(ISERROR(SEARCH("FL",U7)))</formula>
    </cfRule>
    <cfRule type="containsText" priority="1989" operator="containsText" text="FL">
      <formula>NOT(ISERROR(SEARCH("FL",U7)))</formula>
    </cfRule>
    <cfRule type="containsText" dxfId="1526" priority="1990" operator="containsText" text="AL">
      <formula>NOT(ISERROR(SEARCH("AL",U7)))</formula>
    </cfRule>
    <cfRule type="containsText" dxfId="1525" priority="1991" operator="containsText" text="AB">
      <formula>NOT(ISERROR(SEARCH("AB",U7)))</formula>
    </cfRule>
    <cfRule type="containsText" dxfId="1524" priority="1992" operator="containsText" text="SICK">
      <formula>NOT(ISERROR(SEARCH("SICK",U7)))</formula>
    </cfRule>
    <cfRule type="containsText" dxfId="1523" priority="1993" operator="containsText" text="AB">
      <formula>NOT(ISERROR(SEARCH("AB",U7)))</formula>
    </cfRule>
    <cfRule type="containsText" dxfId="1522" priority="1994" operator="containsText" text="AL">
      <formula>NOT(ISERROR(SEARCH("AL",U7)))</formula>
    </cfRule>
    <cfRule type="containsText" dxfId="1521" priority="1995" operator="containsText" text="SICK">
      <formula>NOT(ISERROR(SEARCH("SICK",U7)))</formula>
    </cfRule>
    <cfRule type="containsText" dxfId="1520" priority="1996" operator="containsText" text="NL">
      <formula>NOT(ISERROR(SEARCH("NL",U7)))</formula>
    </cfRule>
    <cfRule type="containsText" dxfId="1519" priority="1997" operator="containsText" text="AB">
      <formula>NOT(ISERROR(SEARCH("AB",U7)))</formula>
    </cfRule>
    <cfRule type="containsText" dxfId="1518" priority="1998" operator="containsText" text="AL">
      <formula>NOT(ISERROR(SEARCH("AL",U7)))</formula>
    </cfRule>
    <cfRule type="containsText" dxfId="1517" priority="1999" operator="containsText" text="SICK">
      <formula>NOT(ISERROR(SEARCH("SICK",U7)))</formula>
    </cfRule>
    <cfRule type="containsText" dxfId="1516" priority="2000" operator="containsText" text="NL">
      <formula>NOT(ISERROR(SEARCH("NL",U7)))</formula>
    </cfRule>
    <cfRule type="containsText" dxfId="1515" priority="2001" stopIfTrue="1" operator="containsText" text="AL">
      <formula>NOT(ISERROR(SEARCH("AL",U7)))</formula>
    </cfRule>
    <cfRule type="containsText" dxfId="1514" priority="2002" stopIfTrue="1" operator="containsText" text="SP">
      <formula>NOT(ISERROR(SEARCH("SP",U7)))</formula>
    </cfRule>
    <cfRule type="containsText" dxfId="1513" priority="2003" stopIfTrue="1" operator="containsText" text="SICK">
      <formula>NOT(ISERROR(SEARCH("SICK",U7)))</formula>
    </cfRule>
  </conditionalFormatting>
  <conditionalFormatting sqref="U12">
    <cfRule type="containsText" priority="1706" operator="containsText" text="FL">
      <formula>NOT(ISERROR(SEARCH("FL",U12)))</formula>
    </cfRule>
    <cfRule type="containsText" dxfId="1512" priority="1711" operator="containsText" text="SICK">
      <formula>NOT(ISERROR(SEARCH("SICK",U12)))</formula>
    </cfRule>
    <cfRule type="containsText" dxfId="1511" priority="1716" stopIfTrue="1" operator="containsText" text="SICK">
      <formula>NOT(ISERROR(SEARCH("SICK",U12)))</formula>
    </cfRule>
    <cfRule type="containsText" dxfId="1510" priority="1714" stopIfTrue="1" operator="containsText" text="AL">
      <formula>NOT(ISERROR(SEARCH("AL",U12)))</formula>
    </cfRule>
    <cfRule type="containsText" dxfId="1509" priority="1713" operator="containsText" text="AB">
      <formula>NOT(ISERROR(SEARCH("AB",U12)))</formula>
    </cfRule>
    <cfRule type="containsText" dxfId="1508" priority="1712" operator="containsText" text="NL">
      <formula>NOT(ISERROR(SEARCH("NL",U12)))</formula>
    </cfRule>
    <cfRule type="containsText" dxfId="1507" priority="1710" operator="containsText" text="AL">
      <formula>NOT(ISERROR(SEARCH("AL",U12)))</formula>
    </cfRule>
    <cfRule type="containsText" dxfId="1506" priority="1709" operator="containsText" text="SICK">
      <formula>NOT(ISERROR(SEARCH("SICK",U12)))</formula>
    </cfRule>
    <cfRule type="containsText" dxfId="1505" priority="1705" operator="containsText" text="FL">
      <formula>NOT(ISERROR(SEARCH("FL",U12)))</formula>
    </cfRule>
    <cfRule type="containsText" dxfId="1504" priority="1708" operator="containsText" text="AB">
      <formula>NOT(ISERROR(SEARCH("AB",U12)))</formula>
    </cfRule>
    <cfRule type="containsText" dxfId="1503" priority="1707" operator="containsText" text="AL">
      <formula>NOT(ISERROR(SEARCH("AL",U12)))</formula>
    </cfRule>
    <cfRule type="containsText" dxfId="1502" priority="1723" stopIfTrue="1" operator="containsText" text="SICK">
      <formula>NOT(ISERROR(SEARCH("SICK",U12)))</formula>
    </cfRule>
    <cfRule type="containsText" dxfId="1501" priority="1722" stopIfTrue="1" operator="containsText" text="SP">
      <formula>NOT(ISERROR(SEARCH("SP",U12)))</formula>
    </cfRule>
    <cfRule type="containsText" dxfId="1500" priority="1721" stopIfTrue="1" operator="containsText" text="AL">
      <formula>NOT(ISERROR(SEARCH("AL",U12)))</formula>
    </cfRule>
    <cfRule type="containsText" dxfId="1499" priority="1720" operator="containsText" text="AB">
      <formula>NOT(ISERROR(SEARCH("AB",U12)))</formula>
    </cfRule>
    <cfRule type="containsText" dxfId="1498" priority="1719" operator="containsText" text="NL">
      <formula>NOT(ISERROR(SEARCH("NL",U12)))</formula>
    </cfRule>
    <cfRule type="containsText" dxfId="1497" priority="1718" operator="containsText" text="SICK">
      <formula>NOT(ISERROR(SEARCH("SICK",U12)))</formula>
    </cfRule>
    <cfRule type="containsText" dxfId="1496" priority="1717" operator="containsText" text="AL">
      <formula>NOT(ISERROR(SEARCH("AL",U12)))</formula>
    </cfRule>
    <cfRule type="containsText" dxfId="1495" priority="1715" stopIfTrue="1" operator="containsText" text="SP">
      <formula>NOT(ISERROR(SEARCH("SP",U12)))</formula>
    </cfRule>
  </conditionalFormatting>
  <conditionalFormatting sqref="U17">
    <cfRule type="containsText" priority="1925" operator="containsText" text="FL">
      <formula>NOT(ISERROR(SEARCH("FL",U17)))</formula>
    </cfRule>
    <cfRule type="containsText" dxfId="1494" priority="1924" operator="containsText" text="FL">
      <formula>NOT(ISERROR(SEARCH("FL",U17)))</formula>
    </cfRule>
    <cfRule type="containsText" dxfId="1493" priority="1933" operator="containsText" text="AB">
      <formula>NOT(ISERROR(SEARCH("AB",U17)))</formula>
    </cfRule>
    <cfRule type="containsText" dxfId="1492" priority="1939" stopIfTrue="1" operator="containsText" text="SICK">
      <formula>NOT(ISERROR(SEARCH("SICK",U17)))</formula>
    </cfRule>
    <cfRule type="containsText" dxfId="1491" priority="1938" stopIfTrue="1" operator="containsText" text="SP">
      <formula>NOT(ISERROR(SEARCH("SP",U17)))</formula>
    </cfRule>
    <cfRule type="containsText" dxfId="1490" priority="1937" stopIfTrue="1" operator="containsText" text="AL">
      <formula>NOT(ISERROR(SEARCH("AL",U17)))</formula>
    </cfRule>
    <cfRule type="containsText" dxfId="1489" priority="1936" operator="containsText" text="NL">
      <formula>NOT(ISERROR(SEARCH("NL",U17)))</formula>
    </cfRule>
    <cfRule type="containsText" dxfId="1488" priority="1935" operator="containsText" text="SICK">
      <formula>NOT(ISERROR(SEARCH("SICK",U17)))</formula>
    </cfRule>
    <cfRule type="containsText" dxfId="1487" priority="1934" operator="containsText" text="AL">
      <formula>NOT(ISERROR(SEARCH("AL",U17)))</formula>
    </cfRule>
    <cfRule type="containsText" dxfId="1486" priority="1932" operator="containsText" text="NL">
      <formula>NOT(ISERROR(SEARCH("NL",U17)))</formula>
    </cfRule>
    <cfRule type="containsText" dxfId="1485" priority="1931" operator="containsText" text="SICK">
      <formula>NOT(ISERROR(SEARCH("SICK",U17)))</formula>
    </cfRule>
    <cfRule type="containsText" dxfId="1484" priority="1930" operator="containsText" text="AL">
      <formula>NOT(ISERROR(SEARCH("AL",U17)))</formula>
    </cfRule>
    <cfRule type="containsText" dxfId="1483" priority="1929" operator="containsText" text="AB">
      <formula>NOT(ISERROR(SEARCH("AB",U17)))</formula>
    </cfRule>
    <cfRule type="containsText" dxfId="1482" priority="1928" operator="containsText" text="SICK">
      <formula>NOT(ISERROR(SEARCH("SICK",U17)))</formula>
    </cfRule>
    <cfRule type="containsText" dxfId="1481" priority="1927" operator="containsText" text="AB">
      <formula>NOT(ISERROR(SEARCH("AB",U17)))</formula>
    </cfRule>
    <cfRule type="containsText" dxfId="1480" priority="1926" operator="containsText" text="AL">
      <formula>NOT(ISERROR(SEARCH("AL",U17)))</formula>
    </cfRule>
  </conditionalFormatting>
  <conditionalFormatting sqref="U22">
    <cfRule type="containsText" dxfId="1479" priority="1860" operator="containsText" text="FL">
      <formula>NOT(ISERROR(SEARCH("FL",U22)))</formula>
    </cfRule>
    <cfRule type="containsText" priority="1861" operator="containsText" text="FL">
      <formula>NOT(ISERROR(SEARCH("FL",U22)))</formula>
    </cfRule>
    <cfRule type="containsText" dxfId="1478" priority="1864" operator="containsText" text="SICK">
      <formula>NOT(ISERROR(SEARCH("SICK",U22)))</formula>
    </cfRule>
    <cfRule type="containsText" dxfId="1477" priority="1875" stopIfTrue="1" operator="containsText" text="SICK">
      <formula>NOT(ISERROR(SEARCH("SICK",U22)))</formula>
    </cfRule>
    <cfRule type="containsText" dxfId="1476" priority="1874" stopIfTrue="1" operator="containsText" text="SP">
      <formula>NOT(ISERROR(SEARCH("SP",U22)))</formula>
    </cfRule>
    <cfRule type="containsText" dxfId="1475" priority="1873" stopIfTrue="1" operator="containsText" text="AL">
      <formula>NOT(ISERROR(SEARCH("AL",U22)))</formula>
    </cfRule>
    <cfRule type="containsText" dxfId="1474" priority="1872" operator="containsText" text="NL">
      <formula>NOT(ISERROR(SEARCH("NL",U22)))</formula>
    </cfRule>
    <cfRule type="containsText" dxfId="1473" priority="1871" operator="containsText" text="SICK">
      <formula>NOT(ISERROR(SEARCH("SICK",U22)))</formula>
    </cfRule>
    <cfRule type="containsText" dxfId="1472" priority="1870" operator="containsText" text="AL">
      <formula>NOT(ISERROR(SEARCH("AL",U22)))</formula>
    </cfRule>
    <cfRule type="containsText" dxfId="1471" priority="1869" operator="containsText" text="AB">
      <formula>NOT(ISERROR(SEARCH("AB",U22)))</formula>
    </cfRule>
    <cfRule type="containsText" dxfId="1470" priority="1868" operator="containsText" text="NL">
      <formula>NOT(ISERROR(SEARCH("NL",U22)))</formula>
    </cfRule>
    <cfRule type="containsText" dxfId="1469" priority="1867" operator="containsText" text="SICK">
      <formula>NOT(ISERROR(SEARCH("SICK",U22)))</formula>
    </cfRule>
    <cfRule type="containsText" dxfId="1468" priority="1866" operator="containsText" text="AL">
      <formula>NOT(ISERROR(SEARCH("AL",U22)))</formula>
    </cfRule>
    <cfRule type="containsText" dxfId="1467" priority="1865" operator="containsText" text="AB">
      <formula>NOT(ISERROR(SEARCH("AB",U22)))</formula>
    </cfRule>
    <cfRule type="containsText" dxfId="1466" priority="1862" operator="containsText" text="AL">
      <formula>NOT(ISERROR(SEARCH("AL",U22)))</formula>
    </cfRule>
    <cfRule type="containsText" dxfId="1465" priority="1863" operator="containsText" text="AB">
      <formula>NOT(ISERROR(SEARCH("AB",U22)))</formula>
    </cfRule>
  </conditionalFormatting>
  <conditionalFormatting sqref="V35:AG35">
    <cfRule type="containsText" dxfId="1464" priority="8748" operator="containsText" text="NL">
      <formula>NOT(ISERROR(SEARCH("NL",V35)))</formula>
    </cfRule>
    <cfRule type="containsText" dxfId="1463" priority="8747" operator="containsText" text="SICK">
      <formula>NOT(ISERROR(SEARCH("SICK",V35)))</formula>
    </cfRule>
    <cfRule type="containsText" dxfId="1462" priority="8746" operator="containsText" text="AL">
      <formula>NOT(ISERROR(SEARCH("AL",V35)))</formula>
    </cfRule>
    <cfRule type="containsText" dxfId="1461" priority="8745" operator="containsText" text="AB">
      <formula>NOT(ISERROR(SEARCH("AB",V35)))</formula>
    </cfRule>
  </conditionalFormatting>
  <conditionalFormatting sqref="W12">
    <cfRule type="containsText" dxfId="1460" priority="1672" operator="containsText" text="AL">
      <formula>NOT(ISERROR(SEARCH("AL",W12)))</formula>
    </cfRule>
    <cfRule type="containsText" priority="1668" operator="containsText" text="FL">
      <formula>NOT(ISERROR(SEARCH("FL",W12)))</formula>
    </cfRule>
    <cfRule type="containsText" dxfId="1459" priority="1667" operator="containsText" text="FL">
      <formula>NOT(ISERROR(SEARCH("FL",W12)))</formula>
    </cfRule>
    <cfRule type="containsText" dxfId="1458" priority="1685" stopIfTrue="1" operator="containsText" text="SICK">
      <formula>NOT(ISERROR(SEARCH("SICK",W12)))</formula>
    </cfRule>
    <cfRule type="containsText" dxfId="1457" priority="1684" stopIfTrue="1" operator="containsText" text="SP">
      <formula>NOT(ISERROR(SEARCH("SP",W12)))</formula>
    </cfRule>
    <cfRule type="containsText" dxfId="1456" priority="1683" stopIfTrue="1" operator="containsText" text="AL">
      <formula>NOT(ISERROR(SEARCH("AL",W12)))</formula>
    </cfRule>
    <cfRule type="containsText" dxfId="1455" priority="1682" operator="containsText" text="AB">
      <formula>NOT(ISERROR(SEARCH("AB",W12)))</formula>
    </cfRule>
    <cfRule type="containsText" dxfId="1454" priority="1681" operator="containsText" text="NL">
      <formula>NOT(ISERROR(SEARCH("NL",W12)))</formula>
    </cfRule>
    <cfRule type="containsText" dxfId="1453" priority="1680" operator="containsText" text="SICK">
      <formula>NOT(ISERROR(SEARCH("SICK",W12)))</formula>
    </cfRule>
    <cfRule type="containsText" dxfId="1452" priority="1679" operator="containsText" text="AL">
      <formula>NOT(ISERROR(SEARCH("AL",W12)))</formula>
    </cfRule>
    <cfRule type="containsText" dxfId="1451" priority="1671" operator="containsText" text="SICK">
      <formula>NOT(ISERROR(SEARCH("SICK",W12)))</formula>
    </cfRule>
    <cfRule type="containsText" dxfId="1450" priority="1670" operator="containsText" text="AB">
      <formula>NOT(ISERROR(SEARCH("AB",W12)))</formula>
    </cfRule>
    <cfRule type="containsText" dxfId="1449" priority="1678" stopIfTrue="1" operator="containsText" text="SICK">
      <formula>NOT(ISERROR(SEARCH("SICK",W12)))</formula>
    </cfRule>
    <cfRule type="containsText" dxfId="1448" priority="1677" stopIfTrue="1" operator="containsText" text="SP">
      <formula>NOT(ISERROR(SEARCH("SP",W12)))</formula>
    </cfRule>
    <cfRule type="containsText" dxfId="1447" priority="1669" operator="containsText" text="AL">
      <formula>NOT(ISERROR(SEARCH("AL",W12)))</formula>
    </cfRule>
    <cfRule type="containsText" dxfId="1446" priority="1673" operator="containsText" text="SICK">
      <formula>NOT(ISERROR(SEARCH("SICK",W12)))</formula>
    </cfRule>
    <cfRule type="containsText" dxfId="1445" priority="1674" operator="containsText" text="NL">
      <formula>NOT(ISERROR(SEARCH("NL",W12)))</formula>
    </cfRule>
    <cfRule type="containsText" dxfId="1444" priority="1676" stopIfTrue="1" operator="containsText" text="AL">
      <formula>NOT(ISERROR(SEARCH("AL",W12)))</formula>
    </cfRule>
    <cfRule type="containsText" dxfId="1443" priority="1675" operator="containsText" text="AB">
      <formula>NOT(ISERROR(SEARCH("AB",W12)))</formula>
    </cfRule>
  </conditionalFormatting>
  <conditionalFormatting sqref="W17">
    <cfRule type="containsText" dxfId="1442" priority="1951" operator="containsText" text="SICK">
      <formula>NOT(ISERROR(SEARCH("SICK",W17)))</formula>
    </cfRule>
    <cfRule type="containsText" dxfId="1441" priority="1950" operator="containsText" text="AL">
      <formula>NOT(ISERROR(SEARCH("AL",W17)))</formula>
    </cfRule>
    <cfRule type="containsText" dxfId="1440" priority="1949" operator="containsText" text="AB">
      <formula>NOT(ISERROR(SEARCH("AB",W17)))</formula>
    </cfRule>
    <cfRule type="containsText" dxfId="1439" priority="1948" operator="containsText" text="NL">
      <formula>NOT(ISERROR(SEARCH("NL",W17)))</formula>
    </cfRule>
    <cfRule type="containsText" dxfId="1438" priority="1947" operator="containsText" text="SICK">
      <formula>NOT(ISERROR(SEARCH("SICK",W17)))</formula>
    </cfRule>
    <cfRule type="containsText" dxfId="1437" priority="1946" operator="containsText" text="AL">
      <formula>NOT(ISERROR(SEARCH("AL",W17)))</formula>
    </cfRule>
    <cfRule type="containsText" dxfId="1436" priority="1945" operator="containsText" text="AB">
      <formula>NOT(ISERROR(SEARCH("AB",W17)))</formula>
    </cfRule>
    <cfRule type="containsText" dxfId="1435" priority="1944" operator="containsText" text="SICK">
      <formula>NOT(ISERROR(SEARCH("SICK",W17)))</formula>
    </cfRule>
    <cfRule type="containsText" dxfId="1434" priority="1943" operator="containsText" text="AB">
      <formula>NOT(ISERROR(SEARCH("AB",W17)))</formula>
    </cfRule>
    <cfRule type="containsText" dxfId="1433" priority="1942" operator="containsText" text="AL">
      <formula>NOT(ISERROR(SEARCH("AL",W17)))</formula>
    </cfRule>
    <cfRule type="containsText" priority="1941" operator="containsText" text="FL">
      <formula>NOT(ISERROR(SEARCH("FL",W17)))</formula>
    </cfRule>
    <cfRule type="containsText" dxfId="1432" priority="1940" operator="containsText" text="FL">
      <formula>NOT(ISERROR(SEARCH("FL",W17)))</formula>
    </cfRule>
    <cfRule type="containsText" dxfId="1431" priority="1954" stopIfTrue="1" operator="containsText" text="SP">
      <formula>NOT(ISERROR(SEARCH("SP",W17)))</formula>
    </cfRule>
    <cfRule type="containsText" dxfId="1430" priority="1955" stopIfTrue="1" operator="containsText" text="SICK">
      <formula>NOT(ISERROR(SEARCH("SICK",W17)))</formula>
    </cfRule>
    <cfRule type="containsText" dxfId="1429" priority="1953" stopIfTrue="1" operator="containsText" text="AL">
      <formula>NOT(ISERROR(SEARCH("AL",W17)))</formula>
    </cfRule>
    <cfRule type="containsText" dxfId="1428" priority="1952" operator="containsText" text="NL">
      <formula>NOT(ISERROR(SEARCH("NL",W17)))</formula>
    </cfRule>
  </conditionalFormatting>
  <conditionalFormatting sqref="W24">
    <cfRule type="containsText" dxfId="1427" priority="1819" operator="containsText" text="SICK">
      <formula>NOT(ISERROR(SEARCH("SICK",W24)))</formula>
    </cfRule>
    <cfRule type="containsText" dxfId="1426" priority="1822" operator="containsText" text="AL">
      <formula>NOT(ISERROR(SEARCH("AL",W24)))</formula>
    </cfRule>
    <cfRule type="containsText" dxfId="1425" priority="1817" operator="containsText" text="AB">
      <formula>NOT(ISERROR(SEARCH("AB",W24)))</formula>
    </cfRule>
    <cfRule type="containsText" dxfId="1424" priority="1818" operator="containsText" text="AL">
      <formula>NOT(ISERROR(SEARCH("AL",W24)))</formula>
    </cfRule>
    <cfRule type="containsText" dxfId="1423" priority="1820" operator="containsText" text="NL">
      <formula>NOT(ISERROR(SEARCH("NL",W24)))</formula>
    </cfRule>
    <cfRule type="containsText" dxfId="1422" priority="1823" operator="containsText" text="SICK">
      <formula>NOT(ISERROR(SEARCH("SICK",W24)))</formula>
    </cfRule>
    <cfRule type="containsText" dxfId="1421" priority="1824" operator="containsText" text="NL">
      <formula>NOT(ISERROR(SEARCH("NL",W24)))</formula>
    </cfRule>
    <cfRule type="containsText" dxfId="1420" priority="1825" stopIfTrue="1" operator="containsText" text="AL">
      <formula>NOT(ISERROR(SEARCH("AL",W24)))</formula>
    </cfRule>
    <cfRule type="containsText" dxfId="1419" priority="1826" stopIfTrue="1" operator="containsText" text="SP">
      <formula>NOT(ISERROR(SEARCH("SP",W24)))</formula>
    </cfRule>
    <cfRule type="containsText" dxfId="1418" priority="1821" operator="containsText" text="AB">
      <formula>NOT(ISERROR(SEARCH("AB",W24)))</formula>
    </cfRule>
    <cfRule type="containsText" dxfId="1417" priority="1827" stopIfTrue="1" operator="containsText" text="SICK">
      <formula>NOT(ISERROR(SEARCH("SICK",W24)))</formula>
    </cfRule>
  </conditionalFormatting>
  <conditionalFormatting sqref="W24:W25">
    <cfRule type="containsText" dxfId="1416" priority="1789" operator="containsText" text="AB">
      <formula>NOT(ISERROR(SEARCH("AB",W24)))</formula>
    </cfRule>
    <cfRule type="containsText" dxfId="1415" priority="1782" operator="containsText" text="AL">
      <formula>NOT(ISERROR(SEARCH("AL",W24)))</formula>
    </cfRule>
    <cfRule type="containsText" priority="1781" operator="containsText" text="FL">
      <formula>NOT(ISERROR(SEARCH("FL",W24)))</formula>
    </cfRule>
    <cfRule type="containsText" dxfId="1414" priority="1780" operator="containsText" text="FL">
      <formula>NOT(ISERROR(SEARCH("FL",W24)))</formula>
    </cfRule>
    <cfRule type="containsText" dxfId="1413" priority="1791" operator="containsText" text="SICK">
      <formula>NOT(ISERROR(SEARCH("SICK",W24)))</formula>
    </cfRule>
  </conditionalFormatting>
  <conditionalFormatting sqref="W25">
    <cfRule type="containsText" dxfId="1412" priority="1788" operator="containsText" text="NL">
      <formula>NOT(ISERROR(SEARCH("NL",W25)))</formula>
    </cfRule>
    <cfRule type="containsText" dxfId="1411" priority="1783" operator="containsText" text="AB">
      <formula>NOT(ISERROR(SEARCH("AB",W25)))</formula>
    </cfRule>
    <cfRule type="containsText" dxfId="1410" priority="1787" operator="containsText" text="SICK">
      <formula>NOT(ISERROR(SEARCH("SICK",W25)))</formula>
    </cfRule>
    <cfRule type="containsText" dxfId="1409" priority="1790" operator="containsText" text="AL">
      <formula>NOT(ISERROR(SEARCH("AL",W25)))</formula>
    </cfRule>
    <cfRule type="containsText" dxfId="1408" priority="1792" operator="containsText" text="NL">
      <formula>NOT(ISERROR(SEARCH("NL",W25)))</formula>
    </cfRule>
    <cfRule type="containsText" dxfId="1407" priority="1793" stopIfTrue="1" operator="containsText" text="AL">
      <formula>NOT(ISERROR(SEARCH("AL",W25)))</formula>
    </cfRule>
    <cfRule type="containsText" dxfId="1406" priority="1794" stopIfTrue="1" operator="containsText" text="SP">
      <formula>NOT(ISERROR(SEARCH("SP",W25)))</formula>
    </cfRule>
    <cfRule type="containsText" dxfId="1405" priority="1795" stopIfTrue="1" operator="containsText" text="SICK">
      <formula>NOT(ISERROR(SEARCH("SICK",W25)))</formula>
    </cfRule>
    <cfRule type="containsText" dxfId="1404" priority="1786" operator="containsText" text="AL">
      <formula>NOT(ISERROR(SEARCH("AL",W25)))</formula>
    </cfRule>
    <cfRule type="containsText" dxfId="1403" priority="1785" operator="containsText" text="AB">
      <formula>NOT(ISERROR(SEARCH("AB",W25)))</formula>
    </cfRule>
    <cfRule type="containsText" dxfId="1402" priority="1784" operator="containsText" text="SICK">
      <formula>NOT(ISERROR(SEARCH("SICK",W25)))</formula>
    </cfRule>
  </conditionalFormatting>
  <conditionalFormatting sqref="X58:AG58 AJ58:AQ58 D5:M6 D8:M9">
    <cfRule type="containsText" dxfId="1401" priority="8854" operator="containsText" text="AL">
      <formula>NOT(ISERROR(SEARCH("AL",D5)))</formula>
    </cfRule>
  </conditionalFormatting>
  <conditionalFormatting sqref="X58:AG58 AJ58:AQ58">
    <cfRule type="containsText" dxfId="1400" priority="8853" operator="containsText" text="AB">
      <formula>NOT(ISERROR(SEARCH("AB",X58)))</formula>
    </cfRule>
  </conditionalFormatting>
  <conditionalFormatting sqref="Y12">
    <cfRule type="containsText" dxfId="1399" priority="1232" operator="containsText" text="AL">
      <formula>NOT(ISERROR(SEARCH("AL",Y12)))</formula>
    </cfRule>
    <cfRule type="containsText" dxfId="1398" priority="1231" stopIfTrue="1" operator="containsText" text="SICK">
      <formula>NOT(ISERROR(SEARCH("SICK",Y12)))</formula>
    </cfRule>
    <cfRule type="containsText" dxfId="1397" priority="1230" stopIfTrue="1" operator="containsText" text="SP">
      <formula>NOT(ISERROR(SEARCH("SP",Y12)))</formula>
    </cfRule>
    <cfRule type="containsText" dxfId="1396" priority="1229" stopIfTrue="1" operator="containsText" text="AL">
      <formula>NOT(ISERROR(SEARCH("AL",Y12)))</formula>
    </cfRule>
    <cfRule type="containsText" dxfId="1395" priority="1228" operator="containsText" text="AB">
      <formula>NOT(ISERROR(SEARCH("AB",Y12)))</formula>
    </cfRule>
    <cfRule type="containsText" dxfId="1394" priority="1227" operator="containsText" text="NL">
      <formula>NOT(ISERROR(SEARCH("NL",Y12)))</formula>
    </cfRule>
    <cfRule type="containsText" dxfId="1393" priority="1238" stopIfTrue="1" operator="containsText" text="SICK">
      <formula>NOT(ISERROR(SEARCH("SICK",Y12)))</formula>
    </cfRule>
    <cfRule type="containsText" dxfId="1392" priority="1237" stopIfTrue="1" operator="containsText" text="SP">
      <formula>NOT(ISERROR(SEARCH("SP",Y12)))</formula>
    </cfRule>
    <cfRule type="containsText" dxfId="1391" priority="1236" stopIfTrue="1" operator="containsText" text="AL">
      <formula>NOT(ISERROR(SEARCH("AL",Y12)))</formula>
    </cfRule>
    <cfRule type="containsText" dxfId="1390" priority="1235" operator="containsText" text="AB">
      <formula>NOT(ISERROR(SEARCH("AB",Y12)))</formula>
    </cfRule>
    <cfRule type="containsText" dxfId="1389" priority="1234" operator="containsText" text="NL">
      <formula>NOT(ISERROR(SEARCH("NL",Y12)))</formula>
    </cfRule>
    <cfRule type="containsText" dxfId="1388" priority="1233" operator="containsText" text="SICK">
      <formula>NOT(ISERROR(SEARCH("SICK",Y12)))</formula>
    </cfRule>
    <cfRule type="containsText" dxfId="1387" priority="1220" operator="containsText" text="FL">
      <formula>NOT(ISERROR(SEARCH("FL",Y12)))</formula>
    </cfRule>
    <cfRule type="containsText" priority="1221" operator="containsText" text="FL">
      <formula>NOT(ISERROR(SEARCH("FL",Y12)))</formula>
    </cfRule>
    <cfRule type="containsText" dxfId="1386" priority="1222" operator="containsText" text="AL">
      <formula>NOT(ISERROR(SEARCH("AL",Y12)))</formula>
    </cfRule>
    <cfRule type="containsText" dxfId="1385" priority="1223" operator="containsText" text="AB">
      <formula>NOT(ISERROR(SEARCH("AB",Y12)))</formula>
    </cfRule>
    <cfRule type="containsText" dxfId="1384" priority="1224" operator="containsText" text="SICK">
      <formula>NOT(ISERROR(SEARCH("SICK",Y12)))</formula>
    </cfRule>
    <cfRule type="containsText" dxfId="1383" priority="1225" operator="containsText" text="AL">
      <formula>NOT(ISERROR(SEARCH("AL",Y12)))</formula>
    </cfRule>
    <cfRule type="containsText" dxfId="1382" priority="1226" operator="containsText" text="SICK">
      <formula>NOT(ISERROR(SEARCH("SICK",Y12)))</formula>
    </cfRule>
  </conditionalFormatting>
  <conditionalFormatting sqref="Y17">
    <cfRule type="containsText" dxfId="1381" priority="1450" operator="containsText" text="AL">
      <formula>NOT(ISERROR(SEARCH("AL",Y17)))</formula>
    </cfRule>
    <cfRule type="containsText" dxfId="1380" priority="1451" operator="containsText" text="SICK">
      <formula>NOT(ISERROR(SEARCH("SICK",Y17)))</formula>
    </cfRule>
    <cfRule type="containsText" dxfId="1379" priority="1452" operator="containsText" text="NL">
      <formula>NOT(ISERROR(SEARCH("NL",Y17)))</formula>
    </cfRule>
    <cfRule type="containsText" dxfId="1378" priority="1453" stopIfTrue="1" operator="containsText" text="AL">
      <formula>NOT(ISERROR(SEARCH("AL",Y17)))</formula>
    </cfRule>
    <cfRule type="containsText" dxfId="1377" priority="1454" stopIfTrue="1" operator="containsText" text="SP">
      <formula>NOT(ISERROR(SEARCH("SP",Y17)))</formula>
    </cfRule>
    <cfRule type="containsText" dxfId="1376" priority="1455" stopIfTrue="1" operator="containsText" text="SICK">
      <formula>NOT(ISERROR(SEARCH("SICK",Y17)))</formula>
    </cfRule>
    <cfRule type="containsText" dxfId="1375" priority="1440" operator="containsText" text="FL">
      <formula>NOT(ISERROR(SEARCH("FL",Y17)))</formula>
    </cfRule>
    <cfRule type="containsText" priority="1441" operator="containsText" text="FL">
      <formula>NOT(ISERROR(SEARCH("FL",Y17)))</formula>
    </cfRule>
    <cfRule type="containsText" dxfId="1374" priority="1442" operator="containsText" text="AL">
      <formula>NOT(ISERROR(SEARCH("AL",Y17)))</formula>
    </cfRule>
    <cfRule type="containsText" dxfId="1373" priority="1443" operator="containsText" text="AB">
      <formula>NOT(ISERROR(SEARCH("AB",Y17)))</formula>
    </cfRule>
    <cfRule type="containsText" dxfId="1372" priority="1444" operator="containsText" text="SICK">
      <formula>NOT(ISERROR(SEARCH("SICK",Y17)))</formula>
    </cfRule>
    <cfRule type="containsText" dxfId="1371" priority="1445" operator="containsText" text="AB">
      <formula>NOT(ISERROR(SEARCH("AB",Y17)))</formula>
    </cfRule>
    <cfRule type="containsText" dxfId="1370" priority="1446" operator="containsText" text="AL">
      <formula>NOT(ISERROR(SEARCH("AL",Y17)))</formula>
    </cfRule>
    <cfRule type="containsText" dxfId="1369" priority="1447" operator="containsText" text="SICK">
      <formula>NOT(ISERROR(SEARCH("SICK",Y17)))</formula>
    </cfRule>
    <cfRule type="containsText" dxfId="1368" priority="1448" operator="containsText" text="NL">
      <formula>NOT(ISERROR(SEARCH("NL",Y17)))</formula>
    </cfRule>
    <cfRule type="containsText" dxfId="1367" priority="1449" operator="containsText" text="AB">
      <formula>NOT(ISERROR(SEARCH("AB",Y17)))</formula>
    </cfRule>
  </conditionalFormatting>
  <conditionalFormatting sqref="Y22:Y23">
    <cfRule type="containsText" dxfId="1366" priority="1551" stopIfTrue="1" operator="containsText" text="SP">
      <formula>NOT(ISERROR(SEARCH("SP",Y22)))</formula>
    </cfRule>
    <cfRule type="containsText" dxfId="1365" priority="1542" operator="containsText" text="AB">
      <formula>NOT(ISERROR(SEARCH("AB",Y22)))</formula>
    </cfRule>
    <cfRule type="containsText" priority="1538" operator="containsText" text="FL">
      <formula>NOT(ISERROR(SEARCH("FL",Y22)))</formula>
    </cfRule>
    <cfRule type="containsText" dxfId="1364" priority="1541" operator="containsText" text="SICK">
      <formula>NOT(ISERROR(SEARCH("SICK",Y22)))</formula>
    </cfRule>
    <cfRule type="containsText" dxfId="1363" priority="1540" operator="containsText" text="AB">
      <formula>NOT(ISERROR(SEARCH("AB",Y22)))</formula>
    </cfRule>
    <cfRule type="containsText" dxfId="1362" priority="1539" operator="containsText" text="AL">
      <formula>NOT(ISERROR(SEARCH("AL",Y22)))</formula>
    </cfRule>
    <cfRule type="containsText" dxfId="1361" priority="1552" stopIfTrue="1" operator="containsText" text="SICK">
      <formula>NOT(ISERROR(SEARCH("SICK",Y22)))</formula>
    </cfRule>
    <cfRule type="containsText" dxfId="1360" priority="1543" operator="containsText" text="AL">
      <formula>NOT(ISERROR(SEARCH("AL",Y22)))</formula>
    </cfRule>
    <cfRule type="containsText" dxfId="1359" priority="1550" stopIfTrue="1" operator="containsText" text="AL">
      <formula>NOT(ISERROR(SEARCH("AL",Y22)))</formula>
    </cfRule>
    <cfRule type="containsText" dxfId="1358" priority="1549" operator="containsText" text="NL">
      <formula>NOT(ISERROR(SEARCH("NL",Y22)))</formula>
    </cfRule>
    <cfRule type="containsText" dxfId="1357" priority="1548" operator="containsText" text="SICK">
      <formula>NOT(ISERROR(SEARCH("SICK",Y22)))</formula>
    </cfRule>
    <cfRule type="containsText" dxfId="1356" priority="1547" operator="containsText" text="AL">
      <formula>NOT(ISERROR(SEARCH("AL",Y22)))</formula>
    </cfRule>
    <cfRule type="containsText" dxfId="1355" priority="1546" operator="containsText" text="AB">
      <formula>NOT(ISERROR(SEARCH("AB",Y22)))</formula>
    </cfRule>
    <cfRule type="containsText" dxfId="1354" priority="1545" operator="containsText" text="NL">
      <formula>NOT(ISERROR(SEARCH("NL",Y22)))</formula>
    </cfRule>
    <cfRule type="containsText" dxfId="1353" priority="1544" operator="containsText" text="SICK">
      <formula>NOT(ISERROR(SEARCH("SICK",Y22)))</formula>
    </cfRule>
    <cfRule type="containsText" dxfId="1352" priority="1537" operator="containsText" text="FL">
      <formula>NOT(ISERROR(SEARCH("FL",Y22)))</formula>
    </cfRule>
  </conditionalFormatting>
  <conditionalFormatting sqref="Z14:AA14">
    <cfRule type="containsText" dxfId="1351" priority="1617" operator="containsText" text="AB">
      <formula>NOT(ISERROR(SEARCH("AB",Z14)))</formula>
    </cfRule>
  </conditionalFormatting>
  <conditionalFormatting sqref="Z23:AA23">
    <cfRule type="containsText" dxfId="1350" priority="1520" stopIfTrue="1" operator="containsText" text="SICK">
      <formula>NOT(ISERROR(SEARCH("SICK",Z23)))</formula>
    </cfRule>
    <cfRule type="containsText" dxfId="1349" priority="1516" operator="containsText" text="SICK">
      <formula>NOT(ISERROR(SEARCH("SICK",Z23)))</formula>
    </cfRule>
    <cfRule type="containsText" dxfId="1348" priority="1517" operator="containsText" text="NL">
      <formula>NOT(ISERROR(SEARCH("NL",Z23)))</formula>
    </cfRule>
    <cfRule type="containsText" dxfId="1347" priority="1519" stopIfTrue="1" operator="containsText" text="SP">
      <formula>NOT(ISERROR(SEARCH("SP",Z23)))</formula>
    </cfRule>
    <cfRule type="containsText" dxfId="1346" priority="1505" operator="containsText" text="FL">
      <formula>NOT(ISERROR(SEARCH("FL",Z23)))</formula>
    </cfRule>
    <cfRule type="containsText" priority="1506" operator="containsText" text="FL">
      <formula>NOT(ISERROR(SEARCH("FL",Z23)))</formula>
    </cfRule>
    <cfRule type="containsText" dxfId="1345" priority="1511" operator="containsText" text="AL">
      <formula>NOT(ISERROR(SEARCH("AL",Z23)))</formula>
    </cfRule>
    <cfRule type="containsText" dxfId="1344" priority="1518" stopIfTrue="1" operator="containsText" text="AL">
      <formula>NOT(ISERROR(SEARCH("AL",Z23)))</formula>
    </cfRule>
    <cfRule type="containsText" dxfId="1343" priority="1507" operator="containsText" text="AL">
      <formula>NOT(ISERROR(SEARCH("AL",Z23)))</formula>
    </cfRule>
    <cfRule type="containsText" dxfId="1342" priority="1508" operator="containsText" text="AB">
      <formula>NOT(ISERROR(SEARCH("AB",Z23)))</formula>
    </cfRule>
    <cfRule type="containsText" dxfId="1341" priority="1509" operator="containsText" text="SICK">
      <formula>NOT(ISERROR(SEARCH("SICK",Z23)))</formula>
    </cfRule>
    <cfRule type="containsText" dxfId="1340" priority="1510" operator="containsText" text="AB">
      <formula>NOT(ISERROR(SEARCH("AB",Z23)))</formula>
    </cfRule>
    <cfRule type="containsText" dxfId="1339" priority="1512" operator="containsText" text="SICK">
      <formula>NOT(ISERROR(SEARCH("SICK",Z23)))</formula>
    </cfRule>
    <cfRule type="containsText" dxfId="1338" priority="1513" operator="containsText" text="NL">
      <formula>NOT(ISERROR(SEARCH("NL",Z23)))</formula>
    </cfRule>
    <cfRule type="containsText" dxfId="1337" priority="1514" operator="containsText" text="AB">
      <formula>NOT(ISERROR(SEARCH("AB",Z23)))</formula>
    </cfRule>
    <cfRule type="containsText" dxfId="1336" priority="1515" operator="containsText" text="AL">
      <formula>NOT(ISERROR(SEARCH("AL",Z23)))</formula>
    </cfRule>
  </conditionalFormatting>
  <conditionalFormatting sqref="Z35:AA35 D58:W58">
    <cfRule type="containsText" dxfId="1335" priority="8785" stopIfTrue="1" operator="containsText" text="AL">
      <formula>NOT(ISERROR(SEARCH("AL",D35)))</formula>
    </cfRule>
  </conditionalFormatting>
  <conditionalFormatting sqref="Z35:AA35">
    <cfRule type="containsText" dxfId="1334" priority="8786" stopIfTrue="1" operator="containsText" text="SP">
      <formula>NOT(ISERROR(SEARCH("SP",Z35)))</formula>
    </cfRule>
    <cfRule type="containsText" dxfId="1333" priority="8787" stopIfTrue="1" operator="containsText" text="SICK">
      <formula>NOT(ISERROR(SEARCH("SICK",Z35)))</formula>
    </cfRule>
  </conditionalFormatting>
  <conditionalFormatting sqref="Z59:AA59">
    <cfRule type="containsText" dxfId="1332" priority="8793" stopIfTrue="1" operator="containsText" text="SP">
      <formula>NOT(ISERROR(SEARCH("SP",Z59)))</formula>
    </cfRule>
    <cfRule type="containsText" dxfId="1331" priority="8794" stopIfTrue="1" operator="containsText" text="SICK">
      <formula>NOT(ISERROR(SEARCH("SICK",Z59)))</formula>
    </cfRule>
    <cfRule type="containsText" dxfId="1330" priority="8792" stopIfTrue="1" operator="containsText" text="AL">
      <formula>NOT(ISERROR(SEARCH("AL",Z59)))</formula>
    </cfRule>
  </conditionalFormatting>
  <conditionalFormatting sqref="AA12">
    <cfRule type="containsText" dxfId="1329" priority="1218" stopIfTrue="1" operator="containsText" text="SP">
      <formula>NOT(ISERROR(SEARCH("SP",AA12)))</formula>
    </cfRule>
    <cfRule type="containsText" dxfId="1328" priority="1217" stopIfTrue="1" operator="containsText" text="AL">
      <formula>NOT(ISERROR(SEARCH("AL",AA12)))</formula>
    </cfRule>
    <cfRule type="containsText" dxfId="1327" priority="1216" operator="containsText" text="AB">
      <formula>NOT(ISERROR(SEARCH("AB",AA12)))</formula>
    </cfRule>
    <cfRule type="containsText" dxfId="1326" priority="1215" operator="containsText" text="NL">
      <formula>NOT(ISERROR(SEARCH("NL",AA12)))</formula>
    </cfRule>
    <cfRule type="containsText" dxfId="1325" priority="1214" operator="containsText" text="SICK">
      <formula>NOT(ISERROR(SEARCH("SICK",AA12)))</formula>
    </cfRule>
    <cfRule type="containsText" dxfId="1324" priority="1213" operator="containsText" text="AL">
      <formula>NOT(ISERROR(SEARCH("AL",AA12)))</formula>
    </cfRule>
    <cfRule type="containsText" dxfId="1323" priority="1212" stopIfTrue="1" operator="containsText" text="SICK">
      <formula>NOT(ISERROR(SEARCH("SICK",AA12)))</formula>
    </cfRule>
    <cfRule type="containsText" dxfId="1322" priority="1211" stopIfTrue="1" operator="containsText" text="SP">
      <formula>NOT(ISERROR(SEARCH("SP",AA12)))</formula>
    </cfRule>
    <cfRule type="containsText" dxfId="1321" priority="1210" stopIfTrue="1" operator="containsText" text="AL">
      <formula>NOT(ISERROR(SEARCH("AL",AA12)))</formula>
    </cfRule>
    <cfRule type="containsText" dxfId="1320" priority="1209" operator="containsText" text="AB">
      <formula>NOT(ISERROR(SEARCH("AB",AA12)))</formula>
    </cfRule>
    <cfRule type="containsText" dxfId="1319" priority="1208" operator="containsText" text="NL">
      <formula>NOT(ISERROR(SEARCH("NL",AA12)))</formula>
    </cfRule>
    <cfRule type="containsText" dxfId="1318" priority="1207" operator="containsText" text="SICK">
      <formula>NOT(ISERROR(SEARCH("SICK",AA12)))</formula>
    </cfRule>
    <cfRule type="containsText" dxfId="1317" priority="1206" operator="containsText" text="AL">
      <formula>NOT(ISERROR(SEARCH("AL",AA12)))</formula>
    </cfRule>
    <cfRule type="containsText" dxfId="1316" priority="1205" operator="containsText" text="SICK">
      <formula>NOT(ISERROR(SEARCH("SICK",AA12)))</formula>
    </cfRule>
    <cfRule type="containsText" dxfId="1315" priority="1219" stopIfTrue="1" operator="containsText" text="SICK">
      <formula>NOT(ISERROR(SEARCH("SICK",AA12)))</formula>
    </cfRule>
  </conditionalFormatting>
  <conditionalFormatting sqref="AA17">
    <cfRule type="containsText" dxfId="1314" priority="1436" operator="containsText" text="NL">
      <formula>NOT(ISERROR(SEARCH("NL",AA17)))</formula>
    </cfRule>
    <cfRule type="containsText" dxfId="1313" priority="1438" stopIfTrue="1" operator="containsText" text="SP">
      <formula>NOT(ISERROR(SEARCH("SP",AA17)))</formula>
    </cfRule>
    <cfRule type="containsText" dxfId="1312" priority="1437" stopIfTrue="1" operator="containsText" text="AL">
      <formula>NOT(ISERROR(SEARCH("AL",AA17)))</formula>
    </cfRule>
    <cfRule type="containsText" dxfId="1311" priority="1435" operator="containsText" text="SICK">
      <formula>NOT(ISERROR(SEARCH("SICK",AA17)))</formula>
    </cfRule>
    <cfRule type="containsText" dxfId="1310" priority="1434" operator="containsText" text="AL">
      <formula>NOT(ISERROR(SEARCH("AL",AA17)))</formula>
    </cfRule>
    <cfRule type="containsText" dxfId="1309" priority="1433" operator="containsText" text="AB">
      <formula>NOT(ISERROR(SEARCH("AB",AA17)))</formula>
    </cfRule>
    <cfRule type="containsText" dxfId="1308" priority="1432" operator="containsText" text="NL">
      <formula>NOT(ISERROR(SEARCH("NL",AA17)))</formula>
    </cfRule>
    <cfRule type="containsText" dxfId="1307" priority="1430" operator="containsText" text="AL">
      <formula>NOT(ISERROR(SEARCH("AL",AA17)))</formula>
    </cfRule>
    <cfRule type="containsText" dxfId="1306" priority="1429" operator="containsText" text="AB">
      <formula>NOT(ISERROR(SEARCH("AB",AA17)))</formula>
    </cfRule>
    <cfRule type="containsText" dxfId="1305" priority="1428" operator="containsText" text="SICK">
      <formula>NOT(ISERROR(SEARCH("SICK",AA17)))</formula>
    </cfRule>
    <cfRule type="containsText" priority="1425" operator="containsText" text="FL">
      <formula>NOT(ISERROR(SEARCH("FL",AA17)))</formula>
    </cfRule>
    <cfRule type="containsText" dxfId="1304" priority="1426" operator="containsText" text="AL">
      <formula>NOT(ISERROR(SEARCH("AL",AA17)))</formula>
    </cfRule>
    <cfRule type="containsText" dxfId="1303" priority="1431" operator="containsText" text="SICK">
      <formula>NOT(ISERROR(SEARCH("SICK",AA17)))</formula>
    </cfRule>
    <cfRule type="containsText" dxfId="1302" priority="1427" operator="containsText" text="AB">
      <formula>NOT(ISERROR(SEARCH("AB",AA17)))</formula>
    </cfRule>
    <cfRule type="containsText" dxfId="1301" priority="1424" operator="containsText" text="FL">
      <formula>NOT(ISERROR(SEARCH("FL",AA17)))</formula>
    </cfRule>
    <cfRule type="containsText" dxfId="1300" priority="1439" stopIfTrue="1" operator="containsText" text="SICK">
      <formula>NOT(ISERROR(SEARCH("SICK",AA17)))</formula>
    </cfRule>
  </conditionalFormatting>
  <conditionalFormatting sqref="AA20">
    <cfRule type="containsText" dxfId="1299" priority="1593" operator="containsText" text="NL">
      <formula>NOT(ISERROR(SEARCH("NL",AA20)))</formula>
    </cfRule>
    <cfRule type="containsText" dxfId="1298" priority="1595" operator="containsText" text="AL">
      <formula>NOT(ISERROR(SEARCH("AL",AA20)))</formula>
    </cfRule>
    <cfRule type="containsText" dxfId="1297" priority="1596" operator="containsText" text="SICK">
      <formula>NOT(ISERROR(SEARCH("SICK",AA20)))</formula>
    </cfRule>
    <cfRule type="containsText" dxfId="1296" priority="1597" operator="containsText" text="NL">
      <formula>NOT(ISERROR(SEARCH("NL",AA20)))</formula>
    </cfRule>
    <cfRule type="containsText" dxfId="1295" priority="1594" operator="containsText" text="AB">
      <formula>NOT(ISERROR(SEARCH("AB",AA20)))</formula>
    </cfRule>
    <cfRule type="containsText" dxfId="1294" priority="1600" stopIfTrue="1" operator="containsText" text="SICK">
      <formula>NOT(ISERROR(SEARCH("SICK",AA20)))</formula>
    </cfRule>
    <cfRule type="containsText" dxfId="1293" priority="1599" stopIfTrue="1" operator="containsText" text="SP">
      <formula>NOT(ISERROR(SEARCH("SP",AA20)))</formula>
    </cfRule>
    <cfRule type="containsText" dxfId="1292" priority="1598" stopIfTrue="1" operator="containsText" text="AL">
      <formula>NOT(ISERROR(SEARCH("AL",AA20)))</formula>
    </cfRule>
    <cfRule type="containsText" dxfId="1291" priority="1585" operator="containsText" text="FL">
      <formula>NOT(ISERROR(SEARCH("FL",AA20)))</formula>
    </cfRule>
    <cfRule type="containsText" priority="1586" operator="containsText" text="FL">
      <formula>NOT(ISERROR(SEARCH("FL",AA20)))</formula>
    </cfRule>
    <cfRule type="containsText" dxfId="1290" priority="1587" operator="containsText" text="AL">
      <formula>NOT(ISERROR(SEARCH("AL",AA20)))</formula>
    </cfRule>
    <cfRule type="containsText" dxfId="1289" priority="1588" operator="containsText" text="AB">
      <formula>NOT(ISERROR(SEARCH("AB",AA20)))</formula>
    </cfRule>
    <cfRule type="containsText" dxfId="1288" priority="1589" operator="containsText" text="SICK">
      <formula>NOT(ISERROR(SEARCH("SICK",AA20)))</formula>
    </cfRule>
    <cfRule type="containsText" dxfId="1287" priority="1590" operator="containsText" text="AB">
      <formula>NOT(ISERROR(SEARCH("AB",AA20)))</formula>
    </cfRule>
    <cfRule type="containsText" dxfId="1286" priority="1591" operator="containsText" text="AL">
      <formula>NOT(ISERROR(SEARCH("AL",AA20)))</formula>
    </cfRule>
    <cfRule type="containsText" dxfId="1285" priority="1592" operator="containsText" text="SICK">
      <formula>NOT(ISERROR(SEARCH("SICK",AA20)))</formula>
    </cfRule>
  </conditionalFormatting>
  <conditionalFormatting sqref="AA30">
    <cfRule type="containsText" dxfId="1284" priority="1466" operator="containsText" text="AB">
      <formula>NOT(ISERROR(SEARCH("AB",AA30)))</formula>
    </cfRule>
    <cfRule type="containsText" dxfId="1283" priority="1472" stopIfTrue="1" operator="containsText" text="SICK">
      <formula>NOT(ISERROR(SEARCH("SICK",AA30)))</formula>
    </cfRule>
    <cfRule type="containsText" dxfId="1282" priority="1457" operator="containsText" text="FL">
      <formula>NOT(ISERROR(SEARCH("FL",AA30)))</formula>
    </cfRule>
    <cfRule type="containsText" priority="1458" operator="containsText" text="FL">
      <formula>NOT(ISERROR(SEARCH("FL",AA30)))</formula>
    </cfRule>
    <cfRule type="containsText" dxfId="1281" priority="1459" operator="containsText" text="AL">
      <formula>NOT(ISERROR(SEARCH("AL",AA30)))</formula>
    </cfRule>
    <cfRule type="containsText" dxfId="1280" priority="1460" operator="containsText" text="AB">
      <formula>NOT(ISERROR(SEARCH("AB",AA30)))</formula>
    </cfRule>
    <cfRule type="containsText" dxfId="1279" priority="1461" operator="containsText" text="SICK">
      <formula>NOT(ISERROR(SEARCH("SICK",AA30)))</formula>
    </cfRule>
    <cfRule type="containsText" dxfId="1278" priority="1462" operator="containsText" text="AB">
      <formula>NOT(ISERROR(SEARCH("AB",AA30)))</formula>
    </cfRule>
    <cfRule type="containsText" dxfId="1277" priority="1463" operator="containsText" text="AL">
      <formula>NOT(ISERROR(SEARCH("AL",AA30)))</formula>
    </cfRule>
    <cfRule type="containsText" dxfId="1276" priority="1464" operator="containsText" text="SICK">
      <formula>NOT(ISERROR(SEARCH("SICK",AA30)))</formula>
    </cfRule>
    <cfRule type="containsText" dxfId="1275" priority="1465" operator="containsText" text="NL">
      <formula>NOT(ISERROR(SEARCH("NL",AA30)))</formula>
    </cfRule>
    <cfRule type="containsText" dxfId="1274" priority="1467" operator="containsText" text="AL">
      <formula>NOT(ISERROR(SEARCH("AL",AA30)))</formula>
    </cfRule>
    <cfRule type="containsText" dxfId="1273" priority="1468" operator="containsText" text="SICK">
      <formula>NOT(ISERROR(SEARCH("SICK",AA30)))</formula>
    </cfRule>
    <cfRule type="containsText" dxfId="1272" priority="1469" operator="containsText" text="NL">
      <formula>NOT(ISERROR(SEARCH("NL",AA30)))</formula>
    </cfRule>
    <cfRule type="containsText" dxfId="1271" priority="1470" stopIfTrue="1" operator="containsText" text="AL">
      <formula>NOT(ISERROR(SEARCH("AL",AA30)))</formula>
    </cfRule>
    <cfRule type="containsText" dxfId="1270" priority="1471" stopIfTrue="1" operator="containsText" text="SP">
      <formula>NOT(ISERROR(SEARCH("SP",AA30)))</formula>
    </cfRule>
  </conditionalFormatting>
  <conditionalFormatting sqref="AA12:AC12">
    <cfRule type="containsText" dxfId="1269" priority="46" operator="containsText" text="FL">
      <formula>NOT(ISERROR(SEARCH("FL",AA12)))</formula>
    </cfRule>
    <cfRule type="containsText" priority="47" operator="containsText" text="FL">
      <formula>NOT(ISERROR(SEARCH("FL",AA12)))</formula>
    </cfRule>
    <cfRule type="containsText" dxfId="1268" priority="48" operator="containsText" text="AL">
      <formula>NOT(ISERROR(SEARCH("AL",AA12)))</formula>
    </cfRule>
    <cfRule type="containsText" dxfId="1267" priority="54" operator="containsText" text="AB">
      <formula>NOT(ISERROR(SEARCH("AB",AA12)))</formula>
    </cfRule>
  </conditionalFormatting>
  <conditionalFormatting sqref="AB8:AC8 AH7:AH9">
    <cfRule type="containsText" dxfId="1266" priority="8674" stopIfTrue="1" operator="containsText" text="AL">
      <formula>NOT(ISERROR(SEARCH("AL",AB7)))</formula>
    </cfRule>
  </conditionalFormatting>
  <conditionalFormatting sqref="AB8:AC8 AH17:AH19 AH58:AH59 AT59:BI59">
    <cfRule type="containsText" dxfId="1265" priority="8686" stopIfTrue="1" operator="containsText" text="SICK">
      <formula>NOT(ISERROR(SEARCH("SICK",AB8)))</formula>
    </cfRule>
    <cfRule type="containsText" dxfId="1264" priority="8685" stopIfTrue="1" operator="containsText" text="SP">
      <formula>NOT(ISERROR(SEARCH("SP",AB8)))</formula>
    </cfRule>
  </conditionalFormatting>
  <conditionalFormatting sqref="AB8:AC8 AT59:BI59 AH17:AH19 AH58:AH59">
    <cfRule type="containsText" dxfId="1263" priority="8684" stopIfTrue="1" operator="containsText" text="AL">
      <formula>NOT(ISERROR(SEARCH("AL",AB8)))</formula>
    </cfRule>
  </conditionalFormatting>
  <conditionalFormatting sqref="AB8:AC9">
    <cfRule type="containsText" dxfId="1262" priority="7103" operator="containsText" text="AB">
      <formula>NOT(ISERROR(SEARCH("AB",AB8)))</formula>
    </cfRule>
    <cfRule type="containsText" dxfId="1261" priority="7104" stopIfTrue="1" operator="containsText" text="AL">
      <formula>NOT(ISERROR(SEARCH("AL",AB8)))</formula>
    </cfRule>
    <cfRule type="containsText" dxfId="1260" priority="7105" stopIfTrue="1" operator="containsText" text="SP">
      <formula>NOT(ISERROR(SEARCH("SP",AB8)))</formula>
    </cfRule>
    <cfRule type="containsText" dxfId="1259" priority="7106" stopIfTrue="1" operator="containsText" text="SICK">
      <formula>NOT(ISERROR(SEARCH("SICK",AB8)))</formula>
    </cfRule>
    <cfRule type="containsText" dxfId="1258" priority="8679" operator="containsText" text="SICK">
      <formula>NOT(ISERROR(SEARCH("SICK",AB8)))</formula>
    </cfRule>
    <cfRule type="containsText" dxfId="1257" priority="8677" operator="containsText" text="AB">
      <formula>NOT(ISERROR(SEARCH("AB",AB8)))</formula>
    </cfRule>
    <cfRule type="containsText" dxfId="1256" priority="8678" operator="containsText" text="AL">
      <formula>NOT(ISERROR(SEARCH("AL",AB8)))</formula>
    </cfRule>
  </conditionalFormatting>
  <conditionalFormatting sqref="AB12:AC12">
    <cfRule type="containsText" dxfId="1255" priority="40" operator="containsText" text="AL">
      <formula>NOT(ISERROR(SEARCH("AL",AB12)))</formula>
    </cfRule>
    <cfRule type="containsText" dxfId="1254" priority="41" operator="containsText" text="SICK">
      <formula>NOT(ISERROR(SEARCH("SICK",AB12)))</formula>
    </cfRule>
    <cfRule type="containsText" dxfId="1253" priority="42" operator="containsText" text="NL">
      <formula>NOT(ISERROR(SEARCH("NL",AB12)))</formula>
    </cfRule>
    <cfRule type="containsText" dxfId="1252" priority="43" stopIfTrue="1" operator="containsText" text="AL">
      <formula>NOT(ISERROR(SEARCH("AL",AB12)))</formula>
    </cfRule>
    <cfRule type="containsText" dxfId="1251" priority="44" stopIfTrue="1" operator="containsText" text="SP">
      <formula>NOT(ISERROR(SEARCH("SP",AB12)))</formula>
    </cfRule>
    <cfRule type="containsText" dxfId="1250" priority="45" stopIfTrue="1" operator="containsText" text="SICK">
      <formula>NOT(ISERROR(SEARCH("SICK",AB12)))</formula>
    </cfRule>
    <cfRule type="containsText" dxfId="1249" priority="57" stopIfTrue="1" operator="containsText" text="SICK">
      <formula>NOT(ISERROR(SEARCH("SICK",AB12)))</formula>
    </cfRule>
    <cfRule type="containsText" dxfId="1248" priority="39" operator="containsText" text="AB">
      <formula>NOT(ISERROR(SEARCH("AB",AB12)))</formula>
    </cfRule>
    <cfRule type="containsText" dxfId="1247" priority="49" operator="containsText" text="AB">
      <formula>NOT(ISERROR(SEARCH("AB",AB12)))</formula>
    </cfRule>
    <cfRule type="containsText" dxfId="1246" priority="53" operator="containsText" text="NL">
      <formula>NOT(ISERROR(SEARCH("NL",AB12)))</formula>
    </cfRule>
    <cfRule type="containsText" dxfId="1245" priority="50" operator="containsText" text="SICK">
      <formula>NOT(ISERROR(SEARCH("SICK",AB12)))</formula>
    </cfRule>
    <cfRule type="containsText" dxfId="1244" priority="51" operator="containsText" text="AL">
      <formula>NOT(ISERROR(SEARCH("AL",AB12)))</formula>
    </cfRule>
    <cfRule type="containsText" dxfId="1243" priority="52" operator="containsText" text="SICK">
      <formula>NOT(ISERROR(SEARCH("SICK",AB12)))</formula>
    </cfRule>
    <cfRule type="containsText" dxfId="1242" priority="55" stopIfTrue="1" operator="containsText" text="AL">
      <formula>NOT(ISERROR(SEARCH("AL",AB12)))</formula>
    </cfRule>
    <cfRule type="containsText" dxfId="1241" priority="56" stopIfTrue="1" operator="containsText" text="SP">
      <formula>NOT(ISERROR(SEARCH("SP",AB12)))</formula>
    </cfRule>
  </conditionalFormatting>
  <conditionalFormatting sqref="AB19:AC19">
    <cfRule type="containsText" dxfId="1240" priority="1358" operator="containsText" text="AL">
      <formula>NOT(ISERROR(SEARCH("AL",AB19)))</formula>
    </cfRule>
    <cfRule type="containsText" dxfId="1239" priority="1363" stopIfTrue="1" operator="containsText" text="SICK">
      <formula>NOT(ISERROR(SEARCH("SICK",AB19)))</formula>
    </cfRule>
    <cfRule type="containsText" dxfId="1238" priority="1362" stopIfTrue="1" operator="containsText" text="SP">
      <formula>NOT(ISERROR(SEARCH("SP",AB19)))</formula>
    </cfRule>
    <cfRule type="containsText" dxfId="1237" priority="1361" stopIfTrue="1" operator="containsText" text="AL">
      <formula>NOT(ISERROR(SEARCH("AL",AB19)))</formula>
    </cfRule>
    <cfRule type="containsText" dxfId="1236" priority="1360" operator="containsText" text="NL">
      <formula>NOT(ISERROR(SEARCH("NL",AB19)))</formula>
    </cfRule>
  </conditionalFormatting>
  <conditionalFormatting sqref="AB25:AC25">
    <cfRule type="containsText" dxfId="1235" priority="1372" operator="containsText" text="NL">
      <formula>NOT(ISERROR(SEARCH("NL",AB25)))</formula>
    </cfRule>
    <cfRule type="containsText" dxfId="1234" priority="1368" operator="containsText" text="SICK">
      <formula>NOT(ISERROR(SEARCH("SICK",AB25)))</formula>
    </cfRule>
    <cfRule type="containsText" dxfId="1233" priority="1373" stopIfTrue="1" operator="containsText" text="AL">
      <formula>NOT(ISERROR(SEARCH("AL",AB25)))</formula>
    </cfRule>
    <cfRule type="containsText" dxfId="1232" priority="1364" operator="containsText" text="FL">
      <formula>NOT(ISERROR(SEARCH("FL",AB25)))</formula>
    </cfRule>
    <cfRule type="containsText" dxfId="1231" priority="1374" stopIfTrue="1" operator="containsText" text="SP">
      <formula>NOT(ISERROR(SEARCH("SP",AB25)))</formula>
    </cfRule>
    <cfRule type="containsText" dxfId="1230" priority="1367" operator="containsText" text="AB">
      <formula>NOT(ISERROR(SEARCH("AB",AB25)))</formula>
    </cfRule>
    <cfRule type="containsText" dxfId="1229" priority="1375" stopIfTrue="1" operator="containsText" text="SICK">
      <formula>NOT(ISERROR(SEARCH("SICK",AB25)))</formula>
    </cfRule>
    <cfRule type="containsText" priority="1365" operator="containsText" text="FL">
      <formula>NOT(ISERROR(SEARCH("FL",AB25)))</formula>
    </cfRule>
    <cfRule type="containsText" dxfId="1228" priority="1366" operator="containsText" text="AL">
      <formula>NOT(ISERROR(SEARCH("AL",AB25)))</formula>
    </cfRule>
    <cfRule type="containsText" dxfId="1227" priority="1369" operator="containsText" text="AB">
      <formula>NOT(ISERROR(SEARCH("AB",AB25)))</formula>
    </cfRule>
    <cfRule type="containsText" dxfId="1226" priority="1370" operator="containsText" text="AL">
      <formula>NOT(ISERROR(SEARCH("AL",AB25)))</formula>
    </cfRule>
    <cfRule type="containsText" dxfId="1225" priority="1371" operator="containsText" text="SICK">
      <formula>NOT(ISERROR(SEARCH("SICK",AB25)))</formula>
    </cfRule>
  </conditionalFormatting>
  <conditionalFormatting sqref="AB29:AC29">
    <cfRule type="containsText" dxfId="1224" priority="1243" operator="containsText" text="AB">
      <formula>NOT(ISERROR(SEARCH("AB",AB29)))</formula>
    </cfRule>
    <cfRule type="containsText" dxfId="1223" priority="1240" operator="containsText" text="FL">
      <formula>NOT(ISERROR(SEARCH("FL",AB29)))</formula>
    </cfRule>
    <cfRule type="containsText" priority="1241" operator="containsText" text="FL">
      <formula>NOT(ISERROR(SEARCH("FL",AB29)))</formula>
    </cfRule>
    <cfRule type="containsText" dxfId="1222" priority="1245" operator="containsText" text="AB">
      <formula>NOT(ISERROR(SEARCH("AB",AB29)))</formula>
    </cfRule>
    <cfRule type="containsText" dxfId="1221" priority="1246" operator="containsText" text="AL">
      <formula>NOT(ISERROR(SEARCH("AL",AB29)))</formula>
    </cfRule>
    <cfRule type="containsText" dxfId="1220" priority="1251" stopIfTrue="1" operator="containsText" text="SICK">
      <formula>NOT(ISERROR(SEARCH("SICK",AB29)))</formula>
    </cfRule>
    <cfRule type="containsText" dxfId="1219" priority="1250" stopIfTrue="1" operator="containsText" text="SP">
      <formula>NOT(ISERROR(SEARCH("SP",AB29)))</formula>
    </cfRule>
    <cfRule type="containsText" dxfId="1218" priority="1249" stopIfTrue="1" operator="containsText" text="AL">
      <formula>NOT(ISERROR(SEARCH("AL",AB29)))</formula>
    </cfRule>
    <cfRule type="containsText" dxfId="1217" priority="1248" operator="containsText" text="NL">
      <formula>NOT(ISERROR(SEARCH("NL",AB29)))</formula>
    </cfRule>
    <cfRule type="containsText" dxfId="1216" priority="1244" operator="containsText" text="SICK">
      <formula>NOT(ISERROR(SEARCH("SICK",AB29)))</formula>
    </cfRule>
    <cfRule type="containsText" dxfId="1215" priority="1242" operator="containsText" text="AL">
      <formula>NOT(ISERROR(SEARCH("AL",AB29)))</formula>
    </cfRule>
    <cfRule type="containsText" dxfId="1214" priority="1247" operator="containsText" text="SICK">
      <formula>NOT(ISERROR(SEARCH("SICK",AB29)))</formula>
    </cfRule>
  </conditionalFormatting>
  <conditionalFormatting sqref="AB19:AE19">
    <cfRule type="containsText" dxfId="1213" priority="1264" operator="containsText" text="AB">
      <formula>NOT(ISERROR(SEARCH("AB",AB19)))</formula>
    </cfRule>
    <cfRule type="containsText" dxfId="1212" priority="1266" operator="containsText" text="SICK">
      <formula>NOT(ISERROR(SEARCH("SICK",AB19)))</formula>
    </cfRule>
  </conditionalFormatting>
  <conditionalFormatting sqref="AB8:AG9">
    <cfRule type="containsText" dxfId="1211" priority="1627" operator="containsText" text="AB">
      <formula>NOT(ISERROR(SEARCH("AB",AB8)))</formula>
    </cfRule>
  </conditionalFormatting>
  <conditionalFormatting sqref="AC7">
    <cfRule type="containsText" dxfId="1210" priority="1391" stopIfTrue="1" operator="containsText" text="SICK">
      <formula>NOT(ISERROR(SEARCH("SICK",AC7)))</formula>
    </cfRule>
    <cfRule type="containsText" priority="1377" operator="containsText" text="FL">
      <formula>NOT(ISERROR(SEARCH("FL",AC7)))</formula>
    </cfRule>
    <cfRule type="containsText" dxfId="1209" priority="1376" operator="containsText" text="FL">
      <formula>NOT(ISERROR(SEARCH("FL",AC7)))</formula>
    </cfRule>
    <cfRule type="containsText" dxfId="1208" priority="1384" operator="containsText" text="NL">
      <formula>NOT(ISERROR(SEARCH("NL",AC7)))</formula>
    </cfRule>
    <cfRule type="containsText" dxfId="1207" priority="1382" operator="containsText" text="AL">
      <formula>NOT(ISERROR(SEARCH("AL",AC7)))</formula>
    </cfRule>
    <cfRule type="containsText" dxfId="1206" priority="1385" operator="containsText" text="AB">
      <formula>NOT(ISERROR(SEARCH("AB",AC7)))</formula>
    </cfRule>
    <cfRule type="containsText" dxfId="1205" priority="1386" operator="containsText" text="AL">
      <formula>NOT(ISERROR(SEARCH("AL",AC7)))</formula>
    </cfRule>
    <cfRule type="containsText" dxfId="1204" priority="1387" operator="containsText" text="SICK">
      <formula>NOT(ISERROR(SEARCH("SICK",AC7)))</formula>
    </cfRule>
    <cfRule type="containsText" dxfId="1203" priority="1388" operator="containsText" text="NL">
      <formula>NOT(ISERROR(SEARCH("NL",AC7)))</formula>
    </cfRule>
    <cfRule type="containsText" dxfId="1202" priority="1381" operator="containsText" text="AB">
      <formula>NOT(ISERROR(SEARCH("AB",AC7)))</formula>
    </cfRule>
    <cfRule type="containsText" dxfId="1201" priority="1380" operator="containsText" text="SICK">
      <formula>NOT(ISERROR(SEARCH("SICK",AC7)))</formula>
    </cfRule>
    <cfRule type="containsText" dxfId="1200" priority="1389" stopIfTrue="1" operator="containsText" text="AL">
      <formula>NOT(ISERROR(SEARCH("AL",AC7)))</formula>
    </cfRule>
    <cfRule type="containsText" dxfId="1199" priority="1383" operator="containsText" text="SICK">
      <formula>NOT(ISERROR(SEARCH("SICK",AC7)))</formula>
    </cfRule>
    <cfRule type="containsText" dxfId="1198" priority="1390" stopIfTrue="1" operator="containsText" text="SP">
      <formula>NOT(ISERROR(SEARCH("SP",AC7)))</formula>
    </cfRule>
    <cfRule type="containsText" dxfId="1197" priority="1379" operator="containsText" text="AB">
      <formula>NOT(ISERROR(SEARCH("AB",AC7)))</formula>
    </cfRule>
    <cfRule type="containsText" dxfId="1196" priority="1378" operator="containsText" text="AL">
      <formula>NOT(ISERROR(SEARCH("AL",AC7)))</formula>
    </cfRule>
  </conditionalFormatting>
  <conditionalFormatting sqref="AC17">
    <cfRule type="containsText" dxfId="1195" priority="1422" stopIfTrue="1" operator="containsText" text="SP">
      <formula>NOT(ISERROR(SEARCH("SP",AC17)))</formula>
    </cfRule>
    <cfRule type="containsText" dxfId="1194" priority="1421" stopIfTrue="1" operator="containsText" text="AL">
      <formula>NOT(ISERROR(SEARCH("AL",AC17)))</formula>
    </cfRule>
    <cfRule type="containsText" dxfId="1193" priority="1420" operator="containsText" text="NL">
      <formula>NOT(ISERROR(SEARCH("NL",AC17)))</formula>
    </cfRule>
    <cfRule type="containsText" dxfId="1192" priority="1419" operator="containsText" text="SICK">
      <formula>NOT(ISERROR(SEARCH("SICK",AC17)))</formula>
    </cfRule>
    <cfRule type="containsText" dxfId="1191" priority="1418" operator="containsText" text="AL">
      <formula>NOT(ISERROR(SEARCH("AL",AC17)))</formula>
    </cfRule>
    <cfRule type="containsText" dxfId="1190" priority="1417" operator="containsText" text="AB">
      <formula>NOT(ISERROR(SEARCH("AB",AC17)))</formula>
    </cfRule>
    <cfRule type="containsText" dxfId="1189" priority="1416" operator="containsText" text="NL">
      <formula>NOT(ISERROR(SEARCH("NL",AC17)))</formula>
    </cfRule>
    <cfRule type="containsText" dxfId="1188" priority="1415" operator="containsText" text="SICK">
      <formula>NOT(ISERROR(SEARCH("SICK",AC17)))</formula>
    </cfRule>
    <cfRule type="containsText" dxfId="1187" priority="1414" operator="containsText" text="AL">
      <formula>NOT(ISERROR(SEARCH("AL",AC17)))</formula>
    </cfRule>
    <cfRule type="containsText" dxfId="1186" priority="1413" operator="containsText" text="AB">
      <formula>NOT(ISERROR(SEARCH("AB",AC17)))</formula>
    </cfRule>
    <cfRule type="containsText" dxfId="1185" priority="1412" operator="containsText" text="SICK">
      <formula>NOT(ISERROR(SEARCH("SICK",AC17)))</formula>
    </cfRule>
    <cfRule type="containsText" dxfId="1184" priority="1411" operator="containsText" text="AB">
      <formula>NOT(ISERROR(SEARCH("AB",AC17)))</formula>
    </cfRule>
    <cfRule type="containsText" priority="1409" operator="containsText" text="FL">
      <formula>NOT(ISERROR(SEARCH("FL",AC17)))</formula>
    </cfRule>
    <cfRule type="containsText" dxfId="1183" priority="1408" operator="containsText" text="FL">
      <formula>NOT(ISERROR(SEARCH("FL",AC17)))</formula>
    </cfRule>
    <cfRule type="containsText" dxfId="1182" priority="1423" stopIfTrue="1" operator="containsText" text="SICK">
      <formula>NOT(ISERROR(SEARCH("SICK",AC17)))</formula>
    </cfRule>
    <cfRule type="containsText" dxfId="1181" priority="1410" operator="containsText" text="AL">
      <formula>NOT(ISERROR(SEARCH("AL",AC17)))</formula>
    </cfRule>
  </conditionalFormatting>
  <conditionalFormatting sqref="AC20">
    <cfRule type="containsText" dxfId="1180" priority="1571" operator="containsText" text="AL">
      <formula>NOT(ISERROR(SEARCH("AL",AC20)))</formula>
    </cfRule>
    <cfRule type="containsText" dxfId="1179" priority="1584" stopIfTrue="1" operator="containsText" text="SICK">
      <formula>NOT(ISERROR(SEARCH("SICK",AC20)))</formula>
    </cfRule>
    <cfRule type="containsText" dxfId="1178" priority="1575" operator="containsText" text="AL">
      <formula>NOT(ISERROR(SEARCH("AL",AC20)))</formula>
    </cfRule>
    <cfRule type="containsText" dxfId="1177" priority="1576" operator="containsText" text="SICK">
      <formula>NOT(ISERROR(SEARCH("SICK",AC20)))</formula>
    </cfRule>
    <cfRule type="containsText" dxfId="1176" priority="1578" operator="containsText" text="AB">
      <formula>NOT(ISERROR(SEARCH("AB",AC20)))</formula>
    </cfRule>
    <cfRule type="containsText" dxfId="1175" priority="1579" operator="containsText" text="AL">
      <formula>NOT(ISERROR(SEARCH("AL",AC20)))</formula>
    </cfRule>
    <cfRule type="containsText" dxfId="1174" priority="1582" stopIfTrue="1" operator="containsText" text="AL">
      <formula>NOT(ISERROR(SEARCH("AL",AC20)))</formula>
    </cfRule>
    <cfRule type="containsText" dxfId="1173" priority="1569" operator="containsText" text="FL">
      <formula>NOT(ISERROR(SEARCH("FL",AC20)))</formula>
    </cfRule>
    <cfRule type="containsText" priority="1570" operator="containsText" text="FL">
      <formula>NOT(ISERROR(SEARCH("FL",AC20)))</formula>
    </cfRule>
    <cfRule type="containsText" dxfId="1172" priority="1577" operator="containsText" text="NL">
      <formula>NOT(ISERROR(SEARCH("NL",AC20)))</formula>
    </cfRule>
    <cfRule type="containsText" dxfId="1171" priority="1583" stopIfTrue="1" operator="containsText" text="SP">
      <formula>NOT(ISERROR(SEARCH("SP",AC20)))</formula>
    </cfRule>
    <cfRule type="containsText" dxfId="1170" priority="1572" operator="containsText" text="AB">
      <formula>NOT(ISERROR(SEARCH("AB",AC20)))</formula>
    </cfRule>
    <cfRule type="containsText" dxfId="1169" priority="1581" operator="containsText" text="NL">
      <formula>NOT(ISERROR(SEARCH("NL",AC20)))</formula>
    </cfRule>
    <cfRule type="containsText" dxfId="1168" priority="1580" operator="containsText" text="SICK">
      <formula>NOT(ISERROR(SEARCH("SICK",AC20)))</formula>
    </cfRule>
    <cfRule type="containsText" dxfId="1167" priority="1573" operator="containsText" text="SICK">
      <formula>NOT(ISERROR(SEARCH("SICK",AC20)))</formula>
    </cfRule>
    <cfRule type="containsText" dxfId="1166" priority="1574" operator="containsText" text="AB">
      <formula>NOT(ISERROR(SEARCH("AB",AC20)))</formula>
    </cfRule>
  </conditionalFormatting>
  <conditionalFormatting sqref="AC22">
    <cfRule type="containsText" dxfId="1165" priority="1532" operator="containsText" text="SICK">
      <formula>NOT(ISERROR(SEARCH("SICK",AC22)))</formula>
    </cfRule>
    <cfRule type="containsText" dxfId="1164" priority="1535" stopIfTrue="1" operator="containsText" text="SP">
      <formula>NOT(ISERROR(SEARCH("SP",AC22)))</formula>
    </cfRule>
    <cfRule type="containsText" dxfId="1163" priority="1536" stopIfTrue="1" operator="containsText" text="SICK">
      <formula>NOT(ISERROR(SEARCH("SICK",AC22)))</formula>
    </cfRule>
    <cfRule type="containsText" dxfId="1162" priority="1531" operator="containsText" text="AL">
      <formula>NOT(ISERROR(SEARCH("AL",AC22)))</formula>
    </cfRule>
    <cfRule type="containsText" dxfId="1161" priority="1521" operator="containsText" text="FL">
      <formula>NOT(ISERROR(SEARCH("FL",AC22)))</formula>
    </cfRule>
    <cfRule type="containsText" dxfId="1160" priority="1534" stopIfTrue="1" operator="containsText" text="AL">
      <formula>NOT(ISERROR(SEARCH("AL",AC22)))</formula>
    </cfRule>
    <cfRule type="containsText" dxfId="1159" priority="1525" operator="containsText" text="SICK">
      <formula>NOT(ISERROR(SEARCH("SICK",AC22)))</formula>
    </cfRule>
    <cfRule type="containsText" dxfId="1158" priority="1533" operator="containsText" text="NL">
      <formula>NOT(ISERROR(SEARCH("NL",AC22)))</formula>
    </cfRule>
    <cfRule type="containsText" dxfId="1157" priority="1530" operator="containsText" text="AB">
      <formula>NOT(ISERROR(SEARCH("AB",AC22)))</formula>
    </cfRule>
    <cfRule type="containsText" priority="1522" operator="containsText" text="FL">
      <formula>NOT(ISERROR(SEARCH("FL",AC22)))</formula>
    </cfRule>
    <cfRule type="containsText" dxfId="1156" priority="1523" operator="containsText" text="AL">
      <formula>NOT(ISERROR(SEARCH("AL",AC22)))</formula>
    </cfRule>
    <cfRule type="containsText" dxfId="1155" priority="1524" operator="containsText" text="AB">
      <formula>NOT(ISERROR(SEARCH("AB",AC22)))</formula>
    </cfRule>
    <cfRule type="containsText" dxfId="1154" priority="1526" operator="containsText" text="AB">
      <formula>NOT(ISERROR(SEARCH("AB",AC22)))</formula>
    </cfRule>
    <cfRule type="containsText" dxfId="1153" priority="1527" operator="containsText" text="AL">
      <formula>NOT(ISERROR(SEARCH("AL",AC22)))</formula>
    </cfRule>
    <cfRule type="containsText" dxfId="1152" priority="1528" operator="containsText" text="SICK">
      <formula>NOT(ISERROR(SEARCH("SICK",AC22)))</formula>
    </cfRule>
    <cfRule type="containsText" dxfId="1151" priority="1529" operator="containsText" text="NL">
      <formula>NOT(ISERROR(SEARCH("NL",AC22)))</formula>
    </cfRule>
  </conditionalFormatting>
  <conditionalFormatting sqref="AD18:AE18">
    <cfRule type="containsText" dxfId="1150" priority="1254" operator="containsText" text="AB">
      <formula>NOT(ISERROR(SEARCH("AB",AD18)))</formula>
    </cfRule>
  </conditionalFormatting>
  <conditionalFormatting sqref="AD19:AE19">
    <cfRule type="containsText" dxfId="1149" priority="1260" operator="containsText" text="AB">
      <formula>NOT(ISERROR(SEARCH("AB",AD19)))</formula>
    </cfRule>
    <cfRule type="containsText" dxfId="1148" priority="1268" stopIfTrue="1" operator="containsText" text="AL">
      <formula>NOT(ISERROR(SEARCH("AL",AD19)))</formula>
    </cfRule>
    <cfRule type="containsText" dxfId="1147" priority="1263" operator="containsText" text="NL">
      <formula>NOT(ISERROR(SEARCH("NL",AD19)))</formula>
    </cfRule>
    <cfRule type="containsText" dxfId="1146" priority="1267" operator="containsText" text="NL">
      <formula>NOT(ISERROR(SEARCH("NL",AD19)))</formula>
    </cfRule>
    <cfRule type="containsText" dxfId="1145" priority="1269" stopIfTrue="1" operator="containsText" text="SP">
      <formula>NOT(ISERROR(SEARCH("SP",AD19)))</formula>
    </cfRule>
    <cfRule type="containsText" dxfId="1144" priority="1270" stopIfTrue="1" operator="containsText" text="SICK">
      <formula>NOT(ISERROR(SEARCH("SICK",AD19)))</formula>
    </cfRule>
    <cfRule type="containsText" dxfId="1143" priority="1261" operator="containsText" text="AL">
      <formula>NOT(ISERROR(SEARCH("AL",AD19)))</formula>
    </cfRule>
    <cfRule type="containsText" dxfId="1142" priority="1259" operator="containsText" text="SICK">
      <formula>NOT(ISERROR(SEARCH("SICK",AD19)))</formula>
    </cfRule>
    <cfRule type="containsText" dxfId="1141" priority="1265" operator="containsText" text="AL">
      <formula>NOT(ISERROR(SEARCH("AL",AD19)))</formula>
    </cfRule>
    <cfRule type="containsText" dxfId="1140" priority="1262" operator="containsText" text="SICK">
      <formula>NOT(ISERROR(SEARCH("SICK",AD19)))</formula>
    </cfRule>
  </conditionalFormatting>
  <conditionalFormatting sqref="AD22:AE22">
    <cfRule type="containsText" dxfId="1139" priority="1253" operator="containsText" text="SICK">
      <formula>NOT(ISERROR(SEARCH("SICK",AD22)))</formula>
    </cfRule>
  </conditionalFormatting>
  <conditionalFormatting sqref="AD5:AG6">
    <cfRule type="containsText" dxfId="1138" priority="1636" operator="containsText" text="NL">
      <formula>NOT(ISERROR(SEARCH("NL",AD5)))</formula>
    </cfRule>
    <cfRule type="containsText" dxfId="1137" priority="1635" operator="containsText" text="SICK">
      <formula>NOT(ISERROR(SEARCH("SICK",AD5)))</formula>
    </cfRule>
    <cfRule type="containsText" dxfId="1136" priority="1634" operator="containsText" text="AL">
      <formula>NOT(ISERROR(SEARCH("AL",AD5)))</formula>
    </cfRule>
    <cfRule type="containsText" dxfId="1135" priority="1637" operator="containsText" text="AB">
      <formula>NOT(ISERROR(SEARCH("AB",AD5)))</formula>
    </cfRule>
  </conditionalFormatting>
  <conditionalFormatting sqref="AD8:AG9">
    <cfRule type="containsText" dxfId="1134" priority="1623" operator="containsText" text="AB">
      <formula>NOT(ISERROR(SEARCH("AB",AD8)))</formula>
    </cfRule>
    <cfRule type="containsText" dxfId="1133" priority="1625" operator="containsText" text="SICK">
      <formula>NOT(ISERROR(SEARCH("SICK",AD8)))</formula>
    </cfRule>
    <cfRule type="containsText" priority="1619" operator="containsText" text="FL">
      <formula>NOT(ISERROR(SEARCH("FL",AD8)))</formula>
    </cfRule>
    <cfRule type="containsText" dxfId="1132" priority="1626" operator="containsText" text="NL">
      <formula>NOT(ISERROR(SEARCH("NL",AD8)))</formula>
    </cfRule>
    <cfRule type="containsText" dxfId="1131" priority="1618" operator="containsText" text="FL">
      <formula>NOT(ISERROR(SEARCH("FL",AD8)))</formula>
    </cfRule>
    <cfRule type="containsText" dxfId="1130" priority="1628" operator="containsText" text="AL">
      <formula>NOT(ISERROR(SEARCH("AL",AD8)))</formula>
    </cfRule>
    <cfRule type="containsText" dxfId="1129" priority="1630" operator="containsText" text="NL">
      <formula>NOT(ISERROR(SEARCH("NL",AD8)))</formula>
    </cfRule>
    <cfRule type="containsText" dxfId="1128" priority="1632" stopIfTrue="1" operator="containsText" text="SP">
      <formula>NOT(ISERROR(SEARCH("SP",AD8)))</formula>
    </cfRule>
    <cfRule type="containsText" dxfId="1127" priority="1631" stopIfTrue="1" operator="containsText" text="AL">
      <formula>NOT(ISERROR(SEARCH("AL",AD8)))</formula>
    </cfRule>
    <cfRule type="containsText" dxfId="1126" priority="1629" operator="containsText" text="SICK">
      <formula>NOT(ISERROR(SEARCH("SICK",AD8)))</formula>
    </cfRule>
    <cfRule type="containsText" dxfId="1125" priority="1624" operator="containsText" text="AL">
      <formula>NOT(ISERROR(SEARCH("AL",AD8)))</formula>
    </cfRule>
    <cfRule type="containsText" dxfId="1124" priority="1633" stopIfTrue="1" operator="containsText" text="SICK">
      <formula>NOT(ISERROR(SEARCH("SICK",AD8)))</formula>
    </cfRule>
    <cfRule type="containsText" dxfId="1123" priority="1622" operator="containsText" text="SICK">
      <formula>NOT(ISERROR(SEARCH("SICK",AD8)))</formula>
    </cfRule>
    <cfRule type="containsText" dxfId="1122" priority="1621" operator="containsText" text="AB">
      <formula>NOT(ISERROR(SEARCH("AB",AD8)))</formula>
    </cfRule>
    <cfRule type="containsText" dxfId="1121" priority="1620" operator="containsText" text="AL">
      <formula>NOT(ISERROR(SEARCH("AL",AD8)))</formula>
    </cfRule>
  </conditionalFormatting>
  <conditionalFormatting sqref="AD19:AG19">
    <cfRule type="containsText" dxfId="1120" priority="1082" operator="containsText" text="AB">
      <formula>NOT(ISERROR(SEARCH("AB",AD19)))</formula>
    </cfRule>
  </conditionalFormatting>
  <conditionalFormatting sqref="AE7">
    <cfRule type="containsText" dxfId="1119" priority="1311" operator="containsText" text="AB">
      <formula>NOT(ISERROR(SEARCH("AB",AE7)))</formula>
    </cfRule>
    <cfRule type="containsText" dxfId="1118" priority="1310" operator="containsText" text="AL">
      <formula>NOT(ISERROR(SEARCH("AL",AE7)))</formula>
    </cfRule>
    <cfRule type="containsText" priority="1309" operator="containsText" text="FL">
      <formula>NOT(ISERROR(SEARCH("FL",AE7)))</formula>
    </cfRule>
    <cfRule type="containsText" dxfId="1117" priority="1319" stopIfTrue="1" operator="containsText" text="SICK">
      <formula>NOT(ISERROR(SEARCH("SICK",AE7)))</formula>
    </cfRule>
    <cfRule type="containsText" dxfId="1116" priority="1318" stopIfTrue="1" operator="containsText" text="SP">
      <formula>NOT(ISERROR(SEARCH("SP",AE7)))</formula>
    </cfRule>
    <cfRule type="containsText" dxfId="1115" priority="1317" stopIfTrue="1" operator="containsText" text="AL">
      <formula>NOT(ISERROR(SEARCH("AL",AE7)))</formula>
    </cfRule>
    <cfRule type="containsText" dxfId="1114" priority="1316" operator="containsText" text="NL">
      <formula>NOT(ISERROR(SEARCH("NL",AE7)))</formula>
    </cfRule>
    <cfRule type="containsText" dxfId="1113" priority="1315" operator="containsText" text="SICK">
      <formula>NOT(ISERROR(SEARCH("SICK",AE7)))</formula>
    </cfRule>
    <cfRule type="containsText" dxfId="1112" priority="1307" operator="containsText" text="AB">
      <formula>NOT(ISERROR(SEARCH("AB",AE7)))</formula>
    </cfRule>
    <cfRule type="containsText" dxfId="1111" priority="1304" operator="containsText" text="AL">
      <formula>NOT(ISERROR(SEARCH("AL",AE7)))</formula>
    </cfRule>
    <cfRule type="containsText" dxfId="1110" priority="1305" operator="containsText" text="SICK">
      <formula>NOT(ISERROR(SEARCH("SICK",AE7)))</formula>
    </cfRule>
    <cfRule type="containsText" dxfId="1109" priority="1306" operator="containsText" text="NL">
      <formula>NOT(ISERROR(SEARCH("NL",AE7)))</formula>
    </cfRule>
    <cfRule type="containsText" dxfId="1108" priority="1308" operator="containsText" text="FL">
      <formula>NOT(ISERROR(SEARCH("FL",AE7)))</formula>
    </cfRule>
    <cfRule type="containsText" dxfId="1107" priority="1314" operator="containsText" text="AL">
      <formula>NOT(ISERROR(SEARCH("AL",AE7)))</formula>
    </cfRule>
    <cfRule type="containsText" dxfId="1106" priority="1313" operator="containsText" text="AB">
      <formula>NOT(ISERROR(SEARCH("AB",AE7)))</formula>
    </cfRule>
    <cfRule type="containsText" dxfId="1105" priority="1312" operator="containsText" text="SICK">
      <formula>NOT(ISERROR(SEARCH("SICK",AE7)))</formula>
    </cfRule>
  </conditionalFormatting>
  <conditionalFormatting sqref="AE10">
    <cfRule type="containsText" dxfId="1104" priority="1606" operator="containsText" text="AB">
      <formula>NOT(ISERROR(SEARCH("AB",AE10)))</formula>
    </cfRule>
    <cfRule type="containsText" dxfId="1103" priority="1603" operator="containsText" text="AL">
      <formula>NOT(ISERROR(SEARCH("AL",AE10)))</formula>
    </cfRule>
    <cfRule type="containsText" dxfId="1102" priority="1607" operator="containsText" text="AL">
      <formula>NOT(ISERROR(SEARCH("AL",AE10)))</formula>
    </cfRule>
    <cfRule type="containsText" dxfId="1101" priority="1614" stopIfTrue="1" operator="containsText" text="AL">
      <formula>NOT(ISERROR(SEARCH("AL",AE10)))</formula>
    </cfRule>
    <cfRule type="containsText" dxfId="1100" priority="1601" operator="containsText" text="FL">
      <formula>NOT(ISERROR(SEARCH("FL",AE10)))</formula>
    </cfRule>
    <cfRule type="containsText" dxfId="1099" priority="1611" operator="containsText" text="AL">
      <formula>NOT(ISERROR(SEARCH("AL",AE10)))</formula>
    </cfRule>
    <cfRule type="containsText" dxfId="1098" priority="1604" operator="containsText" text="AB">
      <formula>NOT(ISERROR(SEARCH("AB",AE10)))</formula>
    </cfRule>
    <cfRule type="containsText" dxfId="1097" priority="1612" operator="containsText" text="SICK">
      <formula>NOT(ISERROR(SEARCH("SICK",AE10)))</formula>
    </cfRule>
    <cfRule type="containsText" dxfId="1096" priority="1615" stopIfTrue="1" operator="containsText" text="SP">
      <formula>NOT(ISERROR(SEARCH("SP",AE10)))</formula>
    </cfRule>
    <cfRule type="containsText" dxfId="1095" priority="1610" operator="containsText" text="AB">
      <formula>NOT(ISERROR(SEARCH("AB",AE10)))</formula>
    </cfRule>
    <cfRule type="containsText" dxfId="1094" priority="1616" stopIfTrue="1" operator="containsText" text="SICK">
      <formula>NOT(ISERROR(SEARCH("SICK",AE10)))</formula>
    </cfRule>
    <cfRule type="containsText" dxfId="1093" priority="1605" operator="containsText" text="SICK">
      <formula>NOT(ISERROR(SEARCH("SICK",AE10)))</formula>
    </cfRule>
    <cfRule type="containsText" priority="1602" operator="containsText" text="FL">
      <formula>NOT(ISERROR(SEARCH("FL",AE10)))</formula>
    </cfRule>
    <cfRule type="containsText" dxfId="1092" priority="1608" operator="containsText" text="SICK">
      <formula>NOT(ISERROR(SEARCH("SICK",AE10)))</formula>
    </cfRule>
    <cfRule type="containsText" dxfId="1091" priority="1609" operator="containsText" text="NL">
      <formula>NOT(ISERROR(SEARCH("NL",AE10)))</formula>
    </cfRule>
    <cfRule type="containsText" dxfId="1090" priority="1613" operator="containsText" text="NL">
      <formula>NOT(ISERROR(SEARCH("NL",AE10)))</formula>
    </cfRule>
  </conditionalFormatting>
  <conditionalFormatting sqref="AE12">
    <cfRule type="containsText" dxfId="1089" priority="1181" stopIfTrue="1" operator="containsText" text="SICK">
      <formula>NOT(ISERROR(SEARCH("SICK",AE12)))</formula>
    </cfRule>
    <cfRule type="containsText" dxfId="1088" priority="1173" stopIfTrue="1" operator="containsText" text="SP">
      <formula>NOT(ISERROR(SEARCH("SP",AE12)))</formula>
    </cfRule>
    <cfRule type="containsText" dxfId="1087" priority="1179" stopIfTrue="1" operator="containsText" text="AL">
      <formula>NOT(ISERROR(SEARCH("AL",AE12)))</formula>
    </cfRule>
    <cfRule type="containsText" dxfId="1086" priority="1163" operator="containsText" text="FL">
      <formula>NOT(ISERROR(SEARCH("FL",AE12)))</formula>
    </cfRule>
    <cfRule type="containsText" priority="1164" operator="containsText" text="FL">
      <formula>NOT(ISERROR(SEARCH("FL",AE12)))</formula>
    </cfRule>
    <cfRule type="containsText" dxfId="1085" priority="1165" operator="containsText" text="AL">
      <formula>NOT(ISERROR(SEARCH("AL",AE12)))</formula>
    </cfRule>
    <cfRule type="containsText" dxfId="1084" priority="1166" operator="containsText" text="AB">
      <formula>NOT(ISERROR(SEARCH("AB",AE12)))</formula>
    </cfRule>
    <cfRule type="containsText" dxfId="1083" priority="1167" operator="containsText" text="SICK">
      <formula>NOT(ISERROR(SEARCH("SICK",AE12)))</formula>
    </cfRule>
    <cfRule type="containsText" dxfId="1082" priority="1168" operator="containsText" text="AL">
      <formula>NOT(ISERROR(SEARCH("AL",AE12)))</formula>
    </cfRule>
    <cfRule type="containsText" dxfId="1081" priority="1169" operator="containsText" text="SICK">
      <formula>NOT(ISERROR(SEARCH("SICK",AE12)))</formula>
    </cfRule>
    <cfRule type="containsText" dxfId="1080" priority="1170" operator="containsText" text="NL">
      <formula>NOT(ISERROR(SEARCH("NL",AE12)))</formula>
    </cfRule>
    <cfRule type="containsText" dxfId="1079" priority="1171" operator="containsText" text="AB">
      <formula>NOT(ISERROR(SEARCH("AB",AE12)))</formula>
    </cfRule>
    <cfRule type="containsText" dxfId="1078" priority="1172" stopIfTrue="1" operator="containsText" text="AL">
      <formula>NOT(ISERROR(SEARCH("AL",AE12)))</formula>
    </cfRule>
    <cfRule type="containsText" dxfId="1077" priority="1174" stopIfTrue="1" operator="containsText" text="SICK">
      <formula>NOT(ISERROR(SEARCH("SICK",AE12)))</formula>
    </cfRule>
    <cfRule type="containsText" dxfId="1076" priority="1175" operator="containsText" text="AL">
      <formula>NOT(ISERROR(SEARCH("AL",AE12)))</formula>
    </cfRule>
    <cfRule type="containsText" dxfId="1075" priority="1176" operator="containsText" text="SICK">
      <formula>NOT(ISERROR(SEARCH("SICK",AE12)))</formula>
    </cfRule>
    <cfRule type="containsText" dxfId="1074" priority="1177" operator="containsText" text="NL">
      <formula>NOT(ISERROR(SEARCH("NL",AE12)))</formula>
    </cfRule>
    <cfRule type="containsText" dxfId="1073" priority="1178" operator="containsText" text="AB">
      <formula>NOT(ISERROR(SEARCH("AB",AE12)))</formula>
    </cfRule>
    <cfRule type="containsText" dxfId="1072" priority="1180" stopIfTrue="1" operator="containsText" text="SP">
      <formula>NOT(ISERROR(SEARCH("SP",AE12)))</formula>
    </cfRule>
  </conditionalFormatting>
  <conditionalFormatting sqref="AE16">
    <cfRule type="containsText" dxfId="1071" priority="1334" stopIfTrue="1" operator="containsText" text="SP">
      <formula>NOT(ISERROR(SEARCH("SP",AE16)))</formula>
    </cfRule>
    <cfRule type="containsText" dxfId="1070" priority="1335" stopIfTrue="1" operator="containsText" text="SICK">
      <formula>NOT(ISERROR(SEARCH("SICK",AE16)))</formula>
    </cfRule>
    <cfRule type="containsText" dxfId="1069" priority="1326" operator="containsText" text="AL">
      <formula>NOT(ISERROR(SEARCH("AL",AE16)))</formula>
    </cfRule>
    <cfRule type="containsText" dxfId="1068" priority="1325" operator="containsText" text="AB">
      <formula>NOT(ISERROR(SEARCH("AB",AE16)))</formula>
    </cfRule>
    <cfRule type="containsText" dxfId="1067" priority="1324" operator="containsText" text="SICK">
      <formula>NOT(ISERROR(SEARCH("SICK",AE16)))</formula>
    </cfRule>
    <cfRule type="containsText" dxfId="1066" priority="1328" operator="containsText" text="NL">
      <formula>NOT(ISERROR(SEARCH("NL",AE16)))</formula>
    </cfRule>
    <cfRule type="containsText" dxfId="1065" priority="1323" operator="containsText" text="AB">
      <formula>NOT(ISERROR(SEARCH("AB",AE16)))</formula>
    </cfRule>
    <cfRule type="containsText" dxfId="1064" priority="1327" operator="containsText" text="SICK">
      <formula>NOT(ISERROR(SEARCH("SICK",AE16)))</formula>
    </cfRule>
    <cfRule type="containsText" dxfId="1063" priority="1330" operator="containsText" text="AL">
      <formula>NOT(ISERROR(SEARCH("AL",AE16)))</formula>
    </cfRule>
    <cfRule type="containsText" dxfId="1062" priority="1332" operator="containsText" text="NL">
      <formula>NOT(ISERROR(SEARCH("NL",AE16)))</formula>
    </cfRule>
    <cfRule type="containsText" dxfId="1061" priority="1333" stopIfTrue="1" operator="containsText" text="AL">
      <formula>NOT(ISERROR(SEARCH("AL",AE16)))</formula>
    </cfRule>
  </conditionalFormatting>
  <conditionalFormatting sqref="AE16:AE17">
    <cfRule type="containsText" dxfId="1060" priority="1329" operator="containsText" text="AB">
      <formula>NOT(ISERROR(SEARCH("AB",AE16)))</formula>
    </cfRule>
    <cfRule type="containsText" priority="1321" operator="containsText" text="FL">
      <formula>NOT(ISERROR(SEARCH("FL",AE16)))</formula>
    </cfRule>
    <cfRule type="containsText" dxfId="1059" priority="1320" operator="containsText" text="FL">
      <formula>NOT(ISERROR(SEARCH("FL",AE16)))</formula>
    </cfRule>
    <cfRule type="containsText" dxfId="1058" priority="1331" operator="containsText" text="SICK">
      <formula>NOT(ISERROR(SEARCH("SICK",AE16)))</formula>
    </cfRule>
    <cfRule type="containsText" dxfId="1057" priority="1322" operator="containsText" text="AL">
      <formula>NOT(ISERROR(SEARCH("AL",AE16)))</formula>
    </cfRule>
  </conditionalFormatting>
  <conditionalFormatting sqref="AE17">
    <cfRule type="containsText" dxfId="1056" priority="1406" stopIfTrue="1" operator="containsText" text="SP">
      <formula>NOT(ISERROR(SEARCH("SP",AE17)))</formula>
    </cfRule>
    <cfRule type="containsText" dxfId="1055" priority="1399" operator="containsText" text="SICK">
      <formula>NOT(ISERROR(SEARCH("SICK",AE17)))</formula>
    </cfRule>
    <cfRule type="containsText" dxfId="1054" priority="1397" operator="containsText" text="AB">
      <formula>NOT(ISERROR(SEARCH("AB",AE17)))</formula>
    </cfRule>
    <cfRule type="containsText" dxfId="1053" priority="1398" operator="containsText" text="AL">
      <formula>NOT(ISERROR(SEARCH("AL",AE17)))</formula>
    </cfRule>
    <cfRule type="containsText" dxfId="1052" priority="1407" stopIfTrue="1" operator="containsText" text="SICK">
      <formula>NOT(ISERROR(SEARCH("SICK",AE17)))</formula>
    </cfRule>
    <cfRule type="containsText" dxfId="1051" priority="1405" stopIfTrue="1" operator="containsText" text="AL">
      <formula>NOT(ISERROR(SEARCH("AL",AE17)))</formula>
    </cfRule>
    <cfRule type="containsText" dxfId="1050" priority="1404" operator="containsText" text="NL">
      <formula>NOT(ISERROR(SEARCH("NL",AE17)))</formula>
    </cfRule>
    <cfRule type="containsText" dxfId="1049" priority="1403" operator="containsText" text="SICK">
      <formula>NOT(ISERROR(SEARCH("SICK",AE17)))</formula>
    </cfRule>
    <cfRule type="containsText" dxfId="1048" priority="1402" operator="containsText" text="AL">
      <formula>NOT(ISERROR(SEARCH("AL",AE17)))</formula>
    </cfRule>
    <cfRule type="containsText" dxfId="1047" priority="1401" operator="containsText" text="AB">
      <formula>NOT(ISERROR(SEARCH("AB",AE17)))</formula>
    </cfRule>
    <cfRule type="containsText" dxfId="1046" priority="1400" operator="containsText" text="NL">
      <formula>NOT(ISERROR(SEARCH("NL",AE17)))</formula>
    </cfRule>
  </conditionalFormatting>
  <conditionalFormatting sqref="AE20">
    <cfRule type="containsText" dxfId="1045" priority="1567" stopIfTrue="1" operator="containsText" text="SP">
      <formula>NOT(ISERROR(SEARCH("SP",AE20)))</formula>
    </cfRule>
    <cfRule type="containsText" dxfId="1044" priority="1560" operator="containsText" text="SICK">
      <formula>NOT(ISERROR(SEARCH("SICK",AE20)))</formula>
    </cfRule>
    <cfRule type="containsText" dxfId="1043" priority="1566" stopIfTrue="1" operator="containsText" text="AL">
      <formula>NOT(ISERROR(SEARCH("AL",AE20)))</formula>
    </cfRule>
    <cfRule type="containsText" dxfId="1042" priority="1565" operator="containsText" text="NL">
      <formula>NOT(ISERROR(SEARCH("NL",AE20)))</formula>
    </cfRule>
    <cfRule type="containsText" dxfId="1041" priority="1564" operator="containsText" text="SICK">
      <formula>NOT(ISERROR(SEARCH("SICK",AE20)))</formula>
    </cfRule>
    <cfRule type="containsText" dxfId="1040" priority="1563" operator="containsText" text="AL">
      <formula>NOT(ISERROR(SEARCH("AL",AE20)))</formula>
    </cfRule>
    <cfRule type="containsText" dxfId="1039" priority="1562" operator="containsText" text="AB">
      <formula>NOT(ISERROR(SEARCH("AB",AE20)))</formula>
    </cfRule>
    <cfRule type="containsText" dxfId="1038" priority="1561" operator="containsText" text="NL">
      <formula>NOT(ISERROR(SEARCH("NL",AE20)))</formula>
    </cfRule>
    <cfRule type="containsText" dxfId="1037" priority="1559" operator="containsText" text="AL">
      <formula>NOT(ISERROR(SEARCH("AL",AE20)))</formula>
    </cfRule>
    <cfRule type="containsText" dxfId="1036" priority="1558" operator="containsText" text="AB">
      <formula>NOT(ISERROR(SEARCH("AB",AE20)))</formula>
    </cfRule>
    <cfRule type="containsText" dxfId="1035" priority="1557" operator="containsText" text="SICK">
      <formula>NOT(ISERROR(SEARCH("SICK",AE20)))</formula>
    </cfRule>
    <cfRule type="containsText" dxfId="1034" priority="1556" operator="containsText" text="AB">
      <formula>NOT(ISERROR(SEARCH("AB",AE20)))</formula>
    </cfRule>
    <cfRule type="containsText" dxfId="1033" priority="1555" operator="containsText" text="AL">
      <formula>NOT(ISERROR(SEARCH("AL",AE20)))</formula>
    </cfRule>
    <cfRule type="containsText" dxfId="1032" priority="1568" stopIfTrue="1" operator="containsText" text="SICK">
      <formula>NOT(ISERROR(SEARCH("SICK",AE20)))</formula>
    </cfRule>
    <cfRule type="containsText" dxfId="1031" priority="1553" operator="containsText" text="FL">
      <formula>NOT(ISERROR(SEARCH("FL",AE20)))</formula>
    </cfRule>
    <cfRule type="containsText" priority="1554" operator="containsText" text="FL">
      <formula>NOT(ISERROR(SEARCH("FL",AE20)))</formula>
    </cfRule>
  </conditionalFormatting>
  <conditionalFormatting sqref="AE23:AE24">
    <cfRule type="containsText" dxfId="1030" priority="1350" stopIfTrue="1" operator="containsText" text="SP">
      <formula>NOT(ISERROR(SEARCH("SP",AE23)))</formula>
    </cfRule>
    <cfRule type="containsText" dxfId="1029" priority="1348" operator="containsText" text="NL">
      <formula>NOT(ISERROR(SEARCH("NL",AE23)))</formula>
    </cfRule>
    <cfRule type="containsText" dxfId="1028" priority="1347" operator="containsText" text="SICK">
      <formula>NOT(ISERROR(SEARCH("SICK",AE23)))</formula>
    </cfRule>
    <cfRule type="containsText" dxfId="1027" priority="1346" operator="containsText" text="AL">
      <formula>NOT(ISERROR(SEARCH("AL",AE23)))</formula>
    </cfRule>
    <cfRule type="containsText" dxfId="1026" priority="1345" operator="containsText" text="AB">
      <formula>NOT(ISERROR(SEARCH("AB",AE23)))</formula>
    </cfRule>
    <cfRule type="containsText" dxfId="1025" priority="1339" operator="containsText" text="AB">
      <formula>NOT(ISERROR(SEARCH("AB",AE23)))</formula>
    </cfRule>
    <cfRule type="containsText" dxfId="1024" priority="1344" operator="containsText" text="NL">
      <formula>NOT(ISERROR(SEARCH("NL",AE23)))</formula>
    </cfRule>
    <cfRule type="containsText" dxfId="1023" priority="1343" operator="containsText" text="SICK">
      <formula>NOT(ISERROR(SEARCH("SICK",AE23)))</formula>
    </cfRule>
    <cfRule type="containsText" dxfId="1022" priority="1336" operator="containsText" text="FL">
      <formula>NOT(ISERROR(SEARCH("FL",AE23)))</formula>
    </cfRule>
    <cfRule type="containsText" priority="1337" operator="containsText" text="FL">
      <formula>NOT(ISERROR(SEARCH("FL",AE23)))</formula>
    </cfRule>
    <cfRule type="containsText" dxfId="1021" priority="1338" operator="containsText" text="AL">
      <formula>NOT(ISERROR(SEARCH("AL",AE23)))</formula>
    </cfRule>
    <cfRule type="containsText" dxfId="1020" priority="1351" stopIfTrue="1" operator="containsText" text="SICK">
      <formula>NOT(ISERROR(SEARCH("SICK",AE23)))</formula>
    </cfRule>
    <cfRule type="containsText" dxfId="1019" priority="1340" operator="containsText" text="SICK">
      <formula>NOT(ISERROR(SEARCH("SICK",AE23)))</formula>
    </cfRule>
    <cfRule type="containsText" dxfId="1018" priority="1341" operator="containsText" text="AB">
      <formula>NOT(ISERROR(SEARCH("AB",AE23)))</formula>
    </cfRule>
    <cfRule type="containsText" dxfId="1017" priority="1342" operator="containsText" text="AL">
      <formula>NOT(ISERROR(SEARCH("AL",AE23)))</formula>
    </cfRule>
    <cfRule type="containsText" dxfId="1016" priority="1349" stopIfTrue="1" operator="containsText" text="AL">
      <formula>NOT(ISERROR(SEARCH("AL",AE23)))</formula>
    </cfRule>
  </conditionalFormatting>
  <conditionalFormatting sqref="AE59">
    <cfRule type="containsText" dxfId="1015" priority="8701" stopIfTrue="1" operator="containsText" text="AL">
      <formula>NOT(ISERROR(SEARCH("AL",AE59)))</formula>
    </cfRule>
    <cfRule type="containsText" dxfId="1014" priority="8702" stopIfTrue="1" operator="containsText" text="SP">
      <formula>NOT(ISERROR(SEARCH("SP",AE59)))</formula>
    </cfRule>
    <cfRule type="containsText" dxfId="1013" priority="8703" stopIfTrue="1" operator="containsText" text="SICK">
      <formula>NOT(ISERROR(SEARCH("SICK",AE59)))</formula>
    </cfRule>
  </conditionalFormatting>
  <conditionalFormatting sqref="AF16:AG16">
    <cfRule type="containsText" dxfId="1012" priority="1123" stopIfTrue="1" operator="containsText" text="SICK">
      <formula>NOT(ISERROR(SEARCH("SICK",AF16)))</formula>
    </cfRule>
    <cfRule type="containsText" dxfId="1011" priority="1122" stopIfTrue="1" operator="containsText" text="SP">
      <formula>NOT(ISERROR(SEARCH("SP",AF16)))</formula>
    </cfRule>
    <cfRule type="containsText" dxfId="1010" priority="1121" stopIfTrue="1" operator="containsText" text="AL">
      <formula>NOT(ISERROR(SEARCH("AL",AF16)))</formula>
    </cfRule>
    <cfRule type="containsText" dxfId="1009" priority="1120" operator="containsText" text="AB">
      <formula>NOT(ISERROR(SEARCH("AB",AF16)))</formula>
    </cfRule>
    <cfRule type="containsText" dxfId="1008" priority="1119" operator="containsText" text="NL">
      <formula>NOT(ISERROR(SEARCH("NL",AF16)))</formula>
    </cfRule>
    <cfRule type="containsText" dxfId="1007" priority="1118" operator="containsText" text="SICK">
      <formula>NOT(ISERROR(SEARCH("SICK",AF16)))</formula>
    </cfRule>
    <cfRule type="containsText" dxfId="1006" priority="1117" operator="containsText" text="AL">
      <formula>NOT(ISERROR(SEARCH("AL",AF16)))</formula>
    </cfRule>
    <cfRule type="containsText" dxfId="1005" priority="1116" stopIfTrue="1" operator="containsText" text="SICK">
      <formula>NOT(ISERROR(SEARCH("SICK",AF16)))</formula>
    </cfRule>
    <cfRule type="containsText" dxfId="1004" priority="1115" stopIfTrue="1" operator="containsText" text="SP">
      <formula>NOT(ISERROR(SEARCH("SP",AF16)))</formula>
    </cfRule>
    <cfRule type="containsText" dxfId="1003" priority="1113" operator="containsText" text="AB">
      <formula>NOT(ISERROR(SEARCH("AB",AF16)))</formula>
    </cfRule>
    <cfRule type="containsText" dxfId="1002" priority="1112" operator="containsText" text="NL">
      <formula>NOT(ISERROR(SEARCH("NL",AF16)))</formula>
    </cfRule>
    <cfRule type="containsText" dxfId="1001" priority="1111" operator="containsText" text="SICK">
      <formula>NOT(ISERROR(SEARCH("SICK",AF16)))</formula>
    </cfRule>
    <cfRule type="containsText" dxfId="1000" priority="1110" operator="containsText" text="AL">
      <formula>NOT(ISERROR(SEARCH("AL",AF16)))</formula>
    </cfRule>
    <cfRule type="containsText" dxfId="999" priority="1109" operator="containsText" text="SICK">
      <formula>NOT(ISERROR(SEARCH("SICK",AF16)))</formula>
    </cfRule>
    <cfRule type="containsText" dxfId="998" priority="1108" operator="containsText" text="AB">
      <formula>NOT(ISERROR(SEARCH("AB",AF16)))</formula>
    </cfRule>
    <cfRule type="containsText" dxfId="997" priority="1107" operator="containsText" text="AL">
      <formula>NOT(ISERROR(SEARCH("AL",AF16)))</formula>
    </cfRule>
    <cfRule type="containsText" priority="1106" operator="containsText" text="FL">
      <formula>NOT(ISERROR(SEARCH("FL",AF16)))</formula>
    </cfRule>
    <cfRule type="containsText" dxfId="996" priority="1105" operator="containsText" text="FL">
      <formula>NOT(ISERROR(SEARCH("FL",AF16)))</formula>
    </cfRule>
    <cfRule type="containsText" dxfId="995" priority="1114" stopIfTrue="1" operator="containsText" text="AL">
      <formula>NOT(ISERROR(SEARCH("AL",AF16)))</formula>
    </cfRule>
  </conditionalFormatting>
  <conditionalFormatting sqref="AF19:AG19">
    <cfRule type="containsText" dxfId="994" priority="1073" operator="containsText" text="SICK">
      <formula>NOT(ISERROR(SEARCH("SICK",AF19)))</formula>
    </cfRule>
    <cfRule type="containsText" dxfId="993" priority="1072" operator="containsText" text="AL">
      <formula>NOT(ISERROR(SEARCH("AL",AF19)))</formula>
    </cfRule>
    <cfRule type="containsText" dxfId="992" priority="1071" operator="containsText" text="SICK">
      <formula>NOT(ISERROR(SEARCH("SICK",AF19)))</formula>
    </cfRule>
    <cfRule type="containsText" dxfId="991" priority="1076" stopIfTrue="1" operator="containsText" text="AL">
      <formula>NOT(ISERROR(SEARCH("AL",AF19)))</formula>
    </cfRule>
    <cfRule type="containsText" dxfId="990" priority="1070" operator="containsText" text="AB">
      <formula>NOT(ISERROR(SEARCH("AB",AF19)))</formula>
    </cfRule>
    <cfRule type="containsText" dxfId="989" priority="1078" stopIfTrue="1" operator="containsText" text="SICK">
      <formula>NOT(ISERROR(SEARCH("SICK",AF19)))</formula>
    </cfRule>
    <cfRule type="containsText" dxfId="988" priority="1075" operator="containsText" text="AB">
      <formula>NOT(ISERROR(SEARCH("AB",AF19)))</formula>
    </cfRule>
    <cfRule type="containsText" dxfId="987" priority="1085" stopIfTrue="1" operator="containsText" text="SICK">
      <formula>NOT(ISERROR(SEARCH("SICK",AF19)))</formula>
    </cfRule>
    <cfRule type="containsText" dxfId="986" priority="1084" stopIfTrue="1" operator="containsText" text="SP">
      <formula>NOT(ISERROR(SEARCH("SP",AF19)))</formula>
    </cfRule>
    <cfRule type="containsText" dxfId="985" priority="1083" stopIfTrue="1" operator="containsText" text="AL">
      <formula>NOT(ISERROR(SEARCH("AL",AF19)))</formula>
    </cfRule>
    <cfRule type="containsText" dxfId="984" priority="1074" operator="containsText" text="NL">
      <formula>NOT(ISERROR(SEARCH("NL",AF19)))</formula>
    </cfRule>
    <cfRule type="containsText" dxfId="983" priority="1081" operator="containsText" text="NL">
      <formula>NOT(ISERROR(SEARCH("NL",AF19)))</formula>
    </cfRule>
    <cfRule type="containsText" dxfId="982" priority="1080" operator="containsText" text="SICK">
      <formula>NOT(ISERROR(SEARCH("SICK",AF19)))</formula>
    </cfRule>
    <cfRule type="containsText" dxfId="981" priority="1079" operator="containsText" text="AL">
      <formula>NOT(ISERROR(SEARCH("AL",AF19)))</formula>
    </cfRule>
    <cfRule type="containsText" dxfId="980" priority="1077" stopIfTrue="1" operator="containsText" text="SP">
      <formula>NOT(ISERROR(SEARCH("SP",AF19)))</formula>
    </cfRule>
  </conditionalFormatting>
  <conditionalFormatting sqref="AF21:AG21">
    <cfRule type="containsText" dxfId="979" priority="1252" operator="containsText" text="AB">
      <formula>NOT(ISERROR(SEARCH("AB",AF21)))</formula>
    </cfRule>
  </conditionalFormatting>
  <conditionalFormatting sqref="AG7">
    <cfRule type="containsText" dxfId="978" priority="1290" operator="containsText" text="NL">
      <formula>NOT(ISERROR(SEARCH("NL",AG7)))</formula>
    </cfRule>
    <cfRule type="containsText" dxfId="977" priority="1289" operator="containsText" text="SICK">
      <formula>NOT(ISERROR(SEARCH("SICK",AG7)))</formula>
    </cfRule>
    <cfRule type="containsText" dxfId="976" priority="1288" operator="containsText" text="AL">
      <formula>NOT(ISERROR(SEARCH("AL",AG7)))</formula>
    </cfRule>
    <cfRule type="containsText" dxfId="975" priority="1296" operator="containsText" text="SICK">
      <formula>NOT(ISERROR(SEARCH("SICK",AG7)))</formula>
    </cfRule>
    <cfRule type="containsText" dxfId="974" priority="1295" operator="containsText" text="AB">
      <formula>NOT(ISERROR(SEARCH("AB",AG7)))</formula>
    </cfRule>
    <cfRule type="containsText" dxfId="973" priority="1302" stopIfTrue="1" operator="containsText" text="SP">
      <formula>NOT(ISERROR(SEARCH("SP",AG7)))</formula>
    </cfRule>
    <cfRule type="containsText" dxfId="972" priority="1303" stopIfTrue="1" operator="containsText" text="SICK">
      <formula>NOT(ISERROR(SEARCH("SICK",AG7)))</formula>
    </cfRule>
    <cfRule type="containsText" dxfId="971" priority="1294" operator="containsText" text="AL">
      <formula>NOT(ISERROR(SEARCH("AL",AG7)))</formula>
    </cfRule>
    <cfRule type="containsText" priority="1293" operator="containsText" text="FL">
      <formula>NOT(ISERROR(SEARCH("FL",AG7)))</formula>
    </cfRule>
    <cfRule type="containsText" dxfId="970" priority="1292" operator="containsText" text="FL">
      <formula>NOT(ISERROR(SEARCH("FL",AG7)))</formula>
    </cfRule>
    <cfRule type="containsText" dxfId="969" priority="1291" operator="containsText" text="AB">
      <formula>NOT(ISERROR(SEARCH("AB",AG7)))</formula>
    </cfRule>
    <cfRule type="containsText" dxfId="968" priority="1301" stopIfTrue="1" operator="containsText" text="AL">
      <formula>NOT(ISERROR(SEARCH("AL",AG7)))</formula>
    </cfRule>
    <cfRule type="containsText" dxfId="967" priority="1300" operator="containsText" text="NL">
      <formula>NOT(ISERROR(SEARCH("NL",AG7)))</formula>
    </cfRule>
    <cfRule type="containsText" dxfId="966" priority="1299" operator="containsText" text="SICK">
      <formula>NOT(ISERROR(SEARCH("SICK",AG7)))</formula>
    </cfRule>
    <cfRule type="containsText" dxfId="965" priority="1298" operator="containsText" text="AL">
      <formula>NOT(ISERROR(SEARCH("AL",AG7)))</formula>
    </cfRule>
    <cfRule type="containsText" dxfId="964" priority="1297" operator="containsText" text="AB">
      <formula>NOT(ISERROR(SEARCH("AB",AG7)))</formula>
    </cfRule>
  </conditionalFormatting>
  <conditionalFormatting sqref="AG11">
    <cfRule type="containsText" dxfId="963" priority="1128" operator="containsText" text="SICK">
      <formula>NOT(ISERROR(SEARCH("SICK",AG11)))</formula>
    </cfRule>
    <cfRule type="containsText" dxfId="962" priority="1142" stopIfTrue="1" operator="containsText" text="SICK">
      <formula>NOT(ISERROR(SEARCH("SICK",AG11)))</formula>
    </cfRule>
    <cfRule type="containsText" dxfId="961" priority="1141" stopIfTrue="1" operator="containsText" text="SP">
      <formula>NOT(ISERROR(SEARCH("SP",AG11)))</formula>
    </cfRule>
    <cfRule type="containsText" dxfId="960" priority="1140" stopIfTrue="1" operator="containsText" text="AL">
      <formula>NOT(ISERROR(SEARCH("AL",AG11)))</formula>
    </cfRule>
    <cfRule type="containsText" dxfId="959" priority="1138" operator="containsText" text="NL">
      <formula>NOT(ISERROR(SEARCH("NL",AG11)))</formula>
    </cfRule>
    <cfRule type="containsText" dxfId="958" priority="1137" operator="containsText" text="SICK">
      <formula>NOT(ISERROR(SEARCH("SICK",AG11)))</formula>
    </cfRule>
    <cfRule type="containsText" dxfId="957" priority="1136" operator="containsText" text="AL">
      <formula>NOT(ISERROR(SEARCH("AL",AG11)))</formula>
    </cfRule>
    <cfRule type="containsText" dxfId="956" priority="1135" stopIfTrue="1" operator="containsText" text="SICK">
      <formula>NOT(ISERROR(SEARCH("SICK",AG11)))</formula>
    </cfRule>
    <cfRule type="containsText" dxfId="955" priority="1132" operator="containsText" text="AB">
      <formula>NOT(ISERROR(SEARCH("AB",AG11)))</formula>
    </cfRule>
    <cfRule type="containsText" dxfId="954" priority="1131" operator="containsText" text="NL">
      <formula>NOT(ISERROR(SEARCH("NL",AG11)))</formula>
    </cfRule>
    <cfRule type="containsText" dxfId="953" priority="1130" operator="containsText" text="SICK">
      <formula>NOT(ISERROR(SEARCH("SICK",AG11)))</formula>
    </cfRule>
    <cfRule type="containsText" dxfId="952" priority="1129" operator="containsText" text="AL">
      <formula>NOT(ISERROR(SEARCH("AL",AG11)))</formula>
    </cfRule>
    <cfRule type="containsText" dxfId="951" priority="1127" operator="containsText" text="AB">
      <formula>NOT(ISERROR(SEARCH("AB",AG11)))</formula>
    </cfRule>
    <cfRule type="containsText" dxfId="950" priority="1134" stopIfTrue="1" operator="containsText" text="SP">
      <formula>NOT(ISERROR(SEARCH("SP",AG11)))</formula>
    </cfRule>
    <cfRule type="containsText" dxfId="949" priority="1133" stopIfTrue="1" operator="containsText" text="AL">
      <formula>NOT(ISERROR(SEARCH("AL",AG11)))</formula>
    </cfRule>
  </conditionalFormatting>
  <conditionalFormatting sqref="AG11:AG12">
    <cfRule type="containsText" dxfId="948" priority="1124" operator="containsText" text="FL">
      <formula>NOT(ISERROR(SEARCH("FL",AG11)))</formula>
    </cfRule>
    <cfRule type="containsText" priority="1125" operator="containsText" text="FL">
      <formula>NOT(ISERROR(SEARCH("FL",AG11)))</formula>
    </cfRule>
    <cfRule type="containsText" dxfId="947" priority="1139" operator="containsText" text="AB">
      <formula>NOT(ISERROR(SEARCH("AB",AG11)))</formula>
    </cfRule>
    <cfRule type="containsText" dxfId="946" priority="1126" operator="containsText" text="AL">
      <formula>NOT(ISERROR(SEARCH("AL",AG11)))</formula>
    </cfRule>
  </conditionalFormatting>
  <conditionalFormatting sqref="AG12">
    <cfRule type="containsText" dxfId="945" priority="1154" stopIfTrue="1" operator="containsText" text="SP">
      <formula>NOT(ISERROR(SEARCH("SP",AG12)))</formula>
    </cfRule>
    <cfRule type="containsText" dxfId="944" priority="1153" stopIfTrue="1" operator="containsText" text="AL">
      <formula>NOT(ISERROR(SEARCH("AL",AG12)))</formula>
    </cfRule>
    <cfRule type="containsText" dxfId="943" priority="1152" operator="containsText" text="AB">
      <formula>NOT(ISERROR(SEARCH("AB",AG12)))</formula>
    </cfRule>
    <cfRule type="containsText" dxfId="942" priority="1151" operator="containsText" text="NL">
      <formula>NOT(ISERROR(SEARCH("NL",AG12)))</formula>
    </cfRule>
    <cfRule type="containsText" dxfId="941" priority="1150" operator="containsText" text="SICK">
      <formula>NOT(ISERROR(SEARCH("SICK",AG12)))</formula>
    </cfRule>
    <cfRule type="containsText" dxfId="940" priority="1149" operator="containsText" text="AL">
      <formula>NOT(ISERROR(SEARCH("AL",AG12)))</formula>
    </cfRule>
    <cfRule type="containsText" dxfId="939" priority="1148" operator="containsText" text="SICK">
      <formula>NOT(ISERROR(SEARCH("SICK",AG12)))</formula>
    </cfRule>
    <cfRule type="containsText" dxfId="938" priority="1157" operator="containsText" text="SICK">
      <formula>NOT(ISERROR(SEARCH("SICK",AG12)))</formula>
    </cfRule>
    <cfRule type="containsText" dxfId="937" priority="1162" stopIfTrue="1" operator="containsText" text="SICK">
      <formula>NOT(ISERROR(SEARCH("SICK",AG12)))</formula>
    </cfRule>
    <cfRule type="containsText" dxfId="936" priority="1161" stopIfTrue="1" operator="containsText" text="SP">
      <formula>NOT(ISERROR(SEARCH("SP",AG12)))</formula>
    </cfRule>
    <cfRule type="containsText" dxfId="935" priority="1160" stopIfTrue="1" operator="containsText" text="AL">
      <formula>NOT(ISERROR(SEARCH("AL",AG12)))</formula>
    </cfRule>
    <cfRule type="containsText" dxfId="934" priority="1159" operator="containsText" text="AB">
      <formula>NOT(ISERROR(SEARCH("AB",AG12)))</formula>
    </cfRule>
    <cfRule type="containsText" dxfId="933" priority="1158" operator="containsText" text="NL">
      <formula>NOT(ISERROR(SEARCH("NL",AG12)))</formula>
    </cfRule>
    <cfRule type="containsText" dxfId="932" priority="1156" operator="containsText" text="AL">
      <formula>NOT(ISERROR(SEARCH("AL",AG12)))</formula>
    </cfRule>
    <cfRule type="containsText" dxfId="931" priority="1155" stopIfTrue="1" operator="containsText" text="SICK">
      <formula>NOT(ISERROR(SEARCH("SICK",AG12)))</formula>
    </cfRule>
  </conditionalFormatting>
  <conditionalFormatting sqref="AG17">
    <cfRule type="containsText" dxfId="930" priority="1089" operator="containsText" text="AB">
      <formula>NOT(ISERROR(SEARCH("AB",AG17)))</formula>
    </cfRule>
    <cfRule type="containsText" dxfId="929" priority="1093" operator="containsText" text="NL">
      <formula>NOT(ISERROR(SEARCH("NL",AG17)))</formula>
    </cfRule>
    <cfRule type="containsText" dxfId="928" priority="1094" operator="containsText" text="AB">
      <formula>NOT(ISERROR(SEARCH("AB",AG17)))</formula>
    </cfRule>
    <cfRule type="containsText" dxfId="927" priority="1096" stopIfTrue="1" operator="containsText" text="SP">
      <formula>NOT(ISERROR(SEARCH("SP",AG17)))</formula>
    </cfRule>
    <cfRule type="containsText" dxfId="926" priority="1097" stopIfTrue="1" operator="containsText" text="SICK">
      <formula>NOT(ISERROR(SEARCH("SICK",AG17)))</formula>
    </cfRule>
    <cfRule type="containsText" dxfId="925" priority="1098" operator="containsText" text="AL">
      <formula>NOT(ISERROR(SEARCH("AL",AG17)))</formula>
    </cfRule>
    <cfRule type="containsText" dxfId="924" priority="1086" operator="containsText" text="FL">
      <formula>NOT(ISERROR(SEARCH("FL",AG17)))</formula>
    </cfRule>
    <cfRule type="containsText" priority="1087" operator="containsText" text="FL">
      <formula>NOT(ISERROR(SEARCH("FL",AG17)))</formula>
    </cfRule>
    <cfRule type="containsText" dxfId="923" priority="1088" operator="containsText" text="AL">
      <formula>NOT(ISERROR(SEARCH("AL",AG17)))</formula>
    </cfRule>
    <cfRule type="containsText" dxfId="922" priority="1099" operator="containsText" text="SICK">
      <formula>NOT(ISERROR(SEARCH("SICK",AG17)))</formula>
    </cfRule>
    <cfRule type="containsText" dxfId="921" priority="1090" operator="containsText" text="SICK">
      <formula>NOT(ISERROR(SEARCH("SICK",AG17)))</formula>
    </cfRule>
    <cfRule type="containsText" dxfId="920" priority="1091" operator="containsText" text="AL">
      <formula>NOT(ISERROR(SEARCH("AL",AG17)))</formula>
    </cfRule>
    <cfRule type="containsText" dxfId="919" priority="1092" operator="containsText" text="SICK">
      <formula>NOT(ISERROR(SEARCH("SICK",AG17)))</formula>
    </cfRule>
    <cfRule type="containsText" dxfId="918" priority="1100" operator="containsText" text="NL">
      <formula>NOT(ISERROR(SEARCH("NL",AG17)))</formula>
    </cfRule>
    <cfRule type="containsText" dxfId="917" priority="1095" stopIfTrue="1" operator="containsText" text="AL">
      <formula>NOT(ISERROR(SEARCH("AL",AG17)))</formula>
    </cfRule>
    <cfRule type="containsText" dxfId="916" priority="1104" stopIfTrue="1" operator="containsText" text="SICK">
      <formula>NOT(ISERROR(SEARCH("SICK",AG17)))</formula>
    </cfRule>
    <cfRule type="containsText" dxfId="915" priority="1103" stopIfTrue="1" operator="containsText" text="SP">
      <formula>NOT(ISERROR(SEARCH("SP",AG17)))</formula>
    </cfRule>
    <cfRule type="containsText" dxfId="914" priority="1102" stopIfTrue="1" operator="containsText" text="AL">
      <formula>NOT(ISERROR(SEARCH("AL",AG17)))</formula>
    </cfRule>
    <cfRule type="containsText" dxfId="913" priority="1101" operator="containsText" text="AB">
      <formula>NOT(ISERROR(SEARCH("AB",AG17)))</formula>
    </cfRule>
  </conditionalFormatting>
  <conditionalFormatting sqref="AG20">
    <cfRule type="containsText" dxfId="912" priority="1064" stopIfTrue="1" operator="containsText" text="AL">
      <formula>NOT(ISERROR(SEARCH("AL",AG20)))</formula>
    </cfRule>
    <cfRule type="containsText" dxfId="911" priority="1056" operator="containsText" text="AB">
      <formula>NOT(ISERROR(SEARCH("AB",AG20)))</formula>
    </cfRule>
    <cfRule type="containsText" dxfId="910" priority="1065" stopIfTrue="1" operator="containsText" text="SP">
      <formula>NOT(ISERROR(SEARCH("SP",AG20)))</formula>
    </cfRule>
    <cfRule type="containsText" dxfId="909" priority="1057" stopIfTrue="1" operator="containsText" text="AL">
      <formula>NOT(ISERROR(SEARCH("AL",AG20)))</formula>
    </cfRule>
    <cfRule type="containsText" dxfId="908" priority="1058" stopIfTrue="1" operator="containsText" text="SP">
      <formula>NOT(ISERROR(SEARCH("SP",AG20)))</formula>
    </cfRule>
    <cfRule type="containsText" dxfId="907" priority="1062" operator="containsText" text="NL">
      <formula>NOT(ISERROR(SEARCH("NL",AG20)))</formula>
    </cfRule>
    <cfRule type="containsText" dxfId="906" priority="1063" operator="containsText" text="AB">
      <formula>NOT(ISERROR(SEARCH("AB",AG20)))</formula>
    </cfRule>
    <cfRule type="containsText" dxfId="905" priority="1055" operator="containsText" text="NL">
      <formula>NOT(ISERROR(SEARCH("NL",AG20)))</formula>
    </cfRule>
    <cfRule type="containsText" dxfId="904" priority="1061" operator="containsText" text="SICK">
      <formula>NOT(ISERROR(SEARCH("SICK",AG20)))</formula>
    </cfRule>
    <cfRule type="containsText" dxfId="903" priority="1060" operator="containsText" text="AL">
      <formula>NOT(ISERROR(SEARCH("AL",AG20)))</formula>
    </cfRule>
    <cfRule type="containsText" dxfId="902" priority="1059" stopIfTrue="1" operator="containsText" text="SICK">
      <formula>NOT(ISERROR(SEARCH("SICK",AG20)))</formula>
    </cfRule>
    <cfRule type="containsText" dxfId="901" priority="1054" operator="containsText" text="SICK">
      <formula>NOT(ISERROR(SEARCH("SICK",AG20)))</formula>
    </cfRule>
    <cfRule type="containsText" dxfId="900" priority="1066" stopIfTrue="1" operator="containsText" text="SICK">
      <formula>NOT(ISERROR(SEARCH("SICK",AG20)))</formula>
    </cfRule>
    <cfRule type="containsText" dxfId="899" priority="1048" operator="containsText" text="FL">
      <formula>NOT(ISERROR(SEARCH("FL",AG20)))</formula>
    </cfRule>
    <cfRule type="containsText" priority="1049" operator="containsText" text="FL">
      <formula>NOT(ISERROR(SEARCH("FL",AG20)))</formula>
    </cfRule>
    <cfRule type="containsText" dxfId="898" priority="1050" operator="containsText" text="AL">
      <formula>NOT(ISERROR(SEARCH("AL",AG20)))</formula>
    </cfRule>
    <cfRule type="containsText" dxfId="897" priority="1051" operator="containsText" text="AB">
      <formula>NOT(ISERROR(SEARCH("AB",AG20)))</formula>
    </cfRule>
    <cfRule type="containsText" dxfId="896" priority="1052" operator="containsText" text="SICK">
      <formula>NOT(ISERROR(SEARCH("SICK",AG20)))</formula>
    </cfRule>
    <cfRule type="containsText" dxfId="895" priority="1053" operator="containsText" text="AL">
      <formula>NOT(ISERROR(SEARCH("AL",AG20)))</formula>
    </cfRule>
  </conditionalFormatting>
  <conditionalFormatting sqref="AG23:AG24">
    <cfRule type="containsText" dxfId="894" priority="1029" operator="containsText" text="FL">
      <formula>NOT(ISERROR(SEARCH("FL",AG23)))</formula>
    </cfRule>
    <cfRule type="containsText" priority="1030" operator="containsText" text="FL">
      <formula>NOT(ISERROR(SEARCH("FL",AG23)))</formula>
    </cfRule>
    <cfRule type="containsText" dxfId="893" priority="1038" stopIfTrue="1" operator="containsText" text="AL">
      <formula>NOT(ISERROR(SEARCH("AL",AG23)))</formula>
    </cfRule>
    <cfRule type="containsText" dxfId="892" priority="1031" operator="containsText" text="AL">
      <formula>NOT(ISERROR(SEARCH("AL",AG23)))</formula>
    </cfRule>
    <cfRule type="containsText" dxfId="891" priority="1039" stopIfTrue="1" operator="containsText" text="SP">
      <formula>NOT(ISERROR(SEARCH("SP",AG23)))</formula>
    </cfRule>
    <cfRule type="containsText" dxfId="890" priority="1040" stopIfTrue="1" operator="containsText" text="SICK">
      <formula>NOT(ISERROR(SEARCH("SICK",AG23)))</formula>
    </cfRule>
    <cfRule type="containsText" dxfId="889" priority="1041" operator="containsText" text="AL">
      <formula>NOT(ISERROR(SEARCH("AL",AG23)))</formula>
    </cfRule>
    <cfRule type="containsText" dxfId="888" priority="1032" operator="containsText" text="AB">
      <formula>NOT(ISERROR(SEARCH("AB",AG23)))</formula>
    </cfRule>
    <cfRule type="containsText" dxfId="887" priority="1043" operator="containsText" text="NL">
      <formula>NOT(ISERROR(SEARCH("NL",AG23)))</formula>
    </cfRule>
    <cfRule type="containsText" dxfId="886" priority="1044" operator="containsText" text="AB">
      <formula>NOT(ISERROR(SEARCH("AB",AG23)))</formula>
    </cfRule>
    <cfRule type="containsText" dxfId="885" priority="1045" stopIfTrue="1" operator="containsText" text="AL">
      <formula>NOT(ISERROR(SEARCH("AL",AG23)))</formula>
    </cfRule>
    <cfRule type="containsText" dxfId="884" priority="1046" stopIfTrue="1" operator="containsText" text="SP">
      <formula>NOT(ISERROR(SEARCH("SP",AG23)))</formula>
    </cfRule>
    <cfRule type="containsText" dxfId="883" priority="1047" stopIfTrue="1" operator="containsText" text="SICK">
      <formula>NOT(ISERROR(SEARCH("SICK",AG23)))</formula>
    </cfRule>
    <cfRule type="containsText" dxfId="882" priority="1033" operator="containsText" text="SICK">
      <formula>NOT(ISERROR(SEARCH("SICK",AG23)))</formula>
    </cfRule>
    <cfRule type="containsText" dxfId="881" priority="1034" operator="containsText" text="AL">
      <formula>NOT(ISERROR(SEARCH("AL",AG23)))</formula>
    </cfRule>
    <cfRule type="containsText" dxfId="880" priority="1035" operator="containsText" text="SICK">
      <formula>NOT(ISERROR(SEARCH("SICK",AG23)))</formula>
    </cfRule>
    <cfRule type="containsText" dxfId="879" priority="1036" operator="containsText" text="NL">
      <formula>NOT(ISERROR(SEARCH("NL",AG23)))</formula>
    </cfRule>
    <cfRule type="containsText" dxfId="878" priority="1037" operator="containsText" text="AB">
      <formula>NOT(ISERROR(SEARCH("AB",AG23)))</formula>
    </cfRule>
    <cfRule type="containsText" dxfId="877" priority="1042" operator="containsText" text="SICK">
      <formula>NOT(ISERROR(SEARCH("SICK",AG23)))</formula>
    </cfRule>
  </conditionalFormatting>
  <conditionalFormatting sqref="AH7:AH9 AB8:AC8">
    <cfRule type="containsText" dxfId="876" priority="8676" stopIfTrue="1" operator="containsText" text="SICK">
      <formula>NOT(ISERROR(SEARCH("SICK",AB7)))</formula>
    </cfRule>
    <cfRule type="containsText" dxfId="875" priority="8675" stopIfTrue="1" operator="containsText" text="SP">
      <formula>NOT(ISERROR(SEARCH("SP",AB7)))</formula>
    </cfRule>
  </conditionalFormatting>
  <conditionalFormatting sqref="AH7:AH9 AH17:AH19 AH27:AH29 AH31 AH59 AT59:BI59">
    <cfRule type="containsText" dxfId="874" priority="7260" operator="containsText" text="SICK">
      <formula>NOT(ISERROR(SEARCH("SICK",AH7)))</formula>
    </cfRule>
    <cfRule type="containsText" dxfId="873" priority="6486" stopIfTrue="1" operator="containsText" text="FL">
      <formula>NOT(ISERROR(SEARCH("FL",AH7)))</formula>
    </cfRule>
    <cfRule type="containsText" dxfId="872" priority="7258" stopIfTrue="1" operator="containsText" text="AB">
      <formula>NOT(ISERROR(SEARCH("AB",AH7)))</formula>
    </cfRule>
  </conditionalFormatting>
  <conditionalFormatting sqref="AH7:AI8 AH9 AH17:AH19 AH27:AH29 AH31 AH59:AI59 AT59:BI59 D5:AS6 Y7 AA7 AO7 D8:O9 AB8:AC9 AI9:AI31 D59:F59">
    <cfRule type="containsText" dxfId="871" priority="7298" operator="containsText" text="AL">
      <formula>NOT(ISERROR(SEARCH("AL",D5)))</formula>
    </cfRule>
  </conditionalFormatting>
  <conditionalFormatting sqref="AH7:AI8 AH9 AH17:AH19 AH27:AH29 AH31 AH59:AI59 AT59:BI59 AB8:AC9 D5:AS6 AO7 D8:O9 Y7 AA7 AI9:AI31 D59:F59">
    <cfRule type="containsText" priority="7297" operator="containsText" text="FL">
      <formula>NOT(ISERROR(SEARCH("FL",D5)))</formula>
    </cfRule>
  </conditionalFormatting>
  <conditionalFormatting sqref="AJ4:AK4">
    <cfRule type="dataBar" priority="9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J5:AQ6 AO7">
    <cfRule type="containsText" dxfId="870" priority="1021" operator="containsText" text="AL">
      <formula>NOT(ISERROR(SEARCH("AL",AJ5)))</formula>
    </cfRule>
    <cfRule type="containsText" dxfId="869" priority="1028" stopIfTrue="1" operator="containsText" text="SICK">
      <formula>NOT(ISERROR(SEARCH("SICK",AJ5)))</formula>
    </cfRule>
    <cfRule type="containsText" dxfId="868" priority="1027" stopIfTrue="1" operator="containsText" text="SP">
      <formula>NOT(ISERROR(SEARCH("SP",AJ5)))</formula>
    </cfRule>
    <cfRule type="containsText" dxfId="867" priority="1026" stopIfTrue="1" operator="containsText" text="AL">
      <formula>NOT(ISERROR(SEARCH("AL",AJ5)))</formula>
    </cfRule>
    <cfRule type="containsText" dxfId="866" priority="1024" operator="containsText" text="AB">
      <formula>NOT(ISERROR(SEARCH("AB",AJ5)))</formula>
    </cfRule>
    <cfRule type="containsText" dxfId="865" priority="1023" operator="containsText" text="NL">
      <formula>NOT(ISERROR(SEARCH("NL",AJ5)))</formula>
    </cfRule>
    <cfRule type="containsText" dxfId="864" priority="1022" operator="containsText" text="SICK">
      <formula>NOT(ISERROR(SEARCH("SICK",AJ5)))</formula>
    </cfRule>
  </conditionalFormatting>
  <conditionalFormatting sqref="AJ8:AQ9">
    <cfRule type="containsText" dxfId="863" priority="847" operator="containsText" text="AL">
      <formula>NOT(ISERROR(SEARCH("AL",AJ8)))</formula>
    </cfRule>
    <cfRule type="containsText" dxfId="862" priority="846" operator="containsText" text="AB">
      <formula>NOT(ISERROR(SEARCH("AB",AJ8)))</formula>
    </cfRule>
    <cfRule type="containsText" dxfId="861" priority="845" operator="containsText" text="SICK">
      <formula>NOT(ISERROR(SEARCH("SICK",AJ8)))</formula>
    </cfRule>
    <cfRule type="containsText" dxfId="860" priority="844" operator="containsText" text="AB">
      <formula>NOT(ISERROR(SEARCH("AB",AJ8)))</formula>
    </cfRule>
    <cfRule type="containsText" dxfId="859" priority="843" operator="containsText" text="AL">
      <formula>NOT(ISERROR(SEARCH("AL",AJ8)))</formula>
    </cfRule>
    <cfRule type="containsText" priority="842" operator="containsText" text="FL">
      <formula>NOT(ISERROR(SEARCH("FL",AJ8)))</formula>
    </cfRule>
    <cfRule type="containsText" dxfId="858" priority="841" operator="containsText" text="FL">
      <formula>NOT(ISERROR(SEARCH("FL",AJ8)))</formula>
    </cfRule>
    <cfRule type="containsText" dxfId="857" priority="856" stopIfTrue="1" operator="containsText" text="SICK">
      <formula>NOT(ISERROR(SEARCH("SICK",AJ8)))</formula>
    </cfRule>
    <cfRule type="containsText" dxfId="856" priority="855" stopIfTrue="1" operator="containsText" text="SP">
      <formula>NOT(ISERROR(SEARCH("SP",AJ8)))</formula>
    </cfRule>
    <cfRule type="containsText" dxfId="855" priority="854" stopIfTrue="1" operator="containsText" text="AL">
      <formula>NOT(ISERROR(SEARCH("AL",AJ8)))</formula>
    </cfRule>
    <cfRule type="containsText" dxfId="854" priority="853" operator="containsText" text="NL">
      <formula>NOT(ISERROR(SEARCH("NL",AJ8)))</formula>
    </cfRule>
    <cfRule type="containsText" dxfId="853" priority="852" operator="containsText" text="SICK">
      <formula>NOT(ISERROR(SEARCH("SICK",AJ8)))</formula>
    </cfRule>
    <cfRule type="containsText" dxfId="852" priority="851" operator="containsText" text="AL">
      <formula>NOT(ISERROR(SEARCH("AL",AJ8)))</formula>
    </cfRule>
    <cfRule type="containsText" dxfId="851" priority="850" operator="containsText" text="AB">
      <formula>NOT(ISERROR(SEARCH("AB",AJ8)))</formula>
    </cfRule>
    <cfRule type="containsText" dxfId="850" priority="849" operator="containsText" text="NL">
      <formula>NOT(ISERROR(SEARCH("NL",AJ8)))</formula>
    </cfRule>
    <cfRule type="containsText" dxfId="849" priority="848" operator="containsText" text="SICK">
      <formula>NOT(ISERROR(SEARCH("SICK",AJ8)))</formula>
    </cfRule>
  </conditionalFormatting>
  <conditionalFormatting sqref="AJ19:AQ19">
    <cfRule type="containsText" dxfId="848" priority="526" stopIfTrue="1" operator="containsText" text="SICK">
      <formula>NOT(ISERROR(SEARCH("SICK",AJ19)))</formula>
    </cfRule>
    <cfRule type="containsText" dxfId="847" priority="525" stopIfTrue="1" operator="containsText" text="SP">
      <formula>NOT(ISERROR(SEARCH("SP",AJ19)))</formula>
    </cfRule>
    <cfRule type="containsText" dxfId="846" priority="524" stopIfTrue="1" operator="containsText" text="AL">
      <formula>NOT(ISERROR(SEARCH("AL",AJ19)))</formula>
    </cfRule>
    <cfRule type="containsText" dxfId="845" priority="522" operator="containsText" text="NL">
      <formula>NOT(ISERROR(SEARCH("NL",AJ19)))</formula>
    </cfRule>
    <cfRule type="containsText" dxfId="844" priority="521" operator="containsText" text="SICK">
      <formula>NOT(ISERROR(SEARCH("SICK",AJ19)))</formula>
    </cfRule>
    <cfRule type="containsText" dxfId="843" priority="511" operator="containsText" text="AB">
      <formula>NOT(ISERROR(SEARCH("AB",AJ19)))</formula>
    </cfRule>
    <cfRule type="containsText" dxfId="842" priority="512" operator="containsText" text="SICK">
      <formula>NOT(ISERROR(SEARCH("SICK",AJ19)))</formula>
    </cfRule>
    <cfRule type="containsText" dxfId="841" priority="513" operator="containsText" text="AL">
      <formula>NOT(ISERROR(SEARCH("AL",AJ19)))</formula>
    </cfRule>
    <cfRule type="containsText" dxfId="840" priority="514" operator="containsText" text="SICK">
      <formula>NOT(ISERROR(SEARCH("SICK",AJ19)))</formula>
    </cfRule>
    <cfRule type="containsText" dxfId="839" priority="515" operator="containsText" text="NL">
      <formula>NOT(ISERROR(SEARCH("NL",AJ19)))</formula>
    </cfRule>
    <cfRule type="containsText" dxfId="838" priority="516" operator="containsText" text="AB">
      <formula>NOT(ISERROR(SEARCH("AB",AJ19)))</formula>
    </cfRule>
    <cfRule type="containsText" dxfId="837" priority="517" stopIfTrue="1" operator="containsText" text="AL">
      <formula>NOT(ISERROR(SEARCH("AL",AJ19)))</formula>
    </cfRule>
    <cfRule type="containsText" dxfId="836" priority="518" stopIfTrue="1" operator="containsText" text="SP">
      <formula>NOT(ISERROR(SEARCH("SP",AJ19)))</formula>
    </cfRule>
    <cfRule type="containsText" dxfId="835" priority="519" stopIfTrue="1" operator="containsText" text="SICK">
      <formula>NOT(ISERROR(SEARCH("SICK",AJ19)))</formula>
    </cfRule>
    <cfRule type="containsText" dxfId="834" priority="520" operator="containsText" text="AL">
      <formula>NOT(ISERROR(SEARCH("AL",AJ19)))</formula>
    </cfRule>
  </conditionalFormatting>
  <conditionalFormatting sqref="AJ5:AS6 AO7">
    <cfRule type="containsText" dxfId="833" priority="6395" operator="containsText" text="AB">
      <formula>NOT(ISERROR(SEARCH("AB",AJ5)))</formula>
    </cfRule>
    <cfRule type="containsText" dxfId="832" priority="8445" stopIfTrue="1" operator="containsText" text="AL">
      <formula>NOT(ISERROR(SEARCH("AL",AJ5)))</formula>
    </cfRule>
    <cfRule type="containsText" dxfId="831" priority="8446" stopIfTrue="1" operator="containsText" text="SP">
      <formula>NOT(ISERROR(SEARCH("SP",AJ5)))</formula>
    </cfRule>
    <cfRule type="containsText" dxfId="830" priority="8447" stopIfTrue="1" operator="containsText" text="SICK">
      <formula>NOT(ISERROR(SEARCH("SICK",AJ5)))</formula>
    </cfRule>
    <cfRule type="containsText" dxfId="829" priority="6396" stopIfTrue="1" operator="containsText" text="AL">
      <formula>NOT(ISERROR(SEARCH("AL",AJ5)))</formula>
    </cfRule>
  </conditionalFormatting>
  <conditionalFormatting sqref="AJ19:AS19">
    <cfRule type="containsText" dxfId="828" priority="523" operator="containsText" text="AB">
      <formula>NOT(ISERROR(SEARCH("AB",AJ19)))</formula>
    </cfRule>
  </conditionalFormatting>
  <conditionalFormatting sqref="AJ4:BI4">
    <cfRule type="expression" priority="9634">
      <formula>AND(ISNUMBER($Y2), ISNUMBER($Z2))</formula>
    </cfRule>
    <cfRule type="cellIs" dxfId="827" priority="9636" operator="equal">
      <formula>"Sick"</formula>
    </cfRule>
    <cfRule type="cellIs" dxfId="826" priority="9637" operator="equal">
      <formula>"AB"</formula>
    </cfRule>
    <cfRule type="containsText" dxfId="825" priority="9639" operator="containsText" text="AB">
      <formula>NOT(ISERROR(SEARCH("AB",#REF!)))</formula>
    </cfRule>
    <cfRule type="containsText" dxfId="824" priority="9640" operator="containsText" text="HD">
      <formula>NOT(ISERROR(SEARCH("HD",#REF!)))</formula>
    </cfRule>
    <cfRule type="containsText" dxfId="823" priority="9641" operator="containsText" text="S">
      <formula>NOT(ISERROR(SEARCH("S",#REF!)))</formula>
    </cfRule>
    <cfRule type="cellIs" dxfId="822" priority="9638" operator="equal">
      <formula>"OFF"</formula>
    </cfRule>
  </conditionalFormatting>
  <conditionalFormatting sqref="AJ19:BI19">
    <cfRule type="containsText" priority="407" operator="containsText" text="FL">
      <formula>NOT(ISERROR(SEARCH("FL",AJ19)))</formula>
    </cfRule>
    <cfRule type="containsText" dxfId="821" priority="406" operator="containsText" text="FL">
      <formula>NOT(ISERROR(SEARCH("FL",AJ19)))</formula>
    </cfRule>
    <cfRule type="containsText" dxfId="820" priority="408" operator="containsText" text="AL">
      <formula>NOT(ISERROR(SEARCH("AL",AJ19)))</formula>
    </cfRule>
  </conditionalFormatting>
  <conditionalFormatting sqref="AK12">
    <cfRule type="containsText" dxfId="819" priority="301" operator="containsText" text="AB">
      <formula>NOT(ISERROR(SEARCH("AB",AK12)))</formula>
    </cfRule>
    <cfRule type="containsText" dxfId="818" priority="302" operator="containsText" text="SICK">
      <formula>NOT(ISERROR(SEARCH("SICK",AK12)))</formula>
    </cfRule>
    <cfRule type="containsText" dxfId="817" priority="308" stopIfTrue="1" operator="containsText" text="SP">
      <formula>NOT(ISERROR(SEARCH("SP",AK12)))</formula>
    </cfRule>
    <cfRule type="containsText" dxfId="816" priority="305" operator="containsText" text="NL">
      <formula>NOT(ISERROR(SEARCH("NL",AK12)))</formula>
    </cfRule>
    <cfRule type="containsText" dxfId="815" priority="309" stopIfTrue="1" operator="containsText" text="SICK">
      <formula>NOT(ISERROR(SEARCH("SICK",AK12)))</formula>
    </cfRule>
    <cfRule type="containsText" dxfId="814" priority="310" operator="containsText" text="AL">
      <formula>NOT(ISERROR(SEARCH("AL",AK12)))</formula>
    </cfRule>
    <cfRule type="containsText" dxfId="813" priority="311" operator="containsText" text="SICK">
      <formula>NOT(ISERROR(SEARCH("SICK",AK12)))</formula>
    </cfRule>
    <cfRule type="containsText" dxfId="812" priority="313" operator="containsText" text="AB">
      <formula>NOT(ISERROR(SEARCH("AB",AK12)))</formula>
    </cfRule>
    <cfRule type="containsText" dxfId="811" priority="316" stopIfTrue="1" operator="containsText" text="SICK">
      <formula>NOT(ISERROR(SEARCH("SICK",AK12)))</formula>
    </cfRule>
    <cfRule type="containsText" dxfId="810" priority="314" stopIfTrue="1" operator="containsText" text="AL">
      <formula>NOT(ISERROR(SEARCH("AL",AK12)))</formula>
    </cfRule>
    <cfRule type="containsText" dxfId="809" priority="303" operator="containsText" text="AL">
      <formula>NOT(ISERROR(SEARCH("AL",AK12)))</formula>
    </cfRule>
    <cfRule type="containsText" dxfId="808" priority="304" operator="containsText" text="SICK">
      <formula>NOT(ISERROR(SEARCH("SICK",AK12)))</formula>
    </cfRule>
    <cfRule type="containsText" dxfId="807" priority="306" operator="containsText" text="AB">
      <formula>NOT(ISERROR(SEARCH("AB",AK12)))</formula>
    </cfRule>
    <cfRule type="containsText" dxfId="806" priority="307" stopIfTrue="1" operator="containsText" text="AL">
      <formula>NOT(ISERROR(SEARCH("AL",AK12)))</formula>
    </cfRule>
    <cfRule type="containsText" dxfId="805" priority="315" stopIfTrue="1" operator="containsText" text="SP">
      <formula>NOT(ISERROR(SEARCH("SP",AK12)))</formula>
    </cfRule>
    <cfRule type="containsText" dxfId="804" priority="312" operator="containsText" text="NL">
      <formula>NOT(ISERROR(SEARCH("NL",AK12)))</formula>
    </cfRule>
    <cfRule type="containsText" dxfId="803" priority="298" operator="containsText" text="FL">
      <formula>NOT(ISERROR(SEARCH("FL",AK12)))</formula>
    </cfRule>
    <cfRule type="containsText" priority="299" operator="containsText" text="FL">
      <formula>NOT(ISERROR(SEARCH("FL",AK12)))</formula>
    </cfRule>
    <cfRule type="containsText" dxfId="802" priority="300" operator="containsText" text="AL">
      <formula>NOT(ISERROR(SEARCH("AL",AK12)))</formula>
    </cfRule>
  </conditionalFormatting>
  <conditionalFormatting sqref="AK20">
    <cfRule type="containsText" dxfId="801" priority="727" operator="containsText" text="SICK">
      <formula>NOT(ISERROR(SEARCH("SICK",AK20)))</formula>
    </cfRule>
    <cfRule type="containsText" dxfId="800" priority="720" operator="containsText" text="SICK">
      <formula>NOT(ISERROR(SEARCH("SICK",AK20)))</formula>
    </cfRule>
    <cfRule type="containsText" dxfId="799" priority="726" operator="containsText" text="AL">
      <formula>NOT(ISERROR(SEARCH("AL",AK20)))</formula>
    </cfRule>
    <cfRule type="containsText" dxfId="798" priority="725" stopIfTrue="1" operator="containsText" text="SICK">
      <formula>NOT(ISERROR(SEARCH("SICK",AK20)))</formula>
    </cfRule>
    <cfRule type="containsText" dxfId="797" priority="724" stopIfTrue="1" operator="containsText" text="SP">
      <formula>NOT(ISERROR(SEARCH("SP",AK20)))</formula>
    </cfRule>
    <cfRule type="containsText" dxfId="796" priority="730" stopIfTrue="1" operator="containsText" text="AL">
      <formula>NOT(ISERROR(SEARCH("AL",AK20)))</formula>
    </cfRule>
    <cfRule type="containsText" dxfId="795" priority="731" stopIfTrue="1" operator="containsText" text="SP">
      <formula>NOT(ISERROR(SEARCH("SP",AK20)))</formula>
    </cfRule>
    <cfRule type="containsText" dxfId="794" priority="732" stopIfTrue="1" operator="containsText" text="SICK">
      <formula>NOT(ISERROR(SEARCH("SICK",AK20)))</formula>
    </cfRule>
    <cfRule type="containsText" dxfId="793" priority="728" operator="containsText" text="NL">
      <formula>NOT(ISERROR(SEARCH("NL",AK20)))</formula>
    </cfRule>
    <cfRule type="containsText" dxfId="792" priority="723" stopIfTrue="1" operator="containsText" text="AL">
      <formula>NOT(ISERROR(SEARCH("AL",AK20)))</formula>
    </cfRule>
    <cfRule type="containsText" dxfId="791" priority="729" operator="containsText" text="AB">
      <formula>NOT(ISERROR(SEARCH("AB",AK20)))</formula>
    </cfRule>
    <cfRule type="containsText" dxfId="790" priority="721" operator="containsText" text="NL">
      <formula>NOT(ISERROR(SEARCH("NL",AK20)))</formula>
    </cfRule>
    <cfRule type="containsText" dxfId="789" priority="719" operator="containsText" text="AL">
      <formula>NOT(ISERROR(SEARCH("AL",AK20)))</formula>
    </cfRule>
    <cfRule type="containsText" dxfId="788" priority="718" operator="containsText" text="SICK">
      <formula>NOT(ISERROR(SEARCH("SICK",AK20)))</formula>
    </cfRule>
    <cfRule type="containsText" dxfId="787" priority="717" operator="containsText" text="AB">
      <formula>NOT(ISERROR(SEARCH("AB",AK20)))</formula>
    </cfRule>
    <cfRule type="containsText" dxfId="786" priority="716" operator="containsText" text="AL">
      <formula>NOT(ISERROR(SEARCH("AL",AK20)))</formula>
    </cfRule>
    <cfRule type="containsText" priority="715" operator="containsText" text="FL">
      <formula>NOT(ISERROR(SEARCH("FL",AK20)))</formula>
    </cfRule>
    <cfRule type="containsText" dxfId="785" priority="714" operator="containsText" text="FL">
      <formula>NOT(ISERROR(SEARCH("FL",AK20)))</formula>
    </cfRule>
    <cfRule type="containsText" dxfId="784" priority="722" operator="containsText" text="AB">
      <formula>NOT(ISERROR(SEARCH("AB",AK20)))</formula>
    </cfRule>
  </conditionalFormatting>
  <conditionalFormatting sqref="AK23">
    <cfRule type="containsText" dxfId="783" priority="707" operator="containsText" text="AL">
      <formula>NOT(ISERROR(SEARCH("AL",AK23)))</formula>
    </cfRule>
    <cfRule type="containsText" dxfId="782" priority="706" stopIfTrue="1" operator="containsText" text="SICK">
      <formula>NOT(ISERROR(SEARCH("SICK",AK23)))</formula>
    </cfRule>
    <cfRule type="containsText" dxfId="781" priority="705" stopIfTrue="1" operator="containsText" text="SP">
      <formula>NOT(ISERROR(SEARCH("SP",AK23)))</formula>
    </cfRule>
    <cfRule type="containsText" dxfId="780" priority="704" stopIfTrue="1" operator="containsText" text="AL">
      <formula>NOT(ISERROR(SEARCH("AL",AK23)))</formula>
    </cfRule>
    <cfRule type="containsText" dxfId="779" priority="703" operator="containsText" text="AB">
      <formula>NOT(ISERROR(SEARCH("AB",AK23)))</formula>
    </cfRule>
    <cfRule type="containsText" dxfId="778" priority="702" operator="containsText" text="NL">
      <formula>NOT(ISERROR(SEARCH("NL",AK23)))</formula>
    </cfRule>
    <cfRule type="containsText" dxfId="777" priority="701" operator="containsText" text="SICK">
      <formula>NOT(ISERROR(SEARCH("SICK",AK23)))</formula>
    </cfRule>
    <cfRule type="containsText" dxfId="776" priority="700" operator="containsText" text="AL">
      <formula>NOT(ISERROR(SEARCH("AL",AK23)))</formula>
    </cfRule>
    <cfRule type="containsText" dxfId="775" priority="699" operator="containsText" text="SICK">
      <formula>NOT(ISERROR(SEARCH("SICK",AK23)))</formula>
    </cfRule>
    <cfRule type="containsText" dxfId="774" priority="698" operator="containsText" text="AB">
      <formula>NOT(ISERROR(SEARCH("AB",AK23)))</formula>
    </cfRule>
    <cfRule type="containsText" dxfId="773" priority="697" operator="containsText" text="AL">
      <formula>NOT(ISERROR(SEARCH("AL",AK23)))</formula>
    </cfRule>
    <cfRule type="containsText" dxfId="772" priority="695" operator="containsText" text="FL">
      <formula>NOT(ISERROR(SEARCH("FL",AK23)))</formula>
    </cfRule>
    <cfRule type="containsText" priority="696" operator="containsText" text="FL">
      <formula>NOT(ISERROR(SEARCH("FL",AK23)))</formula>
    </cfRule>
    <cfRule type="containsText" dxfId="771" priority="713" stopIfTrue="1" operator="containsText" text="SICK">
      <formula>NOT(ISERROR(SEARCH("SICK",AK23)))</formula>
    </cfRule>
    <cfRule type="containsText" dxfId="770" priority="712" stopIfTrue="1" operator="containsText" text="SP">
      <formula>NOT(ISERROR(SEARCH("SP",AK23)))</formula>
    </cfRule>
    <cfRule type="containsText" dxfId="769" priority="711" stopIfTrue="1" operator="containsText" text="AL">
      <formula>NOT(ISERROR(SEARCH("AL",AK23)))</formula>
    </cfRule>
    <cfRule type="containsText" dxfId="768" priority="710" operator="containsText" text="AB">
      <formula>NOT(ISERROR(SEARCH("AB",AK23)))</formula>
    </cfRule>
    <cfRule type="containsText" dxfId="767" priority="709" operator="containsText" text="NL">
      <formula>NOT(ISERROR(SEARCH("NL",AK23)))</formula>
    </cfRule>
    <cfRule type="containsText" dxfId="766" priority="708" operator="containsText" text="SICK">
      <formula>NOT(ISERROR(SEARCH("SICK",AK23)))</formula>
    </cfRule>
  </conditionalFormatting>
  <conditionalFormatting sqref="AL4:AM4">
    <cfRule type="dataBar" priority="9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L5:AQ5 AJ5:AK6 AK6:AQ6 AO7">
    <cfRule type="containsText" dxfId="765" priority="6391" operator="containsText" text="AB">
      <formula>NOT(ISERROR(SEARCH("AB",AJ5)))</formula>
    </cfRule>
    <cfRule type="containsText" dxfId="764" priority="6398" stopIfTrue="1" operator="containsText" text="SICK">
      <formula>NOT(ISERROR(SEARCH("SICK",AJ5)))</formula>
    </cfRule>
    <cfRule type="containsText" dxfId="763" priority="6392" operator="containsText" text="AL">
      <formula>NOT(ISERROR(SEARCH("AL",AJ5)))</formula>
    </cfRule>
    <cfRule type="containsText" dxfId="762" priority="6393" operator="containsText" text="EL">
      <formula>NOT(ISERROR(SEARCH("EL",AJ5)))</formula>
    </cfRule>
    <cfRule type="containsText" dxfId="761" priority="6394" operator="containsText" text="SICK">
      <formula>NOT(ISERROR(SEARCH("SICK",AJ5)))</formula>
    </cfRule>
    <cfRule type="containsText" dxfId="760" priority="6397" stopIfTrue="1" operator="containsText" text="SP">
      <formula>NOT(ISERROR(SEARCH("SP",AJ5)))</formula>
    </cfRule>
  </conditionalFormatting>
  <conditionalFormatting sqref="AL5:AQ5 AJ5:AO6 AK6:AQ6 AO7">
    <cfRule type="containsText" dxfId="759" priority="9095" stopIfTrue="1" operator="containsText" text="SP">
      <formula>NOT(ISERROR(SEARCH("SP",AJ5)))</formula>
    </cfRule>
    <cfRule type="containsText" dxfId="758" priority="9096" stopIfTrue="1" operator="containsText" text="SICK">
      <formula>NOT(ISERROR(SEARCH("SICK",AJ5)))</formula>
    </cfRule>
    <cfRule type="containsText" dxfId="757" priority="9094" stopIfTrue="1" operator="containsText" text="AL">
      <formula>NOT(ISERROR(SEARCH("AL",AJ5)))</formula>
    </cfRule>
  </conditionalFormatting>
  <conditionalFormatting sqref="AL5:AS6 AO7">
    <cfRule type="containsText" dxfId="756" priority="6412" stopIfTrue="1" operator="containsText" text="SP">
      <formula>NOT(ISERROR(SEARCH("SP",AL5)))</formula>
    </cfRule>
    <cfRule type="containsText" dxfId="755" priority="6413" stopIfTrue="1" operator="containsText" text="SICK">
      <formula>NOT(ISERROR(SEARCH("SICK",AL5)))</formula>
    </cfRule>
  </conditionalFormatting>
  <conditionalFormatting sqref="AM12">
    <cfRule type="containsText" dxfId="754" priority="292" operator="containsText" text="SICK">
      <formula>NOT(ISERROR(SEARCH("SICK",AM12)))</formula>
    </cfRule>
    <cfRule type="containsText" dxfId="753" priority="295" stopIfTrue="1" operator="containsText" text="AL">
      <formula>NOT(ISERROR(SEARCH("AL",AM12)))</formula>
    </cfRule>
    <cfRule type="containsText" dxfId="752" priority="296" stopIfTrue="1" operator="containsText" text="SP">
      <formula>NOT(ISERROR(SEARCH("SP",AM12)))</formula>
    </cfRule>
    <cfRule type="containsText" dxfId="751" priority="297" stopIfTrue="1" operator="containsText" text="SICK">
      <formula>NOT(ISERROR(SEARCH("SICK",AM12)))</formula>
    </cfRule>
    <cfRule type="containsText" dxfId="750" priority="287" operator="containsText" text="AB">
      <formula>NOT(ISERROR(SEARCH("AB",AM12)))</formula>
    </cfRule>
    <cfRule type="containsText" dxfId="749" priority="286" operator="containsText" text="NL">
      <formula>NOT(ISERROR(SEARCH("NL",AM12)))</formula>
    </cfRule>
    <cfRule type="containsText" dxfId="748" priority="285" operator="containsText" text="SICK">
      <formula>NOT(ISERROR(SEARCH("SICK",AM12)))</formula>
    </cfRule>
    <cfRule type="containsText" dxfId="747" priority="284" operator="containsText" text="AL">
      <formula>NOT(ISERROR(SEARCH("AL",AM12)))</formula>
    </cfRule>
    <cfRule type="containsText" dxfId="746" priority="293" operator="containsText" text="NL">
      <formula>NOT(ISERROR(SEARCH("NL",AM12)))</formula>
    </cfRule>
    <cfRule type="containsText" dxfId="745" priority="291" operator="containsText" text="AL">
      <formula>NOT(ISERROR(SEARCH("AL",AM12)))</formula>
    </cfRule>
    <cfRule type="containsText" dxfId="744" priority="290" stopIfTrue="1" operator="containsText" text="SICK">
      <formula>NOT(ISERROR(SEARCH("SICK",AM12)))</formula>
    </cfRule>
    <cfRule type="containsText" dxfId="743" priority="283" operator="containsText" text="SICK">
      <formula>NOT(ISERROR(SEARCH("SICK",AM12)))</formula>
    </cfRule>
    <cfRule type="containsText" dxfId="742" priority="289" stopIfTrue="1" operator="containsText" text="SP">
      <formula>NOT(ISERROR(SEARCH("SP",AM12)))</formula>
    </cfRule>
    <cfRule type="containsText" dxfId="741" priority="288" stopIfTrue="1" operator="containsText" text="AL">
      <formula>NOT(ISERROR(SEARCH("AL",AM12)))</formula>
    </cfRule>
    <cfRule type="containsText" dxfId="740" priority="282" operator="containsText" text="AB">
      <formula>NOT(ISERROR(SEARCH("AB",AM12)))</formula>
    </cfRule>
  </conditionalFormatting>
  <conditionalFormatting sqref="AM12:AM13">
    <cfRule type="containsText" dxfId="739" priority="281" operator="containsText" text="AL">
      <formula>NOT(ISERROR(SEARCH("AL",AM12)))</formula>
    </cfRule>
    <cfRule type="containsText" priority="280" operator="containsText" text="FL">
      <formula>NOT(ISERROR(SEARCH("FL",AM12)))</formula>
    </cfRule>
    <cfRule type="containsText" dxfId="738" priority="294" operator="containsText" text="AB">
      <formula>NOT(ISERROR(SEARCH("AB",AM12)))</formula>
    </cfRule>
    <cfRule type="containsText" dxfId="737" priority="279" operator="containsText" text="FL">
      <formula>NOT(ISERROR(SEARCH("FL",AM12)))</formula>
    </cfRule>
  </conditionalFormatting>
  <conditionalFormatting sqref="AM13">
    <cfRule type="containsText" dxfId="736" priority="801" stopIfTrue="1" operator="containsText" text="SICK">
      <formula>NOT(ISERROR(SEARCH("SICK",AM13)))</formula>
    </cfRule>
    <cfRule type="containsText" dxfId="735" priority="802" operator="containsText" text="AL">
      <formula>NOT(ISERROR(SEARCH("AL",AM13)))</formula>
    </cfRule>
    <cfRule type="containsText" dxfId="734" priority="803" operator="containsText" text="SICK">
      <formula>NOT(ISERROR(SEARCH("SICK",AM13)))</formula>
    </cfRule>
    <cfRule type="containsText" dxfId="733" priority="804" operator="containsText" text="NL">
      <formula>NOT(ISERROR(SEARCH("NL",AM13)))</formula>
    </cfRule>
    <cfRule type="containsText" dxfId="732" priority="805" operator="containsText" text="AB">
      <formula>NOT(ISERROR(SEARCH("AB",AM13)))</formula>
    </cfRule>
    <cfRule type="containsText" dxfId="731" priority="806" stopIfTrue="1" operator="containsText" text="AL">
      <formula>NOT(ISERROR(SEARCH("AL",AM13)))</formula>
    </cfRule>
    <cfRule type="containsText" dxfId="730" priority="807" stopIfTrue="1" operator="containsText" text="SP">
      <formula>NOT(ISERROR(SEARCH("SP",AM13)))</formula>
    </cfRule>
    <cfRule type="containsText" dxfId="729" priority="808" stopIfTrue="1" operator="containsText" text="SICK">
      <formula>NOT(ISERROR(SEARCH("SICK",AM13)))</formula>
    </cfRule>
    <cfRule type="containsText" dxfId="728" priority="799" stopIfTrue="1" operator="containsText" text="AL">
      <formula>NOT(ISERROR(SEARCH("AL",AM13)))</formula>
    </cfRule>
    <cfRule type="containsText" dxfId="727" priority="800" stopIfTrue="1" operator="containsText" text="SP">
      <formula>NOT(ISERROR(SEARCH("SP",AM13)))</formula>
    </cfRule>
    <cfRule type="containsText" dxfId="726" priority="798" operator="containsText" text="AB">
      <formula>NOT(ISERROR(SEARCH("AB",AM13)))</formula>
    </cfRule>
    <cfRule type="containsText" dxfId="725" priority="797" operator="containsText" text="NL">
      <formula>NOT(ISERROR(SEARCH("NL",AM13)))</formula>
    </cfRule>
    <cfRule type="containsText" dxfId="724" priority="796" operator="containsText" text="SICK">
      <formula>NOT(ISERROR(SEARCH("SICK",AM13)))</formula>
    </cfRule>
    <cfRule type="containsText" dxfId="723" priority="795" operator="containsText" text="AL">
      <formula>NOT(ISERROR(SEARCH("AL",AM13)))</formula>
    </cfRule>
    <cfRule type="containsText" dxfId="722" priority="794" operator="containsText" text="SICK">
      <formula>NOT(ISERROR(SEARCH("SICK",AM13)))</formula>
    </cfRule>
  </conditionalFormatting>
  <conditionalFormatting sqref="AM23">
    <cfRule type="containsText" dxfId="721" priority="667" stopIfTrue="1" operator="containsText" text="SP">
      <formula>NOT(ISERROR(SEARCH("SP",AM23)))</formula>
    </cfRule>
    <cfRule type="containsText" dxfId="720" priority="666" stopIfTrue="1" operator="containsText" text="AL">
      <formula>NOT(ISERROR(SEARCH("AL",AM23)))</formula>
    </cfRule>
    <cfRule type="containsText" dxfId="719" priority="665" operator="containsText" text="AB">
      <formula>NOT(ISERROR(SEARCH("AB",AM23)))</formula>
    </cfRule>
    <cfRule type="containsText" dxfId="718" priority="664" operator="containsText" text="NL">
      <formula>NOT(ISERROR(SEARCH("NL",AM23)))</formula>
    </cfRule>
    <cfRule type="containsText" dxfId="717" priority="663" operator="containsText" text="SICK">
      <formula>NOT(ISERROR(SEARCH("SICK",AM23)))</formula>
    </cfRule>
    <cfRule type="containsText" dxfId="716" priority="662" operator="containsText" text="AL">
      <formula>NOT(ISERROR(SEARCH("AL",AM23)))</formula>
    </cfRule>
    <cfRule type="containsText" dxfId="715" priority="661" operator="containsText" text="SICK">
      <formula>NOT(ISERROR(SEARCH("SICK",AM23)))</formula>
    </cfRule>
    <cfRule type="containsText" dxfId="714" priority="660" operator="containsText" text="AB">
      <formula>NOT(ISERROR(SEARCH("AB",AM23)))</formula>
    </cfRule>
    <cfRule type="containsText" dxfId="713" priority="674" stopIfTrue="1" operator="containsText" text="SP">
      <formula>NOT(ISERROR(SEARCH("SP",AM23)))</formula>
    </cfRule>
    <cfRule type="containsText" priority="658" operator="containsText" text="FL">
      <formula>NOT(ISERROR(SEARCH("FL",AM23)))</formula>
    </cfRule>
    <cfRule type="containsText" dxfId="712" priority="675" stopIfTrue="1" operator="containsText" text="SICK">
      <formula>NOT(ISERROR(SEARCH("SICK",AM23)))</formula>
    </cfRule>
    <cfRule type="containsText" dxfId="711" priority="657" operator="containsText" text="FL">
      <formula>NOT(ISERROR(SEARCH("FL",AM23)))</formula>
    </cfRule>
    <cfRule type="containsText" dxfId="710" priority="673" stopIfTrue="1" operator="containsText" text="AL">
      <formula>NOT(ISERROR(SEARCH("AL",AM23)))</formula>
    </cfRule>
    <cfRule type="containsText" dxfId="709" priority="659" operator="containsText" text="AL">
      <formula>NOT(ISERROR(SEARCH("AL",AM23)))</formula>
    </cfRule>
    <cfRule type="containsText" dxfId="708" priority="672" operator="containsText" text="AB">
      <formula>NOT(ISERROR(SEARCH("AB",AM23)))</formula>
    </cfRule>
    <cfRule type="containsText" dxfId="707" priority="671" operator="containsText" text="NL">
      <formula>NOT(ISERROR(SEARCH("NL",AM23)))</formula>
    </cfRule>
    <cfRule type="containsText" dxfId="706" priority="670" operator="containsText" text="SICK">
      <formula>NOT(ISERROR(SEARCH("SICK",AM23)))</formula>
    </cfRule>
    <cfRule type="containsText" dxfId="705" priority="669" operator="containsText" text="AL">
      <formula>NOT(ISERROR(SEARCH("AL",AM23)))</formula>
    </cfRule>
    <cfRule type="containsText" dxfId="704" priority="668" stopIfTrue="1" operator="containsText" text="SICK">
      <formula>NOT(ISERROR(SEARCH("SICK",AM23)))</formula>
    </cfRule>
  </conditionalFormatting>
  <conditionalFormatting sqref="AN4:AO4">
    <cfRule type="dataBar" priority="9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N25:AO25">
    <cfRule type="containsText" dxfId="703" priority="637" stopIfTrue="1" operator="containsText" text="SICK">
      <formula>NOT(ISERROR(SEARCH("SICK",AN25)))</formula>
    </cfRule>
    <cfRule type="containsText" dxfId="702" priority="636" stopIfTrue="1" operator="containsText" text="SP">
      <formula>NOT(ISERROR(SEARCH("SP",AN25)))</formula>
    </cfRule>
    <cfRule type="containsText" dxfId="701" priority="634" operator="containsText" text="NL">
      <formula>NOT(ISERROR(SEARCH("NL",AN25)))</formula>
    </cfRule>
    <cfRule type="containsText" dxfId="700" priority="633" operator="containsText" text="SICK">
      <formula>NOT(ISERROR(SEARCH("SICK",AN25)))</formula>
    </cfRule>
    <cfRule type="containsText" dxfId="699" priority="631" operator="containsText" text="AB">
      <formula>NOT(ISERROR(SEARCH("AB",AN25)))</formula>
    </cfRule>
    <cfRule type="containsText" dxfId="698" priority="630" operator="containsText" text="SICK">
      <formula>NOT(ISERROR(SEARCH("SICK",AN25)))</formula>
    </cfRule>
    <cfRule type="containsText" dxfId="697" priority="629" operator="containsText" text="AB">
      <formula>NOT(ISERROR(SEARCH("AB",AN25)))</formula>
    </cfRule>
    <cfRule type="containsText" dxfId="696" priority="632" operator="containsText" text="AL">
      <formula>NOT(ISERROR(SEARCH("AL",AN25)))</formula>
    </cfRule>
    <cfRule type="containsText" dxfId="695" priority="628" operator="containsText" text="AL">
      <formula>NOT(ISERROR(SEARCH("AL",AN25)))</formula>
    </cfRule>
    <cfRule type="containsText" priority="627" operator="containsText" text="FL">
      <formula>NOT(ISERROR(SEARCH("FL",AN25)))</formula>
    </cfRule>
    <cfRule type="containsText" dxfId="694" priority="626" operator="containsText" text="FL">
      <formula>NOT(ISERROR(SEARCH("FL",AN25)))</formula>
    </cfRule>
    <cfRule type="containsText" dxfId="693" priority="635" stopIfTrue="1" operator="containsText" text="AL">
      <formula>NOT(ISERROR(SEARCH("AL",AN25)))</formula>
    </cfRule>
  </conditionalFormatting>
  <conditionalFormatting sqref="AO12">
    <cfRule type="containsText" priority="261" operator="containsText" text="FL">
      <formula>NOT(ISERROR(SEARCH("FL",AO12)))</formula>
    </cfRule>
    <cfRule type="containsText" dxfId="692" priority="263" operator="containsText" text="AB">
      <formula>NOT(ISERROR(SEARCH("AB",AO12)))</formula>
    </cfRule>
    <cfRule type="containsText" dxfId="691" priority="264" operator="containsText" text="SICK">
      <formula>NOT(ISERROR(SEARCH("SICK",AO12)))</formula>
    </cfRule>
    <cfRule type="containsText" dxfId="690" priority="266" operator="containsText" text="SICK">
      <formula>NOT(ISERROR(SEARCH("SICK",AO12)))</formula>
    </cfRule>
    <cfRule type="containsText" dxfId="689" priority="267" operator="containsText" text="NL">
      <formula>NOT(ISERROR(SEARCH("NL",AO12)))</formula>
    </cfRule>
    <cfRule type="containsText" dxfId="688" priority="268" operator="containsText" text="AB">
      <formula>NOT(ISERROR(SEARCH("AB",AO12)))</formula>
    </cfRule>
    <cfRule type="containsText" dxfId="687" priority="269" stopIfTrue="1" operator="containsText" text="AL">
      <formula>NOT(ISERROR(SEARCH("AL",AO12)))</formula>
    </cfRule>
    <cfRule type="containsText" dxfId="686" priority="270" stopIfTrue="1" operator="containsText" text="SP">
      <formula>NOT(ISERROR(SEARCH("SP",AO12)))</formula>
    </cfRule>
    <cfRule type="containsText" dxfId="685" priority="271" stopIfTrue="1" operator="containsText" text="SICK">
      <formula>NOT(ISERROR(SEARCH("SICK",AO12)))</formula>
    </cfRule>
    <cfRule type="containsText" dxfId="684" priority="262" operator="containsText" text="AL">
      <formula>NOT(ISERROR(SEARCH("AL",AO12)))</formula>
    </cfRule>
    <cfRule type="containsText" dxfId="683" priority="272" operator="containsText" text="AL">
      <formula>NOT(ISERROR(SEARCH("AL",AO12)))</formula>
    </cfRule>
    <cfRule type="containsText" dxfId="682" priority="273" operator="containsText" text="SICK">
      <formula>NOT(ISERROR(SEARCH("SICK",AO12)))</formula>
    </cfRule>
    <cfRule type="containsText" dxfId="681" priority="274" operator="containsText" text="NL">
      <formula>NOT(ISERROR(SEARCH("NL",AO12)))</formula>
    </cfRule>
    <cfRule type="containsText" dxfId="680" priority="275" operator="containsText" text="AB">
      <formula>NOT(ISERROR(SEARCH("AB",AO12)))</formula>
    </cfRule>
    <cfRule type="containsText" dxfId="679" priority="276" stopIfTrue="1" operator="containsText" text="AL">
      <formula>NOT(ISERROR(SEARCH("AL",AO12)))</formula>
    </cfRule>
    <cfRule type="containsText" dxfId="678" priority="277" stopIfTrue="1" operator="containsText" text="SP">
      <formula>NOT(ISERROR(SEARCH("SP",AO12)))</formula>
    </cfRule>
    <cfRule type="containsText" dxfId="677" priority="278" stopIfTrue="1" operator="containsText" text="SICK">
      <formula>NOT(ISERROR(SEARCH("SICK",AO12)))</formula>
    </cfRule>
    <cfRule type="containsText" dxfId="676" priority="265" operator="containsText" text="AL">
      <formula>NOT(ISERROR(SEARCH("AL",AO12)))</formula>
    </cfRule>
    <cfRule type="containsText" dxfId="675" priority="260" operator="containsText" text="FL">
      <formula>NOT(ISERROR(SEARCH("FL",AO12)))</formula>
    </cfRule>
  </conditionalFormatting>
  <conditionalFormatting sqref="AO20">
    <cfRule type="containsText" dxfId="674" priority="680" operator="containsText" text="SICK">
      <formula>NOT(ISERROR(SEARCH("SICK",AO20)))</formula>
    </cfRule>
    <cfRule type="containsText" dxfId="673" priority="678" operator="containsText" text="AL">
      <formula>NOT(ISERROR(SEARCH("AL",AO20)))</formula>
    </cfRule>
    <cfRule type="containsText" priority="677" operator="containsText" text="FL">
      <formula>NOT(ISERROR(SEARCH("FL",AO20)))</formula>
    </cfRule>
    <cfRule type="containsText" dxfId="672" priority="694" stopIfTrue="1" operator="containsText" text="SICK">
      <formula>NOT(ISERROR(SEARCH("SICK",AO20)))</formula>
    </cfRule>
    <cfRule type="containsText" dxfId="671" priority="687" stopIfTrue="1" operator="containsText" text="SICK">
      <formula>NOT(ISERROR(SEARCH("SICK",AO20)))</formula>
    </cfRule>
    <cfRule type="containsText" dxfId="670" priority="693" stopIfTrue="1" operator="containsText" text="SP">
      <formula>NOT(ISERROR(SEARCH("SP",AO20)))</formula>
    </cfRule>
    <cfRule type="containsText" dxfId="669" priority="692" stopIfTrue="1" operator="containsText" text="AL">
      <formula>NOT(ISERROR(SEARCH("AL",AO20)))</formula>
    </cfRule>
    <cfRule type="containsText" dxfId="668" priority="691" operator="containsText" text="AB">
      <formula>NOT(ISERROR(SEARCH("AB",AO20)))</formula>
    </cfRule>
    <cfRule type="containsText" dxfId="667" priority="690" operator="containsText" text="NL">
      <formula>NOT(ISERROR(SEARCH("NL",AO20)))</formula>
    </cfRule>
    <cfRule type="containsText" dxfId="666" priority="689" operator="containsText" text="SICK">
      <formula>NOT(ISERROR(SEARCH("SICK",AO20)))</formula>
    </cfRule>
    <cfRule type="containsText" dxfId="665" priority="688" operator="containsText" text="AL">
      <formula>NOT(ISERROR(SEARCH("AL",AO20)))</formula>
    </cfRule>
    <cfRule type="containsText" dxfId="664" priority="686" stopIfTrue="1" operator="containsText" text="SP">
      <formula>NOT(ISERROR(SEARCH("SP",AO20)))</formula>
    </cfRule>
    <cfRule type="containsText" dxfId="663" priority="685" stopIfTrue="1" operator="containsText" text="AL">
      <formula>NOT(ISERROR(SEARCH("AL",AO20)))</formula>
    </cfRule>
    <cfRule type="containsText" dxfId="662" priority="684" operator="containsText" text="AB">
      <formula>NOT(ISERROR(SEARCH("AB",AO20)))</formula>
    </cfRule>
    <cfRule type="containsText" dxfId="661" priority="683" operator="containsText" text="NL">
      <formula>NOT(ISERROR(SEARCH("NL",AO20)))</formula>
    </cfRule>
    <cfRule type="containsText" dxfId="660" priority="682" operator="containsText" text="SICK">
      <formula>NOT(ISERROR(SEARCH("SICK",AO20)))</formula>
    </cfRule>
    <cfRule type="containsText" dxfId="659" priority="681" operator="containsText" text="AL">
      <formula>NOT(ISERROR(SEARCH("AL",AO20)))</formula>
    </cfRule>
    <cfRule type="containsText" dxfId="658" priority="676" operator="containsText" text="FL">
      <formula>NOT(ISERROR(SEARCH("FL",AO20)))</formula>
    </cfRule>
    <cfRule type="containsText" dxfId="657" priority="679" operator="containsText" text="AB">
      <formula>NOT(ISERROR(SEARCH("AB",AO20)))</formula>
    </cfRule>
  </conditionalFormatting>
  <conditionalFormatting sqref="AP4:AQ4">
    <cfRule type="dataBar" priority="9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P5:AS6">
    <cfRule type="containsText" dxfId="656" priority="8441" operator="containsText" text="AB">
      <formula>NOT(ISERROR(SEARCH("AB",AP5)))</formula>
    </cfRule>
    <cfRule type="containsText" dxfId="655" priority="8442" operator="containsText" text="AL">
      <formula>NOT(ISERROR(SEARCH("AL",AP5)))</formula>
    </cfRule>
    <cfRule type="containsText" dxfId="654" priority="8443" operator="containsText" text="SICK">
      <formula>NOT(ISERROR(SEARCH("SICK",AP5)))</formula>
    </cfRule>
    <cfRule type="containsText" dxfId="653" priority="8444" operator="containsText" text="NL">
      <formula>NOT(ISERROR(SEARCH("NL",AP5)))</formula>
    </cfRule>
  </conditionalFormatting>
  <conditionalFormatting sqref="AQ12">
    <cfRule type="containsText" dxfId="652" priority="216" operator="containsText" text="SICK">
      <formula>NOT(ISERROR(SEARCH("SICK",AQ12)))</formula>
    </cfRule>
    <cfRule type="containsText" dxfId="651" priority="218" operator="containsText" text="AB">
      <formula>NOT(ISERROR(SEARCH("AB",AQ12)))</formula>
    </cfRule>
    <cfRule type="containsText" dxfId="650" priority="219" stopIfTrue="1" operator="containsText" text="AL">
      <formula>NOT(ISERROR(SEARCH("AL",AQ12)))</formula>
    </cfRule>
    <cfRule type="containsText" dxfId="649" priority="220" stopIfTrue="1" operator="containsText" text="SP">
      <formula>NOT(ISERROR(SEARCH("SP",AQ12)))</formula>
    </cfRule>
    <cfRule type="containsText" dxfId="648" priority="221" stopIfTrue="1" operator="containsText" text="SICK">
      <formula>NOT(ISERROR(SEARCH("SICK",AQ12)))</formula>
    </cfRule>
    <cfRule type="containsText" dxfId="647" priority="222" operator="containsText" text="AL">
      <formula>NOT(ISERROR(SEARCH("AL",AQ12)))</formula>
    </cfRule>
    <cfRule type="containsText" dxfId="646" priority="228" stopIfTrue="1" operator="containsText" text="SICK">
      <formula>NOT(ISERROR(SEARCH("SICK",AQ12)))</formula>
    </cfRule>
    <cfRule type="containsText" dxfId="645" priority="226" stopIfTrue="1" operator="containsText" text="AL">
      <formula>NOT(ISERROR(SEARCH("AL",AQ12)))</formula>
    </cfRule>
    <cfRule type="containsText" dxfId="644" priority="227" stopIfTrue="1" operator="containsText" text="SP">
      <formula>NOT(ISERROR(SEARCH("SP",AQ12)))</formula>
    </cfRule>
    <cfRule type="containsText" dxfId="643" priority="213" operator="containsText" text="AB">
      <formula>NOT(ISERROR(SEARCH("AB",AQ12)))</formula>
    </cfRule>
    <cfRule type="containsText" dxfId="642" priority="223" operator="containsText" text="SICK">
      <formula>NOT(ISERROR(SEARCH("SICK",AQ12)))</formula>
    </cfRule>
    <cfRule type="containsText" dxfId="641" priority="214" operator="containsText" text="SICK">
      <formula>NOT(ISERROR(SEARCH("SICK",AQ12)))</formula>
    </cfRule>
    <cfRule type="containsText" dxfId="640" priority="224" operator="containsText" text="NL">
      <formula>NOT(ISERROR(SEARCH("NL",AQ12)))</formula>
    </cfRule>
    <cfRule type="containsText" dxfId="639" priority="215" operator="containsText" text="AL">
      <formula>NOT(ISERROR(SEARCH("AL",AQ12)))</formula>
    </cfRule>
    <cfRule type="containsText" dxfId="638" priority="217" operator="containsText" text="NL">
      <formula>NOT(ISERROR(SEARCH("NL",AQ12)))</formula>
    </cfRule>
  </conditionalFormatting>
  <conditionalFormatting sqref="AQ16">
    <cfRule type="containsText" dxfId="637" priority="789" stopIfTrue="1" operator="containsText" text="SICK">
      <formula>NOT(ISERROR(SEARCH("SICK",AQ16)))</formula>
    </cfRule>
    <cfRule type="containsText" dxfId="636" priority="788" stopIfTrue="1" operator="containsText" text="SP">
      <formula>NOT(ISERROR(SEARCH("SP",AQ16)))</formula>
    </cfRule>
    <cfRule type="containsText" dxfId="635" priority="787" stopIfTrue="1" operator="containsText" text="AL">
      <formula>NOT(ISERROR(SEARCH("AL",AQ16)))</formula>
    </cfRule>
    <cfRule type="containsText" dxfId="634" priority="786" operator="containsText" text="AB">
      <formula>NOT(ISERROR(SEARCH("AB",AQ16)))</formula>
    </cfRule>
    <cfRule type="containsText" dxfId="633" priority="785" operator="containsText" text="NL">
      <formula>NOT(ISERROR(SEARCH("NL",AQ16)))</formula>
    </cfRule>
    <cfRule type="containsText" dxfId="632" priority="784" operator="containsText" text="SICK">
      <formula>NOT(ISERROR(SEARCH("SICK",AQ16)))</formula>
    </cfRule>
    <cfRule type="containsText" dxfId="631" priority="783" operator="containsText" text="AL">
      <formula>NOT(ISERROR(SEARCH("AL",AQ16)))</formula>
    </cfRule>
    <cfRule type="containsText" dxfId="630" priority="782" stopIfTrue="1" operator="containsText" text="SICK">
      <formula>NOT(ISERROR(SEARCH("SICK",AQ16)))</formula>
    </cfRule>
    <cfRule type="containsText" dxfId="629" priority="781" stopIfTrue="1" operator="containsText" text="SP">
      <formula>NOT(ISERROR(SEARCH("SP",AQ16)))</formula>
    </cfRule>
    <cfRule type="containsText" dxfId="628" priority="780" stopIfTrue="1" operator="containsText" text="AL">
      <formula>NOT(ISERROR(SEARCH("AL",AQ16)))</formula>
    </cfRule>
    <cfRule type="containsText" dxfId="627" priority="778" operator="containsText" text="NL">
      <formula>NOT(ISERROR(SEARCH("NL",AQ16)))</formula>
    </cfRule>
    <cfRule type="containsText" dxfId="626" priority="771" operator="containsText" text="FL">
      <formula>NOT(ISERROR(SEARCH("FL",AQ16)))</formula>
    </cfRule>
    <cfRule type="containsText" priority="772" operator="containsText" text="FL">
      <formula>NOT(ISERROR(SEARCH("FL",AQ16)))</formula>
    </cfRule>
    <cfRule type="containsText" dxfId="625" priority="773" operator="containsText" text="AL">
      <formula>NOT(ISERROR(SEARCH("AL",AQ16)))</formula>
    </cfRule>
    <cfRule type="containsText" dxfId="624" priority="779" operator="containsText" text="AB">
      <formula>NOT(ISERROR(SEARCH("AB",AQ16)))</formula>
    </cfRule>
    <cfRule type="containsText" dxfId="623" priority="774" operator="containsText" text="AB">
      <formula>NOT(ISERROR(SEARCH("AB",AQ16)))</formula>
    </cfRule>
    <cfRule type="containsText" dxfId="622" priority="777" operator="containsText" text="SICK">
      <formula>NOT(ISERROR(SEARCH("SICK",AQ16)))</formula>
    </cfRule>
    <cfRule type="containsText" dxfId="621" priority="775" operator="containsText" text="SICK">
      <formula>NOT(ISERROR(SEARCH("SICK",AQ16)))</formula>
    </cfRule>
    <cfRule type="containsText" dxfId="620" priority="776" operator="containsText" text="AL">
      <formula>NOT(ISERROR(SEARCH("AL",AQ16)))</formula>
    </cfRule>
  </conditionalFormatting>
  <conditionalFormatting sqref="AQ12:AS12">
    <cfRule type="containsText" priority="211" operator="containsText" text="FL">
      <formula>NOT(ISERROR(SEARCH("FL",AQ12)))</formula>
    </cfRule>
    <cfRule type="containsText" dxfId="619" priority="212" operator="containsText" text="AL">
      <formula>NOT(ISERROR(SEARCH("AL",AQ12)))</formula>
    </cfRule>
    <cfRule type="containsText" dxfId="618" priority="225" operator="containsText" text="AB">
      <formula>NOT(ISERROR(SEARCH("AB",AQ12)))</formula>
    </cfRule>
    <cfRule type="containsText" dxfId="617" priority="210" operator="containsText" text="FL">
      <formula>NOT(ISERROR(SEARCH("FL",AQ12)))</formula>
    </cfRule>
  </conditionalFormatting>
  <conditionalFormatting sqref="AR4:AS4">
    <cfRule type="dataBar" priority="9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R5:AS6">
    <cfRule type="containsText" dxfId="616" priority="8245" stopIfTrue="1" operator="containsText" text="SP">
      <formula>NOT(ISERROR(SEARCH("SP",AR5)))</formula>
    </cfRule>
    <cfRule type="containsText" dxfId="615" priority="8246" stopIfTrue="1" operator="containsText" text="SICK">
      <formula>NOT(ISERROR(SEARCH("SICK",AR5)))</formula>
    </cfRule>
    <cfRule type="containsText" dxfId="614" priority="8244" stopIfTrue="1" operator="containsText" text="AL">
      <formula>NOT(ISERROR(SEARCH("AL",AR5)))</formula>
    </cfRule>
  </conditionalFormatting>
  <conditionalFormatting sqref="AR8:AS10">
    <cfRule type="containsText" dxfId="613" priority="1015" stopIfTrue="1" operator="containsText" text="SP">
      <formula>NOT(ISERROR(SEARCH("SP",AR8)))</formula>
    </cfRule>
    <cfRule type="containsText" dxfId="612" priority="1014" stopIfTrue="1" operator="containsText" text="AL">
      <formula>NOT(ISERROR(SEARCH("AL",AR8)))</formula>
    </cfRule>
    <cfRule type="containsText" dxfId="611" priority="1013" operator="containsText" text="NL">
      <formula>NOT(ISERROR(SEARCH("NL",AR8)))</formula>
    </cfRule>
    <cfRule type="containsText" dxfId="610" priority="1010" operator="containsText" text="AB">
      <formula>NOT(ISERROR(SEARCH("AB",AR8)))</formula>
    </cfRule>
    <cfRule type="containsText" dxfId="609" priority="1011" operator="containsText" text="AL">
      <formula>NOT(ISERROR(SEARCH("AL",AR8)))</formula>
    </cfRule>
    <cfRule type="containsText" priority="1006" operator="containsText" text="FL">
      <formula>NOT(ISERROR(SEARCH("FL",AR8)))</formula>
    </cfRule>
    <cfRule type="containsText" dxfId="608" priority="1012" operator="containsText" text="SICK">
      <formula>NOT(ISERROR(SEARCH("SICK",AR8)))</formula>
    </cfRule>
    <cfRule type="containsText" dxfId="607" priority="1009" operator="containsText" text="SICK">
      <formula>NOT(ISERROR(SEARCH("SICK",AR8)))</formula>
    </cfRule>
    <cfRule type="containsText" dxfId="606" priority="1008" operator="containsText" text="AB">
      <formula>NOT(ISERROR(SEARCH("AB",AR8)))</formula>
    </cfRule>
    <cfRule type="containsText" dxfId="605" priority="1007" operator="containsText" text="AL">
      <formula>NOT(ISERROR(SEARCH("AL",AR8)))</formula>
    </cfRule>
    <cfRule type="containsText" dxfId="604" priority="1016" stopIfTrue="1" operator="containsText" text="SICK">
      <formula>NOT(ISERROR(SEARCH("SICK",AR8)))</formula>
    </cfRule>
    <cfRule type="containsText" dxfId="603" priority="1005" operator="containsText" text="FL">
      <formula>NOT(ISERROR(SEARCH("FL",AR8)))</formula>
    </cfRule>
  </conditionalFormatting>
  <conditionalFormatting sqref="AR12:AS12">
    <cfRule type="containsText" dxfId="602" priority="237" operator="containsText" text="NL">
      <formula>NOT(ISERROR(SEARCH("NL",AR12)))</formula>
    </cfRule>
    <cfRule type="containsText" dxfId="601" priority="238" stopIfTrue="1" operator="containsText" text="AL">
      <formula>NOT(ISERROR(SEARCH("AL",AR12)))</formula>
    </cfRule>
    <cfRule type="containsText" dxfId="600" priority="239" stopIfTrue="1" operator="containsText" text="SP">
      <formula>NOT(ISERROR(SEARCH("SP",AR12)))</formula>
    </cfRule>
    <cfRule type="containsText" dxfId="599" priority="240" stopIfTrue="1" operator="containsText" text="SICK">
      <formula>NOT(ISERROR(SEARCH("SICK",AR12)))</formula>
    </cfRule>
    <cfRule type="containsText" dxfId="598" priority="235" operator="containsText" text="AL">
      <formula>NOT(ISERROR(SEARCH("AL",AR12)))</formula>
    </cfRule>
    <cfRule type="containsText" dxfId="597" priority="236" operator="containsText" text="SICK">
      <formula>NOT(ISERROR(SEARCH("SICK",AR12)))</formula>
    </cfRule>
    <cfRule type="containsText" dxfId="596" priority="234" operator="containsText" text="AB">
      <formula>NOT(ISERROR(SEARCH("AB",AR12)))</formula>
    </cfRule>
    <cfRule type="containsText" dxfId="595" priority="233" operator="containsText" text="SICK">
      <formula>NOT(ISERROR(SEARCH("SICK",AR12)))</formula>
    </cfRule>
  </conditionalFormatting>
  <conditionalFormatting sqref="AR19:AS19">
    <cfRule type="containsText" dxfId="594" priority="997" operator="containsText" text="SICK">
      <formula>NOT(ISERROR(SEARCH("SICK",AR19)))</formula>
    </cfRule>
    <cfRule type="containsText" dxfId="593" priority="1003" stopIfTrue="1" operator="containsText" text="SP">
      <formula>NOT(ISERROR(SEARCH("SP",AR19)))</formula>
    </cfRule>
    <cfRule type="containsText" dxfId="592" priority="1002" stopIfTrue="1" operator="containsText" text="AL">
      <formula>NOT(ISERROR(SEARCH("AL",AR19)))</formula>
    </cfRule>
    <cfRule type="containsText" dxfId="591" priority="1001" operator="containsText" text="NL">
      <formula>NOT(ISERROR(SEARCH("NL",AR19)))</formula>
    </cfRule>
    <cfRule type="containsText" dxfId="590" priority="1000" operator="containsText" text="SICK">
      <formula>NOT(ISERROR(SEARCH("SICK",AR19)))</formula>
    </cfRule>
    <cfRule type="containsText" dxfId="589" priority="999" operator="containsText" text="AL">
      <formula>NOT(ISERROR(SEARCH("AL",AR19)))</formula>
    </cfRule>
    <cfRule type="containsText" dxfId="588" priority="998" operator="containsText" text="AB">
      <formula>NOT(ISERROR(SEARCH("AB",AR19)))</formula>
    </cfRule>
    <cfRule type="containsText" dxfId="587" priority="1004" stopIfTrue="1" operator="containsText" text="SICK">
      <formula>NOT(ISERROR(SEARCH("SICK",AR19)))</formula>
    </cfRule>
  </conditionalFormatting>
  <conditionalFormatting sqref="AR25:AS26">
    <cfRule type="containsText" dxfId="586" priority="617" operator="containsText" text="AB">
      <formula>NOT(ISERROR(SEARCH("AB",AR25)))</formula>
    </cfRule>
    <cfRule type="containsText" dxfId="585" priority="616" operator="containsText" text="AL">
      <formula>NOT(ISERROR(SEARCH("AL",AR25)))</formula>
    </cfRule>
    <cfRule type="containsText" priority="615" operator="containsText" text="FL">
      <formula>NOT(ISERROR(SEARCH("FL",AR25)))</formula>
    </cfRule>
    <cfRule type="containsText" dxfId="584" priority="614" operator="containsText" text="FL">
      <formula>NOT(ISERROR(SEARCH("FL",AR25)))</formula>
    </cfRule>
    <cfRule type="containsText" dxfId="583" priority="625" stopIfTrue="1" operator="containsText" text="SICK">
      <formula>NOT(ISERROR(SEARCH("SICK",AR25)))</formula>
    </cfRule>
    <cfRule type="containsText" dxfId="582" priority="624" stopIfTrue="1" operator="containsText" text="SP">
      <formula>NOT(ISERROR(SEARCH("SP",AR25)))</formula>
    </cfRule>
    <cfRule type="containsText" dxfId="581" priority="623" stopIfTrue="1" operator="containsText" text="AL">
      <formula>NOT(ISERROR(SEARCH("AL",AR25)))</formula>
    </cfRule>
    <cfRule type="containsText" dxfId="580" priority="622" operator="containsText" text="NL">
      <formula>NOT(ISERROR(SEARCH("NL",AR25)))</formula>
    </cfRule>
    <cfRule type="containsText" dxfId="579" priority="621" operator="containsText" text="SICK">
      <formula>NOT(ISERROR(SEARCH("SICK",AR25)))</formula>
    </cfRule>
    <cfRule type="containsText" dxfId="578" priority="620" operator="containsText" text="AL">
      <formula>NOT(ISERROR(SEARCH("AL",AR25)))</formula>
    </cfRule>
    <cfRule type="containsText" dxfId="577" priority="619" operator="containsText" text="AB">
      <formula>NOT(ISERROR(SEARCH("AB",AR25)))</formula>
    </cfRule>
    <cfRule type="containsText" dxfId="576" priority="618" operator="containsText" text="SICK">
      <formula>NOT(ISERROR(SEARCH("SICK",AR25)))</formula>
    </cfRule>
  </conditionalFormatting>
  <conditionalFormatting sqref="AR5:BE6">
    <cfRule type="containsText" dxfId="575" priority="840" stopIfTrue="1" operator="containsText" text="SICK">
      <formula>NOT(ISERROR(SEARCH("SICK",AR5)))</formula>
    </cfRule>
    <cfRule type="containsText" dxfId="574" priority="834" operator="containsText" text="AB">
      <formula>NOT(ISERROR(SEARCH("AB",AR5)))</formula>
    </cfRule>
    <cfRule type="containsText" dxfId="573" priority="838" stopIfTrue="1" operator="containsText" text="AL">
      <formula>NOT(ISERROR(SEARCH("AL",AR5)))</formula>
    </cfRule>
    <cfRule type="containsText" dxfId="572" priority="839" stopIfTrue="1" operator="containsText" text="SP">
      <formula>NOT(ISERROR(SEARCH("SP",AR5)))</formula>
    </cfRule>
  </conditionalFormatting>
  <conditionalFormatting sqref="AR58:BI58 AU35:BI35 D5:M6 D8:M9 D58:W58 AB8:AC9 AL5:AQ5 AJ5:AO6 AK6:AQ6 AO7 D35 AJ35:AS35">
    <cfRule type="containsText" dxfId="571" priority="9090" operator="containsText" text="AB">
      <formula>NOT(ISERROR(SEARCH("AB",D5)))</formula>
    </cfRule>
  </conditionalFormatting>
  <conditionalFormatting sqref="AR58:BI58">
    <cfRule type="containsText" dxfId="570" priority="9089" operator="containsText" text="NL">
      <formula>NOT(ISERROR(SEARCH("NL",AR58)))</formula>
    </cfRule>
    <cfRule type="containsText" dxfId="569" priority="9103" stopIfTrue="1" operator="containsText" text="AL">
      <formula>NOT(ISERROR(SEARCH("AL",AR58)))</formula>
    </cfRule>
    <cfRule type="containsText" dxfId="568" priority="9104" stopIfTrue="1" operator="containsText" text="SP">
      <formula>NOT(ISERROR(SEARCH("SP",AR58)))</formula>
    </cfRule>
    <cfRule type="containsText" dxfId="567" priority="9105" stopIfTrue="1" operator="containsText" text="SICK">
      <formula>NOT(ISERROR(SEARCH("SICK",AR58)))</formula>
    </cfRule>
  </conditionalFormatting>
  <conditionalFormatting sqref="AS7">
    <cfRule type="containsText" dxfId="566" priority="940" operator="containsText" text="AB">
      <formula>NOT(ISERROR(SEARCH("AB",AS7)))</formula>
    </cfRule>
    <cfRule type="containsText" dxfId="565" priority="941" operator="containsText" text="AL">
      <formula>NOT(ISERROR(SEARCH("AL",AS7)))</formula>
    </cfRule>
    <cfRule type="containsText" dxfId="564" priority="942" operator="containsText" text="EL">
      <formula>NOT(ISERROR(SEARCH("EL",AS7)))</formula>
    </cfRule>
    <cfRule type="containsText" dxfId="563" priority="943" operator="containsText" text="SICK">
      <formula>NOT(ISERROR(SEARCH("SICK",AS7)))</formula>
    </cfRule>
    <cfRule type="containsText" dxfId="562" priority="944" operator="containsText" text="AB">
      <formula>NOT(ISERROR(SEARCH("AB",AS7)))</formula>
    </cfRule>
    <cfRule type="containsText" dxfId="561" priority="945" stopIfTrue="1" operator="containsText" text="AL">
      <formula>NOT(ISERROR(SEARCH("AL",AS7)))</formula>
    </cfRule>
    <cfRule type="containsText" dxfId="560" priority="946" stopIfTrue="1" operator="containsText" text="SP">
      <formula>NOT(ISERROR(SEARCH("SP",AS7)))</formula>
    </cfRule>
    <cfRule type="containsText" dxfId="559" priority="947" stopIfTrue="1" operator="containsText" text="SICK">
      <formula>NOT(ISERROR(SEARCH("SICK",AS7)))</formula>
    </cfRule>
    <cfRule type="containsText" dxfId="558" priority="948" stopIfTrue="1" operator="containsText" text="SP">
      <formula>NOT(ISERROR(SEARCH("SP",AS7)))</formula>
    </cfRule>
    <cfRule type="containsText" dxfId="557" priority="949" stopIfTrue="1" operator="containsText" text="SICK">
      <formula>NOT(ISERROR(SEARCH("SICK",AS7)))</formula>
    </cfRule>
    <cfRule type="containsText" dxfId="556" priority="950" operator="containsText" text="FL">
      <formula>NOT(ISERROR(SEARCH("FL",AS7)))</formula>
    </cfRule>
    <cfRule type="containsText" priority="951" operator="containsText" text="FL">
      <formula>NOT(ISERROR(SEARCH("FL",AS7)))</formula>
    </cfRule>
    <cfRule type="containsText" dxfId="555" priority="952" operator="containsText" text="AL">
      <formula>NOT(ISERROR(SEARCH("AL",AS7)))</formula>
    </cfRule>
    <cfRule type="containsText" dxfId="554" priority="953" operator="containsText" text="AB">
      <formula>NOT(ISERROR(SEARCH("AB",AS7)))</formula>
    </cfRule>
    <cfRule type="containsText" dxfId="553" priority="954" operator="containsText" text="SICK">
      <formula>NOT(ISERROR(SEARCH("SICK",AS7)))</formula>
    </cfRule>
    <cfRule type="containsText" dxfId="552" priority="955" operator="containsText" text="AB">
      <formula>NOT(ISERROR(SEARCH("AB",AS7)))</formula>
    </cfRule>
    <cfRule type="containsText" dxfId="551" priority="956" operator="containsText" text="AL">
      <formula>NOT(ISERROR(SEARCH("AL",AS7)))</formula>
    </cfRule>
    <cfRule type="containsText" dxfId="550" priority="957" operator="containsText" text="SICK">
      <formula>NOT(ISERROR(SEARCH("SICK",AS7)))</formula>
    </cfRule>
    <cfRule type="containsText" dxfId="549" priority="958" operator="containsText" text="NL">
      <formula>NOT(ISERROR(SEARCH("NL",AS7)))</formula>
    </cfRule>
    <cfRule type="containsText" dxfId="548" priority="959" stopIfTrue="1" operator="containsText" text="AL">
      <formula>NOT(ISERROR(SEARCH("AL",AS7)))</formula>
    </cfRule>
    <cfRule type="containsText" dxfId="547" priority="960" stopIfTrue="1" operator="containsText" text="SP">
      <formula>NOT(ISERROR(SEARCH("SP",AS7)))</formula>
    </cfRule>
    <cfRule type="containsText" dxfId="546" priority="961" stopIfTrue="1" operator="containsText" text="SICK">
      <formula>NOT(ISERROR(SEARCH("SICK",AS7)))</formula>
    </cfRule>
    <cfRule type="containsText" dxfId="545" priority="962" operator="containsText" text="AB">
      <formula>NOT(ISERROR(SEARCH("AB",AS7)))</formula>
    </cfRule>
    <cfRule type="containsText" dxfId="544" priority="963" operator="containsText" text="AL">
      <formula>NOT(ISERROR(SEARCH("AL",AS7)))</formula>
    </cfRule>
    <cfRule type="containsText" dxfId="543" priority="964" operator="containsText" text="SICK">
      <formula>NOT(ISERROR(SEARCH("SICK",AS7)))</formula>
    </cfRule>
    <cfRule type="containsText" dxfId="542" priority="965" operator="containsText" text="NL">
      <formula>NOT(ISERROR(SEARCH("NL",AS7)))</formula>
    </cfRule>
    <cfRule type="containsText" dxfId="541" priority="968" stopIfTrue="1" operator="containsText" text="SICK">
      <formula>NOT(ISERROR(SEARCH("SICK",AS7)))</formula>
    </cfRule>
    <cfRule type="containsText" dxfId="540" priority="967" stopIfTrue="1" operator="containsText" text="SP">
      <formula>NOT(ISERROR(SEARCH("SP",AS7)))</formula>
    </cfRule>
    <cfRule type="containsText" dxfId="539" priority="966" stopIfTrue="1" operator="containsText" text="AL">
      <formula>NOT(ISERROR(SEARCH("AL",AS7)))</formula>
    </cfRule>
    <cfRule type="containsText" dxfId="538" priority="932" operator="containsText" text="AL">
      <formula>NOT(ISERROR(SEARCH("AL",AS7)))</formula>
    </cfRule>
    <cfRule type="containsText" dxfId="537" priority="933" operator="containsText" text="SICK">
      <formula>NOT(ISERROR(SEARCH("SICK",AS7)))</formula>
    </cfRule>
    <cfRule type="containsText" dxfId="536" priority="934" operator="containsText" text="NL">
      <formula>NOT(ISERROR(SEARCH("NL",AS7)))</formula>
    </cfRule>
    <cfRule type="containsText" dxfId="535" priority="935" operator="containsText" text="AB">
      <formula>NOT(ISERROR(SEARCH("AB",AS7)))</formula>
    </cfRule>
    <cfRule type="containsText" dxfId="534" priority="937" stopIfTrue="1" operator="containsText" text="AL">
      <formula>NOT(ISERROR(SEARCH("AL",AS7)))</formula>
    </cfRule>
    <cfRule type="containsText" dxfId="533" priority="938" stopIfTrue="1" operator="containsText" text="SP">
      <formula>NOT(ISERROR(SEARCH("SP",AS7)))</formula>
    </cfRule>
    <cfRule type="containsText" dxfId="532" priority="939" stopIfTrue="1" operator="containsText" text="SICK">
      <formula>NOT(ISERROR(SEARCH("SICK",AS7)))</formula>
    </cfRule>
  </conditionalFormatting>
  <conditionalFormatting sqref="AT4:AU4">
    <cfRule type="dataBar" priority="9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T10:AU10">
    <cfRule type="containsText" dxfId="531" priority="857" operator="containsText" text="SICK">
      <formula>NOT(ISERROR(SEARCH("SICK",AT10)))</formula>
    </cfRule>
  </conditionalFormatting>
  <conditionalFormatting sqref="AT26:AU26">
    <cfRule type="containsText" dxfId="530" priority="613" operator="containsText" text="SICK">
      <formula>NOT(ISERROR(SEARCH("SICK",AT26)))</formula>
    </cfRule>
  </conditionalFormatting>
  <conditionalFormatting sqref="AT5:BE6">
    <cfRule type="containsText" dxfId="529" priority="837" operator="containsText" text="NL">
      <formula>NOT(ISERROR(SEARCH("NL",AT5)))</formula>
    </cfRule>
    <cfRule type="containsText" dxfId="528" priority="830" operator="containsText" text="AB">
      <formula>NOT(ISERROR(SEARCH("AB",AT5)))</formula>
    </cfRule>
    <cfRule type="containsText" dxfId="527" priority="833" operator="containsText" text="NL">
      <formula>NOT(ISERROR(SEARCH("NL",AT5)))</formula>
    </cfRule>
    <cfRule type="containsText" dxfId="526" priority="835" operator="containsText" text="AL">
      <formula>NOT(ISERROR(SEARCH("AL",AT5)))</formula>
    </cfRule>
    <cfRule type="containsText" dxfId="525" priority="836" operator="containsText" text="SICK">
      <formula>NOT(ISERROR(SEARCH("SICK",AT5)))</formula>
    </cfRule>
    <cfRule type="containsText" dxfId="524" priority="832" operator="containsText" text="SICK">
      <formula>NOT(ISERROR(SEARCH("SICK",AT5)))</formula>
    </cfRule>
    <cfRule type="containsText" dxfId="523" priority="831" operator="containsText" text="AL">
      <formula>NOT(ISERROR(SEARCH("AL",AT5)))</formula>
    </cfRule>
  </conditionalFormatting>
  <conditionalFormatting sqref="AT8:BE9">
    <cfRule type="containsText" dxfId="522" priority="822" stopIfTrue="1" operator="containsText" text="AL">
      <formula>NOT(ISERROR(SEARCH("AL",AT8)))</formula>
    </cfRule>
    <cfRule type="containsText" dxfId="521" priority="823" stopIfTrue="1" operator="containsText" text="SP">
      <formula>NOT(ISERROR(SEARCH("SP",AT8)))</formula>
    </cfRule>
    <cfRule type="containsText" dxfId="520" priority="809" operator="containsText" text="FL">
      <formula>NOT(ISERROR(SEARCH("FL",AT8)))</formula>
    </cfRule>
    <cfRule type="containsText" dxfId="519" priority="824" stopIfTrue="1" operator="containsText" text="SICK">
      <formula>NOT(ISERROR(SEARCH("SICK",AT8)))</formula>
    </cfRule>
    <cfRule type="containsText" dxfId="518" priority="812" operator="containsText" text="AB">
      <formula>NOT(ISERROR(SEARCH("AB",AT8)))</formula>
    </cfRule>
    <cfRule type="containsText" dxfId="517" priority="815" operator="containsText" text="AL">
      <formula>NOT(ISERROR(SEARCH("AL",AT8)))</formula>
    </cfRule>
    <cfRule type="containsText" priority="810" operator="containsText" text="FL">
      <formula>NOT(ISERROR(SEARCH("FL",AT8)))</formula>
    </cfRule>
    <cfRule type="containsText" dxfId="516" priority="811" operator="containsText" text="AL">
      <formula>NOT(ISERROR(SEARCH("AL",AT8)))</formula>
    </cfRule>
    <cfRule type="containsText" dxfId="515" priority="813" operator="containsText" text="SICK">
      <formula>NOT(ISERROR(SEARCH("SICK",AT8)))</formula>
    </cfRule>
    <cfRule type="containsText" dxfId="514" priority="814" operator="containsText" text="AB">
      <formula>NOT(ISERROR(SEARCH("AB",AT8)))</formula>
    </cfRule>
    <cfRule type="containsText" dxfId="513" priority="816" operator="containsText" text="SICK">
      <formula>NOT(ISERROR(SEARCH("SICK",AT8)))</formula>
    </cfRule>
    <cfRule type="containsText" dxfId="512" priority="817" operator="containsText" text="NL">
      <formula>NOT(ISERROR(SEARCH("NL",AT8)))</formula>
    </cfRule>
    <cfRule type="containsText" dxfId="511" priority="818" operator="containsText" text="AB">
      <formula>NOT(ISERROR(SEARCH("AB",AT8)))</formula>
    </cfRule>
    <cfRule type="containsText" dxfId="510" priority="819" operator="containsText" text="AL">
      <formula>NOT(ISERROR(SEARCH("AL",AT8)))</formula>
    </cfRule>
    <cfRule type="containsText" dxfId="509" priority="820" operator="containsText" text="SICK">
      <formula>NOT(ISERROR(SEARCH("SICK",AT8)))</formula>
    </cfRule>
    <cfRule type="containsText" dxfId="508" priority="821" operator="containsText" text="NL">
      <formula>NOT(ISERROR(SEARCH("NL",AT8)))</formula>
    </cfRule>
  </conditionalFormatting>
  <conditionalFormatting sqref="AT19:BE19">
    <cfRule type="containsText" dxfId="507" priority="503" operator="containsText" text="NL">
      <formula>NOT(ISERROR(SEARCH("NL",AT19)))</formula>
    </cfRule>
    <cfRule type="containsText" dxfId="506" priority="504" operator="containsText" text="AB">
      <formula>NOT(ISERROR(SEARCH("AB",AT19)))</formula>
    </cfRule>
    <cfRule type="containsText" dxfId="505" priority="505" stopIfTrue="1" operator="containsText" text="AL">
      <formula>NOT(ISERROR(SEARCH("AL",AT19)))</formula>
    </cfRule>
    <cfRule type="containsText" dxfId="504" priority="506" stopIfTrue="1" operator="containsText" text="SP">
      <formula>NOT(ISERROR(SEARCH("SP",AT19)))</formula>
    </cfRule>
    <cfRule type="containsText" dxfId="503" priority="507" stopIfTrue="1" operator="containsText" text="SICK">
      <formula>NOT(ISERROR(SEARCH("SICK",AT19)))</formula>
    </cfRule>
    <cfRule type="containsText" dxfId="502" priority="499" stopIfTrue="1" operator="containsText" text="SP">
      <formula>NOT(ISERROR(SEARCH("SP",AT19)))</formula>
    </cfRule>
    <cfRule type="containsText" dxfId="501" priority="494" operator="containsText" text="AL">
      <formula>NOT(ISERROR(SEARCH("AL",AT19)))</formula>
    </cfRule>
    <cfRule type="containsText" dxfId="500" priority="502" operator="containsText" text="SICK">
      <formula>NOT(ISERROR(SEARCH("SICK",AT19)))</formula>
    </cfRule>
    <cfRule type="containsText" dxfId="499" priority="495" operator="containsText" text="SICK">
      <formula>NOT(ISERROR(SEARCH("SICK",AT19)))</formula>
    </cfRule>
    <cfRule type="containsText" dxfId="498" priority="496" operator="containsText" text="NL">
      <formula>NOT(ISERROR(SEARCH("NL",AT19)))</formula>
    </cfRule>
    <cfRule type="containsText" dxfId="497" priority="500" stopIfTrue="1" operator="containsText" text="SICK">
      <formula>NOT(ISERROR(SEARCH("SICK",AT19)))</formula>
    </cfRule>
    <cfRule type="containsText" dxfId="496" priority="497" operator="containsText" text="AB">
      <formula>NOT(ISERROR(SEARCH("AB",AT19)))</formula>
    </cfRule>
    <cfRule type="containsText" dxfId="495" priority="498" stopIfTrue="1" operator="containsText" text="AL">
      <formula>NOT(ISERROR(SEARCH("AL",AT19)))</formula>
    </cfRule>
    <cfRule type="containsText" dxfId="494" priority="501" operator="containsText" text="AL">
      <formula>NOT(ISERROR(SEARCH("AL",AT19)))</formula>
    </cfRule>
  </conditionalFormatting>
  <conditionalFormatting sqref="AT5:BG6">
    <cfRule type="containsText" priority="583" operator="containsText" text="FL">
      <formula>NOT(ISERROR(SEARCH("FL",AT5)))</formula>
    </cfRule>
    <cfRule type="containsText" dxfId="493" priority="582" operator="containsText" text="FL">
      <formula>NOT(ISERROR(SEARCH("FL",AT5)))</formula>
    </cfRule>
    <cfRule type="containsText" dxfId="492" priority="590" operator="containsText" text="AB">
      <formula>NOT(ISERROR(SEARCH("AB",AT5)))</formula>
    </cfRule>
    <cfRule type="containsText" dxfId="491" priority="584" operator="containsText" text="AL">
      <formula>NOT(ISERROR(SEARCH("AL",AT5)))</formula>
    </cfRule>
    <cfRule type="containsText" dxfId="490" priority="598" operator="containsText" text="SICK">
      <formula>NOT(ISERROR(SEARCH("SICK",AT5)))</formula>
    </cfRule>
  </conditionalFormatting>
  <conditionalFormatting sqref="AT19:BI19">
    <cfRule type="containsText" dxfId="489" priority="411" operator="containsText" text="AB">
      <formula>NOT(ISERROR(SEARCH("AB",AT19)))</formula>
    </cfRule>
    <cfRule type="containsText" dxfId="488" priority="413" operator="containsText" text="SICK">
      <formula>NOT(ISERROR(SEARCH("SICK",AT19)))</formula>
    </cfRule>
  </conditionalFormatting>
  <conditionalFormatting sqref="AT59:BI59">
    <cfRule type="containsText" dxfId="487" priority="8303" stopIfTrue="1" operator="containsText" text="NL">
      <formula>NOT(ISERROR(SEARCH("NL",AT59)))</formula>
    </cfRule>
    <cfRule type="containsText" dxfId="486" priority="8301" operator="containsText" text="AL">
      <formula>NOT(ISERROR(SEARCH("AL",AT59)))</formula>
    </cfRule>
    <cfRule type="containsText" dxfId="485" priority="8154" operator="containsText" text="AB">
      <formula>NOT(ISERROR(SEARCH("AB",AT59)))</formula>
    </cfRule>
    <cfRule type="containsText" dxfId="484" priority="8302" stopIfTrue="1" operator="containsText" text="SICK">
      <formula>NOT(ISERROR(SEARCH("SICK",AT59)))</formula>
    </cfRule>
    <cfRule type="containsText" dxfId="483" priority="7528" stopIfTrue="1" operator="containsText" text="FL">
      <formula>NOT(ISERROR(SEARCH("FL",AT59)))</formula>
    </cfRule>
  </conditionalFormatting>
  <conditionalFormatting sqref="AU7">
    <cfRule type="containsText" dxfId="482" priority="918" operator="containsText" text="AB">
      <formula>NOT(ISERROR(SEARCH("AB",AU7)))</formula>
    </cfRule>
    <cfRule type="containsText" dxfId="481" priority="917" operator="containsText" text="SICK">
      <formula>NOT(ISERROR(SEARCH("SICK",AU7)))</formula>
    </cfRule>
    <cfRule type="containsText" dxfId="480" priority="916" operator="containsText" text="AB">
      <formula>NOT(ISERROR(SEARCH("AB",AU7)))</formula>
    </cfRule>
    <cfRule type="containsText" dxfId="479" priority="915" operator="containsText" text="AL">
      <formula>NOT(ISERROR(SEARCH("AL",AU7)))</formula>
    </cfRule>
    <cfRule type="containsText" priority="914" operator="containsText" text="FL">
      <formula>NOT(ISERROR(SEARCH("FL",AU7)))</formula>
    </cfRule>
    <cfRule type="containsText" dxfId="478" priority="913" operator="containsText" text="FL">
      <formula>NOT(ISERROR(SEARCH("FL",AU7)))</formula>
    </cfRule>
    <cfRule type="containsText" dxfId="477" priority="912" stopIfTrue="1" operator="containsText" text="SICK">
      <formula>NOT(ISERROR(SEARCH("SICK",AU7)))</formula>
    </cfRule>
    <cfRule type="containsText" dxfId="476" priority="902" stopIfTrue="1" operator="containsText" text="SICK">
      <formula>NOT(ISERROR(SEARCH("SICK",AU7)))</formula>
    </cfRule>
    <cfRule type="containsText" dxfId="475" priority="921" operator="containsText" text="NL">
      <formula>NOT(ISERROR(SEARCH("NL",AU7)))</formula>
    </cfRule>
    <cfRule type="containsText" dxfId="474" priority="903" operator="containsText" text="AB">
      <formula>NOT(ISERROR(SEARCH("AB",AU7)))</formula>
    </cfRule>
    <cfRule type="containsText" dxfId="473" priority="904" operator="containsText" text="AL">
      <formula>NOT(ISERROR(SEARCH("AL",AU7)))</formula>
    </cfRule>
    <cfRule type="containsText" dxfId="472" priority="931" stopIfTrue="1" operator="containsText" text="SICK">
      <formula>NOT(ISERROR(SEARCH("SICK",AU7)))</formula>
    </cfRule>
    <cfRule type="containsText" dxfId="471" priority="906" operator="containsText" text="SICK">
      <formula>NOT(ISERROR(SEARCH("SICK",AU7)))</formula>
    </cfRule>
    <cfRule type="containsText" dxfId="470" priority="907" operator="containsText" text="AB">
      <formula>NOT(ISERROR(SEARCH("AB",AU7)))</formula>
    </cfRule>
    <cfRule type="containsText" dxfId="469" priority="908" stopIfTrue="1" operator="containsText" text="AL">
      <formula>NOT(ISERROR(SEARCH("AL",AU7)))</formula>
    </cfRule>
    <cfRule type="containsText" dxfId="468" priority="909" stopIfTrue="1" operator="containsText" text="SP">
      <formula>NOT(ISERROR(SEARCH("SP",AU7)))</formula>
    </cfRule>
    <cfRule type="containsText" dxfId="467" priority="910" stopIfTrue="1" operator="containsText" text="SICK">
      <formula>NOT(ISERROR(SEARCH("SICK",AU7)))</formula>
    </cfRule>
    <cfRule type="containsText" dxfId="466" priority="911" stopIfTrue="1" operator="containsText" text="SP">
      <formula>NOT(ISERROR(SEARCH("SP",AU7)))</formula>
    </cfRule>
    <cfRule type="containsText" dxfId="465" priority="905" operator="containsText" text="EL">
      <formula>NOT(ISERROR(SEARCH("EL",AU7)))</formula>
    </cfRule>
    <cfRule type="containsText" dxfId="464" priority="895" operator="containsText" text="AL">
      <formula>NOT(ISERROR(SEARCH("AL",AU7)))</formula>
    </cfRule>
    <cfRule type="containsText" dxfId="463" priority="896" operator="containsText" text="SICK">
      <formula>NOT(ISERROR(SEARCH("SICK",AU7)))</formula>
    </cfRule>
    <cfRule type="containsText" dxfId="462" priority="897" operator="containsText" text="NL">
      <formula>NOT(ISERROR(SEARCH("NL",AU7)))</formula>
    </cfRule>
    <cfRule type="containsText" dxfId="461" priority="898" operator="containsText" text="AB">
      <formula>NOT(ISERROR(SEARCH("AB",AU7)))</formula>
    </cfRule>
    <cfRule type="containsText" dxfId="460" priority="900" stopIfTrue="1" operator="containsText" text="AL">
      <formula>NOT(ISERROR(SEARCH("AL",AU7)))</formula>
    </cfRule>
    <cfRule type="containsText" dxfId="459" priority="901" stopIfTrue="1" operator="containsText" text="SP">
      <formula>NOT(ISERROR(SEARCH("SP",AU7)))</formula>
    </cfRule>
    <cfRule type="containsText" dxfId="458" priority="930" stopIfTrue="1" operator="containsText" text="SP">
      <formula>NOT(ISERROR(SEARCH("SP",AU7)))</formula>
    </cfRule>
    <cfRule type="containsText" dxfId="457" priority="929" stopIfTrue="1" operator="containsText" text="AL">
      <formula>NOT(ISERROR(SEARCH("AL",AU7)))</formula>
    </cfRule>
    <cfRule type="containsText" dxfId="456" priority="928" operator="containsText" text="NL">
      <formula>NOT(ISERROR(SEARCH("NL",AU7)))</formula>
    </cfRule>
    <cfRule type="containsText" dxfId="455" priority="927" operator="containsText" text="SICK">
      <formula>NOT(ISERROR(SEARCH("SICK",AU7)))</formula>
    </cfRule>
    <cfRule type="containsText" dxfId="454" priority="926" operator="containsText" text="AL">
      <formula>NOT(ISERROR(SEARCH("AL",AU7)))</formula>
    </cfRule>
    <cfRule type="containsText" dxfId="453" priority="925" operator="containsText" text="AB">
      <formula>NOT(ISERROR(SEARCH("AB",AU7)))</formula>
    </cfRule>
    <cfRule type="containsText" dxfId="452" priority="924" stopIfTrue="1" operator="containsText" text="SICK">
      <formula>NOT(ISERROR(SEARCH("SICK",AU7)))</formula>
    </cfRule>
    <cfRule type="containsText" dxfId="451" priority="923" stopIfTrue="1" operator="containsText" text="SP">
      <formula>NOT(ISERROR(SEARCH("SP",AU7)))</formula>
    </cfRule>
    <cfRule type="containsText" dxfId="450" priority="922" stopIfTrue="1" operator="containsText" text="AL">
      <formula>NOT(ISERROR(SEARCH("AL",AU7)))</formula>
    </cfRule>
    <cfRule type="containsText" dxfId="449" priority="920" operator="containsText" text="SICK">
      <formula>NOT(ISERROR(SEARCH("SICK",AU7)))</formula>
    </cfRule>
    <cfRule type="containsText" dxfId="448" priority="919" operator="containsText" text="AL">
      <formula>NOT(ISERROR(SEARCH("AL",AU7)))</formula>
    </cfRule>
  </conditionalFormatting>
  <conditionalFormatting sqref="AU12">
    <cfRule type="containsText" dxfId="447" priority="202" stopIfTrue="1" operator="containsText" text="SICK">
      <formula>NOT(ISERROR(SEARCH("SICK",AU12)))</formula>
    </cfRule>
    <cfRule type="containsText" dxfId="446" priority="191" operator="containsText" text="FL">
      <formula>NOT(ISERROR(SEARCH("FL",AU12)))</formula>
    </cfRule>
    <cfRule type="containsText" priority="192" operator="containsText" text="FL">
      <formula>NOT(ISERROR(SEARCH("FL",AU12)))</formula>
    </cfRule>
    <cfRule type="containsText" dxfId="445" priority="193" operator="containsText" text="AL">
      <formula>NOT(ISERROR(SEARCH("AL",AU12)))</formula>
    </cfRule>
    <cfRule type="containsText" dxfId="444" priority="194" operator="containsText" text="AB">
      <formula>NOT(ISERROR(SEARCH("AB",AU12)))</formula>
    </cfRule>
    <cfRule type="containsText" dxfId="443" priority="195" operator="containsText" text="SICK">
      <formula>NOT(ISERROR(SEARCH("SICK",AU12)))</formula>
    </cfRule>
    <cfRule type="containsText" dxfId="442" priority="196" operator="containsText" text="AL">
      <formula>NOT(ISERROR(SEARCH("AL",AU12)))</formula>
    </cfRule>
    <cfRule type="containsText" dxfId="441" priority="197" operator="containsText" text="SICK">
      <formula>NOT(ISERROR(SEARCH("SICK",AU12)))</formula>
    </cfRule>
    <cfRule type="containsText" dxfId="440" priority="198" operator="containsText" text="NL">
      <formula>NOT(ISERROR(SEARCH("NL",AU12)))</formula>
    </cfRule>
    <cfRule type="containsText" dxfId="439" priority="199" operator="containsText" text="AB">
      <formula>NOT(ISERROR(SEARCH("AB",AU12)))</formula>
    </cfRule>
    <cfRule type="containsText" dxfId="438" priority="200" stopIfTrue="1" operator="containsText" text="AL">
      <formula>NOT(ISERROR(SEARCH("AL",AU12)))</formula>
    </cfRule>
    <cfRule type="containsText" dxfId="437" priority="201" stopIfTrue="1" operator="containsText" text="SP">
      <formula>NOT(ISERROR(SEARCH("SP",AU12)))</formula>
    </cfRule>
    <cfRule type="containsText" dxfId="436" priority="204" operator="containsText" text="SICK">
      <formula>NOT(ISERROR(SEARCH("SICK",AU12)))</formula>
    </cfRule>
    <cfRule type="containsText" dxfId="435" priority="203" operator="containsText" text="AL">
      <formula>NOT(ISERROR(SEARCH("AL",AU12)))</formula>
    </cfRule>
    <cfRule type="containsText" dxfId="434" priority="205" operator="containsText" text="NL">
      <formula>NOT(ISERROR(SEARCH("NL",AU12)))</formula>
    </cfRule>
    <cfRule type="containsText" dxfId="433" priority="206" operator="containsText" text="AB">
      <formula>NOT(ISERROR(SEARCH("AB",AU12)))</formula>
    </cfRule>
    <cfRule type="containsText" dxfId="432" priority="207" stopIfTrue="1" operator="containsText" text="AL">
      <formula>NOT(ISERROR(SEARCH("AL",AU12)))</formula>
    </cfRule>
    <cfRule type="containsText" dxfId="431" priority="208" stopIfTrue="1" operator="containsText" text="SP">
      <formula>NOT(ISERROR(SEARCH("SP",AU12)))</formula>
    </cfRule>
    <cfRule type="containsText" dxfId="430" priority="209" stopIfTrue="1" operator="containsText" text="SICK">
      <formula>NOT(ISERROR(SEARCH("SICK",AU12)))</formula>
    </cfRule>
  </conditionalFormatting>
  <conditionalFormatting sqref="AV4:AW4">
    <cfRule type="dataBar" priority="9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V26:AW26">
    <cfRule type="containsText" dxfId="429" priority="612" operator="containsText" text="AB">
      <formula>NOT(ISERROR(SEARCH("AB",AV26)))</formula>
    </cfRule>
  </conditionalFormatting>
  <conditionalFormatting sqref="AV17:AY17">
    <cfRule type="containsText" dxfId="428" priority="431" operator="containsText" text="SICK">
      <formula>NOT(ISERROR(SEARCH("SICK",AV17)))</formula>
    </cfRule>
  </conditionalFormatting>
  <conditionalFormatting sqref="AW7">
    <cfRule type="containsText" dxfId="427" priority="878" operator="containsText" text="AL">
      <formula>NOT(ISERROR(SEARCH("AL",AW7)))</formula>
    </cfRule>
    <cfRule type="containsText" dxfId="426" priority="868" operator="containsText" text="EL">
      <formula>NOT(ISERROR(SEARCH("EL",AW7)))</formula>
    </cfRule>
    <cfRule type="containsText" dxfId="425" priority="869" operator="containsText" text="SICK">
      <formula>NOT(ISERROR(SEARCH("SICK",AW7)))</formula>
    </cfRule>
    <cfRule type="containsText" dxfId="424" priority="870" operator="containsText" text="AB">
      <formula>NOT(ISERROR(SEARCH("AB",AW7)))</formula>
    </cfRule>
    <cfRule type="containsText" dxfId="423" priority="871" stopIfTrue="1" operator="containsText" text="AL">
      <formula>NOT(ISERROR(SEARCH("AL",AW7)))</formula>
    </cfRule>
    <cfRule type="containsText" dxfId="422" priority="872" stopIfTrue="1" operator="containsText" text="SP">
      <formula>NOT(ISERROR(SEARCH("SP",AW7)))</formula>
    </cfRule>
    <cfRule type="containsText" dxfId="421" priority="873" stopIfTrue="1" operator="containsText" text="SICK">
      <formula>NOT(ISERROR(SEARCH("SICK",AW7)))</formula>
    </cfRule>
    <cfRule type="containsText" dxfId="420" priority="874" stopIfTrue="1" operator="containsText" text="SP">
      <formula>NOT(ISERROR(SEARCH("SP",AW7)))</formula>
    </cfRule>
    <cfRule type="containsText" dxfId="419" priority="875" stopIfTrue="1" operator="containsText" text="SICK">
      <formula>NOT(ISERROR(SEARCH("SICK",AW7)))</formula>
    </cfRule>
    <cfRule type="containsText" dxfId="418" priority="879" operator="containsText" text="AB">
      <formula>NOT(ISERROR(SEARCH("AB",AW7)))</formula>
    </cfRule>
    <cfRule type="containsText" dxfId="417" priority="858" operator="containsText" text="AL">
      <formula>NOT(ISERROR(SEARCH("AL",AW7)))</formula>
    </cfRule>
    <cfRule type="containsText" dxfId="416" priority="859" operator="containsText" text="SICK">
      <formula>NOT(ISERROR(SEARCH("SICK",AW7)))</formula>
    </cfRule>
    <cfRule type="containsText" dxfId="415" priority="860" operator="containsText" text="NL">
      <formula>NOT(ISERROR(SEARCH("NL",AW7)))</formula>
    </cfRule>
    <cfRule type="containsText" dxfId="414" priority="861" operator="containsText" text="AB">
      <formula>NOT(ISERROR(SEARCH("AB",AW7)))</formula>
    </cfRule>
    <cfRule type="containsText" dxfId="413" priority="863" stopIfTrue="1" operator="containsText" text="AL">
      <formula>NOT(ISERROR(SEARCH("AL",AW7)))</formula>
    </cfRule>
    <cfRule type="containsText" dxfId="412" priority="864" stopIfTrue="1" operator="containsText" text="SP">
      <formula>NOT(ISERROR(SEARCH("SP",AW7)))</formula>
    </cfRule>
    <cfRule type="containsText" dxfId="411" priority="893" stopIfTrue="1" operator="containsText" text="SP">
      <formula>NOT(ISERROR(SEARCH("SP",AW7)))</formula>
    </cfRule>
    <cfRule type="containsText" dxfId="410" priority="894" stopIfTrue="1" operator="containsText" text="SICK">
      <formula>NOT(ISERROR(SEARCH("SICK",AW7)))</formula>
    </cfRule>
    <cfRule type="containsText" dxfId="409" priority="881" operator="containsText" text="AB">
      <formula>NOT(ISERROR(SEARCH("AB",AW7)))</formula>
    </cfRule>
    <cfRule type="containsText" dxfId="408" priority="882" operator="containsText" text="AL">
      <formula>NOT(ISERROR(SEARCH("AL",AW7)))</formula>
    </cfRule>
    <cfRule type="containsText" dxfId="407" priority="885" stopIfTrue="1" operator="containsText" text="AL">
      <formula>NOT(ISERROR(SEARCH("AL",AW7)))</formula>
    </cfRule>
    <cfRule type="containsText" dxfId="406" priority="876" operator="containsText" text="FL">
      <formula>NOT(ISERROR(SEARCH("FL",AW7)))</formula>
    </cfRule>
    <cfRule type="containsText" dxfId="405" priority="867" operator="containsText" text="AL">
      <formula>NOT(ISERROR(SEARCH("AL",AW7)))</formula>
    </cfRule>
    <cfRule type="containsText" dxfId="404" priority="866" operator="containsText" text="AB">
      <formula>NOT(ISERROR(SEARCH("AB",AW7)))</formula>
    </cfRule>
    <cfRule type="containsText" dxfId="403" priority="865" stopIfTrue="1" operator="containsText" text="SICK">
      <formula>NOT(ISERROR(SEARCH("SICK",AW7)))</formula>
    </cfRule>
    <cfRule type="containsText" dxfId="402" priority="883" operator="containsText" text="SICK">
      <formula>NOT(ISERROR(SEARCH("SICK",AW7)))</formula>
    </cfRule>
    <cfRule type="containsText" dxfId="401" priority="892" stopIfTrue="1" operator="containsText" text="AL">
      <formula>NOT(ISERROR(SEARCH("AL",AW7)))</formula>
    </cfRule>
    <cfRule type="containsText" dxfId="400" priority="884" operator="containsText" text="NL">
      <formula>NOT(ISERROR(SEARCH("NL",AW7)))</formula>
    </cfRule>
    <cfRule type="containsText" dxfId="399" priority="886" stopIfTrue="1" operator="containsText" text="SP">
      <formula>NOT(ISERROR(SEARCH("SP",AW7)))</formula>
    </cfRule>
    <cfRule type="containsText" dxfId="398" priority="887" stopIfTrue="1" operator="containsText" text="SICK">
      <formula>NOT(ISERROR(SEARCH("SICK",AW7)))</formula>
    </cfRule>
    <cfRule type="containsText" dxfId="397" priority="880" operator="containsText" text="SICK">
      <formula>NOT(ISERROR(SEARCH("SICK",AW7)))</formula>
    </cfRule>
    <cfRule type="containsText" dxfId="396" priority="888" operator="containsText" text="AB">
      <formula>NOT(ISERROR(SEARCH("AB",AW7)))</formula>
    </cfRule>
    <cfRule type="containsText" dxfId="395" priority="889" operator="containsText" text="AL">
      <formula>NOT(ISERROR(SEARCH("AL",AW7)))</formula>
    </cfRule>
    <cfRule type="containsText" dxfId="394" priority="890" operator="containsText" text="SICK">
      <formula>NOT(ISERROR(SEARCH("SICK",AW7)))</formula>
    </cfRule>
    <cfRule type="containsText" dxfId="393" priority="891" operator="containsText" text="NL">
      <formula>NOT(ISERROR(SEARCH("NL",AW7)))</formula>
    </cfRule>
    <cfRule type="containsText" priority="877" operator="containsText" text="FL">
      <formula>NOT(ISERROR(SEARCH("FL",AW7)))</formula>
    </cfRule>
  </conditionalFormatting>
  <conditionalFormatting sqref="AW12">
    <cfRule type="containsText" dxfId="392" priority="190" stopIfTrue="1" operator="containsText" text="SICK">
      <formula>NOT(ISERROR(SEARCH("SICK",AW12)))</formula>
    </cfRule>
    <cfRule type="containsText" dxfId="391" priority="182" stopIfTrue="1" operator="containsText" text="SP">
      <formula>NOT(ISERROR(SEARCH("SP",AW12)))</formula>
    </cfRule>
    <cfRule type="containsText" dxfId="390" priority="181" stopIfTrue="1" operator="containsText" text="AL">
      <formula>NOT(ISERROR(SEARCH("AL",AW12)))</formula>
    </cfRule>
    <cfRule type="containsText" dxfId="389" priority="178" operator="containsText" text="SICK">
      <formula>NOT(ISERROR(SEARCH("SICK",AW12)))</formula>
    </cfRule>
    <cfRule type="containsText" dxfId="388" priority="177" operator="containsText" text="AL">
      <formula>NOT(ISERROR(SEARCH("AL",AW12)))</formula>
    </cfRule>
    <cfRule type="containsText" dxfId="387" priority="176" operator="containsText" text="SICK">
      <formula>NOT(ISERROR(SEARCH("SICK",AW12)))</formula>
    </cfRule>
    <cfRule type="containsText" dxfId="386" priority="175" operator="containsText" text="AB">
      <formula>NOT(ISERROR(SEARCH("AB",AW12)))</formula>
    </cfRule>
    <cfRule type="containsText" dxfId="385" priority="184" operator="containsText" text="AL">
      <formula>NOT(ISERROR(SEARCH("AL",AW12)))</formula>
    </cfRule>
    <cfRule type="containsText" priority="173" operator="containsText" text="FL">
      <formula>NOT(ISERROR(SEARCH("FL",AW12)))</formula>
    </cfRule>
    <cfRule type="containsText" dxfId="384" priority="172" operator="containsText" text="FL">
      <formula>NOT(ISERROR(SEARCH("FL",AW12)))</formula>
    </cfRule>
    <cfRule type="containsText" dxfId="383" priority="180" operator="containsText" text="AB">
      <formula>NOT(ISERROR(SEARCH("AB",AW12)))</formula>
    </cfRule>
    <cfRule type="containsText" dxfId="382" priority="186" operator="containsText" text="NL">
      <formula>NOT(ISERROR(SEARCH("NL",AW12)))</formula>
    </cfRule>
    <cfRule type="containsText" dxfId="381" priority="185" operator="containsText" text="SICK">
      <formula>NOT(ISERROR(SEARCH("SICK",AW12)))</formula>
    </cfRule>
    <cfRule type="containsText" dxfId="380" priority="179" operator="containsText" text="NL">
      <formula>NOT(ISERROR(SEARCH("NL",AW12)))</formula>
    </cfRule>
    <cfRule type="containsText" dxfId="379" priority="183" stopIfTrue="1" operator="containsText" text="SICK">
      <formula>NOT(ISERROR(SEARCH("SICK",AW12)))</formula>
    </cfRule>
    <cfRule type="containsText" dxfId="378" priority="188" stopIfTrue="1" operator="containsText" text="AL">
      <formula>NOT(ISERROR(SEARCH("AL",AW12)))</formula>
    </cfRule>
    <cfRule type="containsText" dxfId="377" priority="187" operator="containsText" text="AB">
      <formula>NOT(ISERROR(SEARCH("AB",AW12)))</formula>
    </cfRule>
    <cfRule type="containsText" dxfId="376" priority="189" stopIfTrue="1" operator="containsText" text="SP">
      <formula>NOT(ISERROR(SEARCH("SP",AW12)))</formula>
    </cfRule>
    <cfRule type="containsText" dxfId="375" priority="174" operator="containsText" text="AL">
      <formula>NOT(ISERROR(SEARCH("AL",AW12)))</formula>
    </cfRule>
  </conditionalFormatting>
  <conditionalFormatting sqref="AW16">
    <cfRule type="containsText" dxfId="374" priority="752" operator="containsText" text="FL">
      <formula>NOT(ISERROR(SEARCH("FL",AW16)))</formula>
    </cfRule>
    <cfRule type="containsText" priority="753" operator="containsText" text="FL">
      <formula>NOT(ISERROR(SEARCH("FL",AW16)))</formula>
    </cfRule>
    <cfRule type="containsText" dxfId="373" priority="754" operator="containsText" text="AL">
      <formula>NOT(ISERROR(SEARCH("AL",AW16)))</formula>
    </cfRule>
    <cfRule type="containsText" dxfId="372" priority="755" operator="containsText" text="AB">
      <formula>NOT(ISERROR(SEARCH("AB",AW16)))</formula>
    </cfRule>
    <cfRule type="containsText" dxfId="371" priority="756" operator="containsText" text="SICK">
      <formula>NOT(ISERROR(SEARCH("SICK",AW16)))</formula>
    </cfRule>
    <cfRule type="containsText" dxfId="370" priority="757" operator="containsText" text="AL">
      <formula>NOT(ISERROR(SEARCH("AL",AW16)))</formula>
    </cfRule>
    <cfRule type="containsText" dxfId="369" priority="758" operator="containsText" text="SICK">
      <formula>NOT(ISERROR(SEARCH("SICK",AW16)))</formula>
    </cfRule>
    <cfRule type="containsText" dxfId="368" priority="759" operator="containsText" text="NL">
      <formula>NOT(ISERROR(SEARCH("NL",AW16)))</formula>
    </cfRule>
    <cfRule type="containsText" dxfId="367" priority="760" operator="containsText" text="AB">
      <formula>NOT(ISERROR(SEARCH("AB",AW16)))</formula>
    </cfRule>
    <cfRule type="containsText" dxfId="366" priority="761" stopIfTrue="1" operator="containsText" text="AL">
      <formula>NOT(ISERROR(SEARCH("AL",AW16)))</formula>
    </cfRule>
    <cfRule type="containsText" dxfId="365" priority="762" stopIfTrue="1" operator="containsText" text="SP">
      <formula>NOT(ISERROR(SEARCH("SP",AW16)))</formula>
    </cfRule>
    <cfRule type="containsText" dxfId="364" priority="764" operator="containsText" text="AL">
      <formula>NOT(ISERROR(SEARCH("AL",AW16)))</formula>
    </cfRule>
    <cfRule type="containsText" dxfId="363" priority="765" operator="containsText" text="SICK">
      <formula>NOT(ISERROR(SEARCH("SICK",AW16)))</formula>
    </cfRule>
    <cfRule type="containsText" dxfId="362" priority="766" operator="containsText" text="NL">
      <formula>NOT(ISERROR(SEARCH("NL",AW16)))</formula>
    </cfRule>
    <cfRule type="containsText" dxfId="361" priority="763" stopIfTrue="1" operator="containsText" text="SICK">
      <formula>NOT(ISERROR(SEARCH("SICK",AW16)))</formula>
    </cfRule>
    <cfRule type="containsText" dxfId="360" priority="769" stopIfTrue="1" operator="containsText" text="SP">
      <formula>NOT(ISERROR(SEARCH("SP",AW16)))</formula>
    </cfRule>
    <cfRule type="containsText" dxfId="359" priority="768" stopIfTrue="1" operator="containsText" text="AL">
      <formula>NOT(ISERROR(SEARCH("AL",AW16)))</formula>
    </cfRule>
    <cfRule type="containsText" dxfId="358" priority="767" operator="containsText" text="AB">
      <formula>NOT(ISERROR(SEARCH("AB",AW16)))</formula>
    </cfRule>
    <cfRule type="containsText" dxfId="357" priority="770" stopIfTrue="1" operator="containsText" text="SICK">
      <formula>NOT(ISERROR(SEARCH("SICK",AW16)))</formula>
    </cfRule>
  </conditionalFormatting>
  <conditionalFormatting sqref="AW20">
    <cfRule type="containsText" dxfId="356" priority="638" operator="containsText" text="FL">
      <formula>NOT(ISERROR(SEARCH("FL",AW20)))</formula>
    </cfRule>
    <cfRule type="containsText" dxfId="355" priority="652" operator="containsText" text="NL">
      <formula>NOT(ISERROR(SEARCH("NL",AW20)))</formula>
    </cfRule>
    <cfRule type="containsText" dxfId="354" priority="656" stopIfTrue="1" operator="containsText" text="SICK">
      <formula>NOT(ISERROR(SEARCH("SICK",AW20)))</formula>
    </cfRule>
    <cfRule type="containsText" dxfId="353" priority="655" stopIfTrue="1" operator="containsText" text="SP">
      <formula>NOT(ISERROR(SEARCH("SP",AW20)))</formula>
    </cfRule>
    <cfRule type="containsText" dxfId="352" priority="654" stopIfTrue="1" operator="containsText" text="AL">
      <formula>NOT(ISERROR(SEARCH("AL",AW20)))</formula>
    </cfRule>
    <cfRule type="containsText" dxfId="351" priority="653" operator="containsText" text="AB">
      <formula>NOT(ISERROR(SEARCH("AB",AW20)))</formula>
    </cfRule>
    <cfRule type="containsText" dxfId="350" priority="651" operator="containsText" text="SICK">
      <formula>NOT(ISERROR(SEARCH("SICK",AW20)))</formula>
    </cfRule>
    <cfRule type="containsText" dxfId="349" priority="650" operator="containsText" text="AL">
      <formula>NOT(ISERROR(SEARCH("AL",AW20)))</formula>
    </cfRule>
    <cfRule type="containsText" dxfId="348" priority="649" stopIfTrue="1" operator="containsText" text="SICK">
      <formula>NOT(ISERROR(SEARCH("SICK",AW20)))</formula>
    </cfRule>
    <cfRule type="containsText" dxfId="347" priority="648" stopIfTrue="1" operator="containsText" text="SP">
      <formula>NOT(ISERROR(SEARCH("SP",AW20)))</formula>
    </cfRule>
    <cfRule type="containsText" dxfId="346" priority="647" stopIfTrue="1" operator="containsText" text="AL">
      <formula>NOT(ISERROR(SEARCH("AL",AW20)))</formula>
    </cfRule>
    <cfRule type="containsText" dxfId="345" priority="646" operator="containsText" text="AB">
      <formula>NOT(ISERROR(SEARCH("AB",AW20)))</formula>
    </cfRule>
    <cfRule type="containsText" dxfId="344" priority="645" operator="containsText" text="NL">
      <formula>NOT(ISERROR(SEARCH("NL",AW20)))</formula>
    </cfRule>
    <cfRule type="containsText" dxfId="343" priority="644" operator="containsText" text="SICK">
      <formula>NOT(ISERROR(SEARCH("SICK",AW20)))</formula>
    </cfRule>
    <cfRule type="containsText" dxfId="342" priority="643" operator="containsText" text="AL">
      <formula>NOT(ISERROR(SEARCH("AL",AW20)))</formula>
    </cfRule>
    <cfRule type="containsText" dxfId="341" priority="642" operator="containsText" text="SICK">
      <formula>NOT(ISERROR(SEARCH("SICK",AW20)))</formula>
    </cfRule>
    <cfRule type="containsText" dxfId="340" priority="641" operator="containsText" text="AB">
      <formula>NOT(ISERROR(SEARCH("AB",AW20)))</formula>
    </cfRule>
    <cfRule type="containsText" dxfId="339" priority="640" operator="containsText" text="AL">
      <formula>NOT(ISERROR(SEARCH("AL",AW20)))</formula>
    </cfRule>
    <cfRule type="containsText" priority="639" operator="containsText" text="FL">
      <formula>NOT(ISERROR(SEARCH("FL",AW20)))</formula>
    </cfRule>
  </conditionalFormatting>
  <conditionalFormatting sqref="AX4:AY4">
    <cfRule type="dataBar" priority="9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AY7 BA7 BC7 BE7 BG7 BI7">
    <cfRule type="containsText" dxfId="338" priority="459" operator="containsText" text="NL">
      <formula>NOT(ISERROR(SEARCH("NL",AY7)))</formula>
    </cfRule>
    <cfRule type="containsText" dxfId="337" priority="440" stopIfTrue="1" operator="containsText" text="SICK">
      <formula>NOT(ISERROR(SEARCH("SICK",AY7)))</formula>
    </cfRule>
    <cfRule type="containsText" dxfId="336" priority="455" operator="containsText" text="SICK">
      <formula>NOT(ISERROR(SEARCH("SICK",AY7)))</formula>
    </cfRule>
    <cfRule type="containsText" dxfId="335" priority="458" operator="containsText" text="SICK">
      <formula>NOT(ISERROR(SEARCH("SICK",AY7)))</formula>
    </cfRule>
    <cfRule type="containsText" dxfId="334" priority="457" operator="containsText" text="AL">
      <formula>NOT(ISERROR(SEARCH("AL",AY7)))</formula>
    </cfRule>
    <cfRule type="containsText" dxfId="333" priority="456" operator="containsText" text="AB">
      <formula>NOT(ISERROR(SEARCH("AB",AY7)))</formula>
    </cfRule>
    <cfRule type="containsText" dxfId="332" priority="444" operator="containsText" text="SICK">
      <formula>NOT(ISERROR(SEARCH("SICK",AY7)))</formula>
    </cfRule>
    <cfRule type="containsText" dxfId="331" priority="441" operator="containsText" text="AB">
      <formula>NOT(ISERROR(SEARCH("AB",AY7)))</formula>
    </cfRule>
    <cfRule type="containsText" dxfId="330" priority="454" operator="containsText" text="AB">
      <formula>NOT(ISERROR(SEARCH("AB",AY7)))</formula>
    </cfRule>
    <cfRule type="containsText" dxfId="329" priority="453" operator="containsText" text="AL">
      <formula>NOT(ISERROR(SEARCH("AL",AY7)))</formula>
    </cfRule>
    <cfRule type="containsText" priority="452" operator="containsText" text="FL">
      <formula>NOT(ISERROR(SEARCH("FL",AY7)))</formula>
    </cfRule>
    <cfRule type="containsText" dxfId="328" priority="442" operator="containsText" text="AL">
      <formula>NOT(ISERROR(SEARCH("AL",AY7)))</formula>
    </cfRule>
    <cfRule type="containsText" dxfId="327" priority="466" operator="containsText" text="NL">
      <formula>NOT(ISERROR(SEARCH("NL",AY7)))</formula>
    </cfRule>
    <cfRule type="containsText" dxfId="326" priority="465" operator="containsText" text="SICK">
      <formula>NOT(ISERROR(SEARCH("SICK",AY7)))</formula>
    </cfRule>
    <cfRule type="containsText" dxfId="325" priority="464" operator="containsText" text="AL">
      <formula>NOT(ISERROR(SEARCH("AL",AY7)))</formula>
    </cfRule>
    <cfRule type="containsText" dxfId="324" priority="450" stopIfTrue="1" operator="containsText" text="SICK">
      <formula>NOT(ISERROR(SEARCH("SICK",AY7)))</formula>
    </cfRule>
    <cfRule type="containsText" dxfId="323" priority="448" stopIfTrue="1" operator="containsText" text="SICK">
      <formula>NOT(ISERROR(SEARCH("SICK",AY7)))</formula>
    </cfRule>
    <cfRule type="containsText" dxfId="322" priority="443" operator="containsText" text="EL">
      <formula>NOT(ISERROR(SEARCH("EL",AY7)))</formula>
    </cfRule>
    <cfRule type="containsText" dxfId="321" priority="447" stopIfTrue="1" operator="containsText" text="SP">
      <formula>NOT(ISERROR(SEARCH("SP",AY7)))</formula>
    </cfRule>
    <cfRule type="containsText" dxfId="320" priority="446" stopIfTrue="1" operator="containsText" text="AL">
      <formula>NOT(ISERROR(SEARCH("AL",AY7)))</formula>
    </cfRule>
    <cfRule type="containsText" dxfId="319" priority="445" operator="containsText" text="AB">
      <formula>NOT(ISERROR(SEARCH("AB",AY7)))</formula>
    </cfRule>
    <cfRule type="containsText" dxfId="318" priority="463" operator="containsText" text="AB">
      <formula>NOT(ISERROR(SEARCH("AB",AY7)))</formula>
    </cfRule>
    <cfRule type="containsText" dxfId="317" priority="462" stopIfTrue="1" operator="containsText" text="SICK">
      <formula>NOT(ISERROR(SEARCH("SICK",AY7)))</formula>
    </cfRule>
    <cfRule type="containsText" dxfId="316" priority="461" stopIfTrue="1" operator="containsText" text="SP">
      <formula>NOT(ISERROR(SEARCH("SP",AY7)))</formula>
    </cfRule>
    <cfRule type="containsText" dxfId="315" priority="460" stopIfTrue="1" operator="containsText" text="AL">
      <formula>NOT(ISERROR(SEARCH("AL",AY7)))</formula>
    </cfRule>
    <cfRule type="containsText" dxfId="314" priority="439" stopIfTrue="1" operator="containsText" text="SP">
      <formula>NOT(ISERROR(SEARCH("SP",AY7)))</formula>
    </cfRule>
    <cfRule type="containsText" dxfId="313" priority="438" stopIfTrue="1" operator="containsText" text="AL">
      <formula>NOT(ISERROR(SEARCH("AL",AY7)))</formula>
    </cfRule>
    <cfRule type="containsText" dxfId="312" priority="436" operator="containsText" text="AB">
      <formula>NOT(ISERROR(SEARCH("AB",AY7)))</formula>
    </cfRule>
    <cfRule type="containsText" dxfId="311" priority="435" operator="containsText" text="NL">
      <formula>NOT(ISERROR(SEARCH("NL",AY7)))</formula>
    </cfRule>
    <cfRule type="containsText" dxfId="310" priority="434" operator="containsText" text="SICK">
      <formula>NOT(ISERROR(SEARCH("SICK",AY7)))</formula>
    </cfRule>
    <cfRule type="containsText" dxfId="309" priority="433" operator="containsText" text="AL">
      <formula>NOT(ISERROR(SEARCH("AL",AY7)))</formula>
    </cfRule>
    <cfRule type="containsText" dxfId="308" priority="469" stopIfTrue="1" operator="containsText" text="SICK">
      <formula>NOT(ISERROR(SEARCH("SICK",AY7)))</formula>
    </cfRule>
    <cfRule type="containsText" dxfId="307" priority="468" stopIfTrue="1" operator="containsText" text="SP">
      <formula>NOT(ISERROR(SEARCH("SP",AY7)))</formula>
    </cfRule>
    <cfRule type="containsText" dxfId="306" priority="467" stopIfTrue="1" operator="containsText" text="AL">
      <formula>NOT(ISERROR(SEARCH("AL",AY7)))</formula>
    </cfRule>
    <cfRule type="containsText" dxfId="305" priority="451" operator="containsText" text="FL">
      <formula>NOT(ISERROR(SEARCH("FL",AY7)))</formula>
    </cfRule>
    <cfRule type="containsText" dxfId="304" priority="449" stopIfTrue="1" operator="containsText" text="SP">
      <formula>NOT(ISERROR(SEARCH("SP",AY7)))</formula>
    </cfRule>
  </conditionalFormatting>
  <conditionalFormatting sqref="AY12">
    <cfRule type="containsText" dxfId="303" priority="159" operator="containsText" text="SICK">
      <formula>NOT(ISERROR(SEARCH("SICK",AY12)))</formula>
    </cfRule>
    <cfRule type="containsText" dxfId="302" priority="158" operator="containsText" text="AL">
      <formula>NOT(ISERROR(SEARCH("AL",AY12)))</formula>
    </cfRule>
    <cfRule type="containsText" dxfId="301" priority="155" operator="containsText" text="AL">
      <formula>NOT(ISERROR(SEARCH("AL",AY12)))</formula>
    </cfRule>
    <cfRule type="containsText" dxfId="300" priority="167" operator="containsText" text="NL">
      <formula>NOT(ISERROR(SEARCH("NL",AY12)))</formula>
    </cfRule>
    <cfRule type="containsText" dxfId="299" priority="157" operator="containsText" text="SICK">
      <formula>NOT(ISERROR(SEARCH("SICK",AY12)))</formula>
    </cfRule>
    <cfRule type="containsText" dxfId="298" priority="156" operator="containsText" text="AB">
      <formula>NOT(ISERROR(SEARCH("AB",AY12)))</formula>
    </cfRule>
    <cfRule type="containsText" priority="154" operator="containsText" text="FL">
      <formula>NOT(ISERROR(SEARCH("FL",AY12)))</formula>
    </cfRule>
    <cfRule type="containsText" dxfId="297" priority="153" operator="containsText" text="FL">
      <formula>NOT(ISERROR(SEARCH("FL",AY12)))</formula>
    </cfRule>
    <cfRule type="containsText" dxfId="296" priority="166" operator="containsText" text="SICK">
      <formula>NOT(ISERROR(SEARCH("SICK",AY12)))</formula>
    </cfRule>
    <cfRule type="containsText" dxfId="295" priority="171" stopIfTrue="1" operator="containsText" text="SICK">
      <formula>NOT(ISERROR(SEARCH("SICK",AY12)))</formula>
    </cfRule>
    <cfRule type="containsText" dxfId="294" priority="170" stopIfTrue="1" operator="containsText" text="SP">
      <formula>NOT(ISERROR(SEARCH("SP",AY12)))</formula>
    </cfRule>
    <cfRule type="containsText" dxfId="293" priority="169" stopIfTrue="1" operator="containsText" text="AL">
      <formula>NOT(ISERROR(SEARCH("AL",AY12)))</formula>
    </cfRule>
    <cfRule type="containsText" dxfId="292" priority="168" operator="containsText" text="AB">
      <formula>NOT(ISERROR(SEARCH("AB",AY12)))</formula>
    </cfRule>
    <cfRule type="containsText" dxfId="291" priority="161" operator="containsText" text="AB">
      <formula>NOT(ISERROR(SEARCH("AB",AY12)))</formula>
    </cfRule>
    <cfRule type="containsText" dxfId="290" priority="165" operator="containsText" text="AL">
      <formula>NOT(ISERROR(SEARCH("AL",AY12)))</formula>
    </cfRule>
    <cfRule type="containsText" dxfId="289" priority="164" stopIfTrue="1" operator="containsText" text="SICK">
      <formula>NOT(ISERROR(SEARCH("SICK",AY12)))</formula>
    </cfRule>
    <cfRule type="containsText" dxfId="288" priority="163" stopIfTrue="1" operator="containsText" text="SP">
      <formula>NOT(ISERROR(SEARCH("SP",AY12)))</formula>
    </cfRule>
    <cfRule type="containsText" dxfId="287" priority="162" stopIfTrue="1" operator="containsText" text="AL">
      <formula>NOT(ISERROR(SEARCH("AL",AY12)))</formula>
    </cfRule>
    <cfRule type="containsText" dxfId="286" priority="160" operator="containsText" text="NL">
      <formula>NOT(ISERROR(SEARCH("NL",AY12)))</formula>
    </cfRule>
  </conditionalFormatting>
  <conditionalFormatting sqref="AY20">
    <cfRule type="containsText" dxfId="285" priority="389" operator="containsText" text="AL">
      <formula>NOT(ISERROR(SEARCH("AL",AY20)))</formula>
    </cfRule>
    <cfRule type="containsText" dxfId="284" priority="390" operator="containsText" text="AB">
      <formula>NOT(ISERROR(SEARCH("AB",AY20)))</formula>
    </cfRule>
    <cfRule type="containsText" priority="388" operator="containsText" text="FL">
      <formula>NOT(ISERROR(SEARCH("FL",AY20)))</formula>
    </cfRule>
    <cfRule type="containsText" dxfId="283" priority="394" operator="containsText" text="NL">
      <formula>NOT(ISERROR(SEARCH("NL",AY20)))</formula>
    </cfRule>
    <cfRule type="containsText" dxfId="282" priority="391" operator="containsText" text="SICK">
      <formula>NOT(ISERROR(SEARCH("SICK",AY20)))</formula>
    </cfRule>
    <cfRule type="containsText" dxfId="281" priority="387" operator="containsText" text="FL">
      <formula>NOT(ISERROR(SEARCH("FL",AY20)))</formula>
    </cfRule>
    <cfRule type="containsText" dxfId="280" priority="405" stopIfTrue="1" operator="containsText" text="SICK">
      <formula>NOT(ISERROR(SEARCH("SICK",AY20)))</formula>
    </cfRule>
    <cfRule type="containsText" dxfId="279" priority="404" stopIfTrue="1" operator="containsText" text="SP">
      <formula>NOT(ISERROR(SEARCH("SP",AY20)))</formula>
    </cfRule>
    <cfRule type="containsText" dxfId="278" priority="403" stopIfTrue="1" operator="containsText" text="AL">
      <formula>NOT(ISERROR(SEARCH("AL",AY20)))</formula>
    </cfRule>
    <cfRule type="containsText" dxfId="277" priority="402" operator="containsText" text="AB">
      <formula>NOT(ISERROR(SEARCH("AB",AY20)))</formula>
    </cfRule>
    <cfRule type="containsText" dxfId="276" priority="401" operator="containsText" text="NL">
      <formula>NOT(ISERROR(SEARCH("NL",AY20)))</formula>
    </cfRule>
    <cfRule type="containsText" dxfId="275" priority="400" operator="containsText" text="SICK">
      <formula>NOT(ISERROR(SEARCH("SICK",AY20)))</formula>
    </cfRule>
    <cfRule type="containsText" dxfId="274" priority="399" operator="containsText" text="AL">
      <formula>NOT(ISERROR(SEARCH("AL",AY20)))</formula>
    </cfRule>
    <cfRule type="containsText" dxfId="273" priority="398" stopIfTrue="1" operator="containsText" text="SICK">
      <formula>NOT(ISERROR(SEARCH("SICK",AY20)))</formula>
    </cfRule>
    <cfRule type="containsText" dxfId="272" priority="397" stopIfTrue="1" operator="containsText" text="SP">
      <formula>NOT(ISERROR(SEARCH("SP",AY20)))</formula>
    </cfRule>
    <cfRule type="containsText" dxfId="271" priority="396" stopIfTrue="1" operator="containsText" text="AL">
      <formula>NOT(ISERROR(SEARCH("AL",AY20)))</formula>
    </cfRule>
    <cfRule type="containsText" dxfId="270" priority="392" operator="containsText" text="AL">
      <formula>NOT(ISERROR(SEARCH("AL",AY20)))</formula>
    </cfRule>
    <cfRule type="containsText" dxfId="269" priority="393" operator="containsText" text="SICK">
      <formula>NOT(ISERROR(SEARCH("SICK",AY20)))</formula>
    </cfRule>
    <cfRule type="containsText" dxfId="268" priority="395" operator="containsText" text="AB">
      <formula>NOT(ISERROR(SEARCH("AB",AY20)))</formula>
    </cfRule>
  </conditionalFormatting>
  <conditionalFormatting sqref="AZ4:BA4">
    <cfRule type="dataBar" priority="9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AZ35:BG35 AJ57">
    <cfRule type="containsText" dxfId="267" priority="9632" stopIfTrue="1" operator="containsText" text="SICK">
      <formula>NOT(ISERROR(SEARCH("SICK",AJ35)))</formula>
    </cfRule>
    <cfRule type="containsText" dxfId="266" priority="9631" stopIfTrue="1" operator="containsText" text="SP">
      <formula>NOT(ISERROR(SEARCH("SP",AJ35)))</formula>
    </cfRule>
    <cfRule type="containsText" dxfId="265" priority="9630" stopIfTrue="1" operator="containsText" text="AL">
      <formula>NOT(ISERROR(SEARCH("AL",AJ35)))</formula>
    </cfRule>
  </conditionalFormatting>
  <conditionalFormatting sqref="BA12">
    <cfRule type="containsText" dxfId="264" priority="143" stopIfTrue="1" operator="containsText" text="AL">
      <formula>NOT(ISERROR(SEARCH("AL",BA12)))</formula>
    </cfRule>
    <cfRule type="containsText" dxfId="263" priority="145" stopIfTrue="1" operator="containsText" text="SICK">
      <formula>NOT(ISERROR(SEARCH("SICK",BA12)))</formula>
    </cfRule>
    <cfRule type="containsText" dxfId="262" priority="146" operator="containsText" text="AL">
      <formula>NOT(ISERROR(SEARCH("AL",BA12)))</formula>
    </cfRule>
    <cfRule type="containsText" dxfId="261" priority="147" operator="containsText" text="SICK">
      <formula>NOT(ISERROR(SEARCH("SICK",BA12)))</formula>
    </cfRule>
    <cfRule type="containsText" dxfId="260" priority="148" operator="containsText" text="NL">
      <formula>NOT(ISERROR(SEARCH("NL",BA12)))</formula>
    </cfRule>
    <cfRule type="containsText" dxfId="259" priority="149" operator="containsText" text="AB">
      <formula>NOT(ISERROR(SEARCH("AB",BA12)))</formula>
    </cfRule>
    <cfRule type="containsText" dxfId="258" priority="144" stopIfTrue="1" operator="containsText" text="SP">
      <formula>NOT(ISERROR(SEARCH("SP",BA12)))</formula>
    </cfRule>
    <cfRule type="containsText" dxfId="257" priority="152" stopIfTrue="1" operator="containsText" text="SICK">
      <formula>NOT(ISERROR(SEARCH("SICK",BA12)))</formula>
    </cfRule>
    <cfRule type="containsText" dxfId="256" priority="151" stopIfTrue="1" operator="containsText" text="SP">
      <formula>NOT(ISERROR(SEARCH("SP",BA12)))</formula>
    </cfRule>
    <cfRule type="containsText" dxfId="255" priority="134" operator="containsText" text="FL">
      <formula>NOT(ISERROR(SEARCH("FL",BA12)))</formula>
    </cfRule>
    <cfRule type="containsText" priority="135" operator="containsText" text="FL">
      <formula>NOT(ISERROR(SEARCH("FL",BA12)))</formula>
    </cfRule>
    <cfRule type="containsText" dxfId="254" priority="136" operator="containsText" text="AL">
      <formula>NOT(ISERROR(SEARCH("AL",BA12)))</formula>
    </cfRule>
    <cfRule type="containsText" dxfId="253" priority="137" operator="containsText" text="AB">
      <formula>NOT(ISERROR(SEARCH("AB",BA12)))</formula>
    </cfRule>
    <cfRule type="containsText" dxfId="252" priority="138" operator="containsText" text="SICK">
      <formula>NOT(ISERROR(SEARCH("SICK",BA12)))</formula>
    </cfRule>
    <cfRule type="containsText" dxfId="251" priority="139" operator="containsText" text="AL">
      <formula>NOT(ISERROR(SEARCH("AL",BA12)))</formula>
    </cfRule>
    <cfRule type="containsText" dxfId="250" priority="140" operator="containsText" text="SICK">
      <formula>NOT(ISERROR(SEARCH("SICK",BA12)))</formula>
    </cfRule>
    <cfRule type="containsText" dxfId="249" priority="141" operator="containsText" text="NL">
      <formula>NOT(ISERROR(SEARCH("NL",BA12)))</formula>
    </cfRule>
    <cfRule type="containsText" dxfId="248" priority="150" stopIfTrue="1" operator="containsText" text="AL">
      <formula>NOT(ISERROR(SEARCH("AL",BA12)))</formula>
    </cfRule>
    <cfRule type="containsText" dxfId="247" priority="142" operator="containsText" text="AB">
      <formula>NOT(ISERROR(SEARCH("AB",BA12)))</formula>
    </cfRule>
  </conditionalFormatting>
  <conditionalFormatting sqref="BA20">
    <cfRule type="containsText" dxfId="246" priority="371" operator="containsText" text="AB">
      <formula>NOT(ISERROR(SEARCH("AB",BA20)))</formula>
    </cfRule>
    <cfRule type="containsText" dxfId="245" priority="384" stopIfTrue="1" operator="containsText" text="AL">
      <formula>NOT(ISERROR(SEARCH("AL",BA20)))</formula>
    </cfRule>
    <cfRule type="containsText" dxfId="244" priority="383" operator="containsText" text="AB">
      <formula>NOT(ISERROR(SEARCH("AB",BA20)))</formula>
    </cfRule>
    <cfRule type="containsText" dxfId="243" priority="382" operator="containsText" text="NL">
      <formula>NOT(ISERROR(SEARCH("NL",BA20)))</formula>
    </cfRule>
    <cfRule type="containsText" dxfId="242" priority="381" operator="containsText" text="SICK">
      <formula>NOT(ISERROR(SEARCH("SICK",BA20)))</formula>
    </cfRule>
    <cfRule type="containsText" dxfId="241" priority="380" operator="containsText" text="AL">
      <formula>NOT(ISERROR(SEARCH("AL",BA20)))</formula>
    </cfRule>
    <cfRule type="containsText" dxfId="240" priority="379" stopIfTrue="1" operator="containsText" text="SICK">
      <formula>NOT(ISERROR(SEARCH("SICK",BA20)))</formula>
    </cfRule>
    <cfRule type="containsText" dxfId="239" priority="378" stopIfTrue="1" operator="containsText" text="SP">
      <formula>NOT(ISERROR(SEARCH("SP",BA20)))</formula>
    </cfRule>
    <cfRule type="containsText" dxfId="238" priority="377" stopIfTrue="1" operator="containsText" text="AL">
      <formula>NOT(ISERROR(SEARCH("AL",BA20)))</formula>
    </cfRule>
    <cfRule type="containsText" dxfId="237" priority="376" operator="containsText" text="AB">
      <formula>NOT(ISERROR(SEARCH("AB",BA20)))</formula>
    </cfRule>
    <cfRule type="containsText" dxfId="236" priority="375" operator="containsText" text="NL">
      <formula>NOT(ISERROR(SEARCH("NL",BA20)))</formula>
    </cfRule>
    <cfRule type="containsText" dxfId="235" priority="374" operator="containsText" text="SICK">
      <formula>NOT(ISERROR(SEARCH("SICK",BA20)))</formula>
    </cfRule>
    <cfRule type="containsText" dxfId="234" priority="373" operator="containsText" text="AL">
      <formula>NOT(ISERROR(SEARCH("AL",BA20)))</formula>
    </cfRule>
    <cfRule type="containsText" dxfId="233" priority="372" operator="containsText" text="SICK">
      <formula>NOT(ISERROR(SEARCH("SICK",BA20)))</formula>
    </cfRule>
    <cfRule type="containsText" dxfId="232" priority="370" operator="containsText" text="AL">
      <formula>NOT(ISERROR(SEARCH("AL",BA20)))</formula>
    </cfRule>
    <cfRule type="containsText" priority="369" operator="containsText" text="FL">
      <formula>NOT(ISERROR(SEARCH("FL",BA20)))</formula>
    </cfRule>
    <cfRule type="containsText" dxfId="231" priority="368" operator="containsText" text="FL">
      <formula>NOT(ISERROR(SEARCH("FL",BA20)))</formula>
    </cfRule>
    <cfRule type="containsText" dxfId="230" priority="386" stopIfTrue="1" operator="containsText" text="SICK">
      <formula>NOT(ISERROR(SEARCH("SICK",BA20)))</formula>
    </cfRule>
    <cfRule type="containsText" dxfId="229" priority="385" stopIfTrue="1" operator="containsText" text="SP">
      <formula>NOT(ISERROR(SEARCH("SP",BA20)))</formula>
    </cfRule>
  </conditionalFormatting>
  <conditionalFormatting sqref="BB4:BC4">
    <cfRule type="dataBar" priority="9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B11:BC11">
    <cfRule type="containsText" dxfId="228" priority="432" operator="containsText" text="SICK">
      <formula>NOT(ISERROR(SEARCH("SICK",BB11)))</formula>
    </cfRule>
  </conditionalFormatting>
  <conditionalFormatting sqref="BC12">
    <cfRule type="containsText" dxfId="227" priority="123" operator="containsText" text="AB">
      <formula>NOT(ISERROR(SEARCH("AB",BC12)))</formula>
    </cfRule>
    <cfRule type="containsText" dxfId="226" priority="122" operator="containsText" text="NL">
      <formula>NOT(ISERROR(SEARCH("NL",BC12)))</formula>
    </cfRule>
    <cfRule type="containsText" dxfId="225" priority="121" operator="containsText" text="SICK">
      <formula>NOT(ISERROR(SEARCH("SICK",BC12)))</formula>
    </cfRule>
    <cfRule type="containsText" dxfId="224" priority="133" stopIfTrue="1" operator="containsText" text="SICK">
      <formula>NOT(ISERROR(SEARCH("SICK",BC12)))</formula>
    </cfRule>
    <cfRule type="containsText" dxfId="223" priority="132" stopIfTrue="1" operator="containsText" text="SP">
      <formula>NOT(ISERROR(SEARCH("SP",BC12)))</formula>
    </cfRule>
    <cfRule type="containsText" dxfId="222" priority="131" stopIfTrue="1" operator="containsText" text="AL">
      <formula>NOT(ISERROR(SEARCH("AL",BC12)))</formula>
    </cfRule>
    <cfRule type="containsText" dxfId="221" priority="130" operator="containsText" text="AB">
      <formula>NOT(ISERROR(SEARCH("AB",BC12)))</formula>
    </cfRule>
    <cfRule type="containsText" dxfId="220" priority="129" operator="containsText" text="NL">
      <formula>NOT(ISERROR(SEARCH("NL",BC12)))</formula>
    </cfRule>
    <cfRule type="containsText" dxfId="219" priority="115" operator="containsText" text="FL">
      <formula>NOT(ISERROR(SEARCH("FL",BC12)))</formula>
    </cfRule>
    <cfRule type="containsText" priority="116" operator="containsText" text="FL">
      <formula>NOT(ISERROR(SEARCH("FL",BC12)))</formula>
    </cfRule>
    <cfRule type="containsText" dxfId="218" priority="117" operator="containsText" text="AL">
      <formula>NOT(ISERROR(SEARCH("AL",BC12)))</formula>
    </cfRule>
    <cfRule type="containsText" dxfId="217" priority="118" operator="containsText" text="AB">
      <formula>NOT(ISERROR(SEARCH("AB",BC12)))</formula>
    </cfRule>
    <cfRule type="containsText" dxfId="216" priority="119" operator="containsText" text="SICK">
      <formula>NOT(ISERROR(SEARCH("SICK",BC12)))</formula>
    </cfRule>
    <cfRule type="containsText" dxfId="215" priority="120" operator="containsText" text="AL">
      <formula>NOT(ISERROR(SEARCH("AL",BC12)))</formula>
    </cfRule>
    <cfRule type="containsText" dxfId="214" priority="128" operator="containsText" text="SICK">
      <formula>NOT(ISERROR(SEARCH("SICK",BC12)))</formula>
    </cfRule>
    <cfRule type="containsText" dxfId="213" priority="127" operator="containsText" text="AL">
      <formula>NOT(ISERROR(SEARCH("AL",BC12)))</formula>
    </cfRule>
    <cfRule type="containsText" dxfId="212" priority="126" stopIfTrue="1" operator="containsText" text="SICK">
      <formula>NOT(ISERROR(SEARCH("SICK",BC12)))</formula>
    </cfRule>
    <cfRule type="containsText" dxfId="211" priority="125" stopIfTrue="1" operator="containsText" text="SP">
      <formula>NOT(ISERROR(SEARCH("SP",BC12)))</formula>
    </cfRule>
    <cfRule type="containsText" dxfId="210" priority="124" stopIfTrue="1" operator="containsText" text="AL">
      <formula>NOT(ISERROR(SEARCH("AL",BC12)))</formula>
    </cfRule>
  </conditionalFormatting>
  <conditionalFormatting sqref="BC20">
    <cfRule type="containsText" dxfId="209" priority="359" stopIfTrue="1" operator="containsText" text="SP">
      <formula>NOT(ISERROR(SEARCH("SP",BC20)))</formula>
    </cfRule>
    <cfRule type="containsText" dxfId="208" priority="358" stopIfTrue="1" operator="containsText" text="AL">
      <formula>NOT(ISERROR(SEARCH("AL",BC20)))</formula>
    </cfRule>
    <cfRule type="containsText" dxfId="207" priority="357" operator="containsText" text="AB">
      <formula>NOT(ISERROR(SEARCH("AB",BC20)))</formula>
    </cfRule>
    <cfRule type="containsText" dxfId="206" priority="356" operator="containsText" text="NL">
      <formula>NOT(ISERROR(SEARCH("NL",BC20)))</formula>
    </cfRule>
    <cfRule type="containsText" dxfId="205" priority="355" operator="containsText" text="SICK">
      <formula>NOT(ISERROR(SEARCH("SICK",BC20)))</formula>
    </cfRule>
    <cfRule type="containsText" dxfId="204" priority="354" operator="containsText" text="AL">
      <formula>NOT(ISERROR(SEARCH("AL",BC20)))</formula>
    </cfRule>
    <cfRule type="containsText" dxfId="203" priority="353" operator="containsText" text="SICK">
      <formula>NOT(ISERROR(SEARCH("SICK",BC20)))</formula>
    </cfRule>
    <cfRule type="containsText" dxfId="202" priority="352" operator="containsText" text="AB">
      <formula>NOT(ISERROR(SEARCH("AB",BC20)))</formula>
    </cfRule>
    <cfRule type="containsText" dxfId="201" priority="351" operator="containsText" text="AL">
      <formula>NOT(ISERROR(SEARCH("AL",BC20)))</formula>
    </cfRule>
    <cfRule type="containsText" priority="350" operator="containsText" text="FL">
      <formula>NOT(ISERROR(SEARCH("FL",BC20)))</formula>
    </cfRule>
    <cfRule type="containsText" dxfId="200" priority="349" operator="containsText" text="FL">
      <formula>NOT(ISERROR(SEARCH("FL",BC20)))</formula>
    </cfRule>
    <cfRule type="containsText" dxfId="199" priority="367" stopIfTrue="1" operator="containsText" text="SICK">
      <formula>NOT(ISERROR(SEARCH("SICK",BC20)))</formula>
    </cfRule>
    <cfRule type="containsText" dxfId="198" priority="366" stopIfTrue="1" operator="containsText" text="SP">
      <formula>NOT(ISERROR(SEARCH("SP",BC20)))</formula>
    </cfRule>
    <cfRule type="containsText" dxfId="197" priority="365" stopIfTrue="1" operator="containsText" text="AL">
      <formula>NOT(ISERROR(SEARCH("AL",BC20)))</formula>
    </cfRule>
    <cfRule type="containsText" dxfId="196" priority="364" operator="containsText" text="AB">
      <formula>NOT(ISERROR(SEARCH("AB",BC20)))</formula>
    </cfRule>
    <cfRule type="containsText" dxfId="195" priority="363" operator="containsText" text="NL">
      <formula>NOT(ISERROR(SEARCH("NL",BC20)))</formula>
    </cfRule>
    <cfRule type="containsText" dxfId="194" priority="362" operator="containsText" text="SICK">
      <formula>NOT(ISERROR(SEARCH("SICK",BC20)))</formula>
    </cfRule>
    <cfRule type="containsText" dxfId="193" priority="361" operator="containsText" text="AL">
      <formula>NOT(ISERROR(SEARCH("AL",BC20)))</formula>
    </cfRule>
    <cfRule type="containsText" dxfId="192" priority="360" stopIfTrue="1" operator="containsText" text="SICK">
      <formula>NOT(ISERROR(SEARCH("SICK",BC20)))</formula>
    </cfRule>
  </conditionalFormatting>
  <conditionalFormatting sqref="BD4:BE4">
    <cfRule type="dataBar" priority="9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D21:BE21">
    <cfRule type="containsText" dxfId="191" priority="336" operator="containsText" text="AB">
      <formula>NOT(ISERROR(SEARCH("AB",BD21)))</formula>
    </cfRule>
  </conditionalFormatting>
  <conditionalFormatting sqref="BE12">
    <cfRule type="containsText" dxfId="190" priority="110" operator="containsText" text="NL">
      <formula>NOT(ISERROR(SEARCH("NL",BE12)))</formula>
    </cfRule>
    <cfRule type="containsText" dxfId="189" priority="100" operator="containsText" text="SICK">
      <formula>NOT(ISERROR(SEARCH("SICK",BE12)))</formula>
    </cfRule>
    <cfRule type="containsText" dxfId="188" priority="99" operator="containsText" text="AB">
      <formula>NOT(ISERROR(SEARCH("AB",BE12)))</formula>
    </cfRule>
    <cfRule type="containsText" dxfId="187" priority="109" operator="containsText" text="SICK">
      <formula>NOT(ISERROR(SEARCH("SICK",BE12)))</formula>
    </cfRule>
    <cfRule type="containsText" dxfId="186" priority="107" stopIfTrue="1" operator="containsText" text="SICK">
      <formula>NOT(ISERROR(SEARCH("SICK",BE12)))</formula>
    </cfRule>
    <cfRule type="containsText" dxfId="185" priority="106" stopIfTrue="1" operator="containsText" text="SP">
      <formula>NOT(ISERROR(SEARCH("SP",BE12)))</formula>
    </cfRule>
    <cfRule type="containsText" dxfId="184" priority="112" stopIfTrue="1" operator="containsText" text="AL">
      <formula>NOT(ISERROR(SEARCH("AL",BE12)))</formula>
    </cfRule>
    <cfRule type="containsText" dxfId="183" priority="113" stopIfTrue="1" operator="containsText" text="SP">
      <formula>NOT(ISERROR(SEARCH("SP",BE12)))</formula>
    </cfRule>
    <cfRule type="containsText" dxfId="182" priority="114" stopIfTrue="1" operator="containsText" text="SICK">
      <formula>NOT(ISERROR(SEARCH("SICK",BE12)))</formula>
    </cfRule>
    <cfRule type="containsText" dxfId="181" priority="105" stopIfTrue="1" operator="containsText" text="AL">
      <formula>NOT(ISERROR(SEARCH("AL",BE12)))</formula>
    </cfRule>
    <cfRule type="containsText" dxfId="180" priority="108" operator="containsText" text="AL">
      <formula>NOT(ISERROR(SEARCH("AL",BE12)))</formula>
    </cfRule>
    <cfRule type="containsText" dxfId="179" priority="104" operator="containsText" text="AB">
      <formula>NOT(ISERROR(SEARCH("AB",BE12)))</formula>
    </cfRule>
    <cfRule type="containsText" dxfId="178" priority="103" operator="containsText" text="NL">
      <formula>NOT(ISERROR(SEARCH("NL",BE12)))</formula>
    </cfRule>
    <cfRule type="containsText" dxfId="177" priority="102" operator="containsText" text="SICK">
      <formula>NOT(ISERROR(SEARCH("SICK",BE12)))</formula>
    </cfRule>
    <cfRule type="containsText" dxfId="176" priority="101" operator="containsText" text="AL">
      <formula>NOT(ISERROR(SEARCH("AL",BE12)))</formula>
    </cfRule>
  </conditionalFormatting>
  <conditionalFormatting sqref="BE12:BG12">
    <cfRule type="containsText" dxfId="175" priority="111" operator="containsText" text="AB">
      <formula>NOT(ISERROR(SEARCH("AB",BE12)))</formula>
    </cfRule>
  </conditionalFormatting>
  <conditionalFormatting sqref="BE12:BI12">
    <cfRule type="containsText" dxfId="174" priority="79" operator="containsText" text="AL">
      <formula>NOT(ISERROR(SEARCH("AL",BE12)))</formula>
    </cfRule>
    <cfRule type="containsText" priority="78" operator="containsText" text="FL">
      <formula>NOT(ISERROR(SEARCH("FL",BE12)))</formula>
    </cfRule>
    <cfRule type="containsText" dxfId="173" priority="77" operator="containsText" text="FL">
      <formula>NOT(ISERROR(SEARCH("FL",BE12)))</formula>
    </cfRule>
  </conditionalFormatting>
  <conditionalFormatting sqref="BF4:BG4">
    <cfRule type="dataBar" priority="96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F5:BG6">
    <cfRule type="containsText" dxfId="172" priority="597" operator="containsText" text="AL">
      <formula>NOT(ISERROR(SEARCH("AL",BF5)))</formula>
    </cfRule>
    <cfRule type="containsText" dxfId="171" priority="579" stopIfTrue="1" operator="containsText" text="SICK">
      <formula>NOT(ISERROR(SEARCH("SICK",BF5)))</formula>
    </cfRule>
    <cfRule type="containsText" dxfId="170" priority="577" stopIfTrue="1" operator="containsText" text="AL">
      <formula>NOT(ISERROR(SEARCH("AL",BF5)))</formula>
    </cfRule>
    <cfRule type="containsText" dxfId="169" priority="578" stopIfTrue="1" operator="containsText" text="SP">
      <formula>NOT(ISERROR(SEARCH("SP",BF5)))</formula>
    </cfRule>
    <cfRule type="containsText" dxfId="168" priority="589" stopIfTrue="1" operator="containsText" text="SICK">
      <formula>NOT(ISERROR(SEARCH("SICK",BF5)))</formula>
    </cfRule>
    <cfRule type="containsText" dxfId="167" priority="591" operator="containsText" text="AL">
      <formula>NOT(ISERROR(SEARCH("AL",BF5)))</formula>
    </cfRule>
    <cfRule type="containsText" dxfId="166" priority="593" operator="containsText" text="NL">
      <formula>NOT(ISERROR(SEARCH("NL",BF5)))</formula>
    </cfRule>
    <cfRule type="containsText" dxfId="165" priority="576" operator="containsText" text="AB">
      <formula>NOT(ISERROR(SEARCH("AB",BF5)))</formula>
    </cfRule>
    <cfRule type="containsText" dxfId="164" priority="588" stopIfTrue="1" operator="containsText" text="SP">
      <formula>NOT(ISERROR(SEARCH("SP",BF5)))</formula>
    </cfRule>
    <cfRule type="containsText" dxfId="163" priority="585" operator="containsText" text="AB">
      <formula>NOT(ISERROR(SEARCH("AB",BF5)))</formula>
    </cfRule>
    <cfRule type="containsText" dxfId="162" priority="595" stopIfTrue="1" operator="containsText" text="SP">
      <formula>NOT(ISERROR(SEARCH("SP",BF5)))</formula>
    </cfRule>
    <cfRule type="containsText" dxfId="161" priority="586" operator="containsText" text="SICK">
      <formula>NOT(ISERROR(SEARCH("SICK",BF5)))</formula>
    </cfRule>
    <cfRule type="containsText" dxfId="160" priority="596" stopIfTrue="1" operator="containsText" text="SICK">
      <formula>NOT(ISERROR(SEARCH("SICK",BF5)))</formula>
    </cfRule>
    <cfRule type="containsText" dxfId="159" priority="599" operator="containsText" text="NL">
      <formula>NOT(ISERROR(SEARCH("NL",BF5)))</formula>
    </cfRule>
    <cfRule type="containsText" dxfId="158" priority="592" operator="containsText" text="SICK">
      <formula>NOT(ISERROR(SEARCH("SICK",BF5)))</formula>
    </cfRule>
    <cfRule type="containsText" dxfId="157" priority="587" stopIfTrue="1" operator="containsText" text="AL">
      <formula>NOT(ISERROR(SEARCH("AL",BF5)))</formula>
    </cfRule>
    <cfRule type="containsText" dxfId="156" priority="594" stopIfTrue="1" operator="containsText" text="AL">
      <formula>NOT(ISERROR(SEARCH("AL",BF5)))</formula>
    </cfRule>
  </conditionalFormatting>
  <conditionalFormatting sqref="BF8:BG10">
    <cfRule type="containsText" priority="545" operator="containsText" text="FL">
      <formula>NOT(ISERROR(SEARCH("FL",BF8)))</formula>
    </cfRule>
    <cfRule type="containsText" dxfId="155" priority="544" operator="containsText" text="FL">
      <formula>NOT(ISERROR(SEARCH("FL",BF8)))</formula>
    </cfRule>
    <cfRule type="containsText" dxfId="154" priority="548" operator="containsText" text="SICK">
      <formula>NOT(ISERROR(SEARCH("SICK",BF8)))</formula>
    </cfRule>
    <cfRule type="containsText" dxfId="153" priority="555" stopIfTrue="1" operator="containsText" text="SICK">
      <formula>NOT(ISERROR(SEARCH("SICK",BF8)))</formula>
    </cfRule>
    <cfRule type="containsText" dxfId="152" priority="554" stopIfTrue="1" operator="containsText" text="SP">
      <formula>NOT(ISERROR(SEARCH("SP",BF8)))</formula>
    </cfRule>
    <cfRule type="containsText" dxfId="151" priority="553" stopIfTrue="1" operator="containsText" text="AL">
      <formula>NOT(ISERROR(SEARCH("AL",BF8)))</formula>
    </cfRule>
    <cfRule type="containsText" dxfId="150" priority="552" operator="containsText" text="NL">
      <formula>NOT(ISERROR(SEARCH("NL",BF8)))</formula>
    </cfRule>
    <cfRule type="containsText" dxfId="149" priority="551" operator="containsText" text="SICK">
      <formula>NOT(ISERROR(SEARCH("SICK",BF8)))</formula>
    </cfRule>
    <cfRule type="containsText" dxfId="148" priority="550" operator="containsText" text="AL">
      <formula>NOT(ISERROR(SEARCH("AL",BF8)))</formula>
    </cfRule>
    <cfRule type="containsText" dxfId="147" priority="549" operator="containsText" text="AB">
      <formula>NOT(ISERROR(SEARCH("AB",BF8)))</formula>
    </cfRule>
    <cfRule type="containsText" dxfId="146" priority="547" operator="containsText" text="AB">
      <formula>NOT(ISERROR(SEARCH("AB",BF8)))</formula>
    </cfRule>
    <cfRule type="containsText" dxfId="145" priority="546" operator="containsText" text="AL">
      <formula>NOT(ISERROR(SEARCH("AL",BF8)))</formula>
    </cfRule>
  </conditionalFormatting>
  <conditionalFormatting sqref="BF12:BG12">
    <cfRule type="containsText" dxfId="144" priority="429" stopIfTrue="1" operator="containsText" text="SICK">
      <formula>NOT(ISERROR(SEARCH("SICK",BF12)))</formula>
    </cfRule>
    <cfRule type="containsText" dxfId="143" priority="428" stopIfTrue="1" operator="containsText" text="SP">
      <formula>NOT(ISERROR(SEARCH("SP",BF12)))</formula>
    </cfRule>
    <cfRule type="containsText" dxfId="142" priority="427" stopIfTrue="1" operator="containsText" text="AL">
      <formula>NOT(ISERROR(SEARCH("AL",BF12)))</formula>
    </cfRule>
    <cfRule type="containsText" dxfId="141" priority="426" operator="containsText" text="NL">
      <formula>NOT(ISERROR(SEARCH("NL",BF12)))</formula>
    </cfRule>
    <cfRule type="containsText" dxfId="140" priority="425" operator="containsText" text="SICK">
      <formula>NOT(ISERROR(SEARCH("SICK",BF12)))</formula>
    </cfRule>
    <cfRule type="containsText" dxfId="139" priority="424" operator="containsText" text="AL">
      <formula>NOT(ISERROR(SEARCH("AL",BF12)))</formula>
    </cfRule>
    <cfRule type="containsText" dxfId="138" priority="423" operator="containsText" text="AB">
      <formula>NOT(ISERROR(SEARCH("AB",BF12)))</formula>
    </cfRule>
    <cfRule type="containsText" dxfId="137" priority="422" operator="containsText" text="SICK">
      <formula>NOT(ISERROR(SEARCH("SICK",BF12)))</formula>
    </cfRule>
  </conditionalFormatting>
  <conditionalFormatting sqref="BF17:BG17">
    <cfRule type="containsText" dxfId="136" priority="430" operator="containsText" text="AB">
      <formula>NOT(ISERROR(SEARCH("AB",BF17)))</formula>
    </cfRule>
  </conditionalFormatting>
  <conditionalFormatting sqref="BF19:BG19">
    <cfRule type="containsText" dxfId="135" priority="409" operator="containsText" text="AB">
      <formula>NOT(ISERROR(SEARCH("AB",BF19)))</formula>
    </cfRule>
    <cfRule type="containsText" dxfId="134" priority="417" stopIfTrue="1" operator="containsText" text="SICK">
      <formula>NOT(ISERROR(SEARCH("SICK",BF19)))</formula>
    </cfRule>
    <cfRule type="containsText" dxfId="133" priority="416" stopIfTrue="1" operator="containsText" text="SP">
      <formula>NOT(ISERROR(SEARCH("SP",BF19)))</formula>
    </cfRule>
    <cfRule type="containsText" dxfId="132" priority="415" stopIfTrue="1" operator="containsText" text="AL">
      <formula>NOT(ISERROR(SEARCH("AL",BF19)))</formula>
    </cfRule>
    <cfRule type="containsText" dxfId="131" priority="414" operator="containsText" text="NL">
      <formula>NOT(ISERROR(SEARCH("NL",BF19)))</formula>
    </cfRule>
    <cfRule type="containsText" dxfId="130" priority="412" operator="containsText" text="AL">
      <formula>NOT(ISERROR(SEARCH("AL",BF19)))</formula>
    </cfRule>
    <cfRule type="containsText" dxfId="129" priority="410" operator="containsText" text="SICK">
      <formula>NOT(ISERROR(SEARCH("SICK",BF19)))</formula>
    </cfRule>
  </conditionalFormatting>
  <conditionalFormatting sqref="BF25:BG25">
    <cfRule type="containsText" priority="338" operator="containsText" text="FL">
      <formula>NOT(ISERROR(SEARCH("FL",BF25)))</formula>
    </cfRule>
    <cfRule type="containsText" dxfId="128" priority="347" stopIfTrue="1" operator="containsText" text="SP">
      <formula>NOT(ISERROR(SEARCH("SP",BF25)))</formula>
    </cfRule>
    <cfRule type="containsText" dxfId="127" priority="348" stopIfTrue="1" operator="containsText" text="SICK">
      <formula>NOT(ISERROR(SEARCH("SICK",BF25)))</formula>
    </cfRule>
    <cfRule type="containsText" dxfId="126" priority="342" operator="containsText" text="AB">
      <formula>NOT(ISERROR(SEARCH("AB",BF25)))</formula>
    </cfRule>
    <cfRule type="containsText" dxfId="125" priority="341" operator="containsText" text="SICK">
      <formula>NOT(ISERROR(SEARCH("SICK",BF25)))</formula>
    </cfRule>
    <cfRule type="containsText" dxfId="124" priority="340" operator="containsText" text="AB">
      <formula>NOT(ISERROR(SEARCH("AB",BF25)))</formula>
    </cfRule>
    <cfRule type="containsText" dxfId="123" priority="339" operator="containsText" text="AL">
      <formula>NOT(ISERROR(SEARCH("AL",BF25)))</formula>
    </cfRule>
    <cfRule type="containsText" dxfId="122" priority="343" operator="containsText" text="AL">
      <formula>NOT(ISERROR(SEARCH("AL",BF25)))</formula>
    </cfRule>
    <cfRule type="containsText" dxfId="121" priority="337" operator="containsText" text="FL">
      <formula>NOT(ISERROR(SEARCH("FL",BF25)))</formula>
    </cfRule>
    <cfRule type="containsText" dxfId="120" priority="345" operator="containsText" text="NL">
      <formula>NOT(ISERROR(SEARCH("NL",BF25)))</formula>
    </cfRule>
    <cfRule type="containsText" dxfId="119" priority="346" stopIfTrue="1" operator="containsText" text="AL">
      <formula>NOT(ISERROR(SEARCH("AL",BF25)))</formula>
    </cfRule>
    <cfRule type="containsText" dxfId="118" priority="344" operator="containsText" text="SICK">
      <formula>NOT(ISERROR(SEARCH("SICK",BF25)))</formula>
    </cfRule>
  </conditionalFormatting>
  <conditionalFormatting sqref="BF5:BI6">
    <cfRule type="containsText" dxfId="117" priority="571" stopIfTrue="1" operator="containsText" text="SICK">
      <formula>NOT(ISERROR(SEARCH("SICK",BF5)))</formula>
    </cfRule>
    <cfRule type="containsText" dxfId="116" priority="565" operator="containsText" text="AB">
      <formula>NOT(ISERROR(SEARCH("AB",BF5)))</formula>
    </cfRule>
    <cfRule type="containsText" dxfId="115" priority="570" stopIfTrue="1" operator="containsText" text="SP">
      <formula>NOT(ISERROR(SEARCH("SP",BF5)))</formula>
    </cfRule>
    <cfRule type="containsText" dxfId="114" priority="569" stopIfTrue="1" operator="containsText" text="AL">
      <formula>NOT(ISERROR(SEARCH("AL",BF5)))</formula>
    </cfRule>
  </conditionalFormatting>
  <conditionalFormatting sqref="BG22">
    <cfRule type="containsText" dxfId="113" priority="325" operator="containsText" text="AB">
      <formula>NOT(ISERROR(SEARCH("AB",BG22)))</formula>
    </cfRule>
    <cfRule type="containsText" dxfId="112" priority="324" operator="containsText" text="NL">
      <formula>NOT(ISERROR(SEARCH("NL",BG22)))</formula>
    </cfRule>
    <cfRule type="containsText" dxfId="111" priority="323" operator="containsText" text="SICK">
      <formula>NOT(ISERROR(SEARCH("SICK",BG22)))</formula>
    </cfRule>
    <cfRule type="containsText" dxfId="110" priority="322" operator="containsText" text="AL">
      <formula>NOT(ISERROR(SEARCH("AL",BG22)))</formula>
    </cfRule>
    <cfRule type="containsText" dxfId="109" priority="320" operator="containsText" text="AB">
      <formula>NOT(ISERROR(SEARCH("AB",BG22)))</formula>
    </cfRule>
    <cfRule type="containsText" dxfId="108" priority="319" operator="containsText" text="AL">
      <formula>NOT(ISERROR(SEARCH("AL",BG22)))</formula>
    </cfRule>
    <cfRule type="containsText" priority="318" operator="containsText" text="FL">
      <formula>NOT(ISERROR(SEARCH("FL",BG22)))</formula>
    </cfRule>
    <cfRule type="containsText" dxfId="107" priority="317" operator="containsText" text="FL">
      <formula>NOT(ISERROR(SEARCH("FL",BG22)))</formula>
    </cfRule>
    <cfRule type="containsText" dxfId="106" priority="321" operator="containsText" text="SICK">
      <formula>NOT(ISERROR(SEARCH("SICK",BG22)))</formula>
    </cfRule>
    <cfRule type="containsText" dxfId="105" priority="335" stopIfTrue="1" operator="containsText" text="SICK">
      <formula>NOT(ISERROR(SEARCH("SICK",BG22)))</formula>
    </cfRule>
    <cfRule type="containsText" dxfId="104" priority="334" stopIfTrue="1" operator="containsText" text="SP">
      <formula>NOT(ISERROR(SEARCH("SP",BG22)))</formula>
    </cfRule>
    <cfRule type="containsText" dxfId="103" priority="333" stopIfTrue="1" operator="containsText" text="AL">
      <formula>NOT(ISERROR(SEARCH("AL",BG22)))</formula>
    </cfRule>
    <cfRule type="containsText" dxfId="102" priority="332" operator="containsText" text="AB">
      <formula>NOT(ISERROR(SEARCH("AB",BG22)))</formula>
    </cfRule>
    <cfRule type="containsText" dxfId="101" priority="331" operator="containsText" text="NL">
      <formula>NOT(ISERROR(SEARCH("NL",BG22)))</formula>
    </cfRule>
    <cfRule type="containsText" dxfId="100" priority="330" operator="containsText" text="SICK">
      <formula>NOT(ISERROR(SEARCH("SICK",BG22)))</formula>
    </cfRule>
    <cfRule type="containsText" dxfId="99" priority="329" operator="containsText" text="AL">
      <formula>NOT(ISERROR(SEARCH("AL",BG22)))</formula>
    </cfRule>
    <cfRule type="containsText" dxfId="98" priority="328" stopIfTrue="1" operator="containsText" text="SICK">
      <formula>NOT(ISERROR(SEARCH("SICK",BG22)))</formula>
    </cfRule>
    <cfRule type="containsText" dxfId="97" priority="327" stopIfTrue="1" operator="containsText" text="SP">
      <formula>NOT(ISERROR(SEARCH("SP",BG22)))</formula>
    </cfRule>
    <cfRule type="containsText" dxfId="96" priority="326" stopIfTrue="1" operator="containsText" text="AL">
      <formula>NOT(ISERROR(SEARCH("AL",BG22)))</formula>
    </cfRule>
  </conditionalFormatting>
  <conditionalFormatting sqref="BH4:BI4">
    <cfRule type="dataBar" priority="9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{2230C556-5F3D-44BC-959A-7C247CA0A667}</x14:id>
        </ext>
      </extLst>
    </cfRule>
  </conditionalFormatting>
  <conditionalFormatting sqref="BH5:BI6">
    <cfRule type="containsText" dxfId="95" priority="568" operator="containsText" text="NL">
      <formula>NOT(ISERROR(SEARCH("NL",BH5)))</formula>
    </cfRule>
    <cfRule type="containsText" dxfId="94" priority="560" operator="containsText" text="SICK">
      <formula>NOT(ISERROR(SEARCH("SICK",BH5)))</formula>
    </cfRule>
    <cfRule type="containsText" dxfId="93" priority="559" operator="containsText" text="AB">
      <formula>NOT(ISERROR(SEARCH("AB",BH5)))</formula>
    </cfRule>
    <cfRule type="containsText" dxfId="92" priority="558" operator="containsText" text="AL">
      <formula>NOT(ISERROR(SEARCH("AL",BH5)))</formula>
    </cfRule>
    <cfRule type="containsText" priority="557" operator="containsText" text="FL">
      <formula>NOT(ISERROR(SEARCH("FL",BH5)))</formula>
    </cfRule>
    <cfRule type="containsText" dxfId="91" priority="556" operator="containsText" text="FL">
      <formula>NOT(ISERROR(SEARCH("FL",BH5)))</formula>
    </cfRule>
    <cfRule type="containsText" dxfId="90" priority="567" operator="containsText" text="SICK">
      <formula>NOT(ISERROR(SEARCH("SICK",BH5)))</formula>
    </cfRule>
    <cfRule type="containsText" dxfId="89" priority="566" operator="containsText" text="AL">
      <formula>NOT(ISERROR(SEARCH("AL",BH5)))</formula>
    </cfRule>
    <cfRule type="containsText" dxfId="88" priority="562" operator="containsText" text="AL">
      <formula>NOT(ISERROR(SEARCH("AL",BH5)))</formula>
    </cfRule>
    <cfRule type="containsText" dxfId="87" priority="561" operator="containsText" text="AB">
      <formula>NOT(ISERROR(SEARCH("AB",BH5)))</formula>
    </cfRule>
    <cfRule type="containsText" dxfId="86" priority="563" operator="containsText" text="SICK">
      <formula>NOT(ISERROR(SEARCH("SICK",BH5)))</formula>
    </cfRule>
    <cfRule type="containsText" dxfId="85" priority="564" operator="containsText" text="NL">
      <formula>NOT(ISERROR(SEARCH("NL",BH5)))</formula>
    </cfRule>
  </conditionalFormatting>
  <conditionalFormatting sqref="BH8:BI9">
    <cfRule type="containsText" dxfId="84" priority="543" stopIfTrue="1" operator="containsText" text="SICK">
      <formula>NOT(ISERROR(SEARCH("SICK",BH8)))</formula>
    </cfRule>
    <cfRule type="containsText" dxfId="83" priority="528" operator="containsText" text="FL">
      <formula>NOT(ISERROR(SEARCH("FL",BH8)))</formula>
    </cfRule>
    <cfRule type="containsText" dxfId="82" priority="542" stopIfTrue="1" operator="containsText" text="SP">
      <formula>NOT(ISERROR(SEARCH("SP",BH8)))</formula>
    </cfRule>
    <cfRule type="containsText" priority="529" operator="containsText" text="FL">
      <formula>NOT(ISERROR(SEARCH("FL",BH8)))</formula>
    </cfRule>
    <cfRule type="containsText" dxfId="81" priority="540" operator="containsText" text="NL">
      <formula>NOT(ISERROR(SEARCH("NL",BH8)))</formula>
    </cfRule>
    <cfRule type="containsText" dxfId="80" priority="531" operator="containsText" text="AB">
      <formula>NOT(ISERROR(SEARCH("AB",BH8)))</formula>
    </cfRule>
    <cfRule type="containsText" dxfId="79" priority="539" operator="containsText" text="SICK">
      <formula>NOT(ISERROR(SEARCH("SICK",BH8)))</formula>
    </cfRule>
    <cfRule type="containsText" dxfId="78" priority="538" operator="containsText" text="AL">
      <formula>NOT(ISERROR(SEARCH("AL",BH8)))</formula>
    </cfRule>
    <cfRule type="containsText" dxfId="77" priority="537" operator="containsText" text="AB">
      <formula>NOT(ISERROR(SEARCH("AB",BH8)))</formula>
    </cfRule>
    <cfRule type="containsText" dxfId="76" priority="536" operator="containsText" text="NL">
      <formula>NOT(ISERROR(SEARCH("NL",BH8)))</formula>
    </cfRule>
    <cfRule type="containsText" dxfId="75" priority="534" operator="containsText" text="AL">
      <formula>NOT(ISERROR(SEARCH("AL",BH8)))</formula>
    </cfRule>
    <cfRule type="containsText" dxfId="74" priority="533" operator="containsText" text="AB">
      <formula>NOT(ISERROR(SEARCH("AB",BH8)))</formula>
    </cfRule>
    <cfRule type="containsText" dxfId="73" priority="532" operator="containsText" text="SICK">
      <formula>NOT(ISERROR(SEARCH("SICK",BH8)))</formula>
    </cfRule>
    <cfRule type="containsText" dxfId="72" priority="535" operator="containsText" text="SICK">
      <formula>NOT(ISERROR(SEARCH("SICK",BH8)))</formula>
    </cfRule>
    <cfRule type="containsText" dxfId="71" priority="530" operator="containsText" text="AL">
      <formula>NOT(ISERROR(SEARCH("AL",BH8)))</formula>
    </cfRule>
    <cfRule type="containsText" dxfId="70" priority="541" stopIfTrue="1" operator="containsText" text="AL">
      <formula>NOT(ISERROR(SEARCH("AL",BH8)))</formula>
    </cfRule>
  </conditionalFormatting>
  <conditionalFormatting sqref="BH12:BI12">
    <cfRule type="containsText" dxfId="69" priority="89" operator="containsText" text="AL">
      <formula>NOT(ISERROR(SEARCH("AL",BH12)))</formula>
    </cfRule>
    <cfRule type="containsText" dxfId="68" priority="94" stopIfTrue="1" operator="containsText" text="SP">
      <formula>NOT(ISERROR(SEARCH("SP",BH12)))</formula>
    </cfRule>
    <cfRule type="containsText" dxfId="67" priority="95" stopIfTrue="1" operator="containsText" text="SICK">
      <formula>NOT(ISERROR(SEARCH("SICK",BH12)))</formula>
    </cfRule>
    <cfRule type="containsText" dxfId="66" priority="80" operator="containsText" text="AB">
      <formula>NOT(ISERROR(SEARCH("AB",BH12)))</formula>
    </cfRule>
    <cfRule type="containsText" dxfId="65" priority="82" operator="containsText" text="AL">
      <formula>NOT(ISERROR(SEARCH("AL",BH12)))</formula>
    </cfRule>
    <cfRule type="containsText" dxfId="64" priority="91" operator="containsText" text="NL">
      <formula>NOT(ISERROR(SEARCH("NL",BH12)))</formula>
    </cfRule>
    <cfRule type="containsText" dxfId="63" priority="81" operator="containsText" text="SICK">
      <formula>NOT(ISERROR(SEARCH("SICK",BH12)))</formula>
    </cfRule>
    <cfRule type="containsText" dxfId="62" priority="90" operator="containsText" text="SICK">
      <formula>NOT(ISERROR(SEARCH("SICK",BH12)))</formula>
    </cfRule>
    <cfRule type="containsText" dxfId="61" priority="92" operator="containsText" text="AB">
      <formula>NOT(ISERROR(SEARCH("AB",BH12)))</formula>
    </cfRule>
    <cfRule type="containsText" dxfId="60" priority="93" stopIfTrue="1" operator="containsText" text="AL">
      <formula>NOT(ISERROR(SEARCH("AL",BH12)))</formula>
    </cfRule>
    <cfRule type="containsText" dxfId="59" priority="88" stopIfTrue="1" operator="containsText" text="SICK">
      <formula>NOT(ISERROR(SEARCH("SICK",BH12)))</formula>
    </cfRule>
    <cfRule type="containsText" dxfId="58" priority="87" stopIfTrue="1" operator="containsText" text="SP">
      <formula>NOT(ISERROR(SEARCH("SP",BH12)))</formula>
    </cfRule>
    <cfRule type="containsText" dxfId="57" priority="86" stopIfTrue="1" operator="containsText" text="AL">
      <formula>NOT(ISERROR(SEARCH("AL",BH12)))</formula>
    </cfRule>
    <cfRule type="containsText" dxfId="56" priority="85" operator="containsText" text="AB">
      <formula>NOT(ISERROR(SEARCH("AB",BH12)))</formula>
    </cfRule>
    <cfRule type="containsText" dxfId="55" priority="84" operator="containsText" text="NL">
      <formula>NOT(ISERROR(SEARCH("NL",BH12)))</formula>
    </cfRule>
    <cfRule type="containsText" dxfId="54" priority="83" operator="containsText" text="SICK">
      <formula>NOT(ISERROR(SEARCH("SICK",BH12)))</formula>
    </cfRule>
  </conditionalFormatting>
  <conditionalFormatting sqref="BH19:BI19">
    <cfRule type="containsText" dxfId="53" priority="488" stopIfTrue="1" operator="containsText" text="SICK">
      <formula>NOT(ISERROR(SEARCH("SICK",BH19)))</formula>
    </cfRule>
    <cfRule type="containsText" dxfId="52" priority="480" stopIfTrue="1" operator="containsText" text="SP">
      <formula>NOT(ISERROR(SEARCH("SP",BH19)))</formula>
    </cfRule>
    <cfRule type="containsText" dxfId="51" priority="479" stopIfTrue="1" operator="containsText" text="AL">
      <formula>NOT(ISERROR(SEARCH("AL",BH19)))</formula>
    </cfRule>
    <cfRule type="containsText" dxfId="50" priority="476" operator="containsText" text="SICK">
      <formula>NOT(ISERROR(SEARCH("SICK",BH19)))</formula>
    </cfRule>
    <cfRule type="containsText" dxfId="49" priority="475" operator="containsText" text="AL">
      <formula>NOT(ISERROR(SEARCH("AL",BH19)))</formula>
    </cfRule>
    <cfRule type="containsText" dxfId="48" priority="477" operator="containsText" text="NL">
      <formula>NOT(ISERROR(SEARCH("NL",BH19)))</formula>
    </cfRule>
    <cfRule type="containsText" dxfId="47" priority="482" operator="containsText" text="AL">
      <formula>NOT(ISERROR(SEARCH("AL",BH19)))</formula>
    </cfRule>
    <cfRule type="containsText" dxfId="46" priority="481" stopIfTrue="1" operator="containsText" text="SICK">
      <formula>NOT(ISERROR(SEARCH("SICK",BH19)))</formula>
    </cfRule>
    <cfRule type="containsText" dxfId="45" priority="483" operator="containsText" text="SICK">
      <formula>NOT(ISERROR(SEARCH("SICK",BH19)))</formula>
    </cfRule>
    <cfRule type="containsText" dxfId="44" priority="478" operator="containsText" text="AB">
      <formula>NOT(ISERROR(SEARCH("AB",BH19)))</formula>
    </cfRule>
    <cfRule type="containsText" dxfId="43" priority="484" operator="containsText" text="NL">
      <formula>NOT(ISERROR(SEARCH("NL",BH19)))</formula>
    </cfRule>
    <cfRule type="containsText" dxfId="42" priority="485" operator="containsText" text="AB">
      <formula>NOT(ISERROR(SEARCH("AB",BH19)))</formula>
    </cfRule>
    <cfRule type="containsText" dxfId="41" priority="486" stopIfTrue="1" operator="containsText" text="AL">
      <formula>NOT(ISERROR(SEARCH("AL",BH19)))</formula>
    </cfRule>
    <cfRule type="containsText" dxfId="40" priority="487" stopIfTrue="1" operator="containsText" text="SP">
      <formula>NOT(ISERROR(SEARCH("SP",BH19)))</formula>
    </cfRule>
  </conditionalFormatting>
  <conditionalFormatting sqref="BH35:BI35 BF58:BI58">
    <cfRule type="containsText" dxfId="39" priority="9087" stopIfTrue="1" operator="containsText" text="SP">
      <formula>NOT(ISERROR(SEARCH("SP",BF35)))</formula>
    </cfRule>
    <cfRule type="containsText" dxfId="38" priority="9088" stopIfTrue="1" operator="containsText" text="SICK">
      <formula>NOT(ISERROR(SEARCH("SICK",BF35)))</formula>
    </cfRule>
    <cfRule type="containsText" dxfId="37" priority="9086" stopIfTrue="1" operator="containsText" text="AL">
      <formula>NOT(ISERROR(SEARCH("AL",BF35)))</formula>
    </cfRule>
  </conditionalFormatting>
  <conditionalFormatting sqref="BI20">
    <cfRule type="containsText" dxfId="36" priority="36" stopIfTrue="1" operator="containsText" text="AL">
      <formula>NOT(ISERROR(SEARCH("AL",BI20)))</formula>
    </cfRule>
    <cfRule type="containsText" dxfId="35" priority="27" operator="containsText" text="NL">
      <formula>NOT(ISERROR(SEARCH("NL",BI20)))</formula>
    </cfRule>
    <cfRule type="containsText" dxfId="34" priority="26" operator="containsText" text="SICK">
      <formula>NOT(ISERROR(SEARCH("SICK",BI20)))</formula>
    </cfRule>
    <cfRule type="containsText" dxfId="33" priority="25" operator="containsText" text="AL">
      <formula>NOT(ISERROR(SEARCH("AL",BI20)))</formula>
    </cfRule>
    <cfRule type="containsText" dxfId="32" priority="24" operator="containsText" text="SICK">
      <formula>NOT(ISERROR(SEARCH("SICK",BI20)))</formula>
    </cfRule>
    <cfRule type="containsText" dxfId="31" priority="23" operator="containsText" text="AB">
      <formula>NOT(ISERROR(SEARCH("AB",BI20)))</formula>
    </cfRule>
    <cfRule type="containsText" dxfId="30" priority="22" operator="containsText" text="AL">
      <formula>NOT(ISERROR(SEARCH("AL",BI20)))</formula>
    </cfRule>
    <cfRule type="containsText" priority="21" operator="containsText" text="FL">
      <formula>NOT(ISERROR(SEARCH("FL",BI20)))</formula>
    </cfRule>
    <cfRule type="containsText" dxfId="29" priority="20" operator="containsText" text="FL">
      <formula>NOT(ISERROR(SEARCH("FL",BI20)))</formula>
    </cfRule>
    <cfRule type="containsText" dxfId="28" priority="28" operator="containsText" text="AB">
      <formula>NOT(ISERROR(SEARCH("AB",BI20)))</formula>
    </cfRule>
    <cfRule type="containsText" dxfId="27" priority="37" stopIfTrue="1" operator="containsText" text="SP">
      <formula>NOT(ISERROR(SEARCH("SP",BI20)))</formula>
    </cfRule>
    <cfRule type="containsText" dxfId="26" priority="38" stopIfTrue="1" operator="containsText" text="SICK">
      <formula>NOT(ISERROR(SEARCH("SICK",BI20)))</formula>
    </cfRule>
    <cfRule type="containsText" dxfId="25" priority="35" operator="containsText" text="AB">
      <formula>NOT(ISERROR(SEARCH("AB",BI20)))</formula>
    </cfRule>
    <cfRule type="containsText" dxfId="24" priority="34" operator="containsText" text="NL">
      <formula>NOT(ISERROR(SEARCH("NL",BI20)))</formula>
    </cfRule>
    <cfRule type="containsText" dxfId="23" priority="33" operator="containsText" text="SICK">
      <formula>NOT(ISERROR(SEARCH("SICK",BI20)))</formula>
    </cfRule>
    <cfRule type="containsText" dxfId="22" priority="32" operator="containsText" text="AL">
      <formula>NOT(ISERROR(SEARCH("AL",BI20)))</formula>
    </cfRule>
    <cfRule type="containsText" dxfId="21" priority="31" stopIfTrue="1" operator="containsText" text="SICK">
      <formula>NOT(ISERROR(SEARCH("SICK",BI20)))</formula>
    </cfRule>
    <cfRule type="containsText" dxfId="20" priority="30" stopIfTrue="1" operator="containsText" text="SP">
      <formula>NOT(ISERROR(SEARCH("SP",BI20)))</formula>
    </cfRule>
    <cfRule type="containsText" dxfId="19" priority="29" stopIfTrue="1" operator="containsText" text="AL">
      <formula>NOT(ISERROR(SEARCH("AL",BI20)))</formula>
    </cfRule>
  </conditionalFormatting>
  <conditionalFormatting sqref="BI23">
    <cfRule type="containsText" dxfId="18" priority="19" stopIfTrue="1" operator="containsText" text="SICK">
      <formula>NOT(ISERROR(SEARCH("SICK",BI23)))</formula>
    </cfRule>
    <cfRule type="containsText" dxfId="17" priority="15" operator="containsText" text="NL">
      <formula>NOT(ISERROR(SEARCH("NL",BI23)))</formula>
    </cfRule>
    <cfRule type="containsText" dxfId="16" priority="18" stopIfTrue="1" operator="containsText" text="SP">
      <formula>NOT(ISERROR(SEARCH("SP",BI23)))</formula>
    </cfRule>
    <cfRule type="containsText" dxfId="15" priority="17" stopIfTrue="1" operator="containsText" text="AL">
      <formula>NOT(ISERROR(SEARCH("AL",BI23)))</formula>
    </cfRule>
    <cfRule type="containsText" dxfId="14" priority="16" operator="containsText" text="AB">
      <formula>NOT(ISERROR(SEARCH("AB",BI23)))</formula>
    </cfRule>
    <cfRule type="containsText" dxfId="13" priority="14" operator="containsText" text="SICK">
      <formula>NOT(ISERROR(SEARCH("SICK",BI23)))</formula>
    </cfRule>
    <cfRule type="containsText" priority="2" operator="containsText" text="FL">
      <formula>NOT(ISERROR(SEARCH("FL",BI23)))</formula>
    </cfRule>
    <cfRule type="containsText" dxfId="12" priority="1" operator="containsText" text="FL">
      <formula>NOT(ISERROR(SEARCH("FL",BI23)))</formula>
    </cfRule>
    <cfRule type="containsText" dxfId="11" priority="13" operator="containsText" text="AL">
      <formula>NOT(ISERROR(SEARCH("AL",BI23)))</formula>
    </cfRule>
    <cfRule type="containsText" dxfId="10" priority="11" stopIfTrue="1" operator="containsText" text="SP">
      <formula>NOT(ISERROR(SEARCH("SP",BI23)))</formula>
    </cfRule>
    <cfRule type="containsText" dxfId="9" priority="12" stopIfTrue="1" operator="containsText" text="SICK">
      <formula>NOT(ISERROR(SEARCH("SICK",BI23)))</formula>
    </cfRule>
    <cfRule type="containsText" dxfId="8" priority="6" operator="containsText" text="AL">
      <formula>NOT(ISERROR(SEARCH("AL",BI23)))</formula>
    </cfRule>
    <cfRule type="containsText" dxfId="7" priority="3" operator="containsText" text="AL">
      <formula>NOT(ISERROR(SEARCH("AL",BI23)))</formula>
    </cfRule>
    <cfRule type="containsText" dxfId="6" priority="4" operator="containsText" text="AB">
      <formula>NOT(ISERROR(SEARCH("AB",BI23)))</formula>
    </cfRule>
    <cfRule type="containsText" dxfId="5" priority="9" operator="containsText" text="AB">
      <formula>NOT(ISERROR(SEARCH("AB",BI23)))</formula>
    </cfRule>
    <cfRule type="containsText" dxfId="4" priority="5" operator="containsText" text="SICK">
      <formula>NOT(ISERROR(SEARCH("SICK",BI23)))</formula>
    </cfRule>
    <cfRule type="containsText" dxfId="3" priority="8" operator="containsText" text="NL">
      <formula>NOT(ISERROR(SEARCH("NL",BI23)))</formula>
    </cfRule>
    <cfRule type="containsText" dxfId="2" priority="7" operator="containsText" text="SICK">
      <formula>NOT(ISERROR(SEARCH("SICK",BI23)))</formula>
    </cfRule>
    <cfRule type="containsText" dxfId="1" priority="10" stopIfTrue="1" operator="containsText" text="AL">
      <formula>NOT(ISERROR(SEARCH("AL",BI23)))</formula>
    </cfRule>
  </conditionalFormatting>
  <conditionalFormatting sqref="BK5:BK31 BK35 BK57:BK59">
    <cfRule type="cellIs" dxfId="0" priority="9629" operator="equal">
      <formula>";"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D4:AG4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AJ4:AK4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AL4:AM4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AN4:AO4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AP4:AQ4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AR4:AS4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AT4:AU4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AV4:AW4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AX4:AY4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AZ4:BA4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BB4:BC4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BD4:BE4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BF4:BG4</xm:sqref>
        </x14:conditionalFormatting>
        <x14:conditionalFormatting xmlns:xm="http://schemas.microsoft.com/office/excel/2006/main">
          <x14:cfRule type="dataBar" id="{2230C556-5F3D-44BC-959A-7C247CA0A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BH4:BI4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2026-03-01T17:18:08Z</cp:lastPrinted>
  <dcterms:created xsi:type="dcterms:W3CDTF">2025-11-01T09:49:58Z</dcterms:created>
  <dcterms:modified xsi:type="dcterms:W3CDTF">2026-10-30T09:03:30Z</dcterms:modified>
</cp:coreProperties>
</file>