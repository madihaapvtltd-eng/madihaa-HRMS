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october\"/>
    </mc:Choice>
  </mc:AlternateContent>
  <xr:revisionPtr revIDLastSave="0" documentId="13_ncr:1_{C5D935FC-DDD5-4818-91C4-0F9D585A3E94}" xr6:coauthVersionLast="47" xr6:coauthVersionMax="47" xr10:uidLastSave="{00000000-0000-0000-0000-000000000000}"/>
  <bookViews>
    <workbookView xWindow="-120" yWindow="-120" windowWidth="29040" windowHeight="15840" xr2:uid="{F40E51D0-06DA-454F-A274-231ADDE8369D}"/>
  </bookViews>
  <sheets>
    <sheet name="MASTER" sheetId="7" r:id="rId1"/>
    <sheet name="James" sheetId="10" r:id="rId2"/>
    <sheet name="Tarik Ahmed" sheetId="11" r:id="rId3"/>
  </sheets>
  <externalReferences>
    <externalReference r:id="rId4"/>
  </externalReferences>
  <definedNames>
    <definedName name="_xlnm._FilterDatabase" localSheetId="1" hidden="1">James!#REF!</definedName>
    <definedName name="_xlnm._FilterDatabase" localSheetId="0" hidden="1">MASTER!$CH$4:$CR$4</definedName>
    <definedName name="_xlnm._FilterDatabase" localSheetId="2" hidden="1">'Tarik Ahmed'!#REF!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5" i="11" l="1"/>
  <c r="AV5" i="11"/>
  <c r="AU5" i="11"/>
  <c r="AT5" i="11"/>
  <c r="AS5" i="11"/>
  <c r="AR5" i="11"/>
  <c r="AQ5" i="11"/>
  <c r="AP5" i="11"/>
  <c r="AO5" i="11"/>
  <c r="AN5" i="11"/>
  <c r="AM5" i="11"/>
  <c r="AL5" i="11"/>
  <c r="AI5" i="11" l="1"/>
  <c r="BS19" i="7"/>
  <c r="BS20" i="7"/>
  <c r="BS21" i="7"/>
  <c r="BS22" i="7"/>
  <c r="BS23" i="7"/>
  <c r="BS24" i="7"/>
  <c r="BS25" i="7"/>
  <c r="BS26" i="7"/>
  <c r="BS27" i="7"/>
  <c r="BS28" i="7"/>
  <c r="BS29" i="7"/>
  <c r="BS30" i="7"/>
  <c r="BS31" i="7"/>
  <c r="BS32" i="7"/>
  <c r="BS33" i="7"/>
  <c r="BS34" i="7"/>
  <c r="BS35" i="7"/>
  <c r="BS36" i="7"/>
  <c r="BS37" i="7"/>
  <c r="BS60" i="7"/>
  <c r="BS18" i="7"/>
  <c r="BS6" i="7"/>
  <c r="BS7" i="7"/>
  <c r="BS8" i="7"/>
  <c r="BS9" i="7"/>
  <c r="BS10" i="7"/>
  <c r="BS11" i="7"/>
  <c r="BS12" i="7"/>
  <c r="BS5" i="7"/>
  <c r="BT6" i="7"/>
  <c r="BU6" i="7"/>
  <c r="BV6" i="7"/>
  <c r="BW6" i="7"/>
  <c r="BX6" i="7"/>
  <c r="BY6" i="7"/>
  <c r="BZ6" i="7"/>
  <c r="CA6" i="7"/>
  <c r="CB6" i="7"/>
  <c r="CC6" i="7"/>
  <c r="CD6" i="7"/>
  <c r="BT7" i="7"/>
  <c r="BU7" i="7"/>
  <c r="BV7" i="7"/>
  <c r="BW7" i="7"/>
  <c r="BX7" i="7"/>
  <c r="BY7" i="7"/>
  <c r="BZ7" i="7"/>
  <c r="CA7" i="7"/>
  <c r="CB7" i="7"/>
  <c r="CC7" i="7"/>
  <c r="CD7" i="7"/>
  <c r="BT8" i="7"/>
  <c r="BU8" i="7"/>
  <c r="BV8" i="7"/>
  <c r="BW8" i="7"/>
  <c r="BX8" i="7"/>
  <c r="BY8" i="7"/>
  <c r="BZ8" i="7"/>
  <c r="CA8" i="7"/>
  <c r="CB8" i="7"/>
  <c r="CC8" i="7"/>
  <c r="CD8" i="7"/>
  <c r="BT9" i="7"/>
  <c r="BU9" i="7"/>
  <c r="BV9" i="7"/>
  <c r="BW9" i="7"/>
  <c r="BX9" i="7"/>
  <c r="BY9" i="7"/>
  <c r="BZ9" i="7"/>
  <c r="CA9" i="7"/>
  <c r="CB9" i="7"/>
  <c r="CC9" i="7"/>
  <c r="CD9" i="7"/>
  <c r="BT11" i="7"/>
  <c r="BU11" i="7"/>
  <c r="BV11" i="7"/>
  <c r="BW11" i="7"/>
  <c r="BX11" i="7"/>
  <c r="BY11" i="7"/>
  <c r="BZ11" i="7"/>
  <c r="CA11" i="7"/>
  <c r="CB11" i="7"/>
  <c r="CC11" i="7"/>
  <c r="CD11" i="7"/>
  <c r="BT12" i="7"/>
  <c r="BU12" i="7"/>
  <c r="BV12" i="7"/>
  <c r="BW12" i="7"/>
  <c r="BX12" i="7"/>
  <c r="BY12" i="7"/>
  <c r="BZ12" i="7"/>
  <c r="CA12" i="7"/>
  <c r="CB12" i="7"/>
  <c r="CC12" i="7"/>
  <c r="CD12" i="7"/>
  <c r="BS55" i="7"/>
  <c r="BJ5" i="10"/>
  <c r="AV5" i="10"/>
  <c r="AU5" i="10"/>
  <c r="AT5" i="10"/>
  <c r="AS5" i="10"/>
  <c r="AR5" i="10"/>
  <c r="AQ5" i="10"/>
  <c r="AP5" i="10"/>
  <c r="AO5" i="10"/>
  <c r="AN5" i="10"/>
  <c r="AM5" i="10"/>
  <c r="AL5" i="10"/>
  <c r="CD21" i="7"/>
  <c r="CC21" i="7"/>
  <c r="CB21" i="7"/>
  <c r="CA21" i="7"/>
  <c r="BZ21" i="7"/>
  <c r="BY21" i="7"/>
  <c r="BX21" i="7"/>
  <c r="BW21" i="7"/>
  <c r="BV21" i="7"/>
  <c r="BU21" i="7"/>
  <c r="BT21" i="7"/>
  <c r="CB56" i="7"/>
  <c r="BS56" i="7"/>
  <c r="BQ12" i="7" l="1"/>
  <c r="BQ7" i="7"/>
  <c r="BQ9" i="7"/>
  <c r="BQ11" i="7"/>
  <c r="BQ8" i="7"/>
  <c r="BQ6" i="7"/>
  <c r="AI5" i="10"/>
  <c r="BQ21" i="7"/>
  <c r="BT60" i="7"/>
  <c r="BU60" i="7"/>
  <c r="BV60" i="7"/>
  <c r="BW60" i="7"/>
  <c r="BX60" i="7"/>
  <c r="BY60" i="7"/>
  <c r="BZ60" i="7"/>
  <c r="CA60" i="7"/>
  <c r="CB60" i="7"/>
  <c r="CC60" i="7"/>
  <c r="CD60" i="7"/>
  <c r="BT56" i="7"/>
  <c r="BU56" i="7"/>
  <c r="BV56" i="7"/>
  <c r="BW56" i="7"/>
  <c r="BX56" i="7"/>
  <c r="BY56" i="7"/>
  <c r="BZ56" i="7"/>
  <c r="CA56" i="7"/>
  <c r="CC56" i="7"/>
  <c r="CD56" i="7"/>
  <c r="CR60" i="7"/>
  <c r="CR56" i="7"/>
  <c r="CR24" i="7"/>
  <c r="CD24" i="7"/>
  <c r="CC24" i="7"/>
  <c r="CB24" i="7"/>
  <c r="CA24" i="7"/>
  <c r="BZ24" i="7"/>
  <c r="BY24" i="7"/>
  <c r="BX24" i="7"/>
  <c r="BW24" i="7"/>
  <c r="BV24" i="7"/>
  <c r="BU24" i="7"/>
  <c r="BT24" i="7"/>
  <c r="CR22" i="7"/>
  <c r="CD22" i="7"/>
  <c r="CC22" i="7"/>
  <c r="CB22" i="7"/>
  <c r="CA22" i="7"/>
  <c r="BZ22" i="7"/>
  <c r="BY22" i="7"/>
  <c r="BX22" i="7"/>
  <c r="BW22" i="7"/>
  <c r="BV22" i="7"/>
  <c r="BU22" i="7"/>
  <c r="BT22" i="7"/>
  <c r="CR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CR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CR37" i="7"/>
  <c r="CD37" i="7"/>
  <c r="CC37" i="7"/>
  <c r="CB37" i="7"/>
  <c r="CA37" i="7"/>
  <c r="BZ37" i="7"/>
  <c r="BY37" i="7"/>
  <c r="BX37" i="7"/>
  <c r="BW37" i="7"/>
  <c r="BV37" i="7"/>
  <c r="BU37" i="7"/>
  <c r="BT37" i="7"/>
  <c r="CR36" i="7"/>
  <c r="CD36" i="7"/>
  <c r="CC36" i="7"/>
  <c r="CB36" i="7"/>
  <c r="CA36" i="7"/>
  <c r="BZ36" i="7"/>
  <c r="BY36" i="7"/>
  <c r="BX36" i="7"/>
  <c r="BW36" i="7"/>
  <c r="BV36" i="7"/>
  <c r="BU36" i="7"/>
  <c r="BT36" i="7"/>
  <c r="CR35" i="7"/>
  <c r="CD35" i="7"/>
  <c r="CC35" i="7"/>
  <c r="CB35" i="7"/>
  <c r="CA35" i="7"/>
  <c r="BZ35" i="7"/>
  <c r="BY35" i="7"/>
  <c r="BX35" i="7"/>
  <c r="BW35" i="7"/>
  <c r="BV35" i="7"/>
  <c r="BU35" i="7"/>
  <c r="BT35" i="7"/>
  <c r="CR34" i="7"/>
  <c r="CD34" i="7"/>
  <c r="CC34" i="7"/>
  <c r="CB34" i="7"/>
  <c r="CA34" i="7"/>
  <c r="BZ34" i="7"/>
  <c r="BY34" i="7"/>
  <c r="BX34" i="7"/>
  <c r="BW34" i="7"/>
  <c r="BV34" i="7"/>
  <c r="BU34" i="7"/>
  <c r="BT34" i="7"/>
  <c r="CR33" i="7"/>
  <c r="CD33" i="7"/>
  <c r="CC33" i="7"/>
  <c r="CB33" i="7"/>
  <c r="CA33" i="7"/>
  <c r="BZ33" i="7"/>
  <c r="BY33" i="7"/>
  <c r="BX33" i="7"/>
  <c r="BW33" i="7"/>
  <c r="BV33" i="7"/>
  <c r="BU33" i="7"/>
  <c r="BT33" i="7"/>
  <c r="CR32" i="7"/>
  <c r="CD32" i="7"/>
  <c r="CC32" i="7"/>
  <c r="CB32" i="7"/>
  <c r="CA32" i="7"/>
  <c r="BZ32" i="7"/>
  <c r="BY32" i="7"/>
  <c r="BX32" i="7"/>
  <c r="BW32" i="7"/>
  <c r="BV32" i="7"/>
  <c r="BU32" i="7"/>
  <c r="BT32" i="7"/>
  <c r="CR31" i="7"/>
  <c r="CD31" i="7"/>
  <c r="CC31" i="7"/>
  <c r="CB31" i="7"/>
  <c r="CA31" i="7"/>
  <c r="BZ31" i="7"/>
  <c r="BY31" i="7"/>
  <c r="BX31" i="7"/>
  <c r="BW31" i="7"/>
  <c r="BV31" i="7"/>
  <c r="BU31" i="7"/>
  <c r="BT31" i="7"/>
  <c r="CR30" i="7"/>
  <c r="CD30" i="7"/>
  <c r="CC30" i="7"/>
  <c r="CB30" i="7"/>
  <c r="CA30" i="7"/>
  <c r="BZ30" i="7"/>
  <c r="BY30" i="7"/>
  <c r="BX30" i="7"/>
  <c r="BW30" i="7"/>
  <c r="BV30" i="7"/>
  <c r="BU30" i="7"/>
  <c r="BT30" i="7"/>
  <c r="CR29" i="7"/>
  <c r="CD29" i="7"/>
  <c r="CC29" i="7"/>
  <c r="CB29" i="7"/>
  <c r="CA29" i="7"/>
  <c r="BZ29" i="7"/>
  <c r="BY29" i="7"/>
  <c r="BX29" i="7"/>
  <c r="BW29" i="7"/>
  <c r="BV29" i="7"/>
  <c r="BU29" i="7"/>
  <c r="BT29" i="7"/>
  <c r="CR28" i="7"/>
  <c r="CD28" i="7"/>
  <c r="CC28" i="7"/>
  <c r="CB28" i="7"/>
  <c r="CA28" i="7"/>
  <c r="BZ28" i="7"/>
  <c r="BY28" i="7"/>
  <c r="BX28" i="7"/>
  <c r="BW28" i="7"/>
  <c r="BV28" i="7"/>
  <c r="BU28" i="7"/>
  <c r="BT28" i="7"/>
  <c r="CR27" i="7"/>
  <c r="CD27" i="7"/>
  <c r="CC27" i="7"/>
  <c r="CB27" i="7"/>
  <c r="CA27" i="7"/>
  <c r="BZ27" i="7"/>
  <c r="BY27" i="7"/>
  <c r="BX27" i="7"/>
  <c r="BW27" i="7"/>
  <c r="BV27" i="7"/>
  <c r="BU27" i="7"/>
  <c r="BT27" i="7"/>
  <c r="CR26" i="7"/>
  <c r="CD26" i="7"/>
  <c r="CC26" i="7"/>
  <c r="CB26" i="7"/>
  <c r="CA26" i="7"/>
  <c r="BZ26" i="7"/>
  <c r="BY26" i="7"/>
  <c r="BX26" i="7"/>
  <c r="BW26" i="7"/>
  <c r="BV26" i="7"/>
  <c r="BU26" i="7"/>
  <c r="BT26" i="7"/>
  <c r="CR25" i="7"/>
  <c r="CD25" i="7"/>
  <c r="CC25" i="7"/>
  <c r="CB25" i="7"/>
  <c r="CA25" i="7"/>
  <c r="BZ25" i="7"/>
  <c r="BY25" i="7"/>
  <c r="BX25" i="7"/>
  <c r="BW25" i="7"/>
  <c r="BV25" i="7"/>
  <c r="BU25" i="7"/>
  <c r="BT25" i="7"/>
  <c r="CR23" i="7"/>
  <c r="CD23" i="7"/>
  <c r="CC23" i="7"/>
  <c r="CB23" i="7"/>
  <c r="CA23" i="7"/>
  <c r="BZ23" i="7"/>
  <c r="BY23" i="7"/>
  <c r="BX23" i="7"/>
  <c r="BW23" i="7"/>
  <c r="BV23" i="7"/>
  <c r="BU23" i="7"/>
  <c r="BT23" i="7"/>
  <c r="CR20" i="7"/>
  <c r="CD20" i="7"/>
  <c r="CC20" i="7"/>
  <c r="CB20" i="7"/>
  <c r="CA20" i="7"/>
  <c r="BZ20" i="7"/>
  <c r="BY20" i="7"/>
  <c r="BX20" i="7"/>
  <c r="BW20" i="7"/>
  <c r="BV20" i="7"/>
  <c r="BU20" i="7"/>
  <c r="BT20" i="7"/>
  <c r="CR19" i="7"/>
  <c r="CD19" i="7"/>
  <c r="CC19" i="7"/>
  <c r="CB19" i="7"/>
  <c r="CA19" i="7"/>
  <c r="BZ19" i="7"/>
  <c r="BY19" i="7"/>
  <c r="BX19" i="7"/>
  <c r="BW19" i="7"/>
  <c r="BV19" i="7"/>
  <c r="BU19" i="7"/>
  <c r="BT19" i="7"/>
  <c r="CR18" i="7"/>
  <c r="CD18" i="7"/>
  <c r="CC18" i="7"/>
  <c r="CB18" i="7"/>
  <c r="CA18" i="7"/>
  <c r="BZ18" i="7"/>
  <c r="BY18" i="7"/>
  <c r="BX18" i="7"/>
  <c r="BW18" i="7"/>
  <c r="BV18" i="7"/>
  <c r="BU18" i="7"/>
  <c r="BT18" i="7"/>
  <c r="CR11" i="7"/>
  <c r="CR55" i="7"/>
  <c r="B55" i="7"/>
  <c r="CR10" i="7"/>
  <c r="B10" i="7"/>
  <c r="CR9" i="7"/>
  <c r="CR8" i="7"/>
  <c r="CR7" i="7"/>
  <c r="CR6" i="7"/>
  <c r="CR5" i="7"/>
  <c r="CD5" i="7"/>
  <c r="CC5" i="7"/>
  <c r="CB5" i="7"/>
  <c r="CA5" i="7"/>
  <c r="BZ5" i="7"/>
  <c r="BY5" i="7"/>
  <c r="BX5" i="7"/>
  <c r="BW5" i="7"/>
  <c r="BV5" i="7"/>
  <c r="BU5" i="7"/>
  <c r="BT5" i="7"/>
  <c r="BV55" i="7" l="1"/>
  <c r="BZ55" i="7"/>
  <c r="CD55" i="7"/>
  <c r="BY55" i="7"/>
  <c r="BW55" i="7"/>
  <c r="CA55" i="7"/>
  <c r="BU55" i="7"/>
  <c r="BT55" i="7"/>
  <c r="BX55" i="7"/>
  <c r="CB55" i="7"/>
  <c r="CC55" i="7"/>
  <c r="BU10" i="7"/>
  <c r="BY10" i="7"/>
  <c r="CC10" i="7"/>
  <c r="BT10" i="7"/>
  <c r="BX10" i="7"/>
  <c r="BV10" i="7"/>
  <c r="BZ10" i="7"/>
  <c r="CD10" i="7"/>
  <c r="BW10" i="7"/>
  <c r="CA10" i="7"/>
  <c r="CB10" i="7"/>
  <c r="BQ60" i="7"/>
  <c r="BQ56" i="7"/>
  <c r="BQ28" i="7"/>
  <c r="BQ23" i="7"/>
  <c r="BQ58" i="7"/>
  <c r="BQ34" i="7"/>
  <c r="BQ20" i="7"/>
  <c r="BQ27" i="7"/>
  <c r="BQ31" i="7"/>
  <c r="BQ35" i="7"/>
  <c r="BQ59" i="7"/>
  <c r="BQ19" i="7"/>
  <c r="BQ26" i="7"/>
  <c r="BQ30" i="7"/>
  <c r="BQ32" i="7"/>
  <c r="BQ36" i="7"/>
  <c r="BQ22" i="7"/>
  <c r="BQ18" i="7"/>
  <c r="BQ25" i="7"/>
  <c r="BQ29" i="7"/>
  <c r="BQ33" i="7"/>
  <c r="BQ37" i="7"/>
  <c r="BQ24" i="7"/>
  <c r="BQ5" i="7"/>
  <c r="BQ10" i="7" l="1"/>
  <c r="BQ55" i="7"/>
</calcChain>
</file>

<file path=xl/sharedStrings.xml><?xml version="1.0" encoding="utf-8"?>
<sst xmlns="http://schemas.openxmlformats.org/spreadsheetml/2006/main" count="719" uniqueCount="132">
  <si>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</si>
  <si>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</si>
  <si>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</si>
  <si>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</si>
  <si>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</si>
  <si>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</si>
  <si>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</si>
  <si>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</si>
  <si>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</si>
  <si>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</si>
  <si>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</si>
  <si>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</si>
  <si>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</si>
  <si>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</si>
  <si>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</si>
  <si>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</si>
  <si>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</si>
  <si>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</si>
  <si>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</si>
  <si>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</si>
  <si>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</si>
  <si>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</si>
  <si>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</si>
  <si>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</si>
  <si>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</si>
  <si>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</si>
  <si>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</si>
  <si>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</si>
  <si>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</si>
  <si>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</si>
  <si>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</si>
  <si>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</si>
  <si>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</si>
  <si>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</si>
  <si>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</si>
  <si>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</si>
  <si>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</si>
  <si>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</si>
  <si>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</si>
  <si>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</si>
  <si>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</si>
  <si>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</si>
  <si>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</si>
  <si>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</si>
  <si>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</si>
  <si>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</si>
  <si>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MAD0627</t>
  </si>
  <si>
    <t>Manirul Laskar</t>
  </si>
  <si>
    <t>MAD0658</t>
  </si>
  <si>
    <t>Javed Alam</t>
  </si>
  <si>
    <t>MAD0671</t>
  </si>
  <si>
    <t>Najare Alam Ansari</t>
  </si>
  <si>
    <t>MAD0685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</si>
  <si>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</si>
  <si>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</si>
  <si>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</si>
  <si>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</si>
  <si>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</si>
  <si>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</si>
  <si>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</si>
  <si>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</si>
  <si>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</si>
  <si>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</si>
  <si>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</si>
  <si>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</si>
  <si>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</si>
  <si>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</si>
  <si>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</si>
  <si>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</si>
  <si>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</si>
  <si>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</si>
  <si>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</si>
  <si>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</si>
  <si>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</si>
  <si>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</si>
  <si>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</si>
  <si>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</si>
  <si>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</si>
  <si>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</si>
  <si>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</si>
  <si>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</si>
  <si>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</si>
  <si>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</si>
  <si>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</si>
  <si>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>Total</t>
  </si>
  <si>
    <t>MDA0196</t>
  </si>
  <si>
    <t>MAD0745</t>
  </si>
  <si>
    <t>MAD0744</t>
  </si>
  <si>
    <t>Alamgir Hosain</t>
  </si>
  <si>
    <t>Saddam Hossian</t>
  </si>
  <si>
    <t>MAD0760</t>
  </si>
  <si>
    <t>MD Tarikul Islam tarik</t>
  </si>
  <si>
    <t>MAD0761</t>
  </si>
  <si>
    <t>MD Soriful Islam</t>
  </si>
  <si>
    <t>MAD0657</t>
  </si>
  <si>
    <t>Firoj Pawariya</t>
  </si>
  <si>
    <t>MAD0244</t>
  </si>
  <si>
    <t>SICK</t>
  </si>
  <si>
    <t>MAD0766</t>
  </si>
  <si>
    <t>MD Nahid Mia</t>
  </si>
  <si>
    <t xml:space="preserve">Used Leave Totals (Running Year, up to end of this month - JUNE  2026) </t>
  </si>
  <si>
    <t>Grapeson Edward</t>
  </si>
  <si>
    <t>MD Mukul Ali</t>
  </si>
  <si>
    <t>Md Abdus Samad</t>
  </si>
  <si>
    <t>MAD0655</t>
  </si>
  <si>
    <t>Arulmani Kumaresan</t>
  </si>
  <si>
    <t>MAD0226</t>
  </si>
  <si>
    <t xml:space="preserve">Note:    </t>
  </si>
  <si>
    <t>MAD0772</t>
  </si>
  <si>
    <t>Tarek Ahmed</t>
  </si>
  <si>
    <t>MAD0457</t>
  </si>
  <si>
    <t>MD Manir Hossain</t>
  </si>
  <si>
    <t>MAD0204</t>
  </si>
  <si>
    <t>MD Nadim Mahmud</t>
  </si>
  <si>
    <t>MAD0781</t>
  </si>
  <si>
    <t>Joined on 24th August 2026</t>
  </si>
  <si>
    <t>Lila Ibrahim</t>
  </si>
  <si>
    <t>MAD0774</t>
  </si>
  <si>
    <t>MD Rakib Mia</t>
  </si>
  <si>
    <t>Settlement for James Chinnappan - Sep 2026 - Hulhumale Junior Foreign Staff</t>
  </si>
  <si>
    <t>MAD0699</t>
  </si>
  <si>
    <t xml:space="preserve"> James Chinnappan</t>
  </si>
  <si>
    <t xml:space="preserve">Food Allowance for 15 days    </t>
  </si>
  <si>
    <t>Fixed OT     MVR 1500.00</t>
  </si>
  <si>
    <t>Attendance for OCTOBER 2026 - Hulhumale Senior Foreign  Staff</t>
  </si>
  <si>
    <t>Attendance for OCTOBER  2026 - Hulhumale Junior Foreign Staff</t>
  </si>
  <si>
    <t>Attendance for  OCTOBER  2026 - Hulhumale Junior Foreign Staff</t>
  </si>
  <si>
    <t>Attendance for OCTOBER  2026 - Hulhumale Senior Foreign  Staff</t>
  </si>
  <si>
    <t>Settlement for Tarek Ahmed - Sep 2026 - Hulhumale Junior Foreign Staff</t>
  </si>
  <si>
    <t xml:space="preserve">Food Allowance for 18 days    </t>
  </si>
  <si>
    <t>Fixed OT     MVR 755.50</t>
  </si>
  <si>
    <t>(OT 26th September -17th October)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</si>
</sst>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12"/>
      <color theme="1"/>
      <name val="Segoe UI"/>
      <family val="2"/>
    </font>
    <font>
      <sz val="12"/>
      <name val="Calibri"/>
      <family val="2"/>
      <scheme val="minor"/>
    </font>
    <font>
      <sz val="9"/>
      <name val="Segoe U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9.9"/>
      <color rgb="FFFF0000"/>
      <name val="Arial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2"/>
      <color theme="1"/>
      <name val="Segoe UI"/>
      <family val="2"/>
      <charset val="1"/>
    </font>
    <font>
      <sz val="12"/>
      <name val="Segoe UI"/>
      <family val="2"/>
    </font>
    <font>
      <b/>
      <sz val="10"/>
      <color theme="1"/>
      <name val="Calibri"/>
      <family val="2"/>
      <charset val="1"/>
      <scheme val="minor"/>
    </font>
    <font>
      <sz val="13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Calibri"/>
      <family val="2"/>
      <scheme val="minor"/>
    </font>
    <font>
      <sz val="13"/>
      <color theme="1"/>
      <name val="Segoe UI"/>
      <family val="2"/>
    </font>
    <font>
      <b/>
      <sz val="13"/>
      <name val="Calibri"/>
      <family val="2"/>
      <scheme val="minor"/>
    </font>
    <font>
      <b/>
      <u/>
      <sz val="13"/>
      <name val="Calibri"/>
      <family val="2"/>
      <scheme val="minor"/>
    </font>
    <font>
      <b/>
      <sz val="13"/>
      <name val="Segoe UI"/>
      <family val="2"/>
    </font>
    <font>
      <b/>
      <sz val="13"/>
      <color theme="1"/>
      <name val="Segoe UI"/>
      <family val="2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256">
    <xf numFmtId="0" fontId="0" fillId="0" borderId="0" xfId="0"/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164" fontId="1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4" fillId="10" borderId="0" xfId="0" applyFont="1" applyFill="1" applyAlignment="1">
      <alignment vertical="center"/>
    </xf>
    <xf numFmtId="0" fontId="24" fillId="1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4" fillId="11" borderId="0" xfId="0" applyFont="1" applyFill="1" applyAlignment="1">
      <alignment vertical="center"/>
    </xf>
    <xf numFmtId="0" fontId="24" fillId="11" borderId="0" xfId="0" applyFont="1" applyFill="1" applyAlignment="1">
      <alignment horizontal="left" vertical="center"/>
    </xf>
    <xf numFmtId="0" fontId="21" fillId="11" borderId="0" xfId="0" applyFont="1" applyFill="1"/>
    <xf numFmtId="0" fontId="25" fillId="0" borderId="0" xfId="0" applyFont="1" applyAlignment="1">
      <alignment vertical="center"/>
    </xf>
    <xf numFmtId="49" fontId="24" fillId="11" borderId="0" xfId="0" applyNumberFormat="1" applyFont="1" applyFill="1" applyAlignment="1">
      <alignment vertical="center"/>
    </xf>
    <xf numFmtId="49" fontId="24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28" fillId="4" borderId="2" xfId="0" applyNumberFormat="1" applyFont="1" applyFill="1" applyBorder="1" applyAlignment="1">
      <alignment horizontal="center" vertical="center" wrapText="1"/>
    </xf>
    <xf numFmtId="0" fontId="30" fillId="4" borderId="9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top" wrapText="1"/>
    </xf>
    <xf numFmtId="1" fontId="28" fillId="4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20" fontId="32" fillId="4" borderId="2" xfId="0" applyNumberFormat="1" applyFont="1" applyFill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 wrapText="1"/>
    </xf>
    <xf numFmtId="0" fontId="33" fillId="12" borderId="2" xfId="0" applyFont="1" applyFill="1" applyBorder="1" applyAlignment="1">
      <alignment horizontal="center" vertical="center" wrapText="1"/>
    </xf>
    <xf numFmtId="20" fontId="33" fillId="12" borderId="2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33" fillId="4" borderId="2" xfId="0" applyNumberFormat="1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7" fillId="4" borderId="0" xfId="0" applyNumberFormat="1" applyFont="1" applyFill="1" applyAlignment="1">
      <alignment horizontal="center" vertical="center"/>
    </xf>
    <xf numFmtId="20" fontId="28" fillId="4" borderId="0" xfId="0" applyNumberFormat="1" applyFont="1" applyFill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15" fontId="0" fillId="0" borderId="2" xfId="0" applyNumberFormat="1" applyBorder="1" applyAlignment="1">
      <alignment horizontal="center" vertical="center"/>
    </xf>
    <xf numFmtId="0" fontId="36" fillId="0" borderId="2" xfId="0" applyFont="1" applyBorder="1" applyAlignment="1">
      <alignment horizontal="left" vertical="center" wrapText="1"/>
    </xf>
    <xf numFmtId="15" fontId="1" fillId="3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37" fillId="0" borderId="2" xfId="0" applyNumberFormat="1" applyFont="1" applyBorder="1" applyAlignment="1">
      <alignment horizontal="center" vertical="center"/>
    </xf>
    <xf numFmtId="0" fontId="37" fillId="4" borderId="3" xfId="0" applyFont="1" applyFill="1" applyBorder="1" applyAlignment="1">
      <alignment horizontal="left" vertical="center" wrapText="1"/>
    </xf>
    <xf numFmtId="0" fontId="38" fillId="4" borderId="2" xfId="0" applyFont="1" applyFill="1" applyBorder="1" applyAlignment="1">
      <alignment horizontal="center" vertical="center"/>
    </xf>
    <xf numFmtId="20" fontId="28" fillId="4" borderId="4" xfId="0" applyNumberFormat="1" applyFont="1" applyFill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0" fillId="9" borderId="0" xfId="0" applyFill="1"/>
    <xf numFmtId="164" fontId="32" fillId="4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1" applyFont="1" applyBorder="1" applyAlignment="1">
      <alignment horizontal="left" vertical="center" wrapText="1"/>
    </xf>
    <xf numFmtId="15" fontId="0" fillId="0" borderId="12" xfId="0" applyNumberFormat="1" applyBorder="1" applyAlignment="1">
      <alignment horizontal="center" vertical="center"/>
    </xf>
    <xf numFmtId="1" fontId="28" fillId="4" borderId="5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15" fontId="0" fillId="0" borderId="0" xfId="0" applyNumberFormat="1" applyAlignment="1">
      <alignment horizontal="center" vertical="center"/>
    </xf>
    <xf numFmtId="0" fontId="32" fillId="4" borderId="0" xfId="0" applyFont="1" applyFill="1" applyAlignment="1">
      <alignment horizontal="center" vertical="center" wrapText="1"/>
    </xf>
    <xf numFmtId="20" fontId="29" fillId="4" borderId="0" xfId="0" applyNumberFormat="1" applyFont="1" applyFill="1" applyAlignment="1">
      <alignment horizontal="center" vertical="center" wrapText="1"/>
    </xf>
    <xf numFmtId="20" fontId="32" fillId="4" borderId="0" xfId="0" applyNumberFormat="1" applyFont="1" applyFill="1" applyAlignment="1">
      <alignment horizontal="center" vertical="center" wrapText="1"/>
    </xf>
    <xf numFmtId="20" fontId="33" fillId="4" borderId="0" xfId="0" applyNumberFormat="1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1" fontId="28" fillId="4" borderId="0" xfId="0" applyNumberFormat="1" applyFont="1" applyFill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top" wrapText="1"/>
    </xf>
    <xf numFmtId="164" fontId="32" fillId="4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0" fillId="0" borderId="2" xfId="0" quotePrefix="1" applyNumberFormat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164" fontId="28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1" fontId="12" fillId="8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10" fillId="9" borderId="2" xfId="1" applyFont="1" applyFill="1" applyBorder="1" applyAlignment="1">
      <alignment horizontal="left" vertical="center" wrapText="1"/>
    </xf>
    <xf numFmtId="15" fontId="0" fillId="9" borderId="2" xfId="0" applyNumberFormat="1" applyFill="1" applyBorder="1" applyAlignment="1">
      <alignment horizontal="center" vertical="center"/>
    </xf>
    <xf numFmtId="20" fontId="28" fillId="9" borderId="0" xfId="0" applyNumberFormat="1" applyFont="1" applyFill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/>
    </xf>
    <xf numFmtId="164" fontId="0" fillId="9" borderId="2" xfId="0" applyNumberFormat="1" applyFill="1" applyBorder="1"/>
    <xf numFmtId="20" fontId="39" fillId="9" borderId="2" xfId="0" applyNumberFormat="1" applyFont="1" applyFill="1" applyBorder="1" applyAlignment="1">
      <alignment horizontal="center" vertical="center" wrapText="1"/>
    </xf>
    <xf numFmtId="1" fontId="8" fillId="9" borderId="2" xfId="0" applyNumberFormat="1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20" fontId="28" fillId="4" borderId="1" xfId="0" applyNumberFormat="1" applyFont="1" applyFill="1" applyBorder="1" applyAlignment="1">
      <alignment horizontal="center" vertical="center" wrapText="1"/>
    </xf>
    <xf numFmtId="164" fontId="0" fillId="17" borderId="2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1" fillId="0" borderId="0" xfId="0" applyFont="1"/>
    <xf numFmtId="0" fontId="41" fillId="0" borderId="0" xfId="0" applyFont="1" applyAlignment="1">
      <alignment horizontal="center" vertical="center"/>
    </xf>
    <xf numFmtId="0" fontId="42" fillId="13" borderId="2" xfId="0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1" fontId="43" fillId="7" borderId="2" xfId="0" applyNumberFormat="1" applyFont="1" applyFill="1" applyBorder="1" applyAlignment="1">
      <alignment horizontal="center" vertical="center"/>
    </xf>
    <xf numFmtId="0" fontId="44" fillId="0" borderId="2" xfId="1" applyFont="1" applyBorder="1" applyAlignment="1">
      <alignment horizontal="left" vertical="center" wrapText="1"/>
    </xf>
    <xf numFmtId="15" fontId="19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4" fillId="10" borderId="0" xfId="0" applyFont="1" applyFill="1" applyAlignment="1">
      <alignment vertical="center"/>
    </xf>
    <xf numFmtId="0" fontId="34" fillId="10" borderId="0" xfId="0" applyFont="1" applyFill="1" applyAlignment="1">
      <alignment horizontal="center" vertical="center"/>
    </xf>
    <xf numFmtId="0" fontId="34" fillId="11" borderId="0" xfId="0" applyFont="1" applyFill="1" applyAlignment="1">
      <alignment vertical="center"/>
    </xf>
    <xf numFmtId="0" fontId="34" fillId="11" borderId="0" xfId="0" applyFont="1" applyFill="1" applyAlignment="1">
      <alignment horizontal="left" vertical="center"/>
    </xf>
    <xf numFmtId="0" fontId="19" fillId="11" borderId="0" xfId="0" applyFont="1" applyFill="1"/>
    <xf numFmtId="49" fontId="34" fillId="11" borderId="0" xfId="0" applyNumberFormat="1" applyFont="1" applyFill="1" applyAlignment="1">
      <alignment vertical="center"/>
    </xf>
    <xf numFmtId="49" fontId="34" fillId="11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164" fontId="46" fillId="0" borderId="2" xfId="0" applyNumberFormat="1" applyFont="1" applyBorder="1" applyAlignment="1">
      <alignment horizontal="center" vertical="center"/>
    </xf>
    <xf numFmtId="164" fontId="46" fillId="15" borderId="2" xfId="0" applyNumberFormat="1" applyFont="1" applyFill="1" applyBorder="1" applyAlignment="1">
      <alignment horizontal="center" vertical="center"/>
    </xf>
    <xf numFmtId="20" fontId="47" fillId="4" borderId="2" xfId="0" applyNumberFormat="1" applyFont="1" applyFill="1" applyBorder="1" applyAlignment="1">
      <alignment horizontal="center" vertical="center" wrapText="1"/>
    </xf>
    <xf numFmtId="1" fontId="48" fillId="8" borderId="2" xfId="0" applyNumberFormat="1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1" fontId="46" fillId="0" borderId="2" xfId="0" applyNumberFormat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164" fontId="47" fillId="4" borderId="2" xfId="0" applyNumberFormat="1" applyFont="1" applyFill="1" applyBorder="1" applyAlignment="1">
      <alignment horizontal="center" vertical="center" wrapText="1"/>
    </xf>
    <xf numFmtId="1" fontId="47" fillId="4" borderId="2" xfId="0" applyNumberFormat="1" applyFont="1" applyFill="1" applyBorder="1" applyAlignment="1">
      <alignment horizontal="center" vertical="center" wrapText="1"/>
    </xf>
    <xf numFmtId="0" fontId="46" fillId="0" borderId="0" xfId="0" applyFont="1"/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/>
    </xf>
    <xf numFmtId="0" fontId="48" fillId="0" borderId="0" xfId="0" applyFont="1"/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164" fontId="48" fillId="0" borderId="0" xfId="0" applyNumberFormat="1" applyFont="1" applyAlignment="1">
      <alignment horizontal="center" vertical="center" wrapText="1"/>
    </xf>
    <xf numFmtId="164" fontId="50" fillId="0" borderId="0" xfId="0" applyNumberFormat="1" applyFont="1" applyAlignment="1">
      <alignment horizontal="center" vertical="center" wrapText="1"/>
    </xf>
    <xf numFmtId="0" fontId="51" fillId="0" borderId="0" xfId="0" applyFont="1" applyAlignment="1">
      <alignment vertical="center"/>
    </xf>
    <xf numFmtId="164" fontId="48" fillId="0" borderId="0" xfId="0" applyNumberFormat="1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/>
    <xf numFmtId="164" fontId="48" fillId="0" borderId="0" xfId="0" applyNumberFormat="1" applyFont="1" applyAlignment="1">
      <alignment horizontal="center" vertical="center"/>
    </xf>
    <xf numFmtId="164" fontId="52" fillId="0" borderId="0" xfId="0" applyNumberFormat="1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164" fontId="46" fillId="0" borderId="0" xfId="0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64" fontId="54" fillId="0" borderId="0" xfId="0" applyNumberFormat="1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164" fontId="28" fillId="2" borderId="2" xfId="0" applyNumberFormat="1" applyFont="1" applyFill="1" applyBorder="1" applyAlignment="1">
      <alignment horizontal="center" vertical="center" wrapText="1"/>
    </xf>
    <xf numFmtId="164" fontId="0" fillId="16" borderId="2" xfId="0" applyNumberFormat="1" applyFill="1" applyBorder="1" applyAlignment="1">
      <alignment horizontal="center" vertical="center"/>
    </xf>
    <xf numFmtId="164" fontId="0" fillId="18" borderId="2" xfId="0" applyNumberForma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5" fontId="7" fillId="3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5" fontId="18" fillId="3" borderId="3" xfId="0" applyNumberFormat="1" applyFont="1" applyFill="1" applyBorder="1" applyAlignment="1">
      <alignment horizontal="center" vertical="center"/>
    </xf>
    <xf numFmtId="15" fontId="18" fillId="3" borderId="4" xfId="0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3" fillId="5" borderId="5" xfId="0" applyFont="1" applyFill="1" applyBorder="1" applyAlignment="1">
      <alignment horizontal="center" vertical="center" textRotation="90" wrapText="1"/>
    </xf>
    <xf numFmtId="0" fontId="43" fillId="5" borderId="13" xfId="0" applyFont="1" applyFill="1" applyBorder="1" applyAlignment="1">
      <alignment horizontal="center" vertical="center" textRotation="90" wrapText="1"/>
    </xf>
    <xf numFmtId="0" fontId="43" fillId="5" borderId="8" xfId="0" applyFont="1" applyFill="1" applyBorder="1" applyAlignment="1">
      <alignment horizontal="center" vertical="center" textRotation="90" wrapText="1"/>
    </xf>
    <xf numFmtId="0" fontId="18" fillId="3" borderId="2" xfId="0" applyFont="1" applyFill="1" applyBorder="1" applyAlignment="1">
      <alignment horizontal="center" vertical="center"/>
    </xf>
    <xf numFmtId="15" fontId="18" fillId="3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280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go\MANGO%20SHARE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4267A-56DC-463F-92C7-7C9A7DB70A5A}" name="Table22" displayName="Table22" ref="CH4:CR10" totalsRowShown="0" headerRowDxfId="279" dataDxfId="277" headerRowBorderDxfId="278" tableBorderDxfId="276" totalsRowBorderDxfId="275">
  <autoFilter ref="CH4:CR10" xr:uid="{60D4C0FB-DDA6-4DA1-9FFC-F74164136AFC}"/>
  <tableColumns count="11">
    <tableColumn id="1" xr3:uid="{377D7A40-7B06-4A92-A1DC-DEAF1C9AB59E}" name="MC" dataDxfId="274"/>
    <tableColumn id="2" xr3:uid="{0C68EF4E-1D9C-4587-AF19-CD6417A18FB8}" name="EL" dataDxfId="273"/>
    <tableColumn id="3" xr3:uid="{B9C5D40E-AF8F-4B04-9AF2-1BD6D6058FDE}" name="AL" dataDxfId="272"/>
    <tableColumn id="4" xr3:uid="{E3576F87-268D-48FA-9E8C-1FB0D184A472}" name="SUS" dataDxfId="271"/>
    <tableColumn id="5" xr3:uid="{01FB102F-C550-467D-8F86-9A7970A3B06D}" name="FL" dataDxfId="270"/>
    <tableColumn id="6" xr3:uid="{26217668-4148-4C10-BBFC-1D7BB10B6E9C}" name="S" dataDxfId="269"/>
    <tableColumn id="7" xr3:uid="{82F5F653-0A0A-405B-96F3-B54BE3F86F8C}" name="HD" dataDxfId="268"/>
    <tableColumn id="8" xr3:uid="{F5F1D75F-DBAE-45F0-9EC2-4D630A0928EF}" name="AB" dataDxfId="267"/>
    <tableColumn id="9" xr3:uid="{367EB2A3-32A1-41E1-AEC1-D65C7D47B369}" name="NL" dataDxfId="266"/>
    <tableColumn id="10" xr3:uid="{1B9C670C-757D-4C00-A55B-A4923A16BBC8}" name="SP" dataDxfId="265"/>
    <tableColumn id="11" xr3:uid="{8DD3196B-CA6F-427E-A214-05EFE3D29A8D}" name="Total" dataDxfId="264">
      <calculatedColumnFormula>SUM(CH5:CQ5)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AB58-3D38-4108-BA91-F5FE9830ADA9}">
  <sheetPr>
    <pageSetUpPr fitToPage="1"/>
  </sheetPr>
  <dimension ref="A1:CR60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68" sqref="L68"/>
    </sheetView>
  </sheetViews>
  <sheetFormatPr defaultRowHeight="15" x14ac:dyDescent="0.25"/>
  <cols>
    <col min="1" max="1" width="5.5703125" customWidth="1"/>
    <col min="2" max="2" width="10.85546875" style="18" customWidth="1"/>
    <col min="3" max="3" width="29.140625" customWidth="1"/>
    <col min="4" max="4" width="13.7109375" hidden="1" customWidth="1"/>
    <col min="5" max="34" width="6.42578125" customWidth="1"/>
    <col min="35" max="35" width="3.7109375" customWidth="1"/>
    <col min="36" max="36" width="5.5703125" customWidth="1"/>
    <col min="37" max="65" width="6.42578125" customWidth="1"/>
    <col min="66" max="66" width="6.140625" customWidth="1"/>
    <col min="67" max="68" width="5.85546875" customWidth="1"/>
    <col min="69" max="69" width="5" customWidth="1"/>
    <col min="70" max="82" width="5.140625" customWidth="1"/>
    <col min="83" max="83" width="21.140625" customWidth="1"/>
    <col min="86" max="96" width="5.28515625" customWidth="1"/>
  </cols>
  <sheetData>
    <row r="1" spans="1:96" ht="24" customHeight="1" x14ac:dyDescent="0.25">
      <c r="A1" s="235" t="s">
        <v>127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87"/>
      <c r="AJ1" s="235" t="s">
        <v>124</v>
      </c>
      <c r="AK1" s="235"/>
      <c r="AL1" s="235"/>
      <c r="AM1" s="235"/>
      <c r="AN1" s="235"/>
      <c r="AO1" s="235"/>
      <c r="AP1" s="235"/>
      <c r="AQ1" s="235"/>
      <c r="AR1" s="235"/>
      <c r="AS1" s="235"/>
      <c r="AT1" s="235"/>
      <c r="AU1" s="235"/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235"/>
      <c r="BH1" s="235"/>
      <c r="BI1" s="235"/>
      <c r="BJ1" s="235"/>
      <c r="BK1" s="235"/>
      <c r="BL1" s="235"/>
      <c r="BM1" s="235"/>
      <c r="BN1" s="235"/>
      <c r="BO1" s="235"/>
      <c r="BP1" s="235"/>
      <c r="BQ1" s="235"/>
      <c r="BR1" s="235"/>
      <c r="BS1" s="235"/>
      <c r="BT1" s="235"/>
      <c r="BU1" s="235"/>
      <c r="BV1" s="235"/>
      <c r="BW1" s="235"/>
      <c r="BX1" s="235"/>
      <c r="BY1" s="235"/>
      <c r="BZ1" s="235"/>
      <c r="CA1" s="235"/>
      <c r="CB1" s="235"/>
      <c r="CC1" s="235"/>
      <c r="CD1" s="235"/>
      <c r="CE1" s="235"/>
    </row>
    <row r="2" spans="1:96" ht="18.75" x14ac:dyDescent="0.25">
      <c r="A2" s="236" t="s">
        <v>0</v>
      </c>
      <c r="B2" s="236"/>
      <c r="C2" s="236"/>
      <c r="D2" s="64"/>
      <c r="E2" s="226" t="s">
        <v>2</v>
      </c>
      <c r="F2" s="226"/>
      <c r="G2" s="226" t="s">
        <v>3</v>
      </c>
      <c r="H2" s="226"/>
      <c r="I2" s="226" t="s">
        <v>4</v>
      </c>
      <c r="J2" s="226"/>
      <c r="K2" s="226" t="s">
        <v>5</v>
      </c>
      <c r="L2" s="226"/>
      <c r="M2" s="226" t="s">
        <v>6</v>
      </c>
      <c r="N2" s="226"/>
      <c r="O2" s="226" t="s">
        <v>7</v>
      </c>
      <c r="P2" s="226"/>
      <c r="Q2" s="226" t="s">
        <v>1</v>
      </c>
      <c r="R2" s="226"/>
      <c r="S2" s="226" t="s">
        <v>2</v>
      </c>
      <c r="T2" s="226"/>
      <c r="U2" s="226" t="s">
        <v>3</v>
      </c>
      <c r="V2" s="226"/>
      <c r="W2" s="226" t="s">
        <v>4</v>
      </c>
      <c r="X2" s="226"/>
      <c r="Y2" s="226" t="s">
        <v>5</v>
      </c>
      <c r="Z2" s="226"/>
      <c r="AA2" s="226" t="s">
        <v>6</v>
      </c>
      <c r="AB2" s="226"/>
      <c r="AC2" s="226" t="s">
        <v>7</v>
      </c>
      <c r="AD2" s="226"/>
      <c r="AE2" s="226" t="s">
        <v>1</v>
      </c>
      <c r="AF2" s="226"/>
      <c r="AG2" s="226" t="s">
        <v>2</v>
      </c>
      <c r="AH2" s="226"/>
      <c r="AI2" s="88"/>
      <c r="AJ2" s="10"/>
      <c r="AK2" s="226" t="s">
        <v>3</v>
      </c>
      <c r="AL2" s="226"/>
      <c r="AM2" s="226" t="s">
        <v>4</v>
      </c>
      <c r="AN2" s="226"/>
      <c r="AO2" s="226" t="s">
        <v>5</v>
      </c>
      <c r="AP2" s="226"/>
      <c r="AQ2" s="226" t="s">
        <v>6</v>
      </c>
      <c r="AR2" s="226"/>
      <c r="AS2" s="226" t="s">
        <v>7</v>
      </c>
      <c r="AT2" s="226"/>
      <c r="AU2" s="226" t="s">
        <v>1</v>
      </c>
      <c r="AV2" s="226"/>
      <c r="AW2" s="226" t="s">
        <v>2</v>
      </c>
      <c r="AX2" s="226"/>
      <c r="AY2" s="226" t="s">
        <v>3</v>
      </c>
      <c r="AZ2" s="226"/>
      <c r="BA2" s="226" t="s">
        <v>4</v>
      </c>
      <c r="BB2" s="226"/>
      <c r="BC2" s="226" t="s">
        <v>5</v>
      </c>
      <c r="BD2" s="226"/>
      <c r="BE2" s="226" t="s">
        <v>6</v>
      </c>
      <c r="BF2" s="226"/>
      <c r="BG2" s="226" t="s">
        <v>7</v>
      </c>
      <c r="BH2" s="226"/>
      <c r="BI2" s="226" t="s">
        <v>1</v>
      </c>
      <c r="BJ2" s="226"/>
      <c r="BK2" s="226" t="s">
        <v>2</v>
      </c>
      <c r="BL2" s="226"/>
      <c r="BM2" s="226" t="s">
        <v>3</v>
      </c>
      <c r="BN2" s="226"/>
      <c r="BO2" s="226" t="s">
        <v>4</v>
      </c>
      <c r="BP2" s="226"/>
      <c r="BQ2" s="228" t="s">
        <v>8</v>
      </c>
      <c r="BR2" s="228" t="s">
        <v>9</v>
      </c>
      <c r="BS2" s="234"/>
      <c r="BT2" s="234"/>
      <c r="BU2" s="234"/>
      <c r="BV2" s="234"/>
      <c r="BW2" s="234"/>
      <c r="BX2" s="234"/>
      <c r="BY2" s="234"/>
      <c r="BZ2" s="234"/>
      <c r="CA2" s="234"/>
      <c r="CB2" s="234"/>
      <c r="CC2" s="234"/>
      <c r="CD2" s="234"/>
      <c r="CE2" s="234"/>
      <c r="CH2" s="237" t="s">
        <v>83</v>
      </c>
      <c r="CI2" s="237"/>
      <c r="CJ2" s="237"/>
      <c r="CK2" s="237"/>
      <c r="CL2" s="237"/>
      <c r="CM2" s="237"/>
      <c r="CN2" s="237"/>
      <c r="CO2" s="237"/>
      <c r="CP2" s="237"/>
      <c r="CQ2" s="237"/>
      <c r="CR2" s="17"/>
    </row>
    <row r="3" spans="1:96" ht="18.75" x14ac:dyDescent="0.25">
      <c r="A3" s="236"/>
      <c r="B3" s="236"/>
      <c r="C3" s="236"/>
      <c r="D3" s="64"/>
      <c r="E3" s="227">
        <v>46296</v>
      </c>
      <c r="F3" s="227"/>
      <c r="G3" s="227">
        <v>46297</v>
      </c>
      <c r="H3" s="227"/>
      <c r="I3" s="227">
        <v>46298</v>
      </c>
      <c r="J3" s="227"/>
      <c r="K3" s="227">
        <v>46299</v>
      </c>
      <c r="L3" s="227"/>
      <c r="M3" s="227">
        <v>46300</v>
      </c>
      <c r="N3" s="227"/>
      <c r="O3" s="227">
        <v>46301</v>
      </c>
      <c r="P3" s="227"/>
      <c r="Q3" s="227">
        <v>46302</v>
      </c>
      <c r="R3" s="227"/>
      <c r="S3" s="227">
        <v>46303</v>
      </c>
      <c r="T3" s="227"/>
      <c r="U3" s="227">
        <v>46304</v>
      </c>
      <c r="V3" s="227"/>
      <c r="W3" s="227">
        <v>46305</v>
      </c>
      <c r="X3" s="227"/>
      <c r="Y3" s="227">
        <v>46306</v>
      </c>
      <c r="Z3" s="227"/>
      <c r="AA3" s="227">
        <v>46307</v>
      </c>
      <c r="AB3" s="227"/>
      <c r="AC3" s="227">
        <v>46308</v>
      </c>
      <c r="AD3" s="227"/>
      <c r="AE3" s="227">
        <v>46309</v>
      </c>
      <c r="AF3" s="227"/>
      <c r="AG3" s="227">
        <v>46310</v>
      </c>
      <c r="AH3" s="227"/>
      <c r="AI3" s="89"/>
      <c r="AJ3" s="85"/>
      <c r="AK3" s="227">
        <v>46311</v>
      </c>
      <c r="AL3" s="227"/>
      <c r="AM3" s="227">
        <v>46312</v>
      </c>
      <c r="AN3" s="227"/>
      <c r="AO3" s="227">
        <v>46313</v>
      </c>
      <c r="AP3" s="227"/>
      <c r="AQ3" s="227">
        <v>46314</v>
      </c>
      <c r="AR3" s="227"/>
      <c r="AS3" s="227">
        <v>46315</v>
      </c>
      <c r="AT3" s="227"/>
      <c r="AU3" s="227">
        <v>46316</v>
      </c>
      <c r="AV3" s="227"/>
      <c r="AW3" s="227">
        <v>46317</v>
      </c>
      <c r="AX3" s="227"/>
      <c r="AY3" s="227">
        <v>46318</v>
      </c>
      <c r="AZ3" s="227"/>
      <c r="BA3" s="227">
        <v>46319</v>
      </c>
      <c r="BB3" s="227"/>
      <c r="BC3" s="227">
        <v>46320</v>
      </c>
      <c r="BD3" s="227"/>
      <c r="BE3" s="227">
        <v>46321</v>
      </c>
      <c r="BF3" s="227"/>
      <c r="BG3" s="227">
        <v>46322</v>
      </c>
      <c r="BH3" s="227"/>
      <c r="BI3" s="227">
        <v>46323</v>
      </c>
      <c r="BJ3" s="227"/>
      <c r="BK3" s="227">
        <v>46324</v>
      </c>
      <c r="BL3" s="227"/>
      <c r="BM3" s="227">
        <v>46325</v>
      </c>
      <c r="BN3" s="227"/>
      <c r="BO3" s="227">
        <v>46326</v>
      </c>
      <c r="BP3" s="227"/>
      <c r="BQ3" s="228"/>
      <c r="BR3" s="228"/>
      <c r="BS3" s="1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  <c r="CH3" s="48" t="s">
        <v>100</v>
      </c>
      <c r="CI3" s="48"/>
      <c r="CJ3" s="48"/>
      <c r="CK3" s="48"/>
      <c r="CL3" s="48"/>
      <c r="CM3" s="48"/>
      <c r="CN3" s="48"/>
      <c r="CO3" s="48"/>
      <c r="CP3" s="48"/>
      <c r="CQ3" s="48"/>
      <c r="CR3" s="17"/>
    </row>
    <row r="4" spans="1:96" ht="18.75" customHeight="1" x14ac:dyDescent="0.25">
      <c r="A4" s="4" t="s">
        <v>10</v>
      </c>
      <c r="B4" s="4" t="s">
        <v>11</v>
      </c>
      <c r="C4" s="4" t="s">
        <v>12</v>
      </c>
      <c r="D4" s="4"/>
      <c r="E4" s="45" t="s">
        <v>13</v>
      </c>
      <c r="F4" s="45" t="s">
        <v>14</v>
      </c>
      <c r="G4" s="45" t="s">
        <v>13</v>
      </c>
      <c r="H4" s="45" t="s">
        <v>14</v>
      </c>
      <c r="I4" s="45" t="s">
        <v>13</v>
      </c>
      <c r="J4" s="45" t="s">
        <v>14</v>
      </c>
      <c r="K4" s="45" t="s">
        <v>13</v>
      </c>
      <c r="L4" s="45" t="s">
        <v>14</v>
      </c>
      <c r="M4" s="45" t="s">
        <v>13</v>
      </c>
      <c r="N4" s="45" t="s">
        <v>14</v>
      </c>
      <c r="O4" s="10" t="s">
        <v>13</v>
      </c>
      <c r="P4" s="10" t="s">
        <v>14</v>
      </c>
      <c r="Q4" s="10" t="s">
        <v>13</v>
      </c>
      <c r="R4" s="10" t="s">
        <v>14</v>
      </c>
      <c r="S4" s="10" t="s">
        <v>13</v>
      </c>
      <c r="T4" s="10" t="s">
        <v>14</v>
      </c>
      <c r="U4" s="10" t="s">
        <v>13</v>
      </c>
      <c r="V4" s="10" t="s">
        <v>14</v>
      </c>
      <c r="W4" s="10" t="s">
        <v>13</v>
      </c>
      <c r="X4" s="10" t="s">
        <v>14</v>
      </c>
      <c r="Y4" s="10" t="s">
        <v>13</v>
      </c>
      <c r="Z4" s="10" t="s">
        <v>14</v>
      </c>
      <c r="AA4" s="10" t="s">
        <v>13</v>
      </c>
      <c r="AB4" s="10" t="s">
        <v>14</v>
      </c>
      <c r="AC4" s="10" t="s">
        <v>13</v>
      </c>
      <c r="AD4" s="10" t="s">
        <v>14</v>
      </c>
      <c r="AE4" s="10" t="s">
        <v>13</v>
      </c>
      <c r="AF4" s="10" t="s">
        <v>14</v>
      </c>
      <c r="AG4" s="10" t="s">
        <v>13</v>
      </c>
      <c r="AH4" s="10" t="s">
        <v>14</v>
      </c>
      <c r="AI4" s="88"/>
      <c r="AJ4" s="10"/>
      <c r="AK4" s="45" t="s">
        <v>13</v>
      </c>
      <c r="AL4" s="45" t="s">
        <v>14</v>
      </c>
      <c r="AM4" s="45" t="s">
        <v>13</v>
      </c>
      <c r="AN4" s="45" t="s">
        <v>14</v>
      </c>
      <c r="AO4" s="45" t="s">
        <v>13</v>
      </c>
      <c r="AP4" s="45" t="s">
        <v>14</v>
      </c>
      <c r="AQ4" s="45" t="s">
        <v>13</v>
      </c>
      <c r="AR4" s="45" t="s">
        <v>14</v>
      </c>
      <c r="AS4" s="45" t="s">
        <v>13</v>
      </c>
      <c r="AT4" s="45" t="s">
        <v>14</v>
      </c>
      <c r="AU4" s="10" t="s">
        <v>13</v>
      </c>
      <c r="AV4" s="10" t="s">
        <v>14</v>
      </c>
      <c r="AW4" s="10" t="s">
        <v>13</v>
      </c>
      <c r="AX4" s="10" t="s">
        <v>14</v>
      </c>
      <c r="AY4" s="10" t="s">
        <v>13</v>
      </c>
      <c r="AZ4" s="10" t="s">
        <v>14</v>
      </c>
      <c r="BA4" s="10" t="s">
        <v>13</v>
      </c>
      <c r="BB4" s="10" t="s">
        <v>14</v>
      </c>
      <c r="BC4" s="10" t="s">
        <v>13</v>
      </c>
      <c r="BD4" s="10" t="s">
        <v>14</v>
      </c>
      <c r="BE4" s="10" t="s">
        <v>13</v>
      </c>
      <c r="BF4" s="10" t="s">
        <v>14</v>
      </c>
      <c r="BG4" s="10" t="s">
        <v>13</v>
      </c>
      <c r="BH4" s="10" t="s">
        <v>14</v>
      </c>
      <c r="BI4" s="10" t="s">
        <v>13</v>
      </c>
      <c r="BJ4" s="10" t="s">
        <v>14</v>
      </c>
      <c r="BK4" s="10" t="s">
        <v>13</v>
      </c>
      <c r="BL4" s="10" t="s">
        <v>14</v>
      </c>
      <c r="BM4" s="10" t="s">
        <v>13</v>
      </c>
      <c r="BN4" s="10" t="s">
        <v>14</v>
      </c>
      <c r="BO4" s="10" t="s">
        <v>13</v>
      </c>
      <c r="BP4" s="10" t="s">
        <v>14</v>
      </c>
      <c r="BQ4" s="228"/>
      <c r="BR4" s="228"/>
      <c r="BS4" s="5"/>
      <c r="BT4" s="67" t="s">
        <v>15</v>
      </c>
      <c r="BU4" s="67" t="s">
        <v>16</v>
      </c>
      <c r="BV4" s="67" t="s">
        <v>17</v>
      </c>
      <c r="BW4" s="67" t="s">
        <v>18</v>
      </c>
      <c r="BX4" s="67" t="s">
        <v>19</v>
      </c>
      <c r="BY4" s="67" t="s">
        <v>20</v>
      </c>
      <c r="BZ4" s="67" t="s">
        <v>97</v>
      </c>
      <c r="CA4" s="43" t="s">
        <v>22</v>
      </c>
      <c r="CB4" s="67" t="s">
        <v>23</v>
      </c>
      <c r="CC4" s="67" t="s">
        <v>24</v>
      </c>
      <c r="CD4" s="67" t="s">
        <v>25</v>
      </c>
      <c r="CE4" s="6" t="s">
        <v>26</v>
      </c>
      <c r="CH4" s="49" t="s">
        <v>16</v>
      </c>
      <c r="CI4" s="50" t="s">
        <v>17</v>
      </c>
      <c r="CJ4" s="50" t="s">
        <v>18</v>
      </c>
      <c r="CK4" s="50" t="s">
        <v>19</v>
      </c>
      <c r="CL4" s="50" t="s">
        <v>20</v>
      </c>
      <c r="CM4" s="50" t="s">
        <v>21</v>
      </c>
      <c r="CN4" s="50" t="s">
        <v>22</v>
      </c>
      <c r="CO4" s="50" t="s">
        <v>23</v>
      </c>
      <c r="CP4" s="50" t="s">
        <v>24</v>
      </c>
      <c r="CQ4" s="50" t="s">
        <v>25</v>
      </c>
      <c r="CR4" s="51" t="s">
        <v>84</v>
      </c>
    </row>
    <row r="5" spans="1:96" ht="22.5" customHeight="1" x14ac:dyDescent="0.25">
      <c r="A5" s="96">
        <v>1</v>
      </c>
      <c r="B5" s="8" t="s">
        <v>96</v>
      </c>
      <c r="C5" s="91" t="s">
        <v>27</v>
      </c>
      <c r="D5" s="101">
        <v>43523</v>
      </c>
      <c r="E5" s="104">
        <v>46296.328761574077</v>
      </c>
      <c r="F5" s="104">
        <v>0</v>
      </c>
      <c r="G5" s="220" t="s">
        <v>15</v>
      </c>
      <c r="H5" s="220" t="s">
        <v>15</v>
      </c>
      <c r="I5" s="104">
        <v>46298.335752314815</v>
      </c>
      <c r="J5" s="104">
        <v>0</v>
      </c>
      <c r="K5" s="104">
        <v>46299.345833333333</v>
      </c>
      <c r="L5" s="104">
        <v>0</v>
      </c>
      <c r="M5" s="104">
        <v>46300.345995370371</v>
      </c>
      <c r="N5" s="104">
        <v>0</v>
      </c>
      <c r="O5" s="104">
        <v>46301.347187500003</v>
      </c>
      <c r="P5" s="104">
        <v>0</v>
      </c>
      <c r="Q5" s="104">
        <v>46302.348136574074</v>
      </c>
      <c r="R5" s="104">
        <v>0</v>
      </c>
      <c r="S5" s="104">
        <v>46303.349074074074</v>
      </c>
      <c r="T5" s="104">
        <v>0</v>
      </c>
      <c r="U5" s="104">
        <v>46304.580208333333</v>
      </c>
      <c r="V5" s="104">
        <v>46304.580208333333</v>
      </c>
      <c r="W5" s="104">
        <v>46305.350127314814</v>
      </c>
      <c r="X5" s="104">
        <v>0</v>
      </c>
      <c r="Y5" s="104">
        <v>46306.349050925928</v>
      </c>
      <c r="Z5" s="104">
        <v>0</v>
      </c>
      <c r="AA5" s="104">
        <v>46307.349768518521</v>
      </c>
      <c r="AB5" s="104">
        <v>0</v>
      </c>
      <c r="AC5" s="104">
        <v>0</v>
      </c>
      <c r="AD5" s="104">
        <v>46308.910358796296</v>
      </c>
      <c r="AE5" s="104">
        <v>46309.348229166666</v>
      </c>
      <c r="AF5" s="104">
        <v>46309.93241898148</v>
      </c>
      <c r="AG5" s="104">
        <v>46310.349641203706</v>
      </c>
      <c r="AH5" s="104">
        <v>0.96319444444444446</v>
      </c>
      <c r="AI5" s="84"/>
      <c r="AJ5" s="139">
        <v>1</v>
      </c>
      <c r="AK5" s="104"/>
      <c r="AL5" s="104"/>
      <c r="AM5" s="133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65"/>
      <c r="BP5" s="65"/>
      <c r="BQ5" s="13">
        <f>BS5+BT5+BU5+BV5+CA5+BY5+BZ5+CD5</f>
        <v>15</v>
      </c>
      <c r="BR5" s="63"/>
      <c r="BS5" s="14">
        <f>COUNT(E5:AH5)/2+COUNT(AK7:BP7)/2</f>
        <v>14</v>
      </c>
      <c r="BT5" s="15">
        <f>COUNTIF(B5:BN5,"OFF")/2</f>
        <v>1</v>
      </c>
      <c r="BU5" s="15">
        <f>COUNTIF(B5:BN5,"MC")/2</f>
        <v>0</v>
      </c>
      <c r="BV5" s="15">
        <f>COUNTIF(B5:BN5,"EL")/2</f>
        <v>0</v>
      </c>
      <c r="BW5" s="15">
        <f>COUNTIF(B5:BN5,"AL")/2</f>
        <v>0</v>
      </c>
      <c r="BX5" s="15">
        <f>COUNTIF(B5:BN5,"SUS")/2</f>
        <v>0</v>
      </c>
      <c r="BY5" s="15">
        <f>COUNTIF(B5:BN5,"FL")/2</f>
        <v>0</v>
      </c>
      <c r="BZ5" s="15">
        <f>COUNTIF(B5:BN5,"SICK")/2</f>
        <v>0</v>
      </c>
      <c r="CA5" s="15">
        <f>COUNTIF(B5:BN5,"HD")/2</f>
        <v>0</v>
      </c>
      <c r="CB5" s="15">
        <f>COUNTIF(B5:BN5,"AB")/2</f>
        <v>0</v>
      </c>
      <c r="CC5" s="15">
        <f>COUNTIF(B5:BN5,"NL")/2</f>
        <v>0</v>
      </c>
      <c r="CD5" s="15">
        <f>COUNTIF(B5:BN5,"SP")/2</f>
        <v>0</v>
      </c>
      <c r="CE5" s="16"/>
      <c r="CH5" s="53">
        <v>0</v>
      </c>
      <c r="CI5" s="53">
        <v>0</v>
      </c>
      <c r="CJ5" s="53">
        <v>32</v>
      </c>
      <c r="CK5" s="53">
        <v>0</v>
      </c>
      <c r="CL5" s="53">
        <v>0</v>
      </c>
      <c r="CM5" s="53">
        <v>0</v>
      </c>
      <c r="CN5" s="53">
        <v>0</v>
      </c>
      <c r="CO5" s="53">
        <v>0</v>
      </c>
      <c r="CP5" s="53">
        <v>0</v>
      </c>
      <c r="CQ5" s="53">
        <v>0</v>
      </c>
      <c r="CR5" s="57">
        <f t="shared" ref="CR5:CR10" si="0">SUM(CH5:CQ5)</f>
        <v>32</v>
      </c>
    </row>
    <row r="6" spans="1:96" ht="22.5" customHeight="1" x14ac:dyDescent="0.25">
      <c r="A6" s="96">
        <v>2</v>
      </c>
      <c r="B6" s="8" t="s">
        <v>106</v>
      </c>
      <c r="C6" s="91" t="s">
        <v>28</v>
      </c>
      <c r="D6" s="101"/>
      <c r="E6" s="104">
        <v>46296.353634259256</v>
      </c>
      <c r="F6" s="104">
        <v>0</v>
      </c>
      <c r="G6" s="104">
        <v>46297.562048611115</v>
      </c>
      <c r="H6" s="104">
        <v>46297.979351851849</v>
      </c>
      <c r="I6" s="104">
        <v>46298.353067129632</v>
      </c>
      <c r="J6" s="104">
        <v>46298.995474537034</v>
      </c>
      <c r="K6" s="104">
        <v>46299.354016203702</v>
      </c>
      <c r="L6" s="104">
        <v>46299.976666666669</v>
      </c>
      <c r="M6" s="104">
        <v>46300.353518518517</v>
      </c>
      <c r="N6" s="104">
        <v>46300.982060185182</v>
      </c>
      <c r="O6" s="104">
        <v>46301.354097222225</v>
      </c>
      <c r="P6" s="104">
        <v>46301.97861111111</v>
      </c>
      <c r="Q6" s="104">
        <v>46302.354155092595</v>
      </c>
      <c r="R6" s="104">
        <v>46302.974108796298</v>
      </c>
      <c r="S6" s="104">
        <v>46303.3518287037</v>
      </c>
      <c r="T6" s="104">
        <v>46303.990752314814</v>
      </c>
      <c r="U6" s="220" t="s">
        <v>15</v>
      </c>
      <c r="V6" s="220" t="s">
        <v>15</v>
      </c>
      <c r="W6" s="104">
        <v>46305.351145833331</v>
      </c>
      <c r="X6" s="104">
        <v>46305.990312499998</v>
      </c>
      <c r="Y6" s="104">
        <v>46306.354120370372</v>
      </c>
      <c r="Z6" s="104">
        <v>46306.973333333335</v>
      </c>
      <c r="AA6" s="104">
        <v>46307.351145833331</v>
      </c>
      <c r="AB6" s="104">
        <v>46307.982314814813</v>
      </c>
      <c r="AC6" s="104">
        <v>46308.353865740741</v>
      </c>
      <c r="AD6" s="104">
        <v>0</v>
      </c>
      <c r="AE6" s="104">
        <v>46309.354432870372</v>
      </c>
      <c r="AF6" s="104">
        <v>46309.980555555558</v>
      </c>
      <c r="AG6" s="104">
        <v>46310.352326388886</v>
      </c>
      <c r="AH6" s="104">
        <v>0</v>
      </c>
      <c r="AI6" s="84"/>
      <c r="AJ6" s="139">
        <v>2</v>
      </c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65"/>
      <c r="BP6" s="65"/>
      <c r="BQ6" s="13">
        <f t="shared" ref="BQ6:BQ12" si="1">BS6+BT6+BU6+BV6+CA6+BY6+BZ6+CD6</f>
        <v>15</v>
      </c>
      <c r="BR6" s="63"/>
      <c r="BS6" s="14">
        <f t="shared" ref="BS6:BS12" si="2">COUNT(E6:AH6)/2+COUNT(AK8:BP8)/2</f>
        <v>14</v>
      </c>
      <c r="BT6" s="15">
        <f t="shared" ref="BT6:BT12" si="3">COUNTIF(B6:BN6,"OFF")/2</f>
        <v>1</v>
      </c>
      <c r="BU6" s="15">
        <f t="shared" ref="BU6:BU12" si="4">COUNTIF(B6:BN6,"MC")/2</f>
        <v>0</v>
      </c>
      <c r="BV6" s="15">
        <f t="shared" ref="BV6:BV12" si="5">COUNTIF(B6:BN6,"EL")/2</f>
        <v>0</v>
      </c>
      <c r="BW6" s="15">
        <f t="shared" ref="BW6:BW12" si="6">COUNTIF(B6:BN6,"AL")/2</f>
        <v>0</v>
      </c>
      <c r="BX6" s="15">
        <f t="shared" ref="BX6:BX12" si="7">COUNTIF(B6:BN6,"SUS")/2</f>
        <v>0</v>
      </c>
      <c r="BY6" s="15">
        <f t="shared" ref="BY6:BY12" si="8">COUNTIF(B6:BN6,"FL")/2</f>
        <v>0</v>
      </c>
      <c r="BZ6" s="15">
        <f t="shared" ref="BZ6:BZ12" si="9">COUNTIF(B6:BN6,"SICK")/2</f>
        <v>0</v>
      </c>
      <c r="CA6" s="15">
        <f t="shared" ref="CA6:CA12" si="10">COUNTIF(B6:BN6,"HD")/2</f>
        <v>0</v>
      </c>
      <c r="CB6" s="15">
        <f t="shared" ref="CB6:CB12" si="11">COUNTIF(B6:BN6,"AB")/2</f>
        <v>0</v>
      </c>
      <c r="CC6" s="15">
        <f t="shared" ref="CC6:CC12" si="12">COUNTIF(B6:BN6,"NL")/2</f>
        <v>0</v>
      </c>
      <c r="CD6" s="15">
        <f t="shared" ref="CD6:CD12" si="13">COUNTIF(B6:BN6,"SP")/2</f>
        <v>0</v>
      </c>
      <c r="CE6" s="16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7">
        <f>SUM(CH6:CQ6)</f>
        <v>0</v>
      </c>
    </row>
    <row r="7" spans="1:96" ht="22.5" customHeight="1" x14ac:dyDescent="0.25">
      <c r="A7" s="96">
        <v>3</v>
      </c>
      <c r="B7" s="8" t="s">
        <v>85</v>
      </c>
      <c r="C7" s="91" t="s">
        <v>29</v>
      </c>
      <c r="D7" s="101">
        <v>43423</v>
      </c>
      <c r="E7" s="104">
        <v>46296.331875000003</v>
      </c>
      <c r="F7" s="104">
        <v>0</v>
      </c>
      <c r="G7" s="220" t="s">
        <v>15</v>
      </c>
      <c r="H7" s="220" t="s">
        <v>15</v>
      </c>
      <c r="I7" s="104">
        <v>46298.330983796295</v>
      </c>
      <c r="J7" s="104">
        <v>0</v>
      </c>
      <c r="K7" s="104">
        <v>46299.330370370371</v>
      </c>
      <c r="L7" s="104">
        <v>46299.973414351851</v>
      </c>
      <c r="M7" s="104">
        <v>46300.332129629627</v>
      </c>
      <c r="N7" s="104">
        <v>0</v>
      </c>
      <c r="O7" s="104">
        <v>46301.331562500003</v>
      </c>
      <c r="P7" s="104">
        <v>0</v>
      </c>
      <c r="Q7" s="104">
        <v>46302.331284722219</v>
      </c>
      <c r="R7" s="104">
        <v>0</v>
      </c>
      <c r="S7" s="104">
        <v>46303.333599537036</v>
      </c>
      <c r="T7" s="104">
        <v>0</v>
      </c>
      <c r="U7" s="104">
        <v>46304.563645833332</v>
      </c>
      <c r="V7" s="104">
        <v>46304.563645833332</v>
      </c>
      <c r="W7" s="104">
        <v>46305.332002314812</v>
      </c>
      <c r="X7" s="104">
        <v>0</v>
      </c>
      <c r="Y7" s="104">
        <v>46306.334432870368</v>
      </c>
      <c r="Z7" s="104">
        <v>0</v>
      </c>
      <c r="AA7" s="104">
        <v>46307.332627314812</v>
      </c>
      <c r="AB7" s="104">
        <v>0</v>
      </c>
      <c r="AC7" s="104">
        <v>46308.334143518521</v>
      </c>
      <c r="AD7" s="104">
        <v>0</v>
      </c>
      <c r="AE7" s="104">
        <v>46309.358078703706</v>
      </c>
      <c r="AF7" s="104">
        <v>0</v>
      </c>
      <c r="AG7" s="104">
        <v>46310.332812499997</v>
      </c>
      <c r="AH7" s="104">
        <v>0</v>
      </c>
      <c r="AI7" s="84"/>
      <c r="AJ7" s="139">
        <v>3</v>
      </c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3"/>
      <c r="BP7" s="103"/>
      <c r="BQ7" s="13">
        <f t="shared" si="1"/>
        <v>15</v>
      </c>
      <c r="BR7" s="63"/>
      <c r="BS7" s="14">
        <f t="shared" si="2"/>
        <v>14</v>
      </c>
      <c r="BT7" s="15">
        <f t="shared" si="3"/>
        <v>1</v>
      </c>
      <c r="BU7" s="15">
        <f t="shared" si="4"/>
        <v>0</v>
      </c>
      <c r="BV7" s="15">
        <f t="shared" si="5"/>
        <v>0</v>
      </c>
      <c r="BW7" s="15">
        <f t="shared" si="6"/>
        <v>0</v>
      </c>
      <c r="BX7" s="15">
        <f t="shared" si="7"/>
        <v>0</v>
      </c>
      <c r="BY7" s="15">
        <f t="shared" si="8"/>
        <v>0</v>
      </c>
      <c r="BZ7" s="15">
        <f t="shared" si="9"/>
        <v>0</v>
      </c>
      <c r="CA7" s="15">
        <f t="shared" si="10"/>
        <v>0</v>
      </c>
      <c r="CB7" s="15">
        <f t="shared" si="11"/>
        <v>0</v>
      </c>
      <c r="CC7" s="15">
        <f t="shared" si="12"/>
        <v>0</v>
      </c>
      <c r="CD7" s="15">
        <f t="shared" si="13"/>
        <v>0</v>
      </c>
      <c r="CE7" s="2"/>
      <c r="CH7" s="53">
        <v>0</v>
      </c>
      <c r="CI7" s="53">
        <v>0</v>
      </c>
      <c r="CJ7" s="53">
        <v>60</v>
      </c>
      <c r="CK7" s="53">
        <v>0</v>
      </c>
      <c r="CL7" s="53">
        <v>0</v>
      </c>
      <c r="CM7" s="53">
        <v>1</v>
      </c>
      <c r="CN7" s="53">
        <v>0</v>
      </c>
      <c r="CO7" s="53">
        <v>0</v>
      </c>
      <c r="CP7" s="53">
        <v>0</v>
      </c>
      <c r="CQ7" s="53">
        <v>0</v>
      </c>
      <c r="CR7" s="53">
        <f t="shared" si="0"/>
        <v>61</v>
      </c>
    </row>
    <row r="8" spans="1:96" ht="22.5" customHeight="1" x14ac:dyDescent="0.25">
      <c r="A8" s="96">
        <v>4</v>
      </c>
      <c r="B8" s="97" t="s">
        <v>104</v>
      </c>
      <c r="C8" s="98" t="s">
        <v>105</v>
      </c>
      <c r="D8" s="66">
        <v>45612</v>
      </c>
      <c r="E8" s="104">
        <v>46296.334826388891</v>
      </c>
      <c r="F8" s="104">
        <v>0</v>
      </c>
      <c r="G8" s="220" t="s">
        <v>15</v>
      </c>
      <c r="H8" s="220" t="s">
        <v>15</v>
      </c>
      <c r="I8" s="222" t="s">
        <v>97</v>
      </c>
      <c r="J8" s="222" t="s">
        <v>97</v>
      </c>
      <c r="K8" s="104">
        <v>46299.331759259258</v>
      </c>
      <c r="L8" s="104">
        <v>46299.948194444441</v>
      </c>
      <c r="M8" s="104">
        <v>46300.333240740743</v>
      </c>
      <c r="N8" s="104">
        <v>46300.947997685187</v>
      </c>
      <c r="O8" s="104">
        <v>46301.335555555554</v>
      </c>
      <c r="P8" s="104">
        <v>0</v>
      </c>
      <c r="Q8" s="104">
        <v>46302.335289351853</v>
      </c>
      <c r="R8" s="104">
        <v>46302.973553240743</v>
      </c>
      <c r="S8" s="104">
        <v>46303.33388888889</v>
      </c>
      <c r="T8" s="104">
        <v>46303.964398148149</v>
      </c>
      <c r="U8" s="104">
        <v>46304.561898148146</v>
      </c>
      <c r="V8" s="104">
        <v>46304.561898148146</v>
      </c>
      <c r="W8" s="104">
        <v>46305.333599537036</v>
      </c>
      <c r="X8" s="104">
        <v>46305.961296296293</v>
      </c>
      <c r="Y8" s="104">
        <v>46306.334618055553</v>
      </c>
      <c r="Z8" s="104">
        <v>46306.951261574075</v>
      </c>
      <c r="AA8" s="104">
        <v>46307.334687499999</v>
      </c>
      <c r="AB8" s="104">
        <v>46307.959814814814</v>
      </c>
      <c r="AC8" s="104">
        <v>46308.336793981478</v>
      </c>
      <c r="AD8" s="104">
        <v>46308.947847222225</v>
      </c>
      <c r="AE8" s="104">
        <v>46309.334872685184</v>
      </c>
      <c r="AF8" s="104">
        <v>0</v>
      </c>
      <c r="AG8" s="104">
        <v>46310.333124999997</v>
      </c>
      <c r="AH8" s="104">
        <v>0.98333333333333339</v>
      </c>
      <c r="AI8" s="84"/>
      <c r="AJ8" s="139">
        <v>4</v>
      </c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3"/>
      <c r="BP8" s="103"/>
      <c r="BQ8" s="13">
        <f t="shared" si="1"/>
        <v>15</v>
      </c>
      <c r="BR8" s="99"/>
      <c r="BS8" s="14">
        <f t="shared" si="2"/>
        <v>13</v>
      </c>
      <c r="BT8" s="15">
        <f t="shared" si="3"/>
        <v>1</v>
      </c>
      <c r="BU8" s="15">
        <f t="shared" si="4"/>
        <v>0</v>
      </c>
      <c r="BV8" s="15">
        <f t="shared" si="5"/>
        <v>0</v>
      </c>
      <c r="BW8" s="15">
        <f t="shared" si="6"/>
        <v>0</v>
      </c>
      <c r="BX8" s="15">
        <f t="shared" si="7"/>
        <v>0</v>
      </c>
      <c r="BY8" s="15">
        <f t="shared" si="8"/>
        <v>0</v>
      </c>
      <c r="BZ8" s="15">
        <f t="shared" si="9"/>
        <v>1</v>
      </c>
      <c r="CA8" s="15">
        <f t="shared" si="10"/>
        <v>0</v>
      </c>
      <c r="CB8" s="15">
        <f t="shared" si="11"/>
        <v>0</v>
      </c>
      <c r="CC8" s="15">
        <f t="shared" si="12"/>
        <v>0</v>
      </c>
      <c r="CD8" s="15">
        <f t="shared" si="13"/>
        <v>0</v>
      </c>
      <c r="CE8" s="3"/>
      <c r="CH8" s="53">
        <v>0</v>
      </c>
      <c r="CI8" s="52">
        <v>0</v>
      </c>
      <c r="CJ8" s="52">
        <v>0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7">
        <f>SUM(CH8:CQ8)</f>
        <v>0</v>
      </c>
    </row>
    <row r="9" spans="1:96" ht="22.5" customHeight="1" x14ac:dyDescent="0.25">
      <c r="A9" s="96">
        <v>5</v>
      </c>
      <c r="B9" s="8" t="s">
        <v>38</v>
      </c>
      <c r="C9" s="91" t="s">
        <v>101</v>
      </c>
      <c r="D9" s="101">
        <v>46078</v>
      </c>
      <c r="E9" s="104">
        <v>46296.370659722219</v>
      </c>
      <c r="F9" s="104">
        <v>0</v>
      </c>
      <c r="G9" s="104">
        <v>46297.348368055558</v>
      </c>
      <c r="H9" s="104">
        <v>46297.864791666667</v>
      </c>
      <c r="I9" s="104">
        <v>46298.381192129629</v>
      </c>
      <c r="J9" s="104">
        <v>46298.827847222223</v>
      </c>
      <c r="K9" s="104">
        <v>0</v>
      </c>
      <c r="L9" s="104">
        <v>46299.830231481479</v>
      </c>
      <c r="M9" s="104">
        <v>46300.374432870369</v>
      </c>
      <c r="N9" s="104">
        <v>46300.851701388892</v>
      </c>
      <c r="O9" s="104">
        <v>0</v>
      </c>
      <c r="P9" s="104">
        <v>46301.848414351851</v>
      </c>
      <c r="Q9" s="104">
        <v>0</v>
      </c>
      <c r="R9" s="104">
        <v>46302.819039351853</v>
      </c>
      <c r="S9" s="104">
        <v>0</v>
      </c>
      <c r="T9" s="104">
        <v>0</v>
      </c>
      <c r="U9" s="220" t="s">
        <v>15</v>
      </c>
      <c r="V9" s="220" t="s">
        <v>15</v>
      </c>
      <c r="W9" s="104">
        <v>0</v>
      </c>
      <c r="X9" s="104">
        <v>46305.859594907408</v>
      </c>
      <c r="Y9" s="104">
        <v>0</v>
      </c>
      <c r="Z9" s="104">
        <v>46306.830081018517</v>
      </c>
      <c r="AA9" s="104">
        <v>0</v>
      </c>
      <c r="AB9" s="104">
        <v>46307.852326388886</v>
      </c>
      <c r="AC9" s="104">
        <v>0</v>
      </c>
      <c r="AD9" s="104">
        <v>46308.784548611111</v>
      </c>
      <c r="AE9" s="104">
        <v>0</v>
      </c>
      <c r="AF9" s="104">
        <v>46309.859537037039</v>
      </c>
      <c r="AG9" s="104">
        <v>0</v>
      </c>
      <c r="AH9" s="104">
        <v>0</v>
      </c>
      <c r="AI9" s="84"/>
      <c r="AJ9" s="139">
        <v>5</v>
      </c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3"/>
      <c r="BP9" s="103"/>
      <c r="BQ9" s="13">
        <f t="shared" si="1"/>
        <v>15</v>
      </c>
      <c r="BR9" s="63"/>
      <c r="BS9" s="14">
        <f t="shared" si="2"/>
        <v>14</v>
      </c>
      <c r="BT9" s="15">
        <f t="shared" si="3"/>
        <v>1</v>
      </c>
      <c r="BU9" s="15">
        <f t="shared" si="4"/>
        <v>0</v>
      </c>
      <c r="BV9" s="15">
        <f t="shared" si="5"/>
        <v>0</v>
      </c>
      <c r="BW9" s="15">
        <f t="shared" si="6"/>
        <v>0</v>
      </c>
      <c r="BX9" s="15">
        <f t="shared" si="7"/>
        <v>0</v>
      </c>
      <c r="BY9" s="15">
        <f t="shared" si="8"/>
        <v>0</v>
      </c>
      <c r="BZ9" s="15">
        <f t="shared" si="9"/>
        <v>0</v>
      </c>
      <c r="CA9" s="15">
        <f t="shared" si="10"/>
        <v>0</v>
      </c>
      <c r="CB9" s="15">
        <f t="shared" si="11"/>
        <v>0</v>
      </c>
      <c r="CC9" s="15">
        <f t="shared" si="12"/>
        <v>0</v>
      </c>
      <c r="CD9" s="15">
        <f t="shared" si="13"/>
        <v>0</v>
      </c>
      <c r="CE9" s="137"/>
      <c r="CH9" s="53">
        <v>0</v>
      </c>
      <c r="CI9" s="53">
        <v>0</v>
      </c>
      <c r="CJ9" s="53">
        <v>0</v>
      </c>
      <c r="CK9" s="53">
        <v>0</v>
      </c>
      <c r="CL9" s="53">
        <v>0</v>
      </c>
      <c r="CM9" s="53">
        <v>0</v>
      </c>
      <c r="CN9" s="53">
        <v>0</v>
      </c>
      <c r="CO9" s="53">
        <v>0</v>
      </c>
      <c r="CP9" s="53">
        <v>0</v>
      </c>
      <c r="CQ9" s="53">
        <v>0</v>
      </c>
      <c r="CR9" s="57">
        <f t="shared" si="0"/>
        <v>0</v>
      </c>
    </row>
    <row r="10" spans="1:96" ht="22.5" customHeight="1" x14ac:dyDescent="0.25">
      <c r="A10" s="96">
        <v>6</v>
      </c>
      <c r="B10" s="8" t="str">
        <f>'[1]Hulhumale Staffs_ Sep 2025'!B9</f>
        <v>MAD0569</v>
      </c>
      <c r="C10" s="91" t="s">
        <v>31</v>
      </c>
      <c r="D10" s="101">
        <v>45295</v>
      </c>
      <c r="E10" s="104">
        <v>46296.32503472222</v>
      </c>
      <c r="F10" s="104">
        <v>0</v>
      </c>
      <c r="G10" s="104">
        <v>46297.319050925929</v>
      </c>
      <c r="H10" s="104">
        <v>0</v>
      </c>
      <c r="I10" s="104">
        <v>46298.30877314815</v>
      </c>
      <c r="J10" s="104">
        <v>0</v>
      </c>
      <c r="K10" s="104">
        <v>46299.322442129633</v>
      </c>
      <c r="L10" s="104">
        <v>46299.860162037039</v>
      </c>
      <c r="M10" s="104">
        <v>46300.320150462961</v>
      </c>
      <c r="N10" s="104">
        <v>46300.881157407406</v>
      </c>
      <c r="O10" s="104">
        <v>46301.317303240743</v>
      </c>
      <c r="P10" s="104">
        <v>46301.914861111109</v>
      </c>
      <c r="Q10" s="104">
        <v>46302.320405092592</v>
      </c>
      <c r="R10" s="104">
        <v>46302.863483796296</v>
      </c>
      <c r="S10" s="104">
        <v>46303.324108796296</v>
      </c>
      <c r="T10" s="104">
        <v>46303.882743055554</v>
      </c>
      <c r="U10" s="104">
        <v>46304.321712962963</v>
      </c>
      <c r="V10" s="104">
        <v>46304.321712962963</v>
      </c>
      <c r="W10" s="104">
        <v>46305.310370370367</v>
      </c>
      <c r="X10" s="104">
        <v>46305.871458333335</v>
      </c>
      <c r="Y10" s="104">
        <v>46306.313680555555</v>
      </c>
      <c r="Z10" s="104">
        <v>46306.866736111115</v>
      </c>
      <c r="AA10" s="104">
        <v>46307.311666666668</v>
      </c>
      <c r="AB10" s="104">
        <v>46307.880439814813</v>
      </c>
      <c r="AC10" s="104">
        <v>46308.327268518522</v>
      </c>
      <c r="AD10" s="104">
        <v>46308.8671875</v>
      </c>
      <c r="AE10" s="104">
        <v>46309.326215277775</v>
      </c>
      <c r="AF10" s="104">
        <v>46309.856030092589</v>
      </c>
      <c r="AG10" s="104">
        <v>46310.322222222225</v>
      </c>
      <c r="AH10" s="104">
        <v>0.87291666666666667</v>
      </c>
      <c r="AI10" s="90"/>
      <c r="AJ10" s="139">
        <v>6</v>
      </c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3"/>
      <c r="BP10" s="103"/>
      <c r="BQ10" s="13">
        <f t="shared" si="1"/>
        <v>15</v>
      </c>
      <c r="BR10" s="63"/>
      <c r="BS10" s="14">
        <f t="shared" si="2"/>
        <v>15</v>
      </c>
      <c r="BT10" s="15">
        <f t="shared" si="3"/>
        <v>0</v>
      </c>
      <c r="BU10" s="15">
        <f t="shared" si="4"/>
        <v>0</v>
      </c>
      <c r="BV10" s="15">
        <f t="shared" si="5"/>
        <v>0</v>
      </c>
      <c r="BW10" s="15">
        <f t="shared" si="6"/>
        <v>0</v>
      </c>
      <c r="BX10" s="15">
        <f t="shared" si="7"/>
        <v>0</v>
      </c>
      <c r="BY10" s="15">
        <f t="shared" si="8"/>
        <v>0</v>
      </c>
      <c r="BZ10" s="15">
        <f t="shared" si="9"/>
        <v>0</v>
      </c>
      <c r="CA10" s="15">
        <f t="shared" si="10"/>
        <v>0</v>
      </c>
      <c r="CB10" s="15">
        <f t="shared" si="11"/>
        <v>0</v>
      </c>
      <c r="CC10" s="15">
        <f t="shared" si="12"/>
        <v>0</v>
      </c>
      <c r="CD10" s="15">
        <f t="shared" si="13"/>
        <v>0</v>
      </c>
      <c r="CE10" s="137"/>
      <c r="CH10" s="53">
        <v>0</v>
      </c>
      <c r="CI10" s="53">
        <v>0</v>
      </c>
      <c r="CJ10" s="53">
        <v>25</v>
      </c>
      <c r="CK10" s="53">
        <v>0</v>
      </c>
      <c r="CL10" s="53">
        <v>0</v>
      </c>
      <c r="CM10" s="53">
        <v>0</v>
      </c>
      <c r="CN10" s="53">
        <v>0</v>
      </c>
      <c r="CO10" s="53">
        <v>0</v>
      </c>
      <c r="CP10" s="53">
        <v>0</v>
      </c>
      <c r="CQ10" s="53">
        <v>0</v>
      </c>
      <c r="CR10" s="57">
        <f t="shared" si="0"/>
        <v>25</v>
      </c>
    </row>
    <row r="11" spans="1:96" s="110" customFormat="1" ht="22.5" customHeight="1" x14ac:dyDescent="0.25">
      <c r="A11" s="96">
        <v>7</v>
      </c>
      <c r="B11" s="8" t="s">
        <v>110</v>
      </c>
      <c r="C11" s="91" t="s">
        <v>30</v>
      </c>
      <c r="D11" s="92">
        <v>44887</v>
      </c>
      <c r="E11" s="104">
        <v>46296.348333333335</v>
      </c>
      <c r="F11" s="104">
        <v>0</v>
      </c>
      <c r="G11" s="104">
        <v>46297.12358796296</v>
      </c>
      <c r="H11" s="104">
        <v>46297.88490740741</v>
      </c>
      <c r="I11" s="104">
        <v>46298.368923611109</v>
      </c>
      <c r="J11" s="104">
        <v>0</v>
      </c>
      <c r="K11" s="104">
        <v>46299.332928240743</v>
      </c>
      <c r="L11" s="104">
        <v>46299.879594907405</v>
      </c>
      <c r="M11" s="104">
        <v>46300.352569444447</v>
      </c>
      <c r="N11" s="104">
        <v>46300.916481481479</v>
      </c>
      <c r="O11" s="104">
        <v>0</v>
      </c>
      <c r="P11" s="104">
        <v>46301.929803240739</v>
      </c>
      <c r="Q11" s="104">
        <v>46302.349027777775</v>
      </c>
      <c r="R11" s="104">
        <v>46302.95894675926</v>
      </c>
      <c r="S11" s="104">
        <v>46303.001527777778</v>
      </c>
      <c r="T11" s="104">
        <v>0</v>
      </c>
      <c r="U11" s="220" t="s">
        <v>15</v>
      </c>
      <c r="V11" s="220" t="s">
        <v>15</v>
      </c>
      <c r="W11" s="104">
        <v>46305.346805555557</v>
      </c>
      <c r="X11" s="104">
        <v>46305.911886574075</v>
      </c>
      <c r="Y11" s="104">
        <v>46306.376018518517</v>
      </c>
      <c r="Z11" s="104">
        <v>0</v>
      </c>
      <c r="AA11" s="104">
        <v>46307.349351851852</v>
      </c>
      <c r="AB11" s="104">
        <v>0</v>
      </c>
      <c r="AC11" s="104">
        <v>46308.302824074075</v>
      </c>
      <c r="AD11" s="104">
        <v>46308.96371527778</v>
      </c>
      <c r="AE11" s="104">
        <v>46309.310300925928</v>
      </c>
      <c r="AF11" s="104">
        <v>46309.943969907406</v>
      </c>
      <c r="AG11" s="104">
        <v>46310.341365740744</v>
      </c>
      <c r="AH11" s="104">
        <v>0</v>
      </c>
      <c r="AI11" s="59"/>
      <c r="AJ11" s="139">
        <v>8</v>
      </c>
      <c r="AK11" s="104"/>
      <c r="AL11" s="104"/>
      <c r="AM11" s="133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3"/>
      <c r="BP11" s="103"/>
      <c r="BQ11" s="13">
        <f t="shared" si="1"/>
        <v>15</v>
      </c>
      <c r="BR11" s="63"/>
      <c r="BS11" s="14">
        <f t="shared" si="2"/>
        <v>14</v>
      </c>
      <c r="BT11" s="15">
        <f t="shared" si="3"/>
        <v>1</v>
      </c>
      <c r="BU11" s="15">
        <f t="shared" si="4"/>
        <v>0</v>
      </c>
      <c r="BV11" s="15">
        <f t="shared" si="5"/>
        <v>0</v>
      </c>
      <c r="BW11" s="15">
        <f t="shared" si="6"/>
        <v>0</v>
      </c>
      <c r="BX11" s="15">
        <f t="shared" si="7"/>
        <v>0</v>
      </c>
      <c r="BY11" s="15">
        <f t="shared" si="8"/>
        <v>0</v>
      </c>
      <c r="BZ11" s="15">
        <f t="shared" si="9"/>
        <v>0</v>
      </c>
      <c r="CA11" s="15">
        <f t="shared" si="10"/>
        <v>0</v>
      </c>
      <c r="CB11" s="15">
        <f t="shared" si="11"/>
        <v>0</v>
      </c>
      <c r="CC11" s="15">
        <f t="shared" si="12"/>
        <v>0</v>
      </c>
      <c r="CD11" s="15">
        <f t="shared" si="13"/>
        <v>0</v>
      </c>
      <c r="CE11" s="62"/>
      <c r="CF11"/>
      <c r="CG11"/>
      <c r="CH11" s="53">
        <v>0</v>
      </c>
      <c r="CI11" s="53">
        <v>0</v>
      </c>
      <c r="CJ11" s="53">
        <v>0</v>
      </c>
      <c r="CK11" s="53">
        <v>0</v>
      </c>
      <c r="CL11" s="53">
        <v>0</v>
      </c>
      <c r="CM11" s="53">
        <v>0</v>
      </c>
      <c r="CN11" s="53">
        <v>0</v>
      </c>
      <c r="CO11" s="53">
        <v>0</v>
      </c>
      <c r="CP11" s="53">
        <v>0</v>
      </c>
      <c r="CQ11" s="53">
        <v>0</v>
      </c>
      <c r="CR11" s="57">
        <f>SUM(CH11:CQ11)</f>
        <v>0</v>
      </c>
    </row>
    <row r="12" spans="1:96" ht="22.5" customHeight="1" x14ac:dyDescent="0.25">
      <c r="A12" s="96">
        <v>8</v>
      </c>
      <c r="B12" s="8" t="s">
        <v>112</v>
      </c>
      <c r="C12" s="93" t="s">
        <v>111</v>
      </c>
      <c r="D12" s="92">
        <v>46247</v>
      </c>
      <c r="E12" s="104">
        <v>46296.353958333333</v>
      </c>
      <c r="F12" s="104">
        <v>0</v>
      </c>
      <c r="G12" s="104">
        <v>46297.562256944446</v>
      </c>
      <c r="H12" s="104">
        <v>0</v>
      </c>
      <c r="I12" s="104">
        <v>46298.348495370374</v>
      </c>
      <c r="J12" s="104">
        <v>46298.995416666665</v>
      </c>
      <c r="K12" s="104">
        <v>46299.348981481482</v>
      </c>
      <c r="L12" s="104">
        <v>0</v>
      </c>
      <c r="M12" s="104">
        <v>46300.350937499999</v>
      </c>
      <c r="N12" s="104">
        <v>46300.973796296297</v>
      </c>
      <c r="O12" s="104">
        <v>46301.349236111113</v>
      </c>
      <c r="P12" s="104">
        <v>46301.978645833333</v>
      </c>
      <c r="Q12" s="104">
        <v>46302.349259259259</v>
      </c>
      <c r="R12" s="104">
        <v>0</v>
      </c>
      <c r="S12" s="104">
        <v>46303.351956018516</v>
      </c>
      <c r="T12" s="104">
        <v>46303.9919212963</v>
      </c>
      <c r="U12" s="220" t="s">
        <v>15</v>
      </c>
      <c r="V12" s="220" t="s">
        <v>15</v>
      </c>
      <c r="W12" s="104">
        <v>46305.349826388891</v>
      </c>
      <c r="X12" s="104">
        <v>0</v>
      </c>
      <c r="Y12" s="104">
        <v>46306.351238425923</v>
      </c>
      <c r="Z12" s="104">
        <v>0</v>
      </c>
      <c r="AA12" s="104">
        <v>46307.350601851853</v>
      </c>
      <c r="AB12" s="104">
        <v>0</v>
      </c>
      <c r="AC12" s="104">
        <v>46308.348645833335</v>
      </c>
      <c r="AD12" s="104">
        <v>0</v>
      </c>
      <c r="AE12" s="104">
        <v>46309.350162037037</v>
      </c>
      <c r="AF12" s="104">
        <v>0</v>
      </c>
      <c r="AG12" s="104">
        <v>46310.350312499999</v>
      </c>
      <c r="AH12" s="104">
        <v>0.98333333333333339</v>
      </c>
      <c r="AI12" s="90"/>
      <c r="AJ12" s="139">
        <v>9</v>
      </c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219"/>
      <c r="AZ12" s="219"/>
      <c r="BA12" s="104"/>
      <c r="BB12" s="104"/>
      <c r="BC12" s="104"/>
      <c r="BD12" s="104"/>
      <c r="BE12" s="104"/>
      <c r="BF12" s="219"/>
      <c r="BG12" s="219"/>
      <c r="BH12" s="219"/>
      <c r="BI12" s="219"/>
      <c r="BJ12" s="219"/>
      <c r="BK12" s="219"/>
      <c r="BL12" s="219"/>
      <c r="BM12" s="219"/>
      <c r="BN12" s="219"/>
      <c r="BO12" s="104"/>
      <c r="BP12" s="104"/>
      <c r="BQ12" s="13">
        <f t="shared" si="1"/>
        <v>15</v>
      </c>
      <c r="BR12" s="63"/>
      <c r="BS12" s="14">
        <f t="shared" si="2"/>
        <v>14</v>
      </c>
      <c r="BT12" s="15">
        <f t="shared" si="3"/>
        <v>1</v>
      </c>
      <c r="BU12" s="15">
        <f t="shared" si="4"/>
        <v>0</v>
      </c>
      <c r="BV12" s="15">
        <f t="shared" si="5"/>
        <v>0</v>
      </c>
      <c r="BW12" s="15">
        <f t="shared" si="6"/>
        <v>0</v>
      </c>
      <c r="BX12" s="15">
        <f t="shared" si="7"/>
        <v>0</v>
      </c>
      <c r="BY12" s="15">
        <f t="shared" si="8"/>
        <v>0</v>
      </c>
      <c r="BZ12" s="15">
        <f t="shared" si="9"/>
        <v>0</v>
      </c>
      <c r="CA12" s="15">
        <f t="shared" si="10"/>
        <v>0</v>
      </c>
      <c r="CB12" s="15">
        <f t="shared" si="11"/>
        <v>0</v>
      </c>
      <c r="CC12" s="15">
        <f t="shared" si="12"/>
        <v>0</v>
      </c>
      <c r="CD12" s="15">
        <f t="shared" si="13"/>
        <v>0</v>
      </c>
      <c r="CE12" s="62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1"/>
    </row>
    <row r="13" spans="1:96" ht="22.5" customHeight="1" x14ac:dyDescent="0.25">
      <c r="A13" s="111"/>
      <c r="B13" s="112"/>
      <c r="C13" s="113"/>
      <c r="D13" s="114"/>
      <c r="E13" s="90"/>
      <c r="F13" s="90"/>
      <c r="G13" s="90"/>
      <c r="H13" s="84"/>
      <c r="I13" s="90"/>
      <c r="J13" s="90"/>
      <c r="K13" s="115"/>
      <c r="L13" s="115"/>
      <c r="M13" s="115"/>
      <c r="N13" s="115"/>
      <c r="S13" s="90"/>
      <c r="T13" s="90"/>
      <c r="U13" s="90"/>
      <c r="V13" s="90"/>
      <c r="W13" s="90"/>
      <c r="X13" s="90"/>
      <c r="Y13" s="90"/>
      <c r="Z13" s="90"/>
      <c r="AA13" s="116"/>
      <c r="AB13" s="116"/>
      <c r="AC13" s="90"/>
      <c r="AD13" s="90"/>
      <c r="AE13" s="90"/>
      <c r="AF13" s="90"/>
      <c r="AG13" s="90"/>
      <c r="AH13" s="90"/>
      <c r="AI13" s="90"/>
      <c r="AJ13" s="111"/>
      <c r="AK13" s="117"/>
      <c r="AL13" s="117"/>
      <c r="AM13" s="117"/>
      <c r="AN13" s="117"/>
      <c r="AO13" s="117"/>
      <c r="AP13" s="117"/>
      <c r="AQ13" s="118"/>
      <c r="AR13" s="118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9"/>
      <c r="BF13" s="119"/>
      <c r="BG13" s="117"/>
      <c r="BH13" s="117"/>
      <c r="BI13" s="117"/>
      <c r="BJ13" s="117"/>
      <c r="BK13" s="117"/>
      <c r="BL13" s="117"/>
      <c r="BM13" s="117"/>
      <c r="BN13" s="115"/>
      <c r="BO13" s="115"/>
      <c r="BP13" s="115"/>
      <c r="BQ13" s="120"/>
      <c r="BR13" s="120"/>
      <c r="BS13" s="121"/>
      <c r="BT13" s="122"/>
      <c r="BU13" s="123"/>
      <c r="BV13" s="123" t="s">
        <v>82</v>
      </c>
      <c r="BW13" s="123"/>
      <c r="BX13" s="123"/>
      <c r="BY13" s="123"/>
      <c r="BZ13" s="123"/>
      <c r="CA13" s="123"/>
      <c r="CB13" s="123"/>
      <c r="CC13" s="123"/>
      <c r="CD13" s="123"/>
      <c r="CE13" s="124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105"/>
    </row>
    <row r="14" spans="1:96" s="110" customFormat="1" ht="24" customHeight="1" x14ac:dyDescent="0.25">
      <c r="A14" s="229" t="s">
        <v>126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1"/>
      <c r="AI14" s="132"/>
      <c r="AJ14" s="235" t="s">
        <v>125</v>
      </c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/>
      <c r="CG14"/>
    </row>
    <row r="15" spans="1:96" ht="18.75" customHeight="1" x14ac:dyDescent="0.25">
      <c r="A15" s="225" t="s">
        <v>33</v>
      </c>
      <c r="B15" s="225"/>
      <c r="C15" s="225"/>
      <c r="D15" s="127"/>
      <c r="E15" s="238" t="s">
        <v>2</v>
      </c>
      <c r="F15" s="238"/>
      <c r="G15" s="238" t="s">
        <v>3</v>
      </c>
      <c r="H15" s="238"/>
      <c r="I15" s="238" t="s">
        <v>4</v>
      </c>
      <c r="J15" s="238"/>
      <c r="K15" s="238" t="s">
        <v>5</v>
      </c>
      <c r="L15" s="238"/>
      <c r="M15" s="238" t="s">
        <v>6</v>
      </c>
      <c r="N15" s="238"/>
      <c r="O15" s="238" t="s">
        <v>7</v>
      </c>
      <c r="P15" s="238"/>
      <c r="Q15" s="238" t="s">
        <v>1</v>
      </c>
      <c r="R15" s="238"/>
      <c r="S15" s="238" t="s">
        <v>2</v>
      </c>
      <c r="T15" s="238"/>
      <c r="U15" s="238" t="s">
        <v>3</v>
      </c>
      <c r="V15" s="238"/>
      <c r="W15" s="238" t="s">
        <v>4</v>
      </c>
      <c r="X15" s="238"/>
      <c r="Y15" s="238" t="s">
        <v>5</v>
      </c>
      <c r="Z15" s="238"/>
      <c r="AA15" s="238" t="s">
        <v>6</v>
      </c>
      <c r="AB15" s="238"/>
      <c r="AC15" s="238" t="s">
        <v>7</v>
      </c>
      <c r="AD15" s="238"/>
      <c r="AE15" s="238" t="s">
        <v>1</v>
      </c>
      <c r="AF15" s="238"/>
      <c r="AG15" s="238" t="s">
        <v>2</v>
      </c>
      <c r="AH15" s="238"/>
      <c r="AI15" s="88"/>
      <c r="AJ15" s="128"/>
      <c r="AK15" s="238" t="s">
        <v>3</v>
      </c>
      <c r="AL15" s="238"/>
      <c r="AM15" s="238" t="s">
        <v>4</v>
      </c>
      <c r="AN15" s="238"/>
      <c r="AO15" s="238" t="s">
        <v>5</v>
      </c>
      <c r="AP15" s="238"/>
      <c r="AQ15" s="238" t="s">
        <v>6</v>
      </c>
      <c r="AR15" s="238"/>
      <c r="AS15" s="238" t="s">
        <v>7</v>
      </c>
      <c r="AT15" s="238"/>
      <c r="AU15" s="238" t="s">
        <v>1</v>
      </c>
      <c r="AV15" s="238"/>
      <c r="AW15" s="238" t="s">
        <v>2</v>
      </c>
      <c r="AX15" s="238"/>
      <c r="AY15" s="238" t="s">
        <v>3</v>
      </c>
      <c r="AZ15" s="238"/>
      <c r="BA15" s="238" t="s">
        <v>4</v>
      </c>
      <c r="BB15" s="238"/>
      <c r="BC15" s="238" t="s">
        <v>5</v>
      </c>
      <c r="BD15" s="238"/>
      <c r="BE15" s="238" t="s">
        <v>6</v>
      </c>
      <c r="BF15" s="238"/>
      <c r="BG15" s="238" t="s">
        <v>7</v>
      </c>
      <c r="BH15" s="238"/>
      <c r="BI15" s="238" t="s">
        <v>1</v>
      </c>
      <c r="BJ15" s="238"/>
      <c r="BK15" s="238" t="s">
        <v>2</v>
      </c>
      <c r="BL15" s="238"/>
      <c r="BM15" s="238" t="s">
        <v>3</v>
      </c>
      <c r="BN15" s="238"/>
      <c r="BO15" s="238" t="s">
        <v>4</v>
      </c>
      <c r="BP15" s="238"/>
      <c r="BQ15" s="228" t="s">
        <v>8</v>
      </c>
      <c r="BR15" s="228" t="s">
        <v>9</v>
      </c>
      <c r="BS15" s="129"/>
      <c r="BT15" s="129"/>
      <c r="BU15" s="129"/>
      <c r="BV15" s="129"/>
      <c r="BW15" s="129"/>
      <c r="BX15" s="129"/>
      <c r="BY15" s="129"/>
      <c r="BZ15" s="129"/>
      <c r="CA15" s="130"/>
      <c r="CB15" s="130"/>
      <c r="CC15" s="129"/>
      <c r="CD15" s="131"/>
      <c r="CE15" s="131"/>
      <c r="CH15" s="237" t="s">
        <v>83</v>
      </c>
      <c r="CI15" s="237"/>
      <c r="CJ15" s="237"/>
      <c r="CK15" s="237"/>
      <c r="CL15" s="237"/>
      <c r="CM15" s="237"/>
      <c r="CN15" s="237"/>
      <c r="CO15" s="237"/>
      <c r="CP15" s="237"/>
      <c r="CQ15" s="237"/>
      <c r="CR15" s="17"/>
    </row>
    <row r="16" spans="1:96" ht="18.75" customHeight="1" x14ac:dyDescent="0.25">
      <c r="A16" s="225"/>
      <c r="B16" s="225"/>
      <c r="C16" s="225"/>
      <c r="D16" s="86"/>
      <c r="E16" s="227">
        <v>46296</v>
      </c>
      <c r="F16" s="227"/>
      <c r="G16" s="227">
        <v>46297</v>
      </c>
      <c r="H16" s="227"/>
      <c r="I16" s="227">
        <v>46298</v>
      </c>
      <c r="J16" s="227"/>
      <c r="K16" s="227">
        <v>46299</v>
      </c>
      <c r="L16" s="227"/>
      <c r="M16" s="227">
        <v>46300</v>
      </c>
      <c r="N16" s="227"/>
      <c r="O16" s="227">
        <v>46301</v>
      </c>
      <c r="P16" s="227"/>
      <c r="Q16" s="227">
        <v>46302</v>
      </c>
      <c r="R16" s="227"/>
      <c r="S16" s="227">
        <v>46303</v>
      </c>
      <c r="T16" s="227"/>
      <c r="U16" s="227">
        <v>46304</v>
      </c>
      <c r="V16" s="227"/>
      <c r="W16" s="227">
        <v>46305</v>
      </c>
      <c r="X16" s="227"/>
      <c r="Y16" s="227">
        <v>46306</v>
      </c>
      <c r="Z16" s="227"/>
      <c r="AA16" s="227">
        <v>46307</v>
      </c>
      <c r="AB16" s="227"/>
      <c r="AC16" s="227">
        <v>46308</v>
      </c>
      <c r="AD16" s="227"/>
      <c r="AE16" s="227">
        <v>46309</v>
      </c>
      <c r="AF16" s="227"/>
      <c r="AG16" s="227">
        <v>46310</v>
      </c>
      <c r="AH16" s="227"/>
      <c r="AI16" s="89"/>
      <c r="AJ16" s="94"/>
      <c r="AK16" s="227">
        <v>46311</v>
      </c>
      <c r="AL16" s="227"/>
      <c r="AM16" s="227">
        <v>46312</v>
      </c>
      <c r="AN16" s="227"/>
      <c r="AO16" s="227">
        <v>46313</v>
      </c>
      <c r="AP16" s="227"/>
      <c r="AQ16" s="227">
        <v>46314</v>
      </c>
      <c r="AR16" s="227"/>
      <c r="AS16" s="227">
        <v>46315</v>
      </c>
      <c r="AT16" s="227"/>
      <c r="AU16" s="227">
        <v>46316</v>
      </c>
      <c r="AV16" s="227"/>
      <c r="AW16" s="227">
        <v>46317</v>
      </c>
      <c r="AX16" s="227"/>
      <c r="AY16" s="227">
        <v>46318</v>
      </c>
      <c r="AZ16" s="227"/>
      <c r="BA16" s="227">
        <v>46319</v>
      </c>
      <c r="BB16" s="227"/>
      <c r="BC16" s="227">
        <v>46320</v>
      </c>
      <c r="BD16" s="227"/>
      <c r="BE16" s="227">
        <v>46321</v>
      </c>
      <c r="BF16" s="227"/>
      <c r="BG16" s="227">
        <v>46322</v>
      </c>
      <c r="BH16" s="227"/>
      <c r="BI16" s="227">
        <v>46323</v>
      </c>
      <c r="BJ16" s="227"/>
      <c r="BK16" s="227">
        <v>46324</v>
      </c>
      <c r="BL16" s="227"/>
      <c r="BM16" s="227">
        <v>46325</v>
      </c>
      <c r="BN16" s="227"/>
      <c r="BO16" s="227">
        <v>46326</v>
      </c>
      <c r="BP16" s="227"/>
      <c r="BQ16" s="228"/>
      <c r="BR16" s="228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H16" s="48" t="s">
        <v>100</v>
      </c>
      <c r="CI16" s="48"/>
      <c r="CJ16" s="48"/>
      <c r="CK16" s="48"/>
      <c r="CL16" s="48"/>
      <c r="CM16" s="48"/>
      <c r="CN16" s="48"/>
      <c r="CO16" s="48"/>
      <c r="CP16" s="48"/>
      <c r="CQ16" s="48"/>
      <c r="CR16" s="17"/>
    </row>
    <row r="17" spans="1:96" ht="18.75" customHeight="1" x14ac:dyDescent="0.25">
      <c r="A17" s="4" t="s">
        <v>10</v>
      </c>
      <c r="B17" s="4" t="s">
        <v>11</v>
      </c>
      <c r="C17" s="4" t="s">
        <v>12</v>
      </c>
      <c r="D17" s="4"/>
      <c r="E17" s="10" t="s">
        <v>13</v>
      </c>
      <c r="F17" s="10" t="s">
        <v>14</v>
      </c>
      <c r="G17" s="10" t="s">
        <v>13</v>
      </c>
      <c r="H17" s="10" t="s">
        <v>14</v>
      </c>
      <c r="I17" s="10" t="s">
        <v>13</v>
      </c>
      <c r="J17" s="10" t="s">
        <v>14</v>
      </c>
      <c r="K17" s="10" t="s">
        <v>13</v>
      </c>
      <c r="L17" s="10" t="s">
        <v>14</v>
      </c>
      <c r="M17" s="10" t="s">
        <v>13</v>
      </c>
      <c r="N17" s="10" t="s">
        <v>14</v>
      </c>
      <c r="O17" s="10" t="s">
        <v>13</v>
      </c>
      <c r="P17" s="10" t="s">
        <v>14</v>
      </c>
      <c r="Q17" s="10" t="s">
        <v>13</v>
      </c>
      <c r="R17" s="10" t="s">
        <v>14</v>
      </c>
      <c r="S17" s="10" t="s">
        <v>13</v>
      </c>
      <c r="T17" s="10" t="s">
        <v>14</v>
      </c>
      <c r="U17" s="10" t="s">
        <v>13</v>
      </c>
      <c r="V17" s="10" t="s">
        <v>14</v>
      </c>
      <c r="W17" s="10" t="s">
        <v>13</v>
      </c>
      <c r="X17" s="10" t="s">
        <v>14</v>
      </c>
      <c r="Y17" s="10" t="s">
        <v>13</v>
      </c>
      <c r="Z17" s="10" t="s">
        <v>14</v>
      </c>
      <c r="AA17" s="10" t="s">
        <v>13</v>
      </c>
      <c r="AB17" s="10" t="s">
        <v>14</v>
      </c>
      <c r="AC17" s="10" t="s">
        <v>13</v>
      </c>
      <c r="AD17" s="10" t="s">
        <v>14</v>
      </c>
      <c r="AE17" s="10" t="s">
        <v>13</v>
      </c>
      <c r="AF17" s="10" t="s">
        <v>14</v>
      </c>
      <c r="AG17" s="10" t="s">
        <v>13</v>
      </c>
      <c r="AH17" s="10" t="s">
        <v>14</v>
      </c>
      <c r="AI17" s="88"/>
      <c r="AJ17" s="10"/>
      <c r="AK17" s="45" t="s">
        <v>13</v>
      </c>
      <c r="AL17" s="45" t="s">
        <v>14</v>
      </c>
      <c r="AM17" s="45" t="s">
        <v>13</v>
      </c>
      <c r="AN17" s="45" t="s">
        <v>14</v>
      </c>
      <c r="AO17" s="45" t="s">
        <v>13</v>
      </c>
      <c r="AP17" s="45" t="s">
        <v>14</v>
      </c>
      <c r="AQ17" s="45" t="s">
        <v>13</v>
      </c>
      <c r="AR17" s="45" t="s">
        <v>14</v>
      </c>
      <c r="AS17" s="45" t="s">
        <v>13</v>
      </c>
      <c r="AT17" s="45" t="s">
        <v>14</v>
      </c>
      <c r="AU17" s="10" t="s">
        <v>13</v>
      </c>
      <c r="AV17" s="10" t="s">
        <v>14</v>
      </c>
      <c r="AW17" s="10" t="s">
        <v>13</v>
      </c>
      <c r="AX17" s="10" t="s">
        <v>14</v>
      </c>
      <c r="AY17" s="10" t="s">
        <v>13</v>
      </c>
      <c r="AZ17" s="10" t="s">
        <v>14</v>
      </c>
      <c r="BA17" s="10" t="s">
        <v>13</v>
      </c>
      <c r="BB17" s="10" t="s">
        <v>14</v>
      </c>
      <c r="BC17" s="10" t="s">
        <v>13</v>
      </c>
      <c r="BD17" s="10" t="s">
        <v>14</v>
      </c>
      <c r="BE17" s="10" t="s">
        <v>13</v>
      </c>
      <c r="BF17" s="10" t="s">
        <v>14</v>
      </c>
      <c r="BG17" s="10" t="s">
        <v>13</v>
      </c>
      <c r="BH17" s="10" t="s">
        <v>14</v>
      </c>
      <c r="BI17" s="10" t="s">
        <v>13</v>
      </c>
      <c r="BJ17" s="10" t="s">
        <v>14</v>
      </c>
      <c r="BK17" s="10" t="s">
        <v>13</v>
      </c>
      <c r="BL17" s="10" t="s">
        <v>14</v>
      </c>
      <c r="BM17" s="10" t="s">
        <v>13</v>
      </c>
      <c r="BN17" s="10" t="s">
        <v>14</v>
      </c>
      <c r="BO17" s="10" t="s">
        <v>13</v>
      </c>
      <c r="BP17" s="10" t="s">
        <v>14</v>
      </c>
      <c r="BQ17" s="228"/>
      <c r="BR17" s="228"/>
      <c r="BS17" s="11"/>
      <c r="BT17" s="67" t="s">
        <v>15</v>
      </c>
      <c r="BU17" s="67" t="s">
        <v>16</v>
      </c>
      <c r="BV17" s="67" t="s">
        <v>17</v>
      </c>
      <c r="BW17" s="67" t="s">
        <v>18</v>
      </c>
      <c r="BX17" s="67" t="s">
        <v>19</v>
      </c>
      <c r="BY17" s="67" t="s">
        <v>20</v>
      </c>
      <c r="BZ17" s="67" t="s">
        <v>97</v>
      </c>
      <c r="CA17" s="43" t="s">
        <v>22</v>
      </c>
      <c r="CB17" s="67" t="s">
        <v>23</v>
      </c>
      <c r="CC17" s="67" t="s">
        <v>24</v>
      </c>
      <c r="CD17" s="67" t="s">
        <v>25</v>
      </c>
      <c r="CE17" s="12" t="s">
        <v>26</v>
      </c>
      <c r="CH17" s="58" t="s">
        <v>16</v>
      </c>
      <c r="CI17" s="58" t="s">
        <v>17</v>
      </c>
      <c r="CJ17" s="58" t="s">
        <v>18</v>
      </c>
      <c r="CK17" s="58" t="s">
        <v>19</v>
      </c>
      <c r="CL17" s="58" t="s">
        <v>20</v>
      </c>
      <c r="CM17" s="58" t="s">
        <v>21</v>
      </c>
      <c r="CN17" s="58" t="s">
        <v>22</v>
      </c>
      <c r="CO17" s="58" t="s">
        <v>23</v>
      </c>
      <c r="CP17" s="58" t="s">
        <v>24</v>
      </c>
      <c r="CQ17" s="58" t="s">
        <v>25</v>
      </c>
      <c r="CR17" s="58" t="s">
        <v>84</v>
      </c>
    </row>
    <row r="18" spans="1:96" ht="22.5" customHeight="1" x14ac:dyDescent="0.25">
      <c r="A18" s="96">
        <v>9</v>
      </c>
      <c r="B18" s="8" t="s">
        <v>34</v>
      </c>
      <c r="C18" s="91" t="s">
        <v>35</v>
      </c>
      <c r="D18" s="92">
        <v>43525</v>
      </c>
      <c r="E18" s="104">
        <v>46296.34579861111</v>
      </c>
      <c r="F18" s="104">
        <v>0</v>
      </c>
      <c r="G18" s="220" t="s">
        <v>15</v>
      </c>
      <c r="H18" s="220" t="s">
        <v>15</v>
      </c>
      <c r="I18" s="104">
        <v>46298.343576388892</v>
      </c>
      <c r="J18" s="104">
        <v>0</v>
      </c>
      <c r="K18" s="104">
        <v>46299.350960648146</v>
      </c>
      <c r="L18" s="104">
        <v>0</v>
      </c>
      <c r="M18" s="104">
        <v>46300.344618055555</v>
      </c>
      <c r="N18" s="104">
        <v>0</v>
      </c>
      <c r="O18" s="104">
        <v>46301.34684027778</v>
      </c>
      <c r="P18" s="104">
        <v>0</v>
      </c>
      <c r="Q18" s="104">
        <v>46302.348043981481</v>
      </c>
      <c r="R18" s="104">
        <v>0</v>
      </c>
      <c r="S18" s="104">
        <v>46303.352731481478</v>
      </c>
      <c r="T18" s="104">
        <v>0</v>
      </c>
      <c r="U18" s="104">
        <v>46304.574907407405</v>
      </c>
      <c r="V18" s="104">
        <v>46304.574907407405</v>
      </c>
      <c r="W18" s="104">
        <v>46305.346655092595</v>
      </c>
      <c r="X18" s="104">
        <v>0</v>
      </c>
      <c r="Y18" s="104">
        <v>46306.349675925929</v>
      </c>
      <c r="Z18" s="104">
        <v>0</v>
      </c>
      <c r="AA18" s="104">
        <v>46307.343715277777</v>
      </c>
      <c r="AB18" s="104">
        <v>0</v>
      </c>
      <c r="AC18" s="104">
        <v>46308.351886574077</v>
      </c>
      <c r="AD18" s="104">
        <v>0</v>
      </c>
      <c r="AE18" s="104">
        <v>46309.347800925927</v>
      </c>
      <c r="AF18" s="104">
        <v>0</v>
      </c>
      <c r="AG18" s="104">
        <v>46310.348576388889</v>
      </c>
      <c r="AH18" s="104">
        <v>0</v>
      </c>
      <c r="AI18" s="84"/>
      <c r="AJ18" s="95">
        <v>10</v>
      </c>
      <c r="AK18" s="104"/>
      <c r="AL18" s="104"/>
      <c r="AM18" s="133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65"/>
      <c r="BP18" s="65"/>
      <c r="BQ18" s="13">
        <f>BS18+BT18+BU18+BV18+CA18+BY18+BZ18+CD18</f>
        <v>15</v>
      </c>
      <c r="BR18" s="47"/>
      <c r="BS18" s="14">
        <f>COUNT(E18:AH18)/2+COUNT(AK18:BP18)/2</f>
        <v>14</v>
      </c>
      <c r="BT18" s="15">
        <f>COUNTIF(B18:BN18,"OFF")/2</f>
        <v>1</v>
      </c>
      <c r="BU18" s="15">
        <f>COUNTIF(B18:BN18,"MC")/2</f>
        <v>0</v>
      </c>
      <c r="BV18" s="15">
        <f>COUNTIF(B18:BN18,"EL")/2</f>
        <v>0</v>
      </c>
      <c r="BW18" s="15">
        <f>COUNTIF(B18:BN18,"AL")/2</f>
        <v>0</v>
      </c>
      <c r="BX18" s="15">
        <f>COUNTIF(B18:BN18,"SUS")/2</f>
        <v>0</v>
      </c>
      <c r="BY18" s="15">
        <f>COUNTIF(B18:BN18,"FL")/2</f>
        <v>0</v>
      </c>
      <c r="BZ18" s="15">
        <f>COUNTIF(B18:BN18,"SICK")/2</f>
        <v>0</v>
      </c>
      <c r="CA18" s="15">
        <f>COUNTIF(B18:BN18,"HD")/2</f>
        <v>0</v>
      </c>
      <c r="CB18" s="15">
        <f>COUNTIF(B18:BN18,"AB")/2</f>
        <v>0</v>
      </c>
      <c r="CC18" s="15">
        <f>COUNTIF(B18:BN18,"NL")/2</f>
        <v>0</v>
      </c>
      <c r="CD18" s="15">
        <f>COUNTIF(B18:BN18,"SP")/2</f>
        <v>0</v>
      </c>
      <c r="CE18" s="16"/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54">
        <v>2</v>
      </c>
      <c r="CN18" s="55">
        <v>0</v>
      </c>
      <c r="CO18" s="55">
        <v>0</v>
      </c>
      <c r="CP18" s="55">
        <v>0</v>
      </c>
      <c r="CQ18" s="55">
        <v>0</v>
      </c>
      <c r="CR18" s="56">
        <f t="shared" ref="CR18:CR31" si="14">SUM(CH18:CQ18)</f>
        <v>2</v>
      </c>
    </row>
    <row r="19" spans="1:96" ht="22.5" customHeight="1" x14ac:dyDescent="0.25">
      <c r="A19" s="96">
        <v>10</v>
      </c>
      <c r="B19" s="8" t="s">
        <v>36</v>
      </c>
      <c r="C19" s="91" t="s">
        <v>37</v>
      </c>
      <c r="D19" s="92">
        <v>44862</v>
      </c>
      <c r="E19" s="104">
        <v>46296.349930555552</v>
      </c>
      <c r="F19" s="104">
        <v>46296.970104166663</v>
      </c>
      <c r="G19" s="104">
        <v>46297.574907407405</v>
      </c>
      <c r="H19" s="104">
        <v>46297.946145833332</v>
      </c>
      <c r="I19" s="104">
        <v>46298.346064814818</v>
      </c>
      <c r="J19" s="104">
        <v>46298.966412037036</v>
      </c>
      <c r="K19" s="104">
        <v>46299.345601851855</v>
      </c>
      <c r="L19" s="104">
        <v>46299.947546296295</v>
      </c>
      <c r="M19" s="104">
        <v>46300.346898148149</v>
      </c>
      <c r="N19" s="104">
        <v>46300.943877314814</v>
      </c>
      <c r="O19" s="104">
        <v>46301.349826388891</v>
      </c>
      <c r="P19" s="104">
        <v>46301.941793981481</v>
      </c>
      <c r="Q19" s="104">
        <v>46302.348541666666</v>
      </c>
      <c r="R19" s="104">
        <v>46302.95207175926</v>
      </c>
      <c r="S19" s="104">
        <v>46303.348796296297</v>
      </c>
      <c r="T19" s="104">
        <v>46303.961226851854</v>
      </c>
      <c r="U19" s="220" t="s">
        <v>15</v>
      </c>
      <c r="V19" s="220" t="s">
        <v>15</v>
      </c>
      <c r="W19" s="104">
        <v>46305.346898148149</v>
      </c>
      <c r="X19" s="104">
        <v>46305.961539351854</v>
      </c>
      <c r="Y19" s="104">
        <v>46306.348981481482</v>
      </c>
      <c r="Z19" s="104">
        <v>46306.945613425924</v>
      </c>
      <c r="AA19" s="104">
        <v>46307.348611111112</v>
      </c>
      <c r="AB19" s="104">
        <v>46307.944108796299</v>
      </c>
      <c r="AC19" s="104">
        <v>46308.349293981482</v>
      </c>
      <c r="AD19" s="104">
        <v>46308.943622685183</v>
      </c>
      <c r="AE19" s="104">
        <v>46309.351863425924</v>
      </c>
      <c r="AF19" s="104">
        <v>46309.941307870373</v>
      </c>
      <c r="AG19" s="104">
        <v>46310.349699074075</v>
      </c>
      <c r="AH19" s="104">
        <v>46310.988819444443</v>
      </c>
      <c r="AI19" s="90"/>
      <c r="AJ19" s="95">
        <v>11</v>
      </c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65"/>
      <c r="BP19" s="65"/>
      <c r="BQ19" s="13">
        <f t="shared" ref="BQ19:BQ36" si="15">BS19+BT19+BU19+BV19+CA19+BY19+BZ19+CD19</f>
        <v>15</v>
      </c>
      <c r="BR19" s="47"/>
      <c r="BS19" s="14">
        <f t="shared" ref="BS19:BS37" si="16">COUNT(E19:AH19)/2+COUNT(AK19:BP19)/2</f>
        <v>14</v>
      </c>
      <c r="BT19" s="15">
        <f>COUNTIF(B19:BJ19,"OFF")/2</f>
        <v>1</v>
      </c>
      <c r="BU19" s="15">
        <f>COUNTIF(B19:BJ19,"MC")/2</f>
        <v>0</v>
      </c>
      <c r="BV19" s="15">
        <f>COUNTIF(B19:BJ19,"EL")/2</f>
        <v>0</v>
      </c>
      <c r="BW19" s="15">
        <f>COUNTIF(B19:BJ19,"AL")/2</f>
        <v>0</v>
      </c>
      <c r="BX19" s="15">
        <f>COUNTIF(B19:BJ19,"SUS")/2</f>
        <v>0</v>
      </c>
      <c r="BY19" s="15">
        <f>COUNTIF(B19:BJ19,"FL")/2</f>
        <v>0</v>
      </c>
      <c r="BZ19" s="15">
        <f>COUNTIF(B19:BJ19,"SICK")/2</f>
        <v>0</v>
      </c>
      <c r="CA19" s="15">
        <f>COUNTIF(B19:BN19,"HD")/2</f>
        <v>0</v>
      </c>
      <c r="CB19" s="15">
        <f>COUNTIF(B19:BJ19,"AB")/2</f>
        <v>0</v>
      </c>
      <c r="CC19" s="15">
        <f>COUNTIF(B19:BJ19,"NL")/2</f>
        <v>0</v>
      </c>
      <c r="CD19" s="15">
        <f>COUNTIF(B19:BJ19,"SP")/2</f>
        <v>0</v>
      </c>
      <c r="CE19" s="16"/>
      <c r="CH19" s="53">
        <v>0</v>
      </c>
      <c r="CI19" s="53">
        <v>0</v>
      </c>
      <c r="CJ19" s="53">
        <v>0</v>
      </c>
      <c r="CK19" s="52">
        <v>0</v>
      </c>
      <c r="CL19" s="52">
        <v>0</v>
      </c>
      <c r="CM19" s="52">
        <v>1</v>
      </c>
      <c r="CN19" s="52">
        <v>0</v>
      </c>
      <c r="CO19" s="52">
        <v>0</v>
      </c>
      <c r="CP19" s="52">
        <v>0</v>
      </c>
      <c r="CQ19" s="52">
        <v>0</v>
      </c>
      <c r="CR19" s="57">
        <f t="shared" si="14"/>
        <v>1</v>
      </c>
    </row>
    <row r="20" spans="1:96" ht="22.5" customHeight="1" x14ac:dyDescent="0.25">
      <c r="A20" s="96">
        <v>11</v>
      </c>
      <c r="B20" s="8" t="s">
        <v>39</v>
      </c>
      <c r="C20" s="91" t="s">
        <v>40</v>
      </c>
      <c r="D20" s="92">
        <v>45374</v>
      </c>
      <c r="E20" s="104">
        <v>46296.348912037036</v>
      </c>
      <c r="F20" s="104">
        <v>46296.956747685188</v>
      </c>
      <c r="G20" s="220" t="s">
        <v>15</v>
      </c>
      <c r="H20" s="220" t="s">
        <v>15</v>
      </c>
      <c r="I20" s="104">
        <v>46298.347615740742</v>
      </c>
      <c r="J20" s="104">
        <v>46298.974398148152</v>
      </c>
      <c r="K20" s="104">
        <v>46299.347349537034</v>
      </c>
      <c r="L20" s="104">
        <v>46299.955891203703</v>
      </c>
      <c r="M20" s="104">
        <v>46300.351006944446</v>
      </c>
      <c r="N20" s="104">
        <v>46300.956041666665</v>
      </c>
      <c r="O20" s="104">
        <v>46301.345509259256</v>
      </c>
      <c r="P20" s="104">
        <v>46301.949340277781</v>
      </c>
      <c r="Q20" s="104">
        <v>46302.353807870371</v>
      </c>
      <c r="R20" s="104">
        <v>46302.93922453704</v>
      </c>
      <c r="S20" s="104">
        <v>46303.348055555558</v>
      </c>
      <c r="T20" s="104">
        <v>46303.965949074074</v>
      </c>
      <c r="U20" s="104">
        <v>46304.590740740743</v>
      </c>
      <c r="V20" s="104">
        <v>46304.590740740743</v>
      </c>
      <c r="W20" s="104">
        <v>46305.350590277776</v>
      </c>
      <c r="X20" s="104">
        <v>46305.973877314813</v>
      </c>
      <c r="Y20" s="223" t="s">
        <v>23</v>
      </c>
      <c r="Z20" s="223" t="s">
        <v>23</v>
      </c>
      <c r="AA20" s="222" t="s">
        <v>16</v>
      </c>
      <c r="AB20" s="222" t="s">
        <v>16</v>
      </c>
      <c r="AC20" s="104">
        <v>46308.353368055556</v>
      </c>
      <c r="AD20" s="104">
        <v>0</v>
      </c>
      <c r="AE20" s="104">
        <v>46309.346724537034</v>
      </c>
      <c r="AF20" s="104">
        <v>46309.947951388887</v>
      </c>
      <c r="AG20" s="104">
        <v>46310.345046296294</v>
      </c>
      <c r="AH20" s="104">
        <v>46310.988969907405</v>
      </c>
      <c r="AI20" s="90"/>
      <c r="AJ20" s="95">
        <v>12</v>
      </c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65"/>
      <c r="BP20" s="65"/>
      <c r="BQ20" s="13">
        <f>BS20+BT20+BU20+BV20+CA20+BY20+BZ20+CD20</f>
        <v>14</v>
      </c>
      <c r="BR20" s="47"/>
      <c r="BS20" s="14">
        <f t="shared" si="16"/>
        <v>12</v>
      </c>
      <c r="BT20" s="15">
        <f>COUNTIF(B20:BJ20,"OFF")/2</f>
        <v>1</v>
      </c>
      <c r="BU20" s="15">
        <f>COUNTIF(B20:BJ20,"MC")/2</f>
        <v>1</v>
      </c>
      <c r="BV20" s="15">
        <f>COUNTIF(B20:BJ20,"EL")/2</f>
        <v>0</v>
      </c>
      <c r="BW20" s="15">
        <f>COUNTIF(B20:BJ20,"AL")/2</f>
        <v>0</v>
      </c>
      <c r="BX20" s="15">
        <f>COUNTIF(B20:BJ20,"SUS")/2</f>
        <v>0</v>
      </c>
      <c r="BY20" s="15">
        <f>COUNTIF(B20:BJ20,"FL")/2</f>
        <v>0</v>
      </c>
      <c r="BZ20" s="15">
        <f>COUNTIF(B20:BJ20,"SICK")/2</f>
        <v>0</v>
      </c>
      <c r="CA20" s="15">
        <f>COUNTIF(B20:BN20,"HD")/2</f>
        <v>0</v>
      </c>
      <c r="CB20" s="15">
        <f>COUNTIF(B20:BJ20,"AB")/2</f>
        <v>1</v>
      </c>
      <c r="CC20" s="15">
        <f>COUNTIF(B20:BJ20,"NL")/2</f>
        <v>0</v>
      </c>
      <c r="CD20" s="15">
        <f>COUNTIF(B20:BJ20,"SP")/2</f>
        <v>0</v>
      </c>
      <c r="CE20" s="16"/>
      <c r="CH20" s="54">
        <v>0</v>
      </c>
      <c r="CI20" s="54">
        <v>0</v>
      </c>
      <c r="CJ20" s="54">
        <v>0</v>
      </c>
      <c r="CK20" s="54">
        <v>0</v>
      </c>
      <c r="CL20" s="54">
        <v>0</v>
      </c>
      <c r="CM20" s="54">
        <v>4</v>
      </c>
      <c r="CN20" s="55">
        <v>1</v>
      </c>
      <c r="CO20" s="55">
        <v>5</v>
      </c>
      <c r="CP20" s="55">
        <v>0</v>
      </c>
      <c r="CQ20" s="55">
        <v>0</v>
      </c>
      <c r="CR20" s="56">
        <f t="shared" si="14"/>
        <v>10</v>
      </c>
    </row>
    <row r="21" spans="1:96" s="143" customFormat="1" ht="21" customHeight="1" x14ac:dyDescent="0.25">
      <c r="A21" s="96">
        <v>12</v>
      </c>
      <c r="B21" s="96" t="s">
        <v>117</v>
      </c>
      <c r="C21" s="140" t="s">
        <v>118</v>
      </c>
      <c r="D21" s="66">
        <v>46228</v>
      </c>
      <c r="E21" s="104">
        <v>46296.353831018518</v>
      </c>
      <c r="F21" s="104">
        <v>46296.977071759262</v>
      </c>
      <c r="G21" s="220" t="s">
        <v>15</v>
      </c>
      <c r="H21" s="220" t="s">
        <v>15</v>
      </c>
      <c r="I21" s="104">
        <v>46298.351724537039</v>
      </c>
      <c r="J21" s="104">
        <v>46298.971932870372</v>
      </c>
      <c r="K21" s="104">
        <v>46299.351203703707</v>
      </c>
      <c r="L21" s="104">
        <v>46299.947974537034</v>
      </c>
      <c r="M21" s="104">
        <v>46300.354004629633</v>
      </c>
      <c r="N21" s="104">
        <v>46300.948217592595</v>
      </c>
      <c r="O21" s="104">
        <v>46301.353587962964</v>
      </c>
      <c r="P21" s="104">
        <v>46301.947106481479</v>
      </c>
      <c r="Q21" s="104">
        <v>46302.352731481478</v>
      </c>
      <c r="R21" s="104">
        <v>46302.949988425928</v>
      </c>
      <c r="S21" s="104">
        <v>46303.352696759262</v>
      </c>
      <c r="T21" s="104">
        <v>46303.965243055558</v>
      </c>
      <c r="U21" s="104">
        <v>46304.577824074076</v>
      </c>
      <c r="V21" s="104">
        <v>46304.577824074076</v>
      </c>
      <c r="W21" s="104">
        <v>46305.3515625</v>
      </c>
      <c r="X21" s="104">
        <v>46305.961678240739</v>
      </c>
      <c r="Y21" s="104">
        <v>46306.352500000001</v>
      </c>
      <c r="Z21" s="104">
        <v>46306.95207175926</v>
      </c>
      <c r="AA21" s="104">
        <v>46307.353958333333</v>
      </c>
      <c r="AB21" s="104">
        <v>46307.959155092591</v>
      </c>
      <c r="AC21" s="104">
        <v>46308.356770833336</v>
      </c>
      <c r="AD21" s="104">
        <v>46308.947557870371</v>
      </c>
      <c r="AE21" s="104">
        <v>46309.354386574072</v>
      </c>
      <c r="AF21" s="104">
        <v>46309.948657407411</v>
      </c>
      <c r="AG21" s="104">
        <v>46310.353298611109</v>
      </c>
      <c r="AH21" s="104">
        <v>0</v>
      </c>
      <c r="AI21" s="141"/>
      <c r="AJ21" s="95">
        <v>13</v>
      </c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219"/>
      <c r="BG21" s="219"/>
      <c r="BH21" s="219"/>
      <c r="BI21" s="219"/>
      <c r="BJ21" s="219"/>
      <c r="BK21" s="219"/>
      <c r="BL21" s="219"/>
      <c r="BM21" s="219"/>
      <c r="BN21" s="219"/>
      <c r="BO21" s="104"/>
      <c r="BP21" s="104"/>
      <c r="BQ21" s="142">
        <f t="shared" ref="BQ21" si="17">BS21+BT21+BV21+CA21+BY21+BZ21+CD21+BU21</f>
        <v>15</v>
      </c>
      <c r="BR21" s="99"/>
      <c r="BS21" s="14">
        <f t="shared" si="16"/>
        <v>14</v>
      </c>
      <c r="BT21" s="2">
        <f t="shared" ref="BT21" si="18">COUNTIF(E21:BN21,"OFF")/2</f>
        <v>1</v>
      </c>
      <c r="BU21" s="2">
        <f t="shared" ref="BU21" si="19">COUNTIF(E21:BN21,"MC")/2</f>
        <v>0</v>
      </c>
      <c r="BV21" s="2">
        <f t="shared" ref="BV21" si="20">COUNTIF(E21:BN21,"EL")/2</f>
        <v>0</v>
      </c>
      <c r="BW21" s="2">
        <f t="shared" ref="BW21" si="21">COUNTIF(E21:BN21,"AL")/2</f>
        <v>0</v>
      </c>
      <c r="BX21" s="2">
        <f t="shared" ref="BX21" si="22">COUNTIF(E21:BN21,"SUS")/2</f>
        <v>0</v>
      </c>
      <c r="BY21" s="2">
        <f t="shared" ref="BY21" si="23">COUNTIF(E21:BN21,"FL")/2</f>
        <v>0</v>
      </c>
      <c r="BZ21" s="2">
        <f t="shared" ref="BZ21" si="24">COUNTIF(E21:BN21,"SICK")/2</f>
        <v>0</v>
      </c>
      <c r="CA21" s="2">
        <f t="shared" ref="CA21" si="25">COUNTIF(E21:BN21,"HD")/2</f>
        <v>0</v>
      </c>
      <c r="CB21" s="2">
        <f t="shared" ref="CB21" si="26">COUNTIF(E21:BN21,"AB")/2</f>
        <v>0</v>
      </c>
      <c r="CC21" s="2">
        <f t="shared" ref="CC21" si="27">COUNTIF(E21:BN21,"NL")/2</f>
        <v>0</v>
      </c>
      <c r="CD21" s="2">
        <f t="shared" ref="CD21" si="28">COUNTIF(E21:BN21,"SP")/2</f>
        <v>0</v>
      </c>
      <c r="CE21" s="3"/>
    </row>
    <row r="22" spans="1:96" ht="22.5" customHeight="1" x14ac:dyDescent="0.25">
      <c r="A22" s="96">
        <v>13</v>
      </c>
      <c r="B22" s="8" t="s">
        <v>41</v>
      </c>
      <c r="C22" s="91" t="s">
        <v>42</v>
      </c>
      <c r="D22" s="92">
        <v>45382</v>
      </c>
      <c r="E22" s="138">
        <v>46296.344131944446</v>
      </c>
      <c r="F22" s="138">
        <v>0</v>
      </c>
      <c r="G22" s="138">
        <v>46297.575520833336</v>
      </c>
      <c r="H22" s="138">
        <v>0</v>
      </c>
      <c r="I22" s="138">
        <v>46298.346296296295</v>
      </c>
      <c r="J22" s="138">
        <v>46298.856388888889</v>
      </c>
      <c r="K22" s="138">
        <v>46299.346099537041</v>
      </c>
      <c r="L22" s="138">
        <v>46299.831064814818</v>
      </c>
      <c r="M22" s="138">
        <v>46300.345752314817</v>
      </c>
      <c r="N22" s="138">
        <v>46300.834976851853</v>
      </c>
      <c r="O22" s="138">
        <v>46301.345868055556</v>
      </c>
      <c r="P22" s="138">
        <v>46301.841770833336</v>
      </c>
      <c r="Q22" s="138">
        <v>46302.34584490741</v>
      </c>
      <c r="R22" s="138">
        <v>0</v>
      </c>
      <c r="S22" s="138">
        <v>46303.345057870371</v>
      </c>
      <c r="T22" s="138">
        <v>46303.834780092591</v>
      </c>
      <c r="U22" s="221" t="s">
        <v>15</v>
      </c>
      <c r="V22" s="221" t="s">
        <v>15</v>
      </c>
      <c r="W22" s="103">
        <v>46305.346736111111</v>
      </c>
      <c r="X22" s="103">
        <v>46305.828541666669</v>
      </c>
      <c r="Y22" s="138">
        <v>46306.346006944441</v>
      </c>
      <c r="Z22" s="138">
        <v>46306.826956018522</v>
      </c>
      <c r="AA22" s="138">
        <v>46307.346087962964</v>
      </c>
      <c r="AB22" s="138">
        <v>46307.939131944448</v>
      </c>
      <c r="AC22" s="138">
        <v>46308.346192129633</v>
      </c>
      <c r="AD22" s="138">
        <v>46308.852592592593</v>
      </c>
      <c r="AE22" s="138">
        <v>46309.346365740741</v>
      </c>
      <c r="AF22" s="138">
        <v>46309.83834490741</v>
      </c>
      <c r="AG22" s="138">
        <v>46310.344756944447</v>
      </c>
      <c r="AH22" s="59">
        <v>46310.860393518517</v>
      </c>
      <c r="AI22" s="84"/>
      <c r="AJ22" s="95">
        <v>14</v>
      </c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65"/>
      <c r="BP22" s="65"/>
      <c r="BQ22" s="13">
        <f>BS22+BT22+BU22+BV22+CA22+BY22+BZ22+CD22</f>
        <v>15</v>
      </c>
      <c r="BR22" s="47"/>
      <c r="BS22" s="14">
        <f t="shared" si="16"/>
        <v>14</v>
      </c>
      <c r="BT22" s="15">
        <f>COUNTIF(B22:BJ22,"OFF")/2</f>
        <v>1</v>
      </c>
      <c r="BU22" s="15">
        <f>COUNTIF(B22:BJ22,"MC")/2</f>
        <v>0</v>
      </c>
      <c r="BV22" s="15">
        <f>COUNTIF(B22:BJ22,"EL")/2</f>
        <v>0</v>
      </c>
      <c r="BW22" s="15">
        <f>COUNTIF(B22:BJ22,"AL")/2</f>
        <v>0</v>
      </c>
      <c r="BX22" s="15">
        <f>COUNTIF(B22:BJ22,"SUS")/2</f>
        <v>0</v>
      </c>
      <c r="BY22" s="15">
        <f>COUNTIF(B22:BJ22,"FL")/2</f>
        <v>0</v>
      </c>
      <c r="BZ22" s="15">
        <f>COUNTIF(B22:BJ22,"SICK")/2</f>
        <v>0</v>
      </c>
      <c r="CA22" s="15">
        <f>COUNTIF(B22:BN22,"HD")/2</f>
        <v>0</v>
      </c>
      <c r="CB22" s="15">
        <f>COUNTIF(B22:BJ22,"AB")/2</f>
        <v>0</v>
      </c>
      <c r="CC22" s="15">
        <f>COUNTIF(B22:BJ22,"NL")/2</f>
        <v>0</v>
      </c>
      <c r="CD22" s="15">
        <f>COUNTIF(B22:BJ22,"SP")/2</f>
        <v>0</v>
      </c>
      <c r="CE22" s="16"/>
      <c r="CH22" s="53">
        <v>0</v>
      </c>
      <c r="CI22" s="53">
        <v>0</v>
      </c>
      <c r="CJ22" s="53">
        <v>0</v>
      </c>
      <c r="CK22" s="53">
        <v>0</v>
      </c>
      <c r="CL22" s="53">
        <v>0</v>
      </c>
      <c r="CM22" s="52">
        <v>3</v>
      </c>
      <c r="CN22" s="53">
        <v>0</v>
      </c>
      <c r="CO22" s="53">
        <v>0</v>
      </c>
      <c r="CP22" s="53">
        <v>0</v>
      </c>
      <c r="CQ22" s="53">
        <v>0</v>
      </c>
      <c r="CR22" s="57">
        <f>SUM(CH22:CQ22)</f>
        <v>3</v>
      </c>
    </row>
    <row r="23" spans="1:96" ht="22.5" customHeight="1" x14ac:dyDescent="0.25">
      <c r="A23" s="96">
        <v>14</v>
      </c>
      <c r="B23" s="8" t="s">
        <v>43</v>
      </c>
      <c r="C23" s="91" t="s">
        <v>44</v>
      </c>
      <c r="D23" s="92">
        <v>45406</v>
      </c>
      <c r="E23" s="104">
        <v>46296.350312499999</v>
      </c>
      <c r="F23" s="104">
        <v>46296.961793981478</v>
      </c>
      <c r="G23" s="220" t="s">
        <v>15</v>
      </c>
      <c r="H23" s="220" t="s">
        <v>15</v>
      </c>
      <c r="I23" s="104">
        <v>46298.349861111114</v>
      </c>
      <c r="J23" s="104">
        <v>46298.974456018521</v>
      </c>
      <c r="K23" s="104">
        <v>46299.347013888888</v>
      </c>
      <c r="L23" s="104">
        <v>46299.937245370369</v>
      </c>
      <c r="M23" s="104">
        <v>46300.347685185188</v>
      </c>
      <c r="N23" s="104">
        <v>46300.94458333333</v>
      </c>
      <c r="O23" s="104">
        <v>46301.34847222222</v>
      </c>
      <c r="P23" s="104">
        <v>46301.937638888892</v>
      </c>
      <c r="Q23" s="104">
        <v>46302.348078703704</v>
      </c>
      <c r="R23" s="104">
        <v>46302.952604166669</v>
      </c>
      <c r="S23" s="104">
        <v>46303.347581018519</v>
      </c>
      <c r="T23" s="104">
        <v>46303.953020833331</v>
      </c>
      <c r="U23" s="104">
        <v>46304.574884259258</v>
      </c>
      <c r="V23" s="104">
        <v>46304.574884259258</v>
      </c>
      <c r="W23" s="104">
        <v>46305.355462962965</v>
      </c>
      <c r="X23" s="104">
        <v>0</v>
      </c>
      <c r="Y23" s="104">
        <v>46306.34878472222</v>
      </c>
      <c r="Z23" s="104">
        <v>0</v>
      </c>
      <c r="AA23" s="104">
        <v>46307.348958333336</v>
      </c>
      <c r="AB23" s="104">
        <v>0</v>
      </c>
      <c r="AC23" s="104">
        <v>46308.349398148152</v>
      </c>
      <c r="AD23" s="104">
        <v>0</v>
      </c>
      <c r="AE23" s="104">
        <v>46309.351076388892</v>
      </c>
      <c r="AF23" s="104">
        <v>0</v>
      </c>
      <c r="AG23" s="104">
        <v>46310.349409722221</v>
      </c>
      <c r="AH23" s="104">
        <v>46310.972743055558</v>
      </c>
      <c r="AI23" s="90"/>
      <c r="AJ23" s="95">
        <v>15</v>
      </c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65"/>
      <c r="BP23" s="65"/>
      <c r="BQ23" s="13">
        <f t="shared" si="15"/>
        <v>15</v>
      </c>
      <c r="BR23" s="47"/>
      <c r="BS23" s="14">
        <f t="shared" si="16"/>
        <v>14</v>
      </c>
      <c r="BT23" s="15">
        <f>COUNTIF(B23:BJ23,"OFF")/2</f>
        <v>1</v>
      </c>
      <c r="BU23" s="15">
        <f>COUNTIF(B23:BJ23,"MC")/2</f>
        <v>0</v>
      </c>
      <c r="BV23" s="15">
        <f>COUNTIF(B23:BJ23,"EL")/2</f>
        <v>0</v>
      </c>
      <c r="BW23" s="15">
        <f>COUNTIF(B23:BJ23,"AL")/2</f>
        <v>0</v>
      </c>
      <c r="BX23" s="15">
        <f>COUNTIF(B23:BJ23,"SUS")/2</f>
        <v>0</v>
      </c>
      <c r="BY23" s="15">
        <f>COUNTIF(B23:BJ23,"FL")/2</f>
        <v>0</v>
      </c>
      <c r="BZ23" s="15">
        <f>COUNTIF(B23:BJ23,"SICK")/2</f>
        <v>0</v>
      </c>
      <c r="CA23" s="15">
        <f>COUNTIF(B23:BJ23,"HD")/2</f>
        <v>0</v>
      </c>
      <c r="CB23" s="15">
        <f>COUNTIF(B23:BJ23,"AB")/2</f>
        <v>0</v>
      </c>
      <c r="CC23" s="15">
        <f>COUNTIF(B23:BJ23,"NL")/2</f>
        <v>0</v>
      </c>
      <c r="CD23" s="15">
        <f>COUNTIF(B23:BJ23,"SP")/2</f>
        <v>0</v>
      </c>
      <c r="CE23" s="16"/>
      <c r="CH23" s="54">
        <v>0</v>
      </c>
      <c r="CI23" s="54">
        <v>0</v>
      </c>
      <c r="CJ23" s="54">
        <v>0</v>
      </c>
      <c r="CK23" s="54">
        <v>0</v>
      </c>
      <c r="CL23" s="54">
        <v>0</v>
      </c>
      <c r="CM23" s="54">
        <v>7</v>
      </c>
      <c r="CN23" s="55">
        <v>0</v>
      </c>
      <c r="CO23" s="55">
        <v>0</v>
      </c>
      <c r="CP23" s="55">
        <v>0</v>
      </c>
      <c r="CQ23" s="55">
        <v>0</v>
      </c>
      <c r="CR23" s="56">
        <f t="shared" si="14"/>
        <v>7</v>
      </c>
    </row>
    <row r="24" spans="1:96" ht="22.5" customHeight="1" x14ac:dyDescent="0.25">
      <c r="A24" s="96">
        <v>15</v>
      </c>
      <c r="B24" s="8" t="s">
        <v>45</v>
      </c>
      <c r="C24" s="91" t="s">
        <v>102</v>
      </c>
      <c r="D24" s="92">
        <v>45387</v>
      </c>
      <c r="E24" s="138">
        <v>46296.354201388887</v>
      </c>
      <c r="F24" s="138">
        <v>0</v>
      </c>
      <c r="G24" s="138">
        <v>0</v>
      </c>
      <c r="H24" s="138">
        <v>46297.955231481479</v>
      </c>
      <c r="I24" s="103">
        <v>46298.354803240742</v>
      </c>
      <c r="J24" s="103">
        <v>46298.988240740742</v>
      </c>
      <c r="K24" s="138">
        <v>46299.351550925923</v>
      </c>
      <c r="L24" s="138">
        <v>46299.932083333333</v>
      </c>
      <c r="M24" s="138">
        <v>46299.351550925923</v>
      </c>
      <c r="N24" s="138">
        <v>46300.967662037037</v>
      </c>
      <c r="O24" s="138">
        <v>46299.351550925923</v>
      </c>
      <c r="P24" s="138">
        <v>0</v>
      </c>
      <c r="Q24" s="138">
        <v>46302.352824074071</v>
      </c>
      <c r="R24" s="138">
        <v>46302.976990740739</v>
      </c>
      <c r="S24" s="138">
        <v>46303.353437500002</v>
      </c>
      <c r="T24" s="138">
        <v>46303.965150462966</v>
      </c>
      <c r="U24" s="221" t="s">
        <v>15</v>
      </c>
      <c r="V24" s="221" t="s">
        <v>15</v>
      </c>
      <c r="W24" s="138">
        <v>46305.352546296293</v>
      </c>
      <c r="X24" s="138">
        <v>0</v>
      </c>
      <c r="Y24" s="138">
        <v>46305.352546296293</v>
      </c>
      <c r="Z24" s="138">
        <v>46306.951944444445</v>
      </c>
      <c r="AA24" s="138">
        <v>46307.354155092595</v>
      </c>
      <c r="AB24" s="138">
        <v>46307.97865740741</v>
      </c>
      <c r="AC24" s="138">
        <v>46308.354699074072</v>
      </c>
      <c r="AD24" s="138">
        <v>46308.947812500002</v>
      </c>
      <c r="AE24" s="138">
        <v>46309.354560185187</v>
      </c>
      <c r="AF24" s="138">
        <v>46309.948807870373</v>
      </c>
      <c r="AG24" s="138">
        <v>46310.354571759257</v>
      </c>
      <c r="AH24" s="59">
        <v>0</v>
      </c>
      <c r="AI24" s="90"/>
      <c r="AJ24" s="95">
        <v>16</v>
      </c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65"/>
      <c r="BP24" s="65"/>
      <c r="BQ24" s="13">
        <f>BS24+BT24+BU24+BV24+CA24+BY24+BZ24+CD24</f>
        <v>15</v>
      </c>
      <c r="BR24" s="47"/>
      <c r="BS24" s="14">
        <f t="shared" si="16"/>
        <v>14</v>
      </c>
      <c r="BT24" s="15">
        <f>COUNTIF(B24:BJ24,"OFF")/2</f>
        <v>1</v>
      </c>
      <c r="BU24" s="15">
        <f>COUNTIF(B24:BJ24,"MC")/2</f>
        <v>0</v>
      </c>
      <c r="BV24" s="15">
        <f>COUNTIF(B24:BJ24,"EL")/2</f>
        <v>0</v>
      </c>
      <c r="BW24" s="15">
        <f>COUNTIF(B24:BJ24,"AL")/2</f>
        <v>0</v>
      </c>
      <c r="BX24" s="15">
        <f>COUNTIF(B24:BJ24,"SUS")/2</f>
        <v>0</v>
      </c>
      <c r="BY24" s="15">
        <f>COUNTIF(B24:BJ24,"FL")/2</f>
        <v>0</v>
      </c>
      <c r="BZ24" s="15">
        <f>COUNTIF(B24:BJ24,"SICK")/2</f>
        <v>0</v>
      </c>
      <c r="CA24" s="15">
        <f>COUNTIF(B24:BJ24,"HD")/2</f>
        <v>0</v>
      </c>
      <c r="CB24" s="15">
        <f>COUNTIF(B24:BJ24,"AB")/2</f>
        <v>0</v>
      </c>
      <c r="CC24" s="15">
        <f>COUNTIF(B24:BJ24,"NL")/2</f>
        <v>0</v>
      </c>
      <c r="CD24" s="15">
        <f>COUNTIF(B24:BJ24,"SP")/2</f>
        <v>0</v>
      </c>
      <c r="CE24" s="16"/>
      <c r="CH24" s="53">
        <v>0</v>
      </c>
      <c r="CI24" s="53">
        <v>0</v>
      </c>
      <c r="CJ24" s="53">
        <v>0</v>
      </c>
      <c r="CK24" s="53">
        <v>0</v>
      </c>
      <c r="CL24" s="53">
        <v>0</v>
      </c>
      <c r="CM24" s="53">
        <v>0</v>
      </c>
      <c r="CN24" s="53">
        <v>0</v>
      </c>
      <c r="CO24" s="53">
        <v>0</v>
      </c>
      <c r="CP24" s="53">
        <v>0</v>
      </c>
      <c r="CQ24" s="53">
        <v>0</v>
      </c>
      <c r="CR24" s="57">
        <f>SUM(CH24:CQ24)</f>
        <v>0</v>
      </c>
    </row>
    <row r="25" spans="1:96" ht="22.5" customHeight="1" x14ac:dyDescent="0.25">
      <c r="A25" s="96">
        <v>16</v>
      </c>
      <c r="B25" s="8" t="s">
        <v>46</v>
      </c>
      <c r="C25" s="91" t="s">
        <v>47</v>
      </c>
      <c r="D25" s="92">
        <v>45498</v>
      </c>
      <c r="E25" s="104">
        <v>46296.350717592592</v>
      </c>
      <c r="F25" s="104">
        <v>0</v>
      </c>
      <c r="G25" s="104">
        <v>46297.575150462966</v>
      </c>
      <c r="H25" s="104">
        <v>46297.946608796294</v>
      </c>
      <c r="I25" s="104">
        <v>46298.348055555558</v>
      </c>
      <c r="J25" s="104">
        <v>46298.974305555559</v>
      </c>
      <c r="K25" s="104">
        <v>46299.345810185187</v>
      </c>
      <c r="L25" s="104">
        <v>46299.948055555556</v>
      </c>
      <c r="M25" s="104">
        <v>46300.347708333335</v>
      </c>
      <c r="N25" s="104">
        <v>46300.955497685187</v>
      </c>
      <c r="O25" s="104">
        <v>46301.349965277775</v>
      </c>
      <c r="P25" s="104">
        <v>46301.938622685186</v>
      </c>
      <c r="Q25" s="104">
        <v>46302.348749999997</v>
      </c>
      <c r="R25" s="104">
        <v>46302.953622685185</v>
      </c>
      <c r="S25" s="104">
        <v>46303.349293981482</v>
      </c>
      <c r="T25" s="104">
        <v>0</v>
      </c>
      <c r="U25" s="220" t="s">
        <v>15</v>
      </c>
      <c r="V25" s="220" t="s">
        <v>15</v>
      </c>
      <c r="W25" s="104">
        <v>46305.348611111112</v>
      </c>
      <c r="X25" s="104">
        <v>46305.963182870371</v>
      </c>
      <c r="Y25" s="104">
        <v>46306.34915509259</v>
      </c>
      <c r="Z25" s="104">
        <v>46306.945798611108</v>
      </c>
      <c r="AA25" s="104">
        <v>46307.349085648151</v>
      </c>
      <c r="AB25" s="104">
        <v>46307.955011574071</v>
      </c>
      <c r="AC25" s="104">
        <v>46308.354490740741</v>
      </c>
      <c r="AD25" s="104">
        <v>46308.943761574075</v>
      </c>
      <c r="AE25" s="104">
        <v>46309.35224537037</v>
      </c>
      <c r="AF25" s="104">
        <v>46309.948923611111</v>
      </c>
      <c r="AG25" s="104">
        <v>46310.350104166668</v>
      </c>
      <c r="AH25" s="104">
        <v>46310.989317129628</v>
      </c>
      <c r="AI25" s="90"/>
      <c r="AJ25" s="95">
        <v>17</v>
      </c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65"/>
      <c r="BP25" s="65"/>
      <c r="BQ25" s="13">
        <f t="shared" si="15"/>
        <v>15</v>
      </c>
      <c r="BR25" s="47"/>
      <c r="BS25" s="14">
        <f t="shared" si="16"/>
        <v>14</v>
      </c>
      <c r="BT25" s="15">
        <f>COUNTIF(B25:BJ25,"OFF")/2</f>
        <v>1</v>
      </c>
      <c r="BU25" s="15">
        <f>COUNTIF(B25:BJ25,"MC")/2</f>
        <v>0</v>
      </c>
      <c r="BV25" s="15">
        <f>COUNTIF(B25:BJ25,"EL")/2</f>
        <v>0</v>
      </c>
      <c r="BW25" s="15">
        <f>COUNTIF(B25:BJ25,"AL")/2</f>
        <v>0</v>
      </c>
      <c r="BX25" s="15">
        <f>COUNTIF(B25:BJ25,"SUS")/2</f>
        <v>0</v>
      </c>
      <c r="BY25" s="15">
        <f>COUNTIF(B25:BJ25,"FL")/2</f>
        <v>0</v>
      </c>
      <c r="BZ25" s="15">
        <f>COUNTIF(B25:BJ25,"SICK")/2</f>
        <v>0</v>
      </c>
      <c r="CA25" s="15">
        <f>COUNTIF(B25:BJ25,"HD")/2</f>
        <v>0</v>
      </c>
      <c r="CB25" s="15">
        <f>COUNTIF(B25:BJ25,"AB")/2</f>
        <v>0</v>
      </c>
      <c r="CC25" s="15">
        <f>COUNTIF(B25:BJ25,"NL")/2</f>
        <v>0</v>
      </c>
      <c r="CD25" s="15">
        <f>COUNTIF(B25:BJ25,"SP")/2</f>
        <v>0</v>
      </c>
      <c r="CE25" s="16"/>
      <c r="CH25" s="54">
        <v>0</v>
      </c>
      <c r="CI25" s="54">
        <v>0</v>
      </c>
      <c r="CJ25" s="54">
        <v>0</v>
      </c>
      <c r="CK25" s="54">
        <v>0</v>
      </c>
      <c r="CL25" s="54">
        <v>0</v>
      </c>
      <c r="CM25" s="54">
        <v>22</v>
      </c>
      <c r="CN25" s="55">
        <v>0</v>
      </c>
      <c r="CO25" s="55">
        <v>1</v>
      </c>
      <c r="CP25" s="55">
        <v>0</v>
      </c>
      <c r="CQ25" s="55">
        <v>0</v>
      </c>
      <c r="CR25" s="56">
        <f t="shared" si="14"/>
        <v>23</v>
      </c>
    </row>
    <row r="26" spans="1:96" ht="22.5" customHeight="1" x14ac:dyDescent="0.25">
      <c r="A26" s="96">
        <v>17</v>
      </c>
      <c r="B26" s="8" t="s">
        <v>94</v>
      </c>
      <c r="C26" s="91" t="s">
        <v>95</v>
      </c>
      <c r="D26" s="92">
        <v>45614</v>
      </c>
      <c r="E26" s="104">
        <v>46296.335370370369</v>
      </c>
      <c r="F26" s="104">
        <v>46296.938344907408</v>
      </c>
      <c r="G26" s="220" t="s">
        <v>15</v>
      </c>
      <c r="H26" s="220" t="s">
        <v>15</v>
      </c>
      <c r="I26" s="104">
        <v>46298.329039351855</v>
      </c>
      <c r="J26" s="104">
        <v>46298.901041666664</v>
      </c>
      <c r="K26" s="104">
        <v>46299.328287037039</v>
      </c>
      <c r="L26" s="104">
        <v>46299.891701388886</v>
      </c>
      <c r="M26" s="104">
        <v>46300.327743055554</v>
      </c>
      <c r="N26" s="104">
        <v>46300.892210648148</v>
      </c>
      <c r="O26" s="104">
        <v>46301.32984953704</v>
      </c>
      <c r="P26" s="104">
        <v>46301.894155092596</v>
      </c>
      <c r="Q26" s="104">
        <v>46302.327962962961</v>
      </c>
      <c r="R26" s="104">
        <v>46302.895555555559</v>
      </c>
      <c r="S26" s="104">
        <v>46303.330810185187</v>
      </c>
      <c r="T26" s="104">
        <v>46303.937893518516</v>
      </c>
      <c r="U26" s="104">
        <v>46304.365763888891</v>
      </c>
      <c r="V26" s="104">
        <v>46304.365763888891</v>
      </c>
      <c r="W26" s="104">
        <v>46305.325972222221</v>
      </c>
      <c r="X26" s="104">
        <v>46305.911574074074</v>
      </c>
      <c r="Y26" s="104">
        <v>46306.332384259258</v>
      </c>
      <c r="Z26" s="104">
        <v>46306.896921296298</v>
      </c>
      <c r="AA26" s="104">
        <v>46307.328726851854</v>
      </c>
      <c r="AB26" s="104">
        <v>46307.890763888892</v>
      </c>
      <c r="AC26" s="104">
        <v>46308.329247685186</v>
      </c>
      <c r="AD26" s="104">
        <v>46308.902905092589</v>
      </c>
      <c r="AE26" s="104">
        <v>46309.337847222225</v>
      </c>
      <c r="AF26" s="104">
        <v>46309.897268518522</v>
      </c>
      <c r="AG26" s="104">
        <v>46310.324884259258</v>
      </c>
      <c r="AH26" s="104">
        <v>46310.923090277778</v>
      </c>
      <c r="AI26" s="84"/>
      <c r="AJ26" s="95">
        <v>18</v>
      </c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65"/>
      <c r="BP26" s="65"/>
      <c r="BQ26" s="13">
        <f t="shared" si="15"/>
        <v>15</v>
      </c>
      <c r="BR26" s="47"/>
      <c r="BS26" s="14">
        <f t="shared" si="16"/>
        <v>14</v>
      </c>
      <c r="BT26" s="15">
        <f>COUNTIF(B26:BL26,"OFF")/2</f>
        <v>1</v>
      </c>
      <c r="BU26" s="15">
        <f>COUNTIF(B26:BL26,"MC")/2</f>
        <v>0</v>
      </c>
      <c r="BV26" s="15">
        <f>COUNTIF(B26:BL26,"EL")/2</f>
        <v>0</v>
      </c>
      <c r="BW26" s="15">
        <f>COUNTIF(B26:BL26,"AL")/2</f>
        <v>0</v>
      </c>
      <c r="BX26" s="15">
        <f>COUNTIF(B26:BL26,"SUS")/2</f>
        <v>0</v>
      </c>
      <c r="BY26" s="15">
        <f>COUNTIF(B26:BL26,"FL")/2</f>
        <v>0</v>
      </c>
      <c r="BZ26" s="15">
        <f>COUNTIF(B26:BL26,"SICK")/2</f>
        <v>0</v>
      </c>
      <c r="CA26" s="15">
        <f>COUNTIF(B26:BL26,"HD")/2</f>
        <v>0</v>
      </c>
      <c r="CB26" s="15">
        <f>COUNTIF(B26:BL26,"AB")/2</f>
        <v>0</v>
      </c>
      <c r="CC26" s="15">
        <f>COUNTIF(B26:BL26,"NL")/2</f>
        <v>0</v>
      </c>
      <c r="CD26" s="15">
        <f>COUNTIF(B26:BL26,"SP")/2</f>
        <v>0</v>
      </c>
      <c r="CE26" s="16"/>
      <c r="CH26" s="54">
        <v>0</v>
      </c>
      <c r="CI26" s="54">
        <v>0</v>
      </c>
      <c r="CJ26" s="54">
        <v>32</v>
      </c>
      <c r="CK26" s="54">
        <v>0</v>
      </c>
      <c r="CL26" s="54">
        <v>0</v>
      </c>
      <c r="CM26" s="54">
        <v>5</v>
      </c>
      <c r="CN26" s="54">
        <v>0</v>
      </c>
      <c r="CO26" s="54">
        <v>0</v>
      </c>
      <c r="CP26" s="54">
        <v>0</v>
      </c>
      <c r="CQ26" s="54">
        <v>0</v>
      </c>
      <c r="CR26" s="54">
        <f t="shared" si="14"/>
        <v>37</v>
      </c>
    </row>
    <row r="27" spans="1:96" ht="22.5" customHeight="1" x14ac:dyDescent="0.25">
      <c r="A27" s="96">
        <v>18</v>
      </c>
      <c r="B27" s="8" t="s">
        <v>50</v>
      </c>
      <c r="C27" s="91" t="s">
        <v>51</v>
      </c>
      <c r="D27" s="92">
        <v>45653</v>
      </c>
      <c r="E27" s="104">
        <v>46296.3440625</v>
      </c>
      <c r="F27" s="104">
        <v>0</v>
      </c>
      <c r="G27" s="104">
        <v>46297.567430555559</v>
      </c>
      <c r="H27" s="104">
        <v>0</v>
      </c>
      <c r="I27" s="104">
        <v>46298.349259259259</v>
      </c>
      <c r="J27" s="104">
        <v>0</v>
      </c>
      <c r="K27" s="104">
        <v>46299.34134259259</v>
      </c>
      <c r="L27" s="104">
        <v>46299.863298611112</v>
      </c>
      <c r="M27" s="104">
        <v>46300.338842592595</v>
      </c>
      <c r="N27" s="104">
        <v>46300.853692129633</v>
      </c>
      <c r="O27" s="104">
        <v>46301.333715277775</v>
      </c>
      <c r="P27" s="104">
        <v>0</v>
      </c>
      <c r="Q27" s="104">
        <v>46302.342233796298</v>
      </c>
      <c r="R27" s="104">
        <v>46302.915277777778</v>
      </c>
      <c r="S27" s="104">
        <v>46303.336921296293</v>
      </c>
      <c r="T27" s="104">
        <v>0</v>
      </c>
      <c r="U27" s="220" t="s">
        <v>15</v>
      </c>
      <c r="V27" s="220" t="s">
        <v>15</v>
      </c>
      <c r="W27" s="104">
        <v>46305.341550925928</v>
      </c>
      <c r="X27" s="104">
        <v>46305.828379629631</v>
      </c>
      <c r="Y27" s="104">
        <v>46306.333379629628</v>
      </c>
      <c r="Z27" s="104">
        <v>0</v>
      </c>
      <c r="AA27" s="104">
        <v>46307.334872685184</v>
      </c>
      <c r="AB27" s="104">
        <v>46307.939502314817</v>
      </c>
      <c r="AC27" s="104">
        <v>46308.339317129627</v>
      </c>
      <c r="AD27" s="104">
        <v>46308.852083333331</v>
      </c>
      <c r="AE27" s="104">
        <v>46309.340868055559</v>
      </c>
      <c r="AF27" s="104">
        <v>0</v>
      </c>
      <c r="AG27" s="104">
        <v>46310.333738425928</v>
      </c>
      <c r="AH27" s="104">
        <v>0</v>
      </c>
      <c r="AI27" s="90"/>
      <c r="AJ27" s="95">
        <v>19</v>
      </c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65"/>
      <c r="BP27" s="65"/>
      <c r="BQ27" s="13">
        <f>BS27+BT27+BU27+BV27+CA27+BY27+BZ27+CD27</f>
        <v>15</v>
      </c>
      <c r="BR27" s="47"/>
      <c r="BS27" s="14">
        <f t="shared" si="16"/>
        <v>14</v>
      </c>
      <c r="BT27" s="15">
        <f>COUNTIF(B27:BL27,"OFF")/2</f>
        <v>1</v>
      </c>
      <c r="BU27" s="15">
        <f>COUNTIF(B27:BL27,"MC")/2</f>
        <v>0</v>
      </c>
      <c r="BV27" s="15">
        <f>COUNTIF(B27:BL27,"EL")/2</f>
        <v>0</v>
      </c>
      <c r="BW27" s="15">
        <f>COUNTIF(B27:BL27,"AL")/2</f>
        <v>0</v>
      </c>
      <c r="BX27" s="15">
        <f>COUNTIF(B27:BL27,"SUS")/2</f>
        <v>0</v>
      </c>
      <c r="BY27" s="15">
        <f>COUNTIF(B27:BL27,"FL")/2</f>
        <v>0</v>
      </c>
      <c r="BZ27" s="15">
        <f>COUNTIF(B27:BL27,"SICK")/2</f>
        <v>0</v>
      </c>
      <c r="CA27" s="15">
        <f>COUNTIF(B27:BL27,"HD")/2</f>
        <v>0</v>
      </c>
      <c r="CB27" s="15">
        <f>COUNTIF(B27:BL27,"AB")/2</f>
        <v>0</v>
      </c>
      <c r="CC27" s="15">
        <f>COUNTIF(B27:BL27,"NL")/2</f>
        <v>0</v>
      </c>
      <c r="CD27" s="15">
        <f>COUNTIF(B27:BL27,"SP")/2</f>
        <v>0</v>
      </c>
      <c r="CE27" s="3"/>
      <c r="CH27" s="53">
        <v>0</v>
      </c>
      <c r="CI27" s="53">
        <v>0</v>
      </c>
      <c r="CJ27" s="53">
        <v>0</v>
      </c>
      <c r="CK27" s="53">
        <v>0</v>
      </c>
      <c r="CL27" s="53">
        <v>0</v>
      </c>
      <c r="CM27" s="52">
        <v>12</v>
      </c>
      <c r="CN27" s="53">
        <v>1</v>
      </c>
      <c r="CO27" s="52">
        <v>4</v>
      </c>
      <c r="CP27" s="52">
        <v>0</v>
      </c>
      <c r="CQ27" s="52">
        <v>0</v>
      </c>
      <c r="CR27" s="57">
        <f t="shared" si="14"/>
        <v>17</v>
      </c>
    </row>
    <row r="28" spans="1:96" ht="22.5" customHeight="1" x14ac:dyDescent="0.25">
      <c r="A28" s="96">
        <v>19</v>
      </c>
      <c r="B28" s="8" t="s">
        <v>52</v>
      </c>
      <c r="C28" s="91" t="s">
        <v>103</v>
      </c>
      <c r="D28" s="92">
        <v>45723</v>
      </c>
      <c r="E28" s="104">
        <v>46296.353726851848</v>
      </c>
      <c r="F28" s="104">
        <v>46296.97729166667</v>
      </c>
      <c r="G28" s="220" t="s">
        <v>15</v>
      </c>
      <c r="H28" s="220" t="s">
        <v>15</v>
      </c>
      <c r="I28" s="104">
        <v>46298.351701388892</v>
      </c>
      <c r="J28" s="104">
        <v>46298.972280092596</v>
      </c>
      <c r="K28" s="104">
        <v>46299.351111111115</v>
      </c>
      <c r="L28" s="104">
        <v>46299.948449074072</v>
      </c>
      <c r="M28" s="104">
        <v>46300.351458333331</v>
      </c>
      <c r="N28" s="104">
        <v>46300.94840277778</v>
      </c>
      <c r="O28" s="104">
        <v>46301.353356481479</v>
      </c>
      <c r="P28" s="104">
        <v>46301.947800925926</v>
      </c>
      <c r="Q28" s="104">
        <v>46302.352696759262</v>
      </c>
      <c r="R28" s="104">
        <v>46302.948634259257</v>
      </c>
      <c r="S28" s="104">
        <v>46303.352673611109</v>
      </c>
      <c r="T28" s="104">
        <v>46303.96497685185</v>
      </c>
      <c r="U28" s="104">
        <v>46304.577708333331</v>
      </c>
      <c r="V28" s="104">
        <v>46304.577708333331</v>
      </c>
      <c r="W28" s="104">
        <v>46305.3516087963</v>
      </c>
      <c r="X28" s="104">
        <v>46305.962245370371</v>
      </c>
      <c r="Y28" s="104">
        <v>0</v>
      </c>
      <c r="Z28" s="104">
        <v>46306.951967592591</v>
      </c>
      <c r="AA28" s="104">
        <v>46307.353935185187</v>
      </c>
      <c r="AB28" s="104">
        <v>46307.959965277776</v>
      </c>
      <c r="AC28" s="104">
        <v>46308.356851851851</v>
      </c>
      <c r="AD28" s="104">
        <v>46308.947997685187</v>
      </c>
      <c r="AE28" s="104">
        <v>46309.354328703703</v>
      </c>
      <c r="AF28" s="104">
        <v>46309.94840277778</v>
      </c>
      <c r="AG28" s="104">
        <v>46310.353275462963</v>
      </c>
      <c r="AH28" s="104">
        <v>46310.983854166669</v>
      </c>
      <c r="AI28" s="90"/>
      <c r="AJ28" s="95">
        <v>20</v>
      </c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38"/>
      <c r="BP28" s="138"/>
      <c r="BQ28" s="13">
        <f t="shared" si="15"/>
        <v>15</v>
      </c>
      <c r="BR28" s="47"/>
      <c r="BS28" s="14">
        <f t="shared" si="16"/>
        <v>14</v>
      </c>
      <c r="BT28" s="15">
        <f>COUNTIF(B28:BJ28,"OFF")/2</f>
        <v>1</v>
      </c>
      <c r="BU28" s="15">
        <f>COUNTIF(B28:BJ28,"MC")/2</f>
        <v>0</v>
      </c>
      <c r="BV28" s="15">
        <f>COUNTIF(B28:BJ28,"EL")/2</f>
        <v>0</v>
      </c>
      <c r="BW28" s="15">
        <f>COUNTIF(B28:BJ28,"AL")/2</f>
        <v>0</v>
      </c>
      <c r="BX28" s="15">
        <f>COUNTIF(B28:BJ28,"SUS")/2</f>
        <v>0</v>
      </c>
      <c r="BY28" s="15">
        <f>COUNTIF(B28:BJ28,"FL")/2</f>
        <v>0</v>
      </c>
      <c r="BZ28" s="15">
        <f>COUNTIF(B28:BJ28,"SICK")/2</f>
        <v>0</v>
      </c>
      <c r="CA28" s="15">
        <f>COUNTIF(B28:BJ28,"HD")/2</f>
        <v>0</v>
      </c>
      <c r="CB28" s="15">
        <f>COUNTIF(B28:BJ28,"AB")/2</f>
        <v>0</v>
      </c>
      <c r="CC28" s="15">
        <f>COUNTIF(B28:BJ28,"NL")/2</f>
        <v>0</v>
      </c>
      <c r="CD28" s="15">
        <f>COUNTIF(B28:BJ28,"SP")/2</f>
        <v>0</v>
      </c>
      <c r="CE28" s="16"/>
      <c r="CH28" s="54">
        <v>0</v>
      </c>
      <c r="CI28" s="54">
        <v>0</v>
      </c>
      <c r="CJ28" s="54">
        <v>0</v>
      </c>
      <c r="CK28" s="54">
        <v>0</v>
      </c>
      <c r="CL28" s="54">
        <v>0</v>
      </c>
      <c r="CM28" s="54">
        <v>5</v>
      </c>
      <c r="CN28" s="54">
        <v>0</v>
      </c>
      <c r="CO28" s="54">
        <v>0</v>
      </c>
      <c r="CP28" s="54">
        <v>0</v>
      </c>
      <c r="CQ28" s="54">
        <v>0</v>
      </c>
      <c r="CR28" s="54">
        <f t="shared" si="14"/>
        <v>5</v>
      </c>
    </row>
    <row r="29" spans="1:96" ht="22.5" customHeight="1" x14ac:dyDescent="0.25">
      <c r="A29" s="96">
        <v>20</v>
      </c>
      <c r="B29" s="8" t="s">
        <v>55</v>
      </c>
      <c r="C29" s="91" t="s">
        <v>56</v>
      </c>
      <c r="D29" s="92">
        <v>45807</v>
      </c>
      <c r="E29" s="104">
        <v>46296.340763888889</v>
      </c>
      <c r="F29" s="104">
        <v>0</v>
      </c>
      <c r="G29" s="220" t="s">
        <v>15</v>
      </c>
      <c r="H29" s="220" t="s">
        <v>15</v>
      </c>
      <c r="I29" s="104">
        <v>46298.344629629632</v>
      </c>
      <c r="J29" s="104">
        <v>46298.856122685182</v>
      </c>
      <c r="K29" s="104">
        <v>46299.342268518521</v>
      </c>
      <c r="L29" s="104">
        <v>46299.827175925922</v>
      </c>
      <c r="M29" s="104">
        <v>46300.343784722223</v>
      </c>
      <c r="N29" s="104">
        <v>46300.831446759257</v>
      </c>
      <c r="O29" s="104">
        <v>46301.342928240738</v>
      </c>
      <c r="P29" s="104">
        <v>0</v>
      </c>
      <c r="Q29" s="104">
        <v>46302.343310185184</v>
      </c>
      <c r="R29" s="104">
        <v>0</v>
      </c>
      <c r="S29" s="104">
        <v>46303.343993055554</v>
      </c>
      <c r="T29" s="104">
        <v>0</v>
      </c>
      <c r="U29" s="104">
        <v>46304.575011574074</v>
      </c>
      <c r="V29" s="104">
        <v>46304.575011574074</v>
      </c>
      <c r="W29" s="104">
        <v>46305.343854166669</v>
      </c>
      <c r="X29" s="104">
        <v>46305.828738425924</v>
      </c>
      <c r="Y29" s="104">
        <v>46306.344386574077</v>
      </c>
      <c r="Z29" s="104">
        <v>46306.827222222222</v>
      </c>
      <c r="AA29" s="104">
        <v>46307.343935185185</v>
      </c>
      <c r="AB29" s="104">
        <v>46307.930405092593</v>
      </c>
      <c r="AC29" s="104">
        <v>46308.343819444446</v>
      </c>
      <c r="AD29" s="104">
        <v>46308.852395833332</v>
      </c>
      <c r="AE29" s="104">
        <v>46309.341226851851</v>
      </c>
      <c r="AF29" s="104">
        <v>46309.837951388887</v>
      </c>
      <c r="AG29" s="104">
        <v>46310.341840277775</v>
      </c>
      <c r="AH29" s="104">
        <v>46310.860729166663</v>
      </c>
      <c r="AI29" s="84"/>
      <c r="AJ29" s="95">
        <v>21</v>
      </c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3"/>
      <c r="BP29" s="103"/>
      <c r="BQ29" s="13">
        <f t="shared" si="15"/>
        <v>15</v>
      </c>
      <c r="BR29" s="47"/>
      <c r="BS29" s="14">
        <f t="shared" si="16"/>
        <v>14</v>
      </c>
      <c r="BT29" s="15">
        <f t="shared" ref="BT29:BT37" si="29">COUNTIF(B29:BN29,"OFF")/2</f>
        <v>1</v>
      </c>
      <c r="BU29" s="15">
        <f t="shared" ref="BU29:BU37" si="30">COUNTIF(B29:BN29,"MC")/2</f>
        <v>0</v>
      </c>
      <c r="BV29" s="15">
        <f t="shared" ref="BV29:BV37" si="31">COUNTIF(B29:BN29,"EL")/2</f>
        <v>0</v>
      </c>
      <c r="BW29" s="15">
        <f t="shared" ref="BW29:BW37" si="32">COUNTIF(B29:BN29,"AL")/2</f>
        <v>0</v>
      </c>
      <c r="BX29" s="15">
        <f t="shared" ref="BX29:BX37" si="33">COUNTIF(B29:BN29,"SUS")/2</f>
        <v>0</v>
      </c>
      <c r="BY29" s="15">
        <f t="shared" ref="BY29:BY37" si="34">COUNTIF(B29:BN29,"FL")/2</f>
        <v>0</v>
      </c>
      <c r="BZ29" s="15">
        <f t="shared" ref="BZ29:BZ37" si="35">COUNTIF(B29:BN29,"SICK")/2</f>
        <v>0</v>
      </c>
      <c r="CA29" s="15">
        <f t="shared" ref="CA29:CA37" si="36">COUNTIF(B29:BN29,"HD")/2</f>
        <v>0</v>
      </c>
      <c r="CB29" s="15">
        <f t="shared" ref="CB29:CB37" si="37">COUNTIF(B29:BN29,"AB")/2</f>
        <v>0</v>
      </c>
      <c r="CC29" s="15">
        <f t="shared" ref="CC29:CC37" si="38">COUNTIF(B29:BN29,"NL")/2</f>
        <v>0</v>
      </c>
      <c r="CD29" s="15">
        <f t="shared" ref="CD29:CD37" si="39">COUNTIF(B29:BN29,"SP")/2</f>
        <v>0</v>
      </c>
      <c r="CE29" s="16"/>
      <c r="CH29" s="53">
        <v>0</v>
      </c>
      <c r="CI29" s="53">
        <v>0</v>
      </c>
      <c r="CJ29" s="53">
        <v>0</v>
      </c>
      <c r="CK29" s="53">
        <v>0</v>
      </c>
      <c r="CL29" s="53">
        <v>0</v>
      </c>
      <c r="CM29" s="52">
        <v>6</v>
      </c>
      <c r="CN29" s="53">
        <v>0</v>
      </c>
      <c r="CO29" s="52">
        <v>0</v>
      </c>
      <c r="CP29" s="52">
        <v>0</v>
      </c>
      <c r="CQ29" s="52">
        <v>0</v>
      </c>
      <c r="CR29" s="57">
        <f t="shared" si="14"/>
        <v>6</v>
      </c>
    </row>
    <row r="30" spans="1:96" ht="22.5" customHeight="1" x14ac:dyDescent="0.25">
      <c r="A30" s="96">
        <v>21</v>
      </c>
      <c r="B30" s="8" t="s">
        <v>57</v>
      </c>
      <c r="C30" s="91" t="s">
        <v>58</v>
      </c>
      <c r="D30" s="92">
        <v>45807</v>
      </c>
      <c r="E30" s="104">
        <v>46296.353958333333</v>
      </c>
      <c r="F30" s="104">
        <v>0</v>
      </c>
      <c r="G30" s="104">
        <v>46297.578009259261</v>
      </c>
      <c r="H30" s="104">
        <v>46297.954664351855</v>
      </c>
      <c r="I30" s="104">
        <v>46298.352048611108</v>
      </c>
      <c r="J30" s="104">
        <v>46298.972141203703</v>
      </c>
      <c r="K30" s="104">
        <v>46299.351145833331</v>
      </c>
      <c r="L30" s="104">
        <v>0</v>
      </c>
      <c r="M30" s="104">
        <v>46300.351643518516</v>
      </c>
      <c r="N30" s="104">
        <v>0</v>
      </c>
      <c r="O30" s="104">
        <v>46301.353437500002</v>
      </c>
      <c r="P30" s="104">
        <v>46301.948298611111</v>
      </c>
      <c r="Q30" s="104">
        <v>46302.352662037039</v>
      </c>
      <c r="R30" s="104">
        <v>46302.951770833337</v>
      </c>
      <c r="S30" s="104">
        <v>46303.352893518517</v>
      </c>
      <c r="T30" s="104">
        <v>46303.964895833335</v>
      </c>
      <c r="U30" s="220" t="s">
        <v>15</v>
      </c>
      <c r="V30" s="220" t="s">
        <v>15</v>
      </c>
      <c r="W30" s="104">
        <v>46305.351886574077</v>
      </c>
      <c r="X30" s="104">
        <v>0</v>
      </c>
      <c r="Y30" s="104">
        <v>46306.340416666666</v>
      </c>
      <c r="Z30" s="104">
        <v>0</v>
      </c>
      <c r="AA30" s="104">
        <v>46307.353854166664</v>
      </c>
      <c r="AB30" s="104">
        <v>0</v>
      </c>
      <c r="AC30" s="104">
        <v>46308.36577546296</v>
      </c>
      <c r="AD30" s="104">
        <v>46308.948136574072</v>
      </c>
      <c r="AE30" s="104">
        <v>46309.354456018518</v>
      </c>
      <c r="AF30" s="104">
        <v>46309.949305555558</v>
      </c>
      <c r="AG30" s="104">
        <v>46310.353587962964</v>
      </c>
      <c r="AH30" s="104">
        <v>46310.984907407408</v>
      </c>
      <c r="AI30" s="90"/>
      <c r="AJ30" s="95">
        <v>22</v>
      </c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3"/>
      <c r="BP30" s="103"/>
      <c r="BQ30" s="13">
        <f t="shared" si="15"/>
        <v>15</v>
      </c>
      <c r="BR30" s="47"/>
      <c r="BS30" s="14">
        <f t="shared" si="16"/>
        <v>14</v>
      </c>
      <c r="BT30" s="15">
        <f t="shared" si="29"/>
        <v>1</v>
      </c>
      <c r="BU30" s="15">
        <f t="shared" si="30"/>
        <v>0</v>
      </c>
      <c r="BV30" s="15">
        <f t="shared" si="31"/>
        <v>0</v>
      </c>
      <c r="BW30" s="15">
        <f t="shared" si="32"/>
        <v>0</v>
      </c>
      <c r="BX30" s="15">
        <f t="shared" si="33"/>
        <v>0</v>
      </c>
      <c r="BY30" s="15">
        <f t="shared" si="34"/>
        <v>0</v>
      </c>
      <c r="BZ30" s="15">
        <f t="shared" si="35"/>
        <v>0</v>
      </c>
      <c r="CA30" s="15">
        <f t="shared" si="36"/>
        <v>0</v>
      </c>
      <c r="CB30" s="15">
        <f t="shared" si="37"/>
        <v>0</v>
      </c>
      <c r="CC30" s="15">
        <f t="shared" si="38"/>
        <v>0</v>
      </c>
      <c r="CD30" s="15">
        <f t="shared" si="39"/>
        <v>0</v>
      </c>
      <c r="CE30" s="16"/>
      <c r="CH30" s="54">
        <v>0</v>
      </c>
      <c r="CI30" s="54">
        <v>0</v>
      </c>
      <c r="CJ30" s="54">
        <v>0</v>
      </c>
      <c r="CK30" s="54">
        <v>0</v>
      </c>
      <c r="CL30" s="54">
        <v>0</v>
      </c>
      <c r="CM30" s="54">
        <v>0</v>
      </c>
      <c r="CN30" s="54">
        <v>0</v>
      </c>
      <c r="CO30" s="54">
        <v>0</v>
      </c>
      <c r="CP30" s="54">
        <v>0</v>
      </c>
      <c r="CQ30" s="54">
        <v>0</v>
      </c>
      <c r="CR30" s="54">
        <f t="shared" si="14"/>
        <v>0</v>
      </c>
    </row>
    <row r="31" spans="1:96" ht="22.5" customHeight="1" x14ac:dyDescent="0.25">
      <c r="A31" s="96">
        <v>22</v>
      </c>
      <c r="B31" s="8" t="s">
        <v>59</v>
      </c>
      <c r="C31" s="91" t="s">
        <v>60</v>
      </c>
      <c r="D31" s="92">
        <v>45883</v>
      </c>
      <c r="E31" s="104">
        <v>46296.350011574075</v>
      </c>
      <c r="F31" s="104">
        <v>0</v>
      </c>
      <c r="G31" s="104">
        <v>46297.575046296297</v>
      </c>
      <c r="H31" s="104">
        <v>0</v>
      </c>
      <c r="I31" s="104">
        <v>46298.348124999997</v>
      </c>
      <c r="J31" s="104">
        <v>0</v>
      </c>
      <c r="K31" s="104">
        <v>46299.352546296293</v>
      </c>
      <c r="L31" s="104">
        <v>0</v>
      </c>
      <c r="M31" s="104">
        <v>46300.337407407409</v>
      </c>
      <c r="N31" s="104">
        <v>0</v>
      </c>
      <c r="O31" s="104">
        <v>46301.349745370368</v>
      </c>
      <c r="P31" s="104">
        <v>0</v>
      </c>
      <c r="Q31" s="104">
        <v>46302.348495370374</v>
      </c>
      <c r="R31" s="104">
        <v>0</v>
      </c>
      <c r="S31" s="104">
        <v>46303.348715277774</v>
      </c>
      <c r="T31" s="104">
        <v>0</v>
      </c>
      <c r="U31" s="220" t="s">
        <v>15</v>
      </c>
      <c r="V31" s="220" t="s">
        <v>15</v>
      </c>
      <c r="W31" s="104">
        <v>46305.348217592589</v>
      </c>
      <c r="X31" s="104">
        <v>0</v>
      </c>
      <c r="Y31" s="104">
        <v>46306.343831018516</v>
      </c>
      <c r="Z31" s="104">
        <v>0</v>
      </c>
      <c r="AA31" s="104">
        <v>46307.350254629629</v>
      </c>
      <c r="AB31" s="104">
        <v>0</v>
      </c>
      <c r="AC31" s="104">
        <v>46308.353414351855</v>
      </c>
      <c r="AD31" s="104">
        <v>0</v>
      </c>
      <c r="AE31" s="104">
        <v>46309.358368055553</v>
      </c>
      <c r="AF31" s="104">
        <v>0</v>
      </c>
      <c r="AG31" s="104">
        <v>46310.350173611114</v>
      </c>
      <c r="AH31" s="104">
        <v>0</v>
      </c>
      <c r="AI31" s="90"/>
      <c r="AJ31" s="95">
        <v>23</v>
      </c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3"/>
      <c r="BP31" s="103"/>
      <c r="BQ31" s="13">
        <f t="shared" si="15"/>
        <v>15</v>
      </c>
      <c r="BR31" s="47"/>
      <c r="BS31" s="14">
        <f t="shared" si="16"/>
        <v>14</v>
      </c>
      <c r="BT31" s="15">
        <f t="shared" si="29"/>
        <v>1</v>
      </c>
      <c r="BU31" s="15">
        <f t="shared" si="30"/>
        <v>0</v>
      </c>
      <c r="BV31" s="15">
        <f t="shared" si="31"/>
        <v>0</v>
      </c>
      <c r="BW31" s="15">
        <f t="shared" si="32"/>
        <v>0</v>
      </c>
      <c r="BX31" s="15">
        <f t="shared" si="33"/>
        <v>0</v>
      </c>
      <c r="BY31" s="15">
        <f t="shared" si="34"/>
        <v>0</v>
      </c>
      <c r="BZ31" s="15">
        <f t="shared" si="35"/>
        <v>0</v>
      </c>
      <c r="CA31" s="15">
        <f t="shared" si="36"/>
        <v>0</v>
      </c>
      <c r="CB31" s="15">
        <f t="shared" si="37"/>
        <v>0</v>
      </c>
      <c r="CC31" s="15">
        <f t="shared" si="38"/>
        <v>0</v>
      </c>
      <c r="CD31" s="15">
        <f t="shared" si="39"/>
        <v>0</v>
      </c>
      <c r="CE31" s="16"/>
      <c r="CH31" s="53">
        <v>0</v>
      </c>
      <c r="CI31" s="53">
        <v>0</v>
      </c>
      <c r="CJ31" s="53">
        <v>0</v>
      </c>
      <c r="CK31" s="53">
        <v>0</v>
      </c>
      <c r="CL31" s="53">
        <v>0</v>
      </c>
      <c r="CM31" s="52">
        <v>4</v>
      </c>
      <c r="CN31" s="53">
        <v>0</v>
      </c>
      <c r="CO31" s="52">
        <v>0</v>
      </c>
      <c r="CP31" s="52">
        <v>0</v>
      </c>
      <c r="CQ31" s="52">
        <v>0</v>
      </c>
      <c r="CR31" s="57">
        <f t="shared" si="14"/>
        <v>4</v>
      </c>
    </row>
    <row r="32" spans="1:96" ht="22.5" customHeight="1" x14ac:dyDescent="0.25">
      <c r="A32" s="96">
        <v>23</v>
      </c>
      <c r="B32" s="8" t="s">
        <v>61</v>
      </c>
      <c r="C32" s="91" t="s">
        <v>62</v>
      </c>
      <c r="D32" s="92">
        <v>45956</v>
      </c>
      <c r="E32" s="104">
        <v>46296.353981481479</v>
      </c>
      <c r="F32" s="104">
        <v>46296.977592592593</v>
      </c>
      <c r="G32" s="220" t="s">
        <v>15</v>
      </c>
      <c r="H32" s="220" t="s">
        <v>15</v>
      </c>
      <c r="I32" s="104">
        <v>46298.351921296293</v>
      </c>
      <c r="J32" s="104">
        <v>46298.971828703703</v>
      </c>
      <c r="K32" s="104">
        <v>46299.351284722223</v>
      </c>
      <c r="L32" s="104">
        <v>46299.948333333334</v>
      </c>
      <c r="M32" s="104">
        <v>46300.351539351854</v>
      </c>
      <c r="N32" s="104">
        <v>46300.947777777779</v>
      </c>
      <c r="O32" s="104">
        <v>46301.353472222225</v>
      </c>
      <c r="P32" s="104">
        <v>46301.949062500003</v>
      </c>
      <c r="Q32" s="104">
        <v>46302.352939814817</v>
      </c>
      <c r="R32" s="104">
        <v>46302.95108796296</v>
      </c>
      <c r="S32" s="222" t="s">
        <v>97</v>
      </c>
      <c r="T32" s="222" t="s">
        <v>97</v>
      </c>
      <c r="U32" s="104">
        <v>46304.577997685185</v>
      </c>
      <c r="V32" s="104">
        <v>46304.577997685185</v>
      </c>
      <c r="W32" s="104">
        <v>46305.351736111108</v>
      </c>
      <c r="X32" s="104">
        <v>46305.961805555555</v>
      </c>
      <c r="Y32" s="104">
        <v>46306.352546296293</v>
      </c>
      <c r="Z32" s="104">
        <v>46306.951377314814</v>
      </c>
      <c r="AA32" s="104">
        <v>46307.354027777779</v>
      </c>
      <c r="AB32" s="104">
        <v>46307.959201388891</v>
      </c>
      <c r="AC32" s="104">
        <v>46308.356805555559</v>
      </c>
      <c r="AD32" s="104">
        <v>46308.947708333333</v>
      </c>
      <c r="AE32" s="104">
        <v>46309.354502314818</v>
      </c>
      <c r="AF32" s="104">
        <v>46309.948969907404</v>
      </c>
      <c r="AG32" s="104">
        <v>46310.353437500002</v>
      </c>
      <c r="AH32" s="104">
        <v>46310.984976851854</v>
      </c>
      <c r="AI32" s="90"/>
      <c r="AJ32" s="95">
        <v>24</v>
      </c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3"/>
      <c r="BP32" s="103"/>
      <c r="BQ32" s="13">
        <f t="shared" si="15"/>
        <v>15</v>
      </c>
      <c r="BR32" s="47"/>
      <c r="BS32" s="14">
        <f t="shared" si="16"/>
        <v>13</v>
      </c>
      <c r="BT32" s="15">
        <f t="shared" si="29"/>
        <v>1</v>
      </c>
      <c r="BU32" s="15">
        <f t="shared" si="30"/>
        <v>0</v>
      </c>
      <c r="BV32" s="15">
        <f t="shared" si="31"/>
        <v>0</v>
      </c>
      <c r="BW32" s="15">
        <f t="shared" si="32"/>
        <v>0</v>
      </c>
      <c r="BX32" s="15">
        <f t="shared" si="33"/>
        <v>0</v>
      </c>
      <c r="BY32" s="15">
        <f t="shared" si="34"/>
        <v>0</v>
      </c>
      <c r="BZ32" s="15">
        <f t="shared" si="35"/>
        <v>1</v>
      </c>
      <c r="CA32" s="15">
        <f t="shared" si="36"/>
        <v>0</v>
      </c>
      <c r="CB32" s="15">
        <f t="shared" si="37"/>
        <v>0</v>
      </c>
      <c r="CC32" s="15">
        <f t="shared" si="38"/>
        <v>0</v>
      </c>
      <c r="CD32" s="15">
        <f t="shared" si="39"/>
        <v>0</v>
      </c>
      <c r="CE32" s="16"/>
      <c r="CH32" s="54">
        <v>0</v>
      </c>
      <c r="CI32" s="54">
        <v>0</v>
      </c>
      <c r="CJ32" s="54">
        <v>0</v>
      </c>
      <c r="CK32" s="54">
        <v>0</v>
      </c>
      <c r="CL32" s="54">
        <v>0</v>
      </c>
      <c r="CM32" s="54">
        <v>5</v>
      </c>
      <c r="CN32" s="54">
        <v>0</v>
      </c>
      <c r="CO32" s="54">
        <v>0</v>
      </c>
      <c r="CP32" s="54">
        <v>0</v>
      </c>
      <c r="CQ32" s="54">
        <v>0</v>
      </c>
      <c r="CR32" s="54">
        <f>SUM(CH32:CQ32)</f>
        <v>5</v>
      </c>
    </row>
    <row r="33" spans="1:96" ht="22.5" customHeight="1" x14ac:dyDescent="0.25">
      <c r="A33" s="96">
        <v>24</v>
      </c>
      <c r="B33" s="8" t="s">
        <v>87</v>
      </c>
      <c r="C33" s="91" t="s">
        <v>88</v>
      </c>
      <c r="D33" s="92">
        <v>46028</v>
      </c>
      <c r="E33" s="104">
        <v>46296.344340277778</v>
      </c>
      <c r="F33" s="104">
        <v>0</v>
      </c>
      <c r="G33" s="220" t="s">
        <v>15</v>
      </c>
      <c r="H33" s="220" t="s">
        <v>15</v>
      </c>
      <c r="I33" s="104">
        <v>46298.348356481481</v>
      </c>
      <c r="J33" s="104">
        <v>46298.856249999997</v>
      </c>
      <c r="K33" s="104">
        <v>46299.34474537037</v>
      </c>
      <c r="L33" s="104">
        <v>46299.832754629628</v>
      </c>
      <c r="M33" s="104">
        <v>46300.345891203702</v>
      </c>
      <c r="N33" s="104">
        <v>46300.835104166668</v>
      </c>
      <c r="O33" s="104">
        <v>46301.336331018516</v>
      </c>
      <c r="P33" s="104">
        <v>0</v>
      </c>
      <c r="Q33" s="104">
        <v>46302.347256944442</v>
      </c>
      <c r="R33" s="104">
        <v>0</v>
      </c>
      <c r="S33" s="104">
        <v>46303.345821759256</v>
      </c>
      <c r="T33" s="104">
        <v>46303.835381944446</v>
      </c>
      <c r="U33" s="104">
        <v>46304.575185185182</v>
      </c>
      <c r="V33" s="104">
        <v>46304.575185185182</v>
      </c>
      <c r="W33" s="104">
        <v>46305.346585648149</v>
      </c>
      <c r="X33" s="104">
        <v>46305.82849537037</v>
      </c>
      <c r="Y33" s="104">
        <v>46306.345057870371</v>
      </c>
      <c r="Z33" s="104">
        <v>46306.827094907407</v>
      </c>
      <c r="AA33" s="104">
        <v>46307.346018518518</v>
      </c>
      <c r="AB33" s="104">
        <v>46307.930219907408</v>
      </c>
      <c r="AC33" s="104">
        <v>46308.346400462964</v>
      </c>
      <c r="AD33" s="104">
        <v>0</v>
      </c>
      <c r="AE33" s="104">
        <v>46309.346435185187</v>
      </c>
      <c r="AF33" s="104">
        <v>46309.837766203702</v>
      </c>
      <c r="AG33" s="104">
        <v>46310.345983796295</v>
      </c>
      <c r="AH33" s="104">
        <v>46310.860543981478</v>
      </c>
      <c r="AI33" s="90"/>
      <c r="AJ33" s="95">
        <v>25</v>
      </c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3"/>
      <c r="BP33" s="103"/>
      <c r="BQ33" s="13">
        <f t="shared" si="15"/>
        <v>15</v>
      </c>
      <c r="BR33" s="47"/>
      <c r="BS33" s="14">
        <f t="shared" si="16"/>
        <v>14</v>
      </c>
      <c r="BT33" s="15">
        <f t="shared" si="29"/>
        <v>1</v>
      </c>
      <c r="BU33" s="15">
        <f t="shared" si="30"/>
        <v>0</v>
      </c>
      <c r="BV33" s="15">
        <f t="shared" si="31"/>
        <v>0</v>
      </c>
      <c r="BW33" s="15">
        <f t="shared" si="32"/>
        <v>0</v>
      </c>
      <c r="BX33" s="15">
        <f t="shared" si="33"/>
        <v>0</v>
      </c>
      <c r="BY33" s="15">
        <f t="shared" si="34"/>
        <v>0</v>
      </c>
      <c r="BZ33" s="15">
        <f t="shared" si="35"/>
        <v>0</v>
      </c>
      <c r="CA33" s="15">
        <f t="shared" si="36"/>
        <v>0</v>
      </c>
      <c r="CB33" s="15">
        <f t="shared" si="37"/>
        <v>0</v>
      </c>
      <c r="CC33" s="15">
        <f t="shared" si="38"/>
        <v>0</v>
      </c>
      <c r="CD33" s="15">
        <f t="shared" si="39"/>
        <v>0</v>
      </c>
      <c r="CE33" s="16"/>
      <c r="CH33" s="53">
        <v>0</v>
      </c>
      <c r="CI33" s="53">
        <v>0</v>
      </c>
      <c r="CJ33" s="53">
        <v>0</v>
      </c>
      <c r="CK33" s="53">
        <v>0</v>
      </c>
      <c r="CL33" s="53">
        <v>0</v>
      </c>
      <c r="CM33" s="52">
        <v>0</v>
      </c>
      <c r="CN33" s="53">
        <v>0</v>
      </c>
      <c r="CO33" s="52">
        <v>0</v>
      </c>
      <c r="CP33" s="52">
        <v>0</v>
      </c>
      <c r="CQ33" s="52">
        <v>0</v>
      </c>
      <c r="CR33" s="57">
        <f t="shared" ref="CR33" si="40">SUM(CH33:CQ33)</f>
        <v>0</v>
      </c>
    </row>
    <row r="34" spans="1:96" ht="22.5" customHeight="1" x14ac:dyDescent="0.25">
      <c r="A34" s="96">
        <v>25</v>
      </c>
      <c r="B34" s="8" t="s">
        <v>86</v>
      </c>
      <c r="C34" s="91" t="s">
        <v>89</v>
      </c>
      <c r="D34" s="92">
        <v>46028</v>
      </c>
      <c r="E34" s="104">
        <v>46296.353125000001</v>
      </c>
      <c r="F34" s="104">
        <v>46296.965416666666</v>
      </c>
      <c r="G34" s="220" t="s">
        <v>15</v>
      </c>
      <c r="H34" s="220" t="s">
        <v>15</v>
      </c>
      <c r="I34" s="104">
        <v>46298.350983796299</v>
      </c>
      <c r="J34" s="104">
        <v>46298.973877314813</v>
      </c>
      <c r="K34" s="104">
        <v>46299.346377314818</v>
      </c>
      <c r="L34" s="104">
        <v>46299.946921296294</v>
      </c>
      <c r="M34" s="104">
        <v>46300.348657407405</v>
      </c>
      <c r="N34" s="104">
        <v>46300.953865740739</v>
      </c>
      <c r="O34" s="104">
        <v>46301.351145833331</v>
      </c>
      <c r="P34" s="104">
        <v>46301.938206018516</v>
      </c>
      <c r="Q34" s="104">
        <v>46302.351168981484</v>
      </c>
      <c r="R34" s="104">
        <v>46302.954004629632</v>
      </c>
      <c r="S34" s="104">
        <v>0</v>
      </c>
      <c r="T34" s="104">
        <v>46303.953101851854</v>
      </c>
      <c r="U34" s="104">
        <v>46304.579004629632</v>
      </c>
      <c r="V34" s="104">
        <v>46304.579004629632</v>
      </c>
      <c r="W34" s="104">
        <v>46305.35292824074</v>
      </c>
      <c r="X34" s="104">
        <v>46305.962893518517</v>
      </c>
      <c r="Y34" s="104">
        <v>46306.35050925926</v>
      </c>
      <c r="Z34" s="104">
        <v>46306.946053240739</v>
      </c>
      <c r="AA34" s="104">
        <v>46307.350069444445</v>
      </c>
      <c r="AB34" s="104">
        <v>46307.956006944441</v>
      </c>
      <c r="AC34" s="104">
        <v>46308.350682870368</v>
      </c>
      <c r="AD34" s="104">
        <v>46308.94326388889</v>
      </c>
      <c r="AE34" s="104">
        <v>46309.353298611109</v>
      </c>
      <c r="AF34" s="104">
        <v>46309.937476851854</v>
      </c>
      <c r="AG34" s="104">
        <v>46310.351793981485</v>
      </c>
      <c r="AH34" s="104">
        <v>46310.989398148151</v>
      </c>
      <c r="AI34" s="90"/>
      <c r="AJ34" s="95">
        <v>26</v>
      </c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38"/>
      <c r="BP34" s="138"/>
      <c r="BQ34" s="13">
        <f t="shared" si="15"/>
        <v>15</v>
      </c>
      <c r="BR34" s="47"/>
      <c r="BS34" s="14">
        <f t="shared" si="16"/>
        <v>14</v>
      </c>
      <c r="BT34" s="15">
        <f t="shared" si="29"/>
        <v>1</v>
      </c>
      <c r="BU34" s="15">
        <f t="shared" si="30"/>
        <v>0</v>
      </c>
      <c r="BV34" s="15">
        <f t="shared" si="31"/>
        <v>0</v>
      </c>
      <c r="BW34" s="15">
        <f t="shared" si="32"/>
        <v>0</v>
      </c>
      <c r="BX34" s="15">
        <f t="shared" si="33"/>
        <v>0</v>
      </c>
      <c r="BY34" s="15">
        <f t="shared" si="34"/>
        <v>0</v>
      </c>
      <c r="BZ34" s="15">
        <f t="shared" si="35"/>
        <v>0</v>
      </c>
      <c r="CA34" s="15">
        <f t="shared" si="36"/>
        <v>0</v>
      </c>
      <c r="CB34" s="15">
        <f t="shared" si="37"/>
        <v>0</v>
      </c>
      <c r="CC34" s="15">
        <f t="shared" si="38"/>
        <v>0</v>
      </c>
      <c r="CD34" s="15">
        <f t="shared" si="39"/>
        <v>0</v>
      </c>
      <c r="CE34" s="16"/>
      <c r="CH34" s="54">
        <v>0</v>
      </c>
      <c r="CI34" s="54">
        <v>0</v>
      </c>
      <c r="CJ34" s="54">
        <v>0</v>
      </c>
      <c r="CK34" s="54">
        <v>0</v>
      </c>
      <c r="CL34" s="54">
        <v>0</v>
      </c>
      <c r="CM34" s="54">
        <v>0</v>
      </c>
      <c r="CN34" s="54">
        <v>0</v>
      </c>
      <c r="CO34" s="54">
        <v>0</v>
      </c>
      <c r="CP34" s="54">
        <v>0</v>
      </c>
      <c r="CQ34" s="54">
        <v>0</v>
      </c>
      <c r="CR34" s="54">
        <f>SUM(CH34:CQ34)</f>
        <v>0</v>
      </c>
    </row>
    <row r="35" spans="1:96" ht="22.5" customHeight="1" x14ac:dyDescent="0.25">
      <c r="A35" s="96">
        <v>26</v>
      </c>
      <c r="B35" s="8" t="s">
        <v>90</v>
      </c>
      <c r="C35" s="91" t="s">
        <v>91</v>
      </c>
      <c r="D35" s="92">
        <v>46075</v>
      </c>
      <c r="E35" s="104">
        <v>46296.353761574072</v>
      </c>
      <c r="F35" s="104">
        <v>46296.977187500001</v>
      </c>
      <c r="G35" s="104">
        <v>46297.577916666669</v>
      </c>
      <c r="H35" s="104">
        <v>46297.955069444448</v>
      </c>
      <c r="I35" s="104">
        <v>46298.3518287037</v>
      </c>
      <c r="J35" s="104">
        <v>46298.971967592595</v>
      </c>
      <c r="K35" s="104">
        <v>46299.351377314815</v>
      </c>
      <c r="L35" s="104">
        <v>46299.947951388887</v>
      </c>
      <c r="M35" s="104">
        <v>46300.351782407408</v>
      </c>
      <c r="N35" s="104">
        <v>46300.946423611109</v>
      </c>
      <c r="O35" s="104">
        <v>46301.353564814817</v>
      </c>
      <c r="P35" s="104">
        <v>46301.947210648148</v>
      </c>
      <c r="Q35" s="104">
        <v>46302.353020833332</v>
      </c>
      <c r="R35" s="104">
        <v>46302.948703703703</v>
      </c>
      <c r="S35" s="104">
        <v>46303.352743055555</v>
      </c>
      <c r="T35" s="104">
        <v>46303.964583333334</v>
      </c>
      <c r="U35" s="220" t="s">
        <v>15</v>
      </c>
      <c r="V35" s="220" t="s">
        <v>15</v>
      </c>
      <c r="W35" s="104">
        <v>46305.351689814815</v>
      </c>
      <c r="X35" s="104">
        <v>46305.961261574077</v>
      </c>
      <c r="Y35" s="104">
        <v>46306.352465277778</v>
      </c>
      <c r="Z35" s="104">
        <v>46306.951238425929</v>
      </c>
      <c r="AA35" s="104">
        <v>46307.353993055556</v>
      </c>
      <c r="AB35" s="104">
        <v>46307.959120370368</v>
      </c>
      <c r="AC35" s="104">
        <v>46308.356898148151</v>
      </c>
      <c r="AD35" s="104">
        <v>46308.947534722225</v>
      </c>
      <c r="AE35" s="104">
        <v>46309.354594907411</v>
      </c>
      <c r="AF35" s="104">
        <v>46309.948923611111</v>
      </c>
      <c r="AG35" s="104">
        <v>46310.35355324074</v>
      </c>
      <c r="AH35" s="104">
        <v>46310.983796296299</v>
      </c>
      <c r="AI35" s="90"/>
      <c r="AJ35" s="95">
        <v>27</v>
      </c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38"/>
      <c r="BP35" s="138"/>
      <c r="BQ35" s="13">
        <f t="shared" si="15"/>
        <v>15</v>
      </c>
      <c r="BR35" s="47"/>
      <c r="BS35" s="14">
        <f t="shared" si="16"/>
        <v>14</v>
      </c>
      <c r="BT35" s="15">
        <f t="shared" si="29"/>
        <v>1</v>
      </c>
      <c r="BU35" s="15">
        <f t="shared" si="30"/>
        <v>0</v>
      </c>
      <c r="BV35" s="15">
        <f t="shared" si="31"/>
        <v>0</v>
      </c>
      <c r="BW35" s="15">
        <f t="shared" si="32"/>
        <v>0</v>
      </c>
      <c r="BX35" s="15">
        <f t="shared" si="33"/>
        <v>0</v>
      </c>
      <c r="BY35" s="15">
        <f t="shared" si="34"/>
        <v>0</v>
      </c>
      <c r="BZ35" s="15">
        <f t="shared" si="35"/>
        <v>0</v>
      </c>
      <c r="CA35" s="15">
        <f t="shared" si="36"/>
        <v>0</v>
      </c>
      <c r="CB35" s="15">
        <f t="shared" si="37"/>
        <v>0</v>
      </c>
      <c r="CC35" s="15">
        <f t="shared" si="38"/>
        <v>0</v>
      </c>
      <c r="CD35" s="15">
        <f t="shared" si="39"/>
        <v>0</v>
      </c>
      <c r="CE35" s="16"/>
      <c r="CH35" s="53">
        <v>0</v>
      </c>
      <c r="CI35" s="53">
        <v>0</v>
      </c>
      <c r="CJ35" s="53">
        <v>0</v>
      </c>
      <c r="CK35" s="53">
        <v>0</v>
      </c>
      <c r="CL35" s="53">
        <v>0</v>
      </c>
      <c r="CM35" s="52">
        <v>0</v>
      </c>
      <c r="CN35" s="53">
        <v>0</v>
      </c>
      <c r="CO35" s="52">
        <v>0</v>
      </c>
      <c r="CP35" s="52">
        <v>0</v>
      </c>
      <c r="CQ35" s="52">
        <v>0</v>
      </c>
      <c r="CR35" s="57">
        <f t="shared" ref="CR35:CR37" si="41">SUM(CH35:CQ35)</f>
        <v>0</v>
      </c>
    </row>
    <row r="36" spans="1:96" ht="22.5" customHeight="1" x14ac:dyDescent="0.25">
      <c r="A36" s="96">
        <v>27</v>
      </c>
      <c r="B36" s="8" t="s">
        <v>92</v>
      </c>
      <c r="C36" s="91" t="s">
        <v>93</v>
      </c>
      <c r="D36" s="92">
        <v>46078</v>
      </c>
      <c r="E36" s="104">
        <v>46296.343634259261</v>
      </c>
      <c r="F36" s="104">
        <v>0</v>
      </c>
      <c r="G36" s="220" t="s">
        <v>15</v>
      </c>
      <c r="H36" s="220" t="s">
        <v>15</v>
      </c>
      <c r="I36" s="104">
        <v>46298.346238425926</v>
      </c>
      <c r="J36" s="104">
        <v>46298.856192129628</v>
      </c>
      <c r="K36" s="104">
        <v>46299.343298611115</v>
      </c>
      <c r="L36" s="104">
        <v>46299.827245370368</v>
      </c>
      <c r="M36" s="104">
        <v>46300.343865740739</v>
      </c>
      <c r="N36" s="104">
        <v>46300.833969907406</v>
      </c>
      <c r="O36" s="104">
        <v>46301.342743055553</v>
      </c>
      <c r="P36" s="104">
        <v>46301.842175925929</v>
      </c>
      <c r="Q36" s="104">
        <v>46302.343819444446</v>
      </c>
      <c r="R36" s="104">
        <v>0</v>
      </c>
      <c r="S36" s="104">
        <v>46303.344131944446</v>
      </c>
      <c r="T36" s="104">
        <v>46303.834907407407</v>
      </c>
      <c r="U36" s="104">
        <v>46304.575092592589</v>
      </c>
      <c r="V36" s="104">
        <v>46304.575092592589</v>
      </c>
      <c r="W36" s="104">
        <v>46305.34474537037</v>
      </c>
      <c r="X36" s="104">
        <v>46305.828599537039</v>
      </c>
      <c r="Y36" s="104">
        <v>46306.343472222223</v>
      </c>
      <c r="Z36" s="104">
        <v>46306.827013888891</v>
      </c>
      <c r="AA36" s="104">
        <v>46307.344409722224</v>
      </c>
      <c r="AB36" s="104">
        <v>46307.930474537039</v>
      </c>
      <c r="AC36" s="104">
        <v>46308.343981481485</v>
      </c>
      <c r="AD36" s="104">
        <v>46308.852361111109</v>
      </c>
      <c r="AE36" s="104">
        <v>46309.345775462964</v>
      </c>
      <c r="AF36" s="104">
        <v>0</v>
      </c>
      <c r="AG36" s="104">
        <v>46310.343240740738</v>
      </c>
      <c r="AH36" s="104">
        <v>46310.861018518517</v>
      </c>
      <c r="AI36" s="84"/>
      <c r="AJ36" s="95">
        <v>28</v>
      </c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3"/>
      <c r="BP36" s="103"/>
      <c r="BQ36" s="13">
        <f t="shared" si="15"/>
        <v>15</v>
      </c>
      <c r="BR36" s="47"/>
      <c r="BS36" s="14">
        <f t="shared" si="16"/>
        <v>14</v>
      </c>
      <c r="BT36" s="15">
        <f t="shared" si="29"/>
        <v>1</v>
      </c>
      <c r="BU36" s="15">
        <f t="shared" si="30"/>
        <v>0</v>
      </c>
      <c r="BV36" s="15">
        <f t="shared" si="31"/>
        <v>0</v>
      </c>
      <c r="BW36" s="15">
        <f t="shared" si="32"/>
        <v>0</v>
      </c>
      <c r="BX36" s="15">
        <f t="shared" si="33"/>
        <v>0</v>
      </c>
      <c r="BY36" s="15">
        <f t="shared" si="34"/>
        <v>0</v>
      </c>
      <c r="BZ36" s="15">
        <f t="shared" si="35"/>
        <v>0</v>
      </c>
      <c r="CA36" s="15">
        <f t="shared" si="36"/>
        <v>0</v>
      </c>
      <c r="CB36" s="15">
        <f t="shared" si="37"/>
        <v>0</v>
      </c>
      <c r="CC36" s="15">
        <f t="shared" si="38"/>
        <v>0</v>
      </c>
      <c r="CD36" s="15">
        <f t="shared" si="39"/>
        <v>0</v>
      </c>
      <c r="CE36" s="16"/>
      <c r="CH36" s="54">
        <v>0</v>
      </c>
      <c r="CI36" s="54">
        <v>0</v>
      </c>
      <c r="CJ36" s="54">
        <v>0</v>
      </c>
      <c r="CK36" s="54">
        <v>0</v>
      </c>
      <c r="CL36" s="54">
        <v>0</v>
      </c>
      <c r="CM36" s="54">
        <v>0</v>
      </c>
      <c r="CN36" s="54">
        <v>0</v>
      </c>
      <c r="CO36" s="54">
        <v>0</v>
      </c>
      <c r="CP36" s="54">
        <v>0</v>
      </c>
      <c r="CQ36" s="54">
        <v>0</v>
      </c>
      <c r="CR36" s="54">
        <f t="shared" si="41"/>
        <v>0</v>
      </c>
    </row>
    <row r="37" spans="1:96" ht="22.5" customHeight="1" x14ac:dyDescent="0.25">
      <c r="A37" s="96">
        <v>28</v>
      </c>
      <c r="B37" s="83" t="s">
        <v>98</v>
      </c>
      <c r="C37" s="93" t="s">
        <v>99</v>
      </c>
      <c r="D37" s="92">
        <v>46162</v>
      </c>
      <c r="E37" s="104">
        <v>46296.34337962963</v>
      </c>
      <c r="F37" s="104">
        <v>0</v>
      </c>
      <c r="G37" s="104">
        <v>46297.573472222219</v>
      </c>
      <c r="H37" s="104">
        <v>0</v>
      </c>
      <c r="I37" s="104">
        <v>46298.344525462962</v>
      </c>
      <c r="J37" s="104">
        <v>46298.85633101852</v>
      </c>
      <c r="K37" s="104">
        <v>46299.343182870369</v>
      </c>
      <c r="L37" s="104">
        <v>46299.832662037035</v>
      </c>
      <c r="M37" s="104">
        <v>46300.345509259256</v>
      </c>
      <c r="N37" s="104">
        <v>46300.835034722222</v>
      </c>
      <c r="O37" s="104">
        <v>46301.344224537039</v>
      </c>
      <c r="P37" s="104">
        <v>46301.841990740744</v>
      </c>
      <c r="Q37" s="104">
        <v>46302.344895833332</v>
      </c>
      <c r="R37" s="104">
        <v>0</v>
      </c>
      <c r="S37" s="104">
        <v>46303.343564814815</v>
      </c>
      <c r="T37" s="104">
        <v>46303.834953703707</v>
      </c>
      <c r="U37" s="220" t="s">
        <v>15</v>
      </c>
      <c r="V37" s="220" t="s">
        <v>15</v>
      </c>
      <c r="W37" s="104">
        <v>46305.340868055559</v>
      </c>
      <c r="X37" s="104">
        <v>46305.828888888886</v>
      </c>
      <c r="Y37" s="104">
        <v>46306.345949074072</v>
      </c>
      <c r="Z37" s="104">
        <v>46306.831053240741</v>
      </c>
      <c r="AA37" s="104">
        <v>46307.342569444445</v>
      </c>
      <c r="AB37" s="104">
        <v>46307.939050925925</v>
      </c>
      <c r="AC37" s="104">
        <v>46308.342511574076</v>
      </c>
      <c r="AD37" s="104">
        <v>46308.852164351854</v>
      </c>
      <c r="AE37" s="104">
        <v>46309.337361111109</v>
      </c>
      <c r="AF37" s="104">
        <v>46309.838495370372</v>
      </c>
      <c r="AG37" s="104">
        <v>46310.33797453704</v>
      </c>
      <c r="AH37" s="104">
        <v>46310.861122685186</v>
      </c>
      <c r="AI37" s="90"/>
      <c r="AJ37" s="95">
        <v>29</v>
      </c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38"/>
      <c r="BP37" s="138"/>
      <c r="BQ37" s="13">
        <f>BS37+BT37+BU37+BV37+CA37+BY37+BZ37+CD37</f>
        <v>15</v>
      </c>
      <c r="BR37" s="47"/>
      <c r="BS37" s="14">
        <f t="shared" si="16"/>
        <v>14</v>
      </c>
      <c r="BT37" s="15">
        <f t="shared" si="29"/>
        <v>1</v>
      </c>
      <c r="BU37" s="15">
        <f t="shared" si="30"/>
        <v>0</v>
      </c>
      <c r="BV37" s="15">
        <f t="shared" si="31"/>
        <v>0</v>
      </c>
      <c r="BW37" s="15">
        <f t="shared" si="32"/>
        <v>0</v>
      </c>
      <c r="BX37" s="15">
        <f t="shared" si="33"/>
        <v>0</v>
      </c>
      <c r="BY37" s="15">
        <f t="shared" si="34"/>
        <v>0</v>
      </c>
      <c r="BZ37" s="15">
        <f t="shared" si="35"/>
        <v>0</v>
      </c>
      <c r="CA37" s="15">
        <f t="shared" si="36"/>
        <v>0</v>
      </c>
      <c r="CB37" s="15">
        <f t="shared" si="37"/>
        <v>0</v>
      </c>
      <c r="CC37" s="15">
        <f t="shared" si="38"/>
        <v>0</v>
      </c>
      <c r="CD37" s="15">
        <f t="shared" si="39"/>
        <v>0</v>
      </c>
      <c r="CE37" s="137"/>
      <c r="CH37" s="53">
        <v>0</v>
      </c>
      <c r="CI37" s="53">
        <v>0</v>
      </c>
      <c r="CJ37" s="53">
        <v>0</v>
      </c>
      <c r="CK37" s="53">
        <v>0</v>
      </c>
      <c r="CL37" s="53">
        <v>0</v>
      </c>
      <c r="CM37" s="52">
        <v>0</v>
      </c>
      <c r="CN37" s="53">
        <v>0</v>
      </c>
      <c r="CO37" s="52">
        <v>0</v>
      </c>
      <c r="CP37" s="52">
        <v>0</v>
      </c>
      <c r="CQ37" s="52">
        <v>0</v>
      </c>
      <c r="CR37" s="57">
        <f t="shared" si="41"/>
        <v>0</v>
      </c>
    </row>
    <row r="39" spans="1:96" ht="15.75" thickBot="1" x14ac:dyDescent="0.3">
      <c r="A39" s="111"/>
      <c r="C39" s="113"/>
      <c r="AI39" s="90"/>
      <c r="AK39" s="61"/>
    </row>
    <row r="40" spans="1:96" ht="16.5" thickBot="1" x14ac:dyDescent="0.3">
      <c r="F40" s="232" t="s">
        <v>63</v>
      </c>
      <c r="G40" s="232"/>
      <c r="H40" s="232"/>
      <c r="I40" s="23"/>
      <c r="J40" s="20"/>
      <c r="K40" s="20"/>
      <c r="L40" s="21"/>
      <c r="M40" s="22"/>
      <c r="O40" s="22"/>
      <c r="P40" s="24" t="s">
        <v>64</v>
      </c>
      <c r="Q40" s="24"/>
      <c r="R40" s="21"/>
      <c r="S40" s="21"/>
      <c r="T40" s="21"/>
      <c r="U40" s="21" t="s">
        <v>82</v>
      </c>
      <c r="V40" s="21"/>
      <c r="W40" s="21"/>
      <c r="X40" s="21"/>
      <c r="Y40" s="24" t="s">
        <v>65</v>
      </c>
      <c r="Z40" s="21"/>
      <c r="AK40" s="60"/>
      <c r="BR40" s="33" t="s">
        <v>71</v>
      </c>
      <c r="BS40" s="34"/>
      <c r="BT40" s="34"/>
      <c r="BU40" s="35" t="s">
        <v>15</v>
      </c>
      <c r="BV40" s="36"/>
      <c r="BW40" s="37" t="s">
        <v>72</v>
      </c>
      <c r="BX40" s="38"/>
      <c r="BY40" s="38"/>
      <c r="BZ40" s="39"/>
      <c r="CA40" s="40" t="s">
        <v>21</v>
      </c>
    </row>
    <row r="41" spans="1:96" ht="17.25" x14ac:dyDescent="0.25">
      <c r="F41" s="25"/>
      <c r="G41" s="20"/>
      <c r="H41" s="20"/>
      <c r="I41" s="20"/>
      <c r="J41" s="20"/>
      <c r="K41" s="20"/>
      <c r="L41" s="20"/>
      <c r="M41" s="26"/>
      <c r="O41" s="26"/>
      <c r="P41" s="26"/>
      <c r="Q41" s="20"/>
      <c r="R41" s="20"/>
      <c r="S41" s="27"/>
      <c r="T41" s="27"/>
      <c r="U41" s="27"/>
      <c r="V41" s="27"/>
      <c r="W41" s="27"/>
      <c r="X41" s="27"/>
      <c r="Y41" s="28"/>
      <c r="Z41" s="28"/>
      <c r="BR41" s="33" t="s">
        <v>73</v>
      </c>
      <c r="BS41" s="34"/>
      <c r="BT41" s="34"/>
      <c r="BU41" s="35" t="s">
        <v>16</v>
      </c>
      <c r="BV41" s="36"/>
      <c r="BW41" s="41" t="s">
        <v>74</v>
      </c>
      <c r="BX41" s="42"/>
      <c r="BY41" s="42"/>
      <c r="BZ41" s="39"/>
      <c r="CA41" s="40" t="s">
        <v>22</v>
      </c>
    </row>
    <row r="42" spans="1:96" ht="17.25" x14ac:dyDescent="0.25">
      <c r="F42" s="32"/>
      <c r="G42" s="29"/>
      <c r="H42" s="20"/>
      <c r="I42" s="29"/>
      <c r="J42" s="20"/>
      <c r="K42" s="20"/>
      <c r="L42" s="29"/>
      <c r="M42" s="30"/>
      <c r="O42" s="30"/>
      <c r="P42" s="26"/>
      <c r="Q42" s="21"/>
      <c r="R42" s="29"/>
      <c r="S42" s="21"/>
      <c r="T42" s="20"/>
      <c r="U42" s="20"/>
      <c r="V42" s="20"/>
      <c r="W42" s="20"/>
      <c r="X42" s="20"/>
      <c r="Y42" s="31"/>
      <c r="Z42" s="31"/>
      <c r="BR42" s="33" t="s">
        <v>77</v>
      </c>
      <c r="BS42" s="34"/>
      <c r="BT42" s="34"/>
      <c r="BU42" s="35" t="s">
        <v>18</v>
      </c>
      <c r="BV42" s="36"/>
      <c r="BW42" s="37" t="s">
        <v>78</v>
      </c>
      <c r="BX42" s="38"/>
      <c r="BY42" s="38"/>
      <c r="BZ42" s="39"/>
      <c r="CA42" s="40" t="s">
        <v>24</v>
      </c>
    </row>
    <row r="43" spans="1:96" ht="17.25" x14ac:dyDescent="0.25">
      <c r="F43" s="233" t="s">
        <v>116</v>
      </c>
      <c r="G43" s="233"/>
      <c r="H43" s="233"/>
      <c r="I43" s="80"/>
      <c r="J43" s="76"/>
      <c r="K43" s="76"/>
      <c r="L43" s="75"/>
      <c r="M43" s="78"/>
      <c r="O43" s="77"/>
      <c r="P43" s="81" t="s">
        <v>66</v>
      </c>
      <c r="Q43" s="76"/>
      <c r="R43" s="19"/>
      <c r="S43" s="76"/>
      <c r="T43" s="76"/>
      <c r="U43" s="76"/>
      <c r="V43" s="76"/>
      <c r="W43" s="76"/>
      <c r="X43" s="76"/>
      <c r="Y43" s="81" t="s">
        <v>67</v>
      </c>
      <c r="Z43" s="79"/>
      <c r="BR43" s="33" t="s">
        <v>79</v>
      </c>
      <c r="BS43" s="34"/>
      <c r="BT43" s="34"/>
      <c r="BU43" s="35" t="s">
        <v>19</v>
      </c>
      <c r="BV43" s="36"/>
      <c r="BW43" s="37" t="s">
        <v>80</v>
      </c>
      <c r="BX43" s="38"/>
      <c r="BY43" s="38"/>
      <c r="BZ43" s="39"/>
      <c r="CA43" s="40" t="s">
        <v>25</v>
      </c>
    </row>
    <row r="44" spans="1:96" ht="17.25" x14ac:dyDescent="0.25">
      <c r="F44" s="233" t="s">
        <v>68</v>
      </c>
      <c r="G44" s="233"/>
      <c r="H44" s="233"/>
      <c r="I44" s="74"/>
      <c r="J44" s="76"/>
      <c r="K44" s="76"/>
      <c r="L44" s="81"/>
      <c r="M44" s="82"/>
      <c r="O44" s="82"/>
      <c r="P44" s="81" t="s">
        <v>69</v>
      </c>
      <c r="Q44" s="81"/>
      <c r="R44" s="19"/>
      <c r="S44" s="81"/>
      <c r="T44" s="76"/>
      <c r="U44" s="76"/>
      <c r="V44" s="76"/>
      <c r="W44" s="76"/>
      <c r="X44" s="76"/>
      <c r="Y44" s="81" t="s">
        <v>70</v>
      </c>
      <c r="Z44" s="79"/>
      <c r="BR44" s="33" t="s">
        <v>81</v>
      </c>
      <c r="BS44" s="34"/>
      <c r="BT44" s="34"/>
      <c r="BU44" s="35" t="s">
        <v>20</v>
      </c>
      <c r="BV44" s="36"/>
      <c r="BW44" s="36"/>
      <c r="BX44" s="36"/>
      <c r="BY44" s="36"/>
      <c r="BZ44" s="36"/>
      <c r="CA44" s="36"/>
    </row>
    <row r="45" spans="1:96" x14ac:dyDescent="0.25">
      <c r="AW45" t="s">
        <v>82</v>
      </c>
    </row>
    <row r="49" spans="1:96" ht="15.75" x14ac:dyDescent="0.25">
      <c r="K49" s="19"/>
      <c r="N49" s="20"/>
    </row>
    <row r="54" spans="1:96" x14ac:dyDescent="0.25">
      <c r="J54" t="s">
        <v>82</v>
      </c>
    </row>
    <row r="55" spans="1:96" ht="22.5" customHeight="1" x14ac:dyDescent="0.25">
      <c r="A55" s="96">
        <v>7</v>
      </c>
      <c r="B55" s="106" t="str">
        <f>'[1]Hulhumale Staffs_ Sep 2025'!B11</f>
        <v>MAD0699</v>
      </c>
      <c r="C55" s="107" t="s">
        <v>32</v>
      </c>
      <c r="D55" s="108">
        <v>45837</v>
      </c>
      <c r="E55" s="104">
        <v>46266.342453703706</v>
      </c>
      <c r="F55" s="104">
        <v>46264.950995370367</v>
      </c>
      <c r="G55" s="104">
        <v>46267.343472222223</v>
      </c>
      <c r="H55" s="104">
        <v>0</v>
      </c>
      <c r="I55" s="104">
        <v>46268.33017361111</v>
      </c>
      <c r="J55" s="104">
        <v>0</v>
      </c>
      <c r="K55" s="104">
        <v>46269.579340277778</v>
      </c>
      <c r="L55" s="104">
        <v>46269.998391203706</v>
      </c>
      <c r="M55" s="104">
        <v>46270.352870370371</v>
      </c>
      <c r="N55" s="104">
        <v>46270.999976851854</v>
      </c>
      <c r="O55" s="104">
        <v>46271.345219907409</v>
      </c>
      <c r="P55" s="104">
        <v>0</v>
      </c>
      <c r="Q55" s="104">
        <v>46272.346817129626</v>
      </c>
      <c r="R55" s="104">
        <v>0</v>
      </c>
      <c r="S55" s="104">
        <v>46273.312314814815</v>
      </c>
      <c r="T55" s="104">
        <v>0</v>
      </c>
      <c r="U55" s="104">
        <v>46274.335335648146</v>
      </c>
      <c r="V55" s="104">
        <v>0</v>
      </c>
      <c r="W55" s="104">
        <v>46275.35292824074</v>
      </c>
      <c r="X55" s="104">
        <v>0</v>
      </c>
      <c r="Y55" s="163" t="s">
        <v>15</v>
      </c>
      <c r="Z55" s="163" t="s">
        <v>15</v>
      </c>
      <c r="AA55" s="104">
        <v>46277.339282407411</v>
      </c>
      <c r="AB55" s="104">
        <v>0</v>
      </c>
      <c r="AC55" s="104">
        <v>46278.339212962965</v>
      </c>
      <c r="AD55" s="104">
        <v>0</v>
      </c>
      <c r="AE55" s="104">
        <v>46279.339756944442</v>
      </c>
      <c r="AF55" s="104">
        <v>0</v>
      </c>
      <c r="AG55" s="104">
        <v>46280.339421296296</v>
      </c>
      <c r="AH55" s="104">
        <v>0</v>
      </c>
      <c r="AI55" s="90"/>
      <c r="AJ55" s="139">
        <v>7</v>
      </c>
      <c r="AK55" s="104">
        <v>46281.33934027778</v>
      </c>
      <c r="AL55" s="104">
        <v>46281.992430555554</v>
      </c>
      <c r="AM55" s="104">
        <v>46282.340601851851</v>
      </c>
      <c r="AN55" s="104">
        <v>0</v>
      </c>
      <c r="AO55" s="104">
        <v>46283.5705787037</v>
      </c>
      <c r="AP55" s="104">
        <v>0</v>
      </c>
      <c r="AQ55" s="104">
        <v>46284.340763888889</v>
      </c>
      <c r="AR55" s="104">
        <v>0</v>
      </c>
      <c r="AS55" s="104">
        <v>46285.339120370372</v>
      </c>
      <c r="AT55" s="104">
        <v>46285.984444444446</v>
      </c>
      <c r="AU55" s="104">
        <v>46286.335717592592</v>
      </c>
      <c r="AV55" s="104">
        <v>46286.979722222219</v>
      </c>
      <c r="AW55" s="104">
        <v>46287.344953703701</v>
      </c>
      <c r="AX55" s="104">
        <v>0</v>
      </c>
      <c r="AY55" s="104">
        <v>46288.333622685182</v>
      </c>
      <c r="AZ55" s="104">
        <v>0</v>
      </c>
      <c r="BA55" s="104">
        <v>46289.337789351855</v>
      </c>
      <c r="BB55" s="104">
        <v>0</v>
      </c>
      <c r="BC55" s="104">
        <v>46290.006238425929</v>
      </c>
      <c r="BD55" s="104">
        <v>46290.978229166663</v>
      </c>
      <c r="BE55" s="104">
        <v>46291.337951388887</v>
      </c>
      <c r="BF55" s="104">
        <v>0</v>
      </c>
      <c r="BG55" s="104">
        <v>46292.338784722226</v>
      </c>
      <c r="BH55" s="104">
        <v>0</v>
      </c>
      <c r="BI55" s="104">
        <v>46293.34</v>
      </c>
      <c r="BJ55" s="104">
        <v>0</v>
      </c>
      <c r="BK55" s="104">
        <v>0</v>
      </c>
      <c r="BL55" s="104">
        <v>0</v>
      </c>
      <c r="BM55" s="104">
        <v>0</v>
      </c>
      <c r="BN55" s="104">
        <v>0</v>
      </c>
      <c r="BO55" s="125"/>
      <c r="BP55" s="125"/>
      <c r="BQ55" s="13">
        <f>BS55+BT55+BU55+BV55+CA55+BY55+BZ55+CD55</f>
        <v>15</v>
      </c>
      <c r="BR55" s="109">
        <v>3</v>
      </c>
      <c r="BS55" s="14">
        <f>COUNT(E55:AH55)/2+COUNT(AK12:BN12)/2</f>
        <v>14</v>
      </c>
      <c r="BT55" s="15">
        <f>COUNTIF(B55:BN55,"OFF")/2</f>
        <v>1</v>
      </c>
      <c r="BU55" s="15">
        <f>COUNTIF(B55:BN55,"MC")/2</f>
        <v>0</v>
      </c>
      <c r="BV55" s="15">
        <f>COUNTIF(B55:BN55,"EL")/2</f>
        <v>0</v>
      </c>
      <c r="BW55" s="15">
        <f>COUNTIF(B55:BN55,"AL")/2</f>
        <v>0</v>
      </c>
      <c r="BX55" s="15">
        <f>COUNTIF(B55:BN55,"SUS")/2</f>
        <v>0</v>
      </c>
      <c r="BY55" s="15">
        <f>COUNTIF(B55:BN55,"FL")/2</f>
        <v>0</v>
      </c>
      <c r="BZ55" s="15">
        <f>COUNTIF(B55:BN55,"SICK")/2</f>
        <v>0</v>
      </c>
      <c r="CA55" s="15">
        <f>COUNTIF(B55:BN55,"HD")/2</f>
        <v>0</v>
      </c>
      <c r="CB55" s="15">
        <f>COUNTIF(B55:BN55,"AB")/2</f>
        <v>0</v>
      </c>
      <c r="CC55" s="15">
        <f>COUNTIF(B55:BN55,"NL")/2</f>
        <v>0</v>
      </c>
      <c r="CD55" s="15">
        <f>COUNTIF(B55:BN55,"SP")/2</f>
        <v>0</v>
      </c>
      <c r="CE55" s="126"/>
      <c r="CH55" s="70">
        <v>0</v>
      </c>
      <c r="CI55" s="70">
        <v>0</v>
      </c>
      <c r="CJ55" s="70">
        <v>0</v>
      </c>
      <c r="CK55" s="70">
        <v>0</v>
      </c>
      <c r="CL55" s="70">
        <v>0</v>
      </c>
      <c r="CM55" s="70">
        <v>2</v>
      </c>
      <c r="CN55" s="70">
        <v>0</v>
      </c>
      <c r="CO55" s="70">
        <v>0</v>
      </c>
      <c r="CP55" s="70">
        <v>0</v>
      </c>
      <c r="CQ55" s="70">
        <v>0</v>
      </c>
      <c r="CR55" s="71">
        <f>SUM(CH55:CQ55)</f>
        <v>2</v>
      </c>
    </row>
    <row r="56" spans="1:96" s="102" customFormat="1" ht="20.25" customHeight="1" x14ac:dyDescent="0.25">
      <c r="A56" s="145">
        <v>29</v>
      </c>
      <c r="B56" s="146" t="s">
        <v>114</v>
      </c>
      <c r="C56" s="147" t="s">
        <v>113</v>
      </c>
      <c r="D56" s="148">
        <v>46258</v>
      </c>
      <c r="E56" s="239" t="s">
        <v>115</v>
      </c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0"/>
      <c r="AB56" s="240"/>
      <c r="AC56" s="240"/>
      <c r="AD56" s="240"/>
      <c r="AE56" s="240"/>
      <c r="AF56" s="240"/>
      <c r="AG56" s="240"/>
      <c r="AH56" s="241"/>
      <c r="AI56" s="149"/>
      <c r="AJ56" s="150">
        <v>29</v>
      </c>
      <c r="AK56" s="239"/>
      <c r="AL56" s="240"/>
      <c r="AM56" s="240"/>
      <c r="AN56" s="240"/>
      <c r="AO56" s="240"/>
      <c r="AP56" s="240"/>
      <c r="AQ56" s="240"/>
      <c r="AR56" s="240"/>
      <c r="AS56" s="240"/>
      <c r="AT56" s="240"/>
      <c r="AU56" s="240"/>
      <c r="AV56" s="240"/>
      <c r="AW56" s="240"/>
      <c r="AX56" s="240"/>
      <c r="AY56" s="240"/>
      <c r="AZ56" s="241"/>
      <c r="BA56" s="151">
        <v>46258.354131944441</v>
      </c>
      <c r="BB56" s="151">
        <v>46258.938576388886</v>
      </c>
      <c r="BC56" s="152">
        <v>46259.344652777778</v>
      </c>
      <c r="BD56" s="152">
        <v>46259.943530092591</v>
      </c>
      <c r="BE56" s="152">
        <v>46260.348275462966</v>
      </c>
      <c r="BF56" s="152">
        <v>46260.940057870372</v>
      </c>
      <c r="BG56" s="152">
        <v>46261.347500000003</v>
      </c>
      <c r="BH56" s="152">
        <v>46261.959432870368</v>
      </c>
      <c r="BI56" s="152">
        <v>46262.575428240743</v>
      </c>
      <c r="BJ56" s="152">
        <v>46262.940011574072</v>
      </c>
      <c r="BK56" s="152">
        <v>46263.348865740743</v>
      </c>
      <c r="BL56" s="152">
        <v>0</v>
      </c>
      <c r="BM56" s="153" t="s">
        <v>23</v>
      </c>
      <c r="BN56" s="153" t="s">
        <v>23</v>
      </c>
      <c r="BO56" s="153" t="s">
        <v>23</v>
      </c>
      <c r="BP56" s="153" t="s">
        <v>23</v>
      </c>
      <c r="BQ56" s="154">
        <f>BS56+BT56+BU56+BV56+CA56+BY56+BZ56+CD56</f>
        <v>6</v>
      </c>
      <c r="BR56" s="155">
        <v>1</v>
      </c>
      <c r="BS56" s="156">
        <f>COUNT(E56:AH56)/2+COUNT(AK56:BP56)/2</f>
        <v>6</v>
      </c>
      <c r="BT56" s="157">
        <f>COUNTIF(B56:BN56,"OFF")/2</f>
        <v>0</v>
      </c>
      <c r="BU56" s="157">
        <f>COUNTIF(B56:BN56,"MC")/2</f>
        <v>0</v>
      </c>
      <c r="BV56" s="157">
        <f>COUNTIF(B56:BN56,"EL")/2</f>
        <v>0</v>
      </c>
      <c r="BW56" s="157">
        <f>COUNTIF(B56:BN56,"AL")/2</f>
        <v>0</v>
      </c>
      <c r="BX56" s="157">
        <f>COUNTIF(B56:BN56,"SUS")/2</f>
        <v>0</v>
      </c>
      <c r="BY56" s="157">
        <f>COUNTIF(B56:BN56,"FL")/2</f>
        <v>0</v>
      </c>
      <c r="BZ56" s="157">
        <f>COUNTIF(B56:BN56,"SICK")/2</f>
        <v>0</v>
      </c>
      <c r="CA56" s="157">
        <f>COUNTIF(B56:BN56,"HD")/2</f>
        <v>0</v>
      </c>
      <c r="CB56" s="157">
        <f>COUNTIF(B56:BP56,"AB")/2</f>
        <v>2</v>
      </c>
      <c r="CC56" s="157">
        <f>COUNTIF(B56:BN56,"NL")/2</f>
        <v>0</v>
      </c>
      <c r="CD56" s="157">
        <f>COUNTIF(B56:BN56,"SP")/2</f>
        <v>0</v>
      </c>
      <c r="CE56" s="158"/>
      <c r="CH56" s="159">
        <v>0</v>
      </c>
      <c r="CI56" s="159">
        <v>0</v>
      </c>
      <c r="CJ56" s="159">
        <v>0</v>
      </c>
      <c r="CK56" s="159">
        <v>0</v>
      </c>
      <c r="CL56" s="159">
        <v>0</v>
      </c>
      <c r="CM56" s="160">
        <v>0</v>
      </c>
      <c r="CN56" s="159">
        <v>0</v>
      </c>
      <c r="CO56" s="160">
        <v>0</v>
      </c>
      <c r="CP56" s="160">
        <v>0</v>
      </c>
      <c r="CQ56" s="160">
        <v>0</v>
      </c>
      <c r="CR56" s="161">
        <f>SUM(CH56:CQ56)</f>
        <v>0</v>
      </c>
    </row>
    <row r="58" spans="1:96" ht="22.5" customHeight="1" x14ac:dyDescent="0.25">
      <c r="A58" s="7">
        <v>20</v>
      </c>
      <c r="B58" s="8" t="s">
        <v>53</v>
      </c>
      <c r="C58" s="44" t="s">
        <v>54</v>
      </c>
      <c r="D58" s="66">
        <v>45764</v>
      </c>
      <c r="E58" s="65">
        <v>0.34513888888888888</v>
      </c>
      <c r="F58" s="65">
        <v>0.82986111111111116</v>
      </c>
      <c r="G58" s="65">
        <v>0.33888888888888885</v>
      </c>
      <c r="H58" s="65">
        <v>0.82847222222222217</v>
      </c>
      <c r="I58" s="69">
        <v>0.56944444444444442</v>
      </c>
      <c r="J58" s="69">
        <v>0.82291666666666663</v>
      </c>
      <c r="K58" s="65">
        <v>0.34513888888888888</v>
      </c>
      <c r="L58" s="65">
        <v>0.83263888888888893</v>
      </c>
      <c r="M58" s="65">
        <v>0.34375</v>
      </c>
      <c r="N58" s="65">
        <v>0.91041666666666676</v>
      </c>
      <c r="O58" s="65">
        <v>0.3430555555555555</v>
      </c>
      <c r="P58" s="65">
        <v>0.9555555555555556</v>
      </c>
      <c r="Q58" s="65">
        <v>0.34652777777777777</v>
      </c>
      <c r="R58" s="65">
        <v>0.83124999999999993</v>
      </c>
      <c r="S58" s="65">
        <v>0.3430555555555555</v>
      </c>
      <c r="T58" s="65">
        <v>0.74930555555555556</v>
      </c>
      <c r="U58" s="65">
        <v>0.34097222222222223</v>
      </c>
      <c r="V58" s="65">
        <v>0.92986111111111114</v>
      </c>
      <c r="W58" s="68" t="s">
        <v>15</v>
      </c>
      <c r="X58" s="68" t="s">
        <v>15</v>
      </c>
      <c r="Y58" s="65">
        <v>0.34513888888888888</v>
      </c>
      <c r="Z58" s="65">
        <v>0.87847222222222221</v>
      </c>
      <c r="AA58" s="65">
        <v>0.3444444444444445</v>
      </c>
      <c r="AB58" s="65">
        <v>0.85902777777777783</v>
      </c>
      <c r="AC58" s="65">
        <v>0.3444444444444445</v>
      </c>
      <c r="AD58" s="65">
        <v>0.85</v>
      </c>
      <c r="AE58" s="65">
        <v>0.33680555555555558</v>
      </c>
      <c r="AF58" s="65">
        <v>0.84791666666666676</v>
      </c>
      <c r="AG58" s="65">
        <v>0.3354166666666667</v>
      </c>
      <c r="AH58" s="65">
        <v>0.82638888888888884</v>
      </c>
      <c r="AI58" s="65"/>
      <c r="AJ58" s="7">
        <v>20</v>
      </c>
      <c r="AK58" s="65">
        <v>0.34652777777777777</v>
      </c>
      <c r="AL58" s="65">
        <v>0.8354166666666667</v>
      </c>
      <c r="AM58" s="69">
        <v>0.57777777777777783</v>
      </c>
      <c r="AN58" s="69">
        <v>0.87777777777777777</v>
      </c>
      <c r="AO58" s="65">
        <v>0.33888888888888885</v>
      </c>
      <c r="AP58" s="65">
        <v>0.33958333333333335</v>
      </c>
      <c r="AQ58" s="65">
        <v>0.35138888888888892</v>
      </c>
      <c r="AR58" s="65">
        <v>0.85</v>
      </c>
      <c r="AS58" s="65">
        <v>0.3430555555555555</v>
      </c>
      <c r="AT58" s="65">
        <v>0.85486111111111107</v>
      </c>
      <c r="AU58" s="65">
        <v>0.34027777777777773</v>
      </c>
      <c r="AV58" s="65">
        <v>0.85138888888888886</v>
      </c>
      <c r="AW58" s="65">
        <v>0.33333333333333331</v>
      </c>
      <c r="AX58" s="65">
        <v>0.33333333333333331</v>
      </c>
      <c r="AY58" s="65">
        <v>0.33749999999999997</v>
      </c>
      <c r="AZ58" s="65">
        <v>0.33749999999999997</v>
      </c>
      <c r="BA58" s="68" t="s">
        <v>15</v>
      </c>
      <c r="BB58" s="68" t="s">
        <v>15</v>
      </c>
      <c r="BC58" s="65" t="s">
        <v>18</v>
      </c>
      <c r="BD58" s="65" t="s">
        <v>18</v>
      </c>
      <c r="BE58" s="65" t="s">
        <v>18</v>
      </c>
      <c r="BF58" s="65" t="s">
        <v>18</v>
      </c>
      <c r="BI58" s="59"/>
      <c r="BJ58" s="59"/>
      <c r="BK58" s="59"/>
      <c r="BL58" s="59"/>
      <c r="BM58" s="59"/>
      <c r="BN58" s="59"/>
      <c r="BO58" s="100"/>
      <c r="BP58" s="100"/>
      <c r="BQ58" s="46">
        <f>BS58+BT58+BU58+BV58+CA58+BY58+BZ58+CD58</f>
        <v>23.5</v>
      </c>
      <c r="BR58" s="47"/>
      <c r="BS58" s="14">
        <f>COUNT(E58:AD58)/2+COUNT(AG58:BN58)/2</f>
        <v>21.5</v>
      </c>
      <c r="BT58" s="15">
        <f>COUNTIF(B58:BN58,"OFF")/2</f>
        <v>2</v>
      </c>
      <c r="BU58" s="15">
        <f>COUNTIF(B58:BN58,"MC")/2</f>
        <v>0</v>
      </c>
      <c r="BV58" s="15">
        <f>COUNTIF(B58:BN58,"EL")/2</f>
        <v>0</v>
      </c>
      <c r="BW58" s="15">
        <f>COUNTIF(B58:BN58,"AL")/2</f>
        <v>2</v>
      </c>
      <c r="BX58" s="15">
        <f>COUNTIF(B58:BN58,"SUS")/2</f>
        <v>0</v>
      </c>
      <c r="BY58" s="15">
        <f>COUNTIF(B58:BN58,"FL")/2</f>
        <v>0</v>
      </c>
      <c r="BZ58" s="15">
        <f>COUNTIF(B58:BN58,"SICK")/2</f>
        <v>0</v>
      </c>
      <c r="CA58" s="15">
        <f>COUNTIF(B58:BN58,"HD")/2</f>
        <v>0</v>
      </c>
      <c r="CB58" s="15">
        <f>COUNTIF(B58:BN58,"AB")/2</f>
        <v>0</v>
      </c>
      <c r="CC58" s="15">
        <f>COUNTIF(B58:BN58,"NL")/2</f>
        <v>0</v>
      </c>
      <c r="CD58" s="15">
        <f>COUNTIF(B58:BN58,"SP")/2</f>
        <v>0</v>
      </c>
      <c r="CE58" s="16"/>
      <c r="CH58" s="53">
        <v>0</v>
      </c>
      <c r="CI58" s="53">
        <v>0</v>
      </c>
      <c r="CJ58" s="53">
        <v>0</v>
      </c>
      <c r="CK58" s="53">
        <v>0</v>
      </c>
      <c r="CL58" s="53">
        <v>0</v>
      </c>
      <c r="CM58" s="53">
        <v>0</v>
      </c>
      <c r="CN58" s="53">
        <v>0</v>
      </c>
      <c r="CO58" s="53">
        <v>0</v>
      </c>
      <c r="CP58" s="53">
        <v>0</v>
      </c>
      <c r="CQ58" s="53">
        <v>0</v>
      </c>
      <c r="CR58" s="57">
        <f>SUM(CH58:CQ58)</f>
        <v>0</v>
      </c>
    </row>
    <row r="59" spans="1:96" ht="22.5" customHeight="1" x14ac:dyDescent="0.25">
      <c r="A59" s="7">
        <v>16</v>
      </c>
      <c r="B59" s="8" t="s">
        <v>48</v>
      </c>
      <c r="C59" s="44" t="s">
        <v>49</v>
      </c>
      <c r="D59" s="66">
        <v>45616</v>
      </c>
      <c r="E59" s="72">
        <v>0.57847222222222217</v>
      </c>
      <c r="F59" s="72">
        <v>0.57847222222222217</v>
      </c>
      <c r="G59" s="65">
        <v>0.33749999999999997</v>
      </c>
      <c r="H59" s="67">
        <v>1</v>
      </c>
      <c r="I59" s="65">
        <v>0.34027777777777773</v>
      </c>
      <c r="J59" s="65">
        <v>0.87361111111111101</v>
      </c>
      <c r="K59" s="65">
        <v>0.3263888888888889</v>
      </c>
      <c r="L59" s="67">
        <v>1</v>
      </c>
      <c r="M59" s="65">
        <v>0.3215277777777778</v>
      </c>
      <c r="N59" s="65">
        <v>0.86458333333333337</v>
      </c>
      <c r="O59" s="65">
        <v>0.3354166666666667</v>
      </c>
      <c r="P59" s="65">
        <v>0.82013888888888886</v>
      </c>
      <c r="Q59" s="65">
        <v>0.32916666666666666</v>
      </c>
      <c r="R59" s="65">
        <v>0.32916666666666666</v>
      </c>
      <c r="S59" s="67" t="s">
        <v>15</v>
      </c>
      <c r="T59" s="67" t="s">
        <v>15</v>
      </c>
      <c r="U59" s="65">
        <v>0.34166666666666662</v>
      </c>
      <c r="V59" s="67">
        <v>1</v>
      </c>
      <c r="W59" s="65">
        <v>0.32500000000000001</v>
      </c>
      <c r="X59" s="65">
        <v>0.84861111111111109</v>
      </c>
      <c r="Y59" s="65">
        <v>0.31111111111111112</v>
      </c>
      <c r="Z59" s="65">
        <v>0.84375</v>
      </c>
      <c r="AA59" s="65">
        <v>0.32847222222222222</v>
      </c>
      <c r="AB59" s="65">
        <v>0.32847222222222222</v>
      </c>
      <c r="AC59" s="65">
        <v>0.32916666666666666</v>
      </c>
      <c r="AD59" s="65">
        <v>0.86041666666666661</v>
      </c>
      <c r="AE59" s="65">
        <v>0.31736111111111115</v>
      </c>
      <c r="AF59" s="67">
        <v>1</v>
      </c>
      <c r="AG59" s="72">
        <v>0.56736111111111109</v>
      </c>
      <c r="AH59" s="73">
        <v>1</v>
      </c>
      <c r="AI59" s="73"/>
      <c r="AJ59" s="7">
        <v>16</v>
      </c>
      <c r="AK59" s="65">
        <v>0.32916666666666666</v>
      </c>
      <c r="AL59" s="65">
        <v>0.80694444444444446</v>
      </c>
      <c r="AM59" s="65">
        <v>0.32500000000000001</v>
      </c>
      <c r="AN59" s="67">
        <v>1</v>
      </c>
      <c r="AO59" s="65">
        <v>0.32916666666666666</v>
      </c>
      <c r="AP59" s="65">
        <v>0.90069444444444446</v>
      </c>
      <c r="AQ59" s="65">
        <v>0.3354166666666667</v>
      </c>
      <c r="AR59" s="65">
        <v>0.83611111111111114</v>
      </c>
      <c r="AS59" s="65">
        <v>0.33680555555555558</v>
      </c>
      <c r="AT59" s="65">
        <v>0.85138888888888886</v>
      </c>
      <c r="AU59" s="65">
        <v>0.33680555555555558</v>
      </c>
      <c r="AV59" s="67">
        <v>1</v>
      </c>
      <c r="AW59" s="73" t="s">
        <v>15</v>
      </c>
      <c r="AX59" s="73" t="s">
        <v>15</v>
      </c>
      <c r="AY59" s="65">
        <v>0.35625000000000001</v>
      </c>
      <c r="AZ59" s="65">
        <v>0.84930555555555554</v>
      </c>
      <c r="BA59" s="65">
        <v>0.34236111111111112</v>
      </c>
      <c r="BB59" s="65">
        <v>0.79166666666666663</v>
      </c>
      <c r="BC59" s="65">
        <v>0.34513888888888888</v>
      </c>
      <c r="BD59" s="65">
        <v>0.8881944444444444</v>
      </c>
      <c r="BE59" s="65">
        <v>0.34722222222222227</v>
      </c>
      <c r="BF59" s="67">
        <v>1</v>
      </c>
      <c r="BG59" s="73" t="s">
        <v>15</v>
      </c>
      <c r="BH59" s="73" t="s">
        <v>15</v>
      </c>
      <c r="BI59" s="65">
        <v>0.3298611111111111</v>
      </c>
      <c r="BJ59" s="65">
        <v>0.99513888888888891</v>
      </c>
      <c r="BK59" s="72">
        <v>0.58124999999999993</v>
      </c>
      <c r="BL59" s="72">
        <v>0.58124999999999993</v>
      </c>
      <c r="BQ59" s="46">
        <f t="shared" ref="BQ59" si="42">BS59+BT59+BU59+BV59+CA59+BY59+BZ59+CD59</f>
        <v>29</v>
      </c>
      <c r="BR59" s="47">
        <v>3</v>
      </c>
      <c r="BS59" s="14">
        <f>COUNT(E59:AH59)/2+COUNT(AK59:BN59)/2</f>
        <v>26</v>
      </c>
      <c r="BT59" s="15">
        <f>COUNTIF(B59:BL59,"OFF")/2</f>
        <v>3</v>
      </c>
      <c r="BU59" s="15">
        <f>COUNTIF(B59:BL59,"MC")/2</f>
        <v>0</v>
      </c>
      <c r="BV59" s="15">
        <f>COUNTIF(B59:BL59,"EL")/2</f>
        <v>0</v>
      </c>
      <c r="BW59" s="15">
        <f>COUNTIF(B59:BL59,"AL")/2</f>
        <v>0</v>
      </c>
      <c r="BX59" s="15">
        <f>COUNTIF(B59:BL59,"SUS")/2</f>
        <v>0</v>
      </c>
      <c r="BY59" s="15">
        <f>COUNTIF(B59:BL59,"FL")/2</f>
        <v>0</v>
      </c>
      <c r="BZ59" s="15">
        <f>COUNTIF(B59:BL59,"SICK")/2</f>
        <v>0</v>
      </c>
      <c r="CA59" s="15">
        <f>COUNTIF(B59:BL59,"HD")/2</f>
        <v>0</v>
      </c>
      <c r="CB59" s="15">
        <f>COUNTIF(B59:BL59,"AB")/2</f>
        <v>0</v>
      </c>
      <c r="CC59" s="15">
        <f>COUNTIF(B59:BL59,"NL")/2</f>
        <v>0</v>
      </c>
      <c r="CD59" s="15">
        <f>COUNTIF(B59:BL59,"SP")/2</f>
        <v>0</v>
      </c>
      <c r="CE59" s="16"/>
      <c r="CH59" s="54">
        <v>0</v>
      </c>
      <c r="CI59" s="54">
        <v>0</v>
      </c>
      <c r="CJ59" s="54">
        <v>1</v>
      </c>
      <c r="CK59" s="55">
        <v>0</v>
      </c>
      <c r="CL59" s="55">
        <v>0</v>
      </c>
      <c r="CM59" s="54">
        <v>6</v>
      </c>
      <c r="CN59" s="55">
        <v>0</v>
      </c>
      <c r="CO59" s="55">
        <v>1</v>
      </c>
      <c r="CP59" s="55">
        <v>0</v>
      </c>
      <c r="CQ59" s="55">
        <v>0</v>
      </c>
      <c r="CR59" s="56">
        <f t="shared" ref="CR59" si="43">SUM(CH59:CQ59)</f>
        <v>8</v>
      </c>
    </row>
    <row r="60" spans="1:96" ht="22.5" customHeight="1" x14ac:dyDescent="0.25">
      <c r="A60" s="96">
        <v>29</v>
      </c>
      <c r="B60" s="83" t="s">
        <v>108</v>
      </c>
      <c r="C60" s="93" t="s">
        <v>109</v>
      </c>
      <c r="D60" s="92">
        <v>46208</v>
      </c>
      <c r="E60" s="104">
        <v>0</v>
      </c>
      <c r="F60" s="104">
        <v>46296.970185185186</v>
      </c>
      <c r="G60" s="104">
        <v>46297.575011574074</v>
      </c>
      <c r="H60" s="104">
        <v>46297.954375000001</v>
      </c>
      <c r="I60" s="104">
        <v>46298.346180555556</v>
      </c>
      <c r="J60" s="104">
        <v>0</v>
      </c>
      <c r="K60" s="104">
        <v>46299.35015046296</v>
      </c>
      <c r="L60" s="104">
        <v>46299.955983796295</v>
      </c>
      <c r="M60" s="104">
        <v>0</v>
      </c>
      <c r="N60" s="104">
        <v>46300.950196759259</v>
      </c>
      <c r="O60" s="104">
        <v>46301.3515625</v>
      </c>
      <c r="P60" s="104">
        <v>46301.949421296296</v>
      </c>
      <c r="Q60" s="104">
        <v>46302.348993055559</v>
      </c>
      <c r="R60" s="104">
        <v>46302.948425925926</v>
      </c>
      <c r="S60" s="104">
        <v>46303.348946759259</v>
      </c>
      <c r="T60" s="104">
        <v>46303.965497685182</v>
      </c>
      <c r="U60" s="220" t="s">
        <v>15</v>
      </c>
      <c r="V60" s="220" t="s">
        <v>15</v>
      </c>
      <c r="W60" s="104">
        <v>46305.347060185188</v>
      </c>
      <c r="X60" s="104">
        <v>46305.974085648151</v>
      </c>
      <c r="Y60" s="104">
        <v>46306.349282407406</v>
      </c>
      <c r="Z60" s="104">
        <v>46306.947442129633</v>
      </c>
      <c r="AA60" s="104">
        <v>46307.348807870374</v>
      </c>
      <c r="AB60" s="104">
        <v>46307.954155092593</v>
      </c>
      <c r="AC60" s="104">
        <v>46308.349386574075</v>
      </c>
      <c r="AD60" s="104">
        <v>0</v>
      </c>
      <c r="AE60" s="104">
        <v>46309.352083333331</v>
      </c>
      <c r="AF60" s="104">
        <v>46309.94767361111</v>
      </c>
      <c r="AG60" s="104">
        <v>46310.350810185184</v>
      </c>
      <c r="AH60" s="104">
        <v>46310.972488425927</v>
      </c>
      <c r="AI60" s="162"/>
      <c r="AJ60" s="95">
        <v>30</v>
      </c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3"/>
      <c r="BP60" s="103"/>
      <c r="BQ60" s="13">
        <f t="shared" ref="BQ60" si="44">BS60+BT60+BU60+BV60+CA60+BY60+BZ60+CD60</f>
        <v>15</v>
      </c>
      <c r="BR60" s="47"/>
      <c r="BS60" s="14">
        <f>COUNT(E60:AH60)/2+COUNT(AK60:BP60)/2</f>
        <v>14</v>
      </c>
      <c r="BT60" s="15">
        <f>COUNTIF(B60:BN60,"OFF")/2</f>
        <v>1</v>
      </c>
      <c r="BU60" s="15">
        <f>COUNTIF(B60:BN60,"MC")/2</f>
        <v>0</v>
      </c>
      <c r="BV60" s="15">
        <f>COUNTIF(B60:BN60,"EL")/2</f>
        <v>0</v>
      </c>
      <c r="BW60" s="15">
        <f>COUNTIF(B60:BN60,"AL")/2</f>
        <v>0</v>
      </c>
      <c r="BX60" s="15">
        <f>COUNTIF(B60:BN60,"SUS")/2</f>
        <v>0</v>
      </c>
      <c r="BY60" s="15">
        <f>COUNTIF(B60:BN60,"FL")/2</f>
        <v>0</v>
      </c>
      <c r="BZ60" s="15">
        <f>COUNTIF(B60:BN60,"SICK")/2</f>
        <v>0</v>
      </c>
      <c r="CA60" s="15">
        <f>COUNTIF(B60:BN60,"HD")/2</f>
        <v>0</v>
      </c>
      <c r="CB60" s="15">
        <f>COUNTIF(B60:BN60,"AB")/2</f>
        <v>0</v>
      </c>
      <c r="CC60" s="15">
        <f>COUNTIF(B60:BN60,"NL")/2</f>
        <v>0</v>
      </c>
      <c r="CD60" s="15">
        <f>COUNTIF(B60:BN60,"SP")/2</f>
        <v>0</v>
      </c>
      <c r="CE60" s="16"/>
      <c r="CH60" s="134">
        <v>0</v>
      </c>
      <c r="CI60" s="134">
        <v>0</v>
      </c>
      <c r="CJ60" s="134">
        <v>0</v>
      </c>
      <c r="CK60" s="134">
        <v>0</v>
      </c>
      <c r="CL60" s="134">
        <v>0</v>
      </c>
      <c r="CM60" s="135">
        <v>0</v>
      </c>
      <c r="CN60" s="134">
        <v>0</v>
      </c>
      <c r="CO60" s="135">
        <v>0</v>
      </c>
      <c r="CP60" s="135">
        <v>0</v>
      </c>
      <c r="CQ60" s="135">
        <v>0</v>
      </c>
      <c r="CR60" s="136">
        <f t="shared" ref="CR60" si="45">SUM(CH60:CQ60)</f>
        <v>0</v>
      </c>
    </row>
  </sheetData>
  <mergeCells count="142">
    <mergeCell ref="AM16:AN16"/>
    <mergeCell ref="O16:P16"/>
    <mergeCell ref="Q16:R16"/>
    <mergeCell ref="S16:T16"/>
    <mergeCell ref="AY15:AZ15"/>
    <mergeCell ref="AA16:AB16"/>
    <mergeCell ref="AK15:AL15"/>
    <mergeCell ref="AM15:AN15"/>
    <mergeCell ref="E56:AH56"/>
    <mergeCell ref="AK56:AZ56"/>
    <mergeCell ref="AC16:AD16"/>
    <mergeCell ref="AE16:AF16"/>
    <mergeCell ref="AG16:AH16"/>
    <mergeCell ref="AK16:AL16"/>
    <mergeCell ref="AG15:AH15"/>
    <mergeCell ref="U16:V16"/>
    <mergeCell ref="W16:X16"/>
    <mergeCell ref="Y16:Z16"/>
    <mergeCell ref="Q15:R15"/>
    <mergeCell ref="S15:T15"/>
    <mergeCell ref="U15:V15"/>
    <mergeCell ref="W15:X15"/>
    <mergeCell ref="Y15:Z15"/>
    <mergeCell ref="F43:H43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BR15:BR17"/>
    <mergeCell ref="CH15:CQ15"/>
    <mergeCell ref="E16:F16"/>
    <mergeCell ref="G16:H16"/>
    <mergeCell ref="I16:J16"/>
    <mergeCell ref="K16:L16"/>
    <mergeCell ref="M16:N16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E15:AF15"/>
    <mergeCell ref="AA15:AB15"/>
    <mergeCell ref="AC15:AD15"/>
    <mergeCell ref="O15:P15"/>
    <mergeCell ref="BM16:BN16"/>
    <mergeCell ref="BO16:BP16"/>
    <mergeCell ref="BM15:BN15"/>
    <mergeCell ref="A14:AH14"/>
    <mergeCell ref="AJ14:CE14"/>
    <mergeCell ref="BI3:BJ3"/>
    <mergeCell ref="BK3:BL3"/>
    <mergeCell ref="BM3:BN3"/>
    <mergeCell ref="A15:C16"/>
    <mergeCell ref="E15:F15"/>
    <mergeCell ref="G15:H15"/>
    <mergeCell ref="I15:J15"/>
    <mergeCell ref="K15:L15"/>
    <mergeCell ref="M15:N15"/>
    <mergeCell ref="BC3:BD3"/>
    <mergeCell ref="BE3:BF3"/>
    <mergeCell ref="BG3:BH3"/>
    <mergeCell ref="AQ3:AR3"/>
    <mergeCell ref="AS3:AT3"/>
    <mergeCell ref="AU3:AV3"/>
    <mergeCell ref="AW3:AX3"/>
    <mergeCell ref="AY3:AZ3"/>
    <mergeCell ref="BA3:BB3"/>
    <mergeCell ref="AC3:AD3"/>
    <mergeCell ref="BO15:BP15"/>
    <mergeCell ref="BQ15:BQ17"/>
    <mergeCell ref="AK3:AL3"/>
    <mergeCell ref="AM3:AN3"/>
    <mergeCell ref="S3:T3"/>
    <mergeCell ref="U3:V3"/>
    <mergeCell ref="W3:X3"/>
    <mergeCell ref="Y3:Z3"/>
    <mergeCell ref="AA3:AB3"/>
    <mergeCell ref="BO3:BP3"/>
    <mergeCell ref="AE3:AF3"/>
    <mergeCell ref="AO3:AP3"/>
    <mergeCell ref="BS2:CE2"/>
    <mergeCell ref="Q3:R3"/>
    <mergeCell ref="CH2:CQ2"/>
    <mergeCell ref="E3:F3"/>
    <mergeCell ref="G3:H3"/>
    <mergeCell ref="I3:J3"/>
    <mergeCell ref="K3:L3"/>
    <mergeCell ref="M3:N3"/>
    <mergeCell ref="O3:P3"/>
    <mergeCell ref="BE2:BF2"/>
    <mergeCell ref="BG2:BH2"/>
    <mergeCell ref="BI2:BJ2"/>
    <mergeCell ref="BK2:BL2"/>
    <mergeCell ref="BM2:BN2"/>
    <mergeCell ref="BO2:BP2"/>
    <mergeCell ref="AS2:AT2"/>
    <mergeCell ref="AU2:AV2"/>
    <mergeCell ref="AW2:AX2"/>
    <mergeCell ref="AY2:AZ2"/>
    <mergeCell ref="BA2:BB2"/>
    <mergeCell ref="BC2:BD2"/>
    <mergeCell ref="AE2:AF2"/>
    <mergeCell ref="AG2:AH2"/>
    <mergeCell ref="AG3:AH3"/>
    <mergeCell ref="F44:H44"/>
    <mergeCell ref="F40:H40"/>
    <mergeCell ref="A1:AH1"/>
    <mergeCell ref="AJ1:CE1"/>
    <mergeCell ref="A2:C3"/>
    <mergeCell ref="E2:F2"/>
    <mergeCell ref="G2:H2"/>
    <mergeCell ref="I2:J2"/>
    <mergeCell ref="K2:L2"/>
    <mergeCell ref="M2:N2"/>
    <mergeCell ref="O2:P2"/>
    <mergeCell ref="Q2:R2"/>
    <mergeCell ref="AK2:AL2"/>
    <mergeCell ref="AM2:AN2"/>
    <mergeCell ref="AO2:AP2"/>
    <mergeCell ref="AQ2:AR2"/>
    <mergeCell ref="S2:T2"/>
    <mergeCell ref="U2:V2"/>
    <mergeCell ref="W2:X2"/>
    <mergeCell ref="Y2:Z2"/>
    <mergeCell ref="AA2:AB2"/>
    <mergeCell ref="AC2:AD2"/>
    <mergeCell ref="BQ2:BQ4"/>
    <mergeCell ref="BR2:BR4"/>
  </mergeCells>
  <phoneticPr fontId="17" type="noConversion"/>
  <conditionalFormatting sqref="A15">
    <cfRule type="cellIs" dxfId="263" priority="329" stopIfTrue="1" operator="equal">
      <formula>";"</formula>
    </cfRule>
  </conditionalFormatting>
  <conditionalFormatting sqref="C6">
    <cfRule type="duplicateValues" dxfId="262" priority="62"/>
    <cfRule type="duplicateValues" dxfId="261" priority="61"/>
  </conditionalFormatting>
  <conditionalFormatting sqref="C8">
    <cfRule type="duplicateValues" dxfId="260" priority="74"/>
    <cfRule type="duplicateValues" dxfId="259" priority="73"/>
    <cfRule type="duplicateValues" dxfId="258" priority="76"/>
  </conditionalFormatting>
  <conditionalFormatting sqref="C11">
    <cfRule type="duplicateValues" dxfId="257" priority="3524"/>
    <cfRule type="duplicateValues" dxfId="256" priority="3523"/>
  </conditionalFormatting>
  <conditionalFormatting sqref="C12">
    <cfRule type="duplicateValues" dxfId="255" priority="3525"/>
  </conditionalFormatting>
  <conditionalFormatting sqref="C21">
    <cfRule type="duplicateValues" dxfId="254" priority="21"/>
  </conditionalFormatting>
  <conditionalFormatting sqref="C62:C1048576 C1:C20 C22:C37 C39:C60">
    <cfRule type="duplicateValues" dxfId="253" priority="3540"/>
  </conditionalFormatting>
  <conditionalFormatting sqref="C62:C1048576 C7 C9:C10 C1:C5 C13:C20 C22:C37 C39:C60">
    <cfRule type="duplicateValues" dxfId="252" priority="3566"/>
  </conditionalFormatting>
  <conditionalFormatting sqref="C62:C1048576 C7:C10 C1:C5 C13:C20 C22:C37 C39:C60">
    <cfRule type="duplicateValues" dxfId="251" priority="3573"/>
  </conditionalFormatting>
  <conditionalFormatting sqref="C8:D8">
    <cfRule type="duplicateValues" dxfId="250" priority="75"/>
  </conditionalFormatting>
  <conditionalFormatting sqref="C21:D21">
    <cfRule type="duplicateValues" dxfId="249" priority="22"/>
  </conditionalFormatting>
  <conditionalFormatting sqref="D5:D6">
    <cfRule type="timePeriod" dxfId="248" priority="321" timePeriod="last7Days">
      <formula>AND(TODAY()-FLOOR(D5,1)&lt;=6,FLOOR(D5,1)&lt;=TODAY())</formula>
    </cfRule>
    <cfRule type="timePeriod" dxfId="247" priority="320" timePeriod="thisWeek">
      <formula>AND(TODAY()-ROUNDDOWN(D5,0)&lt;=WEEKDAY(TODAY())-1,ROUNDDOWN(D5,0)-TODAY()&lt;=7-WEEKDAY(TODAY()))</formula>
    </cfRule>
  </conditionalFormatting>
  <conditionalFormatting sqref="D5:D9 D13 D56 D58:D60">
    <cfRule type="timePeriod" dxfId="246" priority="322" timePeriod="nextWeek">
      <formula>AND(ROUNDDOWN(D5,0)-TODAY()&gt;(7-WEEKDAY(TODAY())),ROUNDDOWN(D5,0)-TODAY()&lt;(15-WEEKDAY(TODAY())))</formula>
    </cfRule>
  </conditionalFormatting>
  <conditionalFormatting sqref="D5:D13 D18:D37 D58:D60">
    <cfRule type="timePeriod" priority="35" timePeriod="nextWeek">
      <formula>AND(ROUNDDOWN(D5,0)-TODAY()&gt;(7-WEEKDAY(TODAY())),ROUNDDOWN(D5,0)-TODAY()&lt;(15-WEEKDAY(TODAY())))</formula>
    </cfRule>
  </conditionalFormatting>
  <conditionalFormatting sqref="D8">
    <cfRule type="timePeriod" dxfId="245" priority="65" timePeriod="thisWeek">
      <formula>AND(TODAY()-ROUNDDOWN(D8,0)&lt;=WEEKDAY(TODAY())-1,ROUNDDOWN(D8,0)-TODAY()&lt;=7-WEEKDAY(TODAY()))</formula>
    </cfRule>
    <cfRule type="timePeriod" dxfId="244" priority="64" timePeriod="last7Days">
      <formula>AND(TODAY()-FLOOR(D8,1)&lt;=6,FLOOR(D8,1)&lt;=TODAY())</formula>
    </cfRule>
  </conditionalFormatting>
  <conditionalFormatting sqref="D9 D22:D37 D58:D60">
    <cfRule type="timePeriod" dxfId="243" priority="326" timePeriod="last7Days">
      <formula>AND(TODAY()-FLOOR(D9,1)&lt;=6,FLOOR(D9,1)&lt;=TODAY())</formula>
    </cfRule>
  </conditionalFormatting>
  <conditionalFormatting sqref="D9:D10 D12 D55 D18:D37">
    <cfRule type="timePeriod" dxfId="242" priority="324" timePeriod="thisWeek">
      <formula>AND(TODAY()-ROUNDDOWN(D9,0)&lt;=WEEKDAY(TODAY())-1,ROUNDDOWN(D9,0)-TODAY()&lt;=7-WEEKDAY(TODAY()))</formula>
    </cfRule>
  </conditionalFormatting>
  <conditionalFormatting sqref="D10 D12 D55">
    <cfRule type="timePeriod" dxfId="241" priority="325" timePeriod="nextWeek">
      <formula>AND(ROUNDDOWN(D10,0)-TODAY()&gt;(7-WEEKDAY(TODAY())),ROUNDDOWN(D10,0)-TODAY()&lt;(15-WEEKDAY(TODAY())))</formula>
    </cfRule>
  </conditionalFormatting>
  <conditionalFormatting sqref="D11">
    <cfRule type="timePeriod" dxfId="240" priority="46" timePeriod="nextWeek">
      <formula>AND(ROUNDDOWN(D11,0)-TODAY()&gt;(7-WEEKDAY(TODAY())),ROUNDDOWN(D11,0)-TODAY()&lt;(15-WEEKDAY(TODAY())))</formula>
    </cfRule>
  </conditionalFormatting>
  <conditionalFormatting sqref="D18:D22">
    <cfRule type="timePeriod" dxfId="239" priority="5" timePeriod="last7Days">
      <formula>AND(TODAY()-FLOOR(D18,1)&lt;=6,FLOOR(D18,1)&lt;=TODAY())</formula>
    </cfRule>
  </conditionalFormatting>
  <conditionalFormatting sqref="D18:D37">
    <cfRule type="timePeriod" dxfId="238" priority="241" timePeriod="nextWeek">
      <formula>AND(ROUNDDOWN(D18,0)-TODAY()&gt;(7-WEEKDAY(TODAY())),ROUNDDOWN(D18,0)-TODAY()&lt;(15-WEEKDAY(TODAY())))</formula>
    </cfRule>
  </conditionalFormatting>
  <conditionalFormatting sqref="D55:D56 D10 D12">
    <cfRule type="timePeriod" dxfId="237" priority="323" timePeriod="last7Days">
      <formula>AND(TODAY()-FLOOR(D10,1)&lt;=6,FLOOR(D10,1)&lt;=TODAY())</formula>
    </cfRule>
  </conditionalFormatting>
  <conditionalFormatting sqref="D55:D56">
    <cfRule type="timePeriod" priority="4" timePeriod="nextWeek">
      <formula>AND(ROUNDDOWN(D55,0)-TODAY()&gt;(7-WEEKDAY(TODAY())),ROUNDDOWN(D55,0)-TODAY()&lt;(15-WEEKDAY(TODAY())))</formula>
    </cfRule>
  </conditionalFormatting>
  <conditionalFormatting sqref="D56">
    <cfRule type="timePeriod" dxfId="236" priority="6" timePeriod="thisWeek">
      <formula>AND(TODAY()-ROUNDDOWN(D56,0)&lt;=WEEKDAY(TODAY())-1,ROUNDDOWN(D56,0)-TODAY()&lt;=7-WEEKDAY(TODAY()))</formula>
    </cfRule>
  </conditionalFormatting>
  <conditionalFormatting sqref="D58:D60">
    <cfRule type="timePeriod" dxfId="235" priority="238" timePeriod="thisWeek">
      <formula>AND(TODAY()-ROUNDDOWN(D58,0)&lt;=WEEKDAY(TODAY())-1,ROUNDDOWN(D58,0)-TODAY()&lt;=7-WEEKDAY(TODAY()))</formula>
    </cfRule>
  </conditionalFormatting>
  <conditionalFormatting sqref="K13:N13 BE13:BF13 I24:J24">
    <cfRule type="containsText" dxfId="234" priority="206" operator="containsText" text="AL">
      <formula>NOT(ISERROR(SEARCH("AL",I13)))</formula>
    </cfRule>
    <cfRule type="containsText" dxfId="233" priority="205" operator="containsText" text="SICK">
      <formula>NOT(ISERROR(SEARCH("SICK",I13)))</formula>
    </cfRule>
    <cfRule type="containsText" dxfId="232" priority="203" operator="containsText" text="OFF">
      <formula>NOT(ISERROR(SEARCH("OFF",I13)))</formula>
    </cfRule>
    <cfRule type="containsText" dxfId="231" priority="204" operator="containsText" text="AB">
      <formula>NOT(ISERROR(SEARCH("AB",I13)))</formula>
    </cfRule>
    <cfRule type="containsText" dxfId="230" priority="197" operator="containsText" text="EL">
      <formula>NOT(ISERROR(SEARCH("EL",I13)))</formula>
    </cfRule>
    <cfRule type="containsText" dxfId="229" priority="198" operator="containsText" text="SP">
      <formula>NOT(ISERROR(SEARCH("SP",I13)))</formula>
    </cfRule>
    <cfRule type="containsText" dxfId="228" priority="199" operator="containsText" text="NL">
      <formula>NOT(ISERROR(SEARCH("NL",I13)))</formula>
    </cfRule>
    <cfRule type="containsText" dxfId="227" priority="200" operator="containsText" text="MC">
      <formula>NOT(ISERROR(SEARCH("MC",I13)))</formula>
    </cfRule>
    <cfRule type="containsText" dxfId="226" priority="201" operator="containsText" text="SUS">
      <formula>NOT(ISERROR(SEARCH("SUS",I13)))</formula>
    </cfRule>
    <cfRule type="containsText" dxfId="225" priority="202" operator="containsText" text="FL">
      <formula>NOT(ISERROR(SEARCH("FL",I13)))</formula>
    </cfRule>
  </conditionalFormatting>
  <conditionalFormatting sqref="S59:T59">
    <cfRule type="containsText" dxfId="224" priority="228" operator="containsText" text="SP">
      <formula>NOT(ISERROR(SEARCH("SP",S59)))</formula>
    </cfRule>
    <cfRule type="containsText" dxfId="223" priority="229" operator="containsText" text="NL">
      <formula>NOT(ISERROR(SEARCH("NL",S59)))</formula>
    </cfRule>
    <cfRule type="containsText" dxfId="222" priority="230" operator="containsText" text="MC">
      <formula>NOT(ISERROR(SEARCH("MC",S59)))</formula>
    </cfRule>
    <cfRule type="containsText" dxfId="221" priority="231" operator="containsText" text="SUS">
      <formula>NOT(ISERROR(SEARCH("SUS",S59)))</formula>
    </cfRule>
    <cfRule type="containsText" dxfId="220" priority="232" operator="containsText" text="FL">
      <formula>NOT(ISERROR(SEARCH("FL",S59)))</formula>
    </cfRule>
    <cfRule type="containsText" dxfId="219" priority="233" operator="containsText" text="OFF">
      <formula>NOT(ISERROR(SEARCH("OFF",S59)))</formula>
    </cfRule>
    <cfRule type="containsText" dxfId="218" priority="234" operator="containsText" text="AB">
      <formula>NOT(ISERROR(SEARCH("AB",S59)))</formula>
    </cfRule>
    <cfRule type="containsText" dxfId="217" priority="236" operator="containsText" text="AL">
      <formula>NOT(ISERROR(SEARCH("AL",S59)))</formula>
    </cfRule>
    <cfRule type="containsText" dxfId="216" priority="235" operator="containsText" text="SICK">
      <formula>NOT(ISERROR(SEARCH("SICK",S59)))</formula>
    </cfRule>
    <cfRule type="containsText" dxfId="215" priority="227" operator="containsText" text="EL">
      <formula>NOT(ISERROR(SEARCH("EL",S59)))</formula>
    </cfRule>
  </conditionalFormatting>
  <conditionalFormatting sqref="W22:X22">
    <cfRule type="containsText" dxfId="214" priority="59" operator="containsText" text="SICK">
      <formula>NOT(ISERROR(SEARCH("SICK",W22)))</formula>
    </cfRule>
    <cfRule type="containsText" dxfId="213" priority="60" operator="containsText" text="AL">
      <formula>NOT(ISERROR(SEARCH("AL",W22)))</formula>
    </cfRule>
    <cfRule type="containsText" dxfId="212" priority="56" operator="containsText" text="FL">
      <formula>NOT(ISERROR(SEARCH("FL",W22)))</formula>
    </cfRule>
    <cfRule type="containsText" dxfId="211" priority="58" operator="containsText" text="AB">
      <formula>NOT(ISERROR(SEARCH("AB",W22)))</formula>
    </cfRule>
    <cfRule type="containsText" dxfId="210" priority="57" operator="containsText" text="OFF">
      <formula>NOT(ISERROR(SEARCH("OFF",W22)))</formula>
    </cfRule>
    <cfRule type="containsText" dxfId="209" priority="55" operator="containsText" text="SUS">
      <formula>NOT(ISERROR(SEARCH("SUS",W22)))</formula>
    </cfRule>
    <cfRule type="containsText" dxfId="208" priority="54" operator="containsText" text="MC">
      <formula>NOT(ISERROR(SEARCH("MC",W22)))</formula>
    </cfRule>
    <cfRule type="containsText" dxfId="207" priority="53" operator="containsText" text="NL">
      <formula>NOT(ISERROR(SEARCH("NL",W22)))</formula>
    </cfRule>
    <cfRule type="containsText" dxfId="206" priority="52" operator="containsText" text="SP">
      <formula>NOT(ISERROR(SEARCH("SP",W22)))</formula>
    </cfRule>
    <cfRule type="containsText" dxfId="205" priority="51" operator="containsText" text="EL">
      <formula>NOT(ISERROR(SEARCH("EL",W22)))</formula>
    </cfRule>
  </conditionalFormatting>
  <conditionalFormatting sqref="AW59:AX59">
    <cfRule type="containsText" dxfId="204" priority="219" operator="containsText" text="NL">
      <formula>NOT(ISERROR(SEARCH("NL",AW59)))</formula>
    </cfRule>
    <cfRule type="containsText" dxfId="203" priority="223" operator="containsText" text="OFF">
      <formula>NOT(ISERROR(SEARCH("OFF",AW59)))</formula>
    </cfRule>
    <cfRule type="containsText" dxfId="202" priority="221" operator="containsText" text="SUS">
      <formula>NOT(ISERROR(SEARCH("SUS",AW59)))</formula>
    </cfRule>
    <cfRule type="containsText" dxfId="201" priority="222" operator="containsText" text="FL">
      <formula>NOT(ISERROR(SEARCH("FL",AW59)))</formula>
    </cfRule>
    <cfRule type="containsText" dxfId="200" priority="224" operator="containsText" text="AB">
      <formula>NOT(ISERROR(SEARCH("AB",AW59)))</formula>
    </cfRule>
    <cfRule type="containsText" dxfId="199" priority="225" operator="containsText" text="SICK">
      <formula>NOT(ISERROR(SEARCH("SICK",AW59)))</formula>
    </cfRule>
    <cfRule type="containsText" dxfId="198" priority="226" operator="containsText" text="AL">
      <formula>NOT(ISERROR(SEARCH("AL",AW59)))</formula>
    </cfRule>
    <cfRule type="containsText" dxfId="197" priority="220" operator="containsText" text="MC">
      <formula>NOT(ISERROR(SEARCH("MC",AW59)))</formula>
    </cfRule>
    <cfRule type="containsText" dxfId="196" priority="217" operator="containsText" text="EL">
      <formula>NOT(ISERROR(SEARCH("EL",AW59)))</formula>
    </cfRule>
    <cfRule type="containsText" dxfId="195" priority="218" operator="containsText" text="SP">
      <formula>NOT(ISERROR(SEARCH("SP",AW59)))</formula>
    </cfRule>
  </conditionalFormatting>
  <conditionalFormatting sqref="BC58:BF58">
    <cfRule type="cellIs" dxfId="194" priority="317" operator="between">
      <formula>0.0625</formula>
      <formula>0.1875</formula>
    </cfRule>
    <cfRule type="containsText" dxfId="193" priority="318" operator="containsText" text="AB">
      <formula>NOT(ISERROR(SEARCH("AB",BC58)))</formula>
    </cfRule>
    <cfRule type="containsText" dxfId="192" priority="319" operator="containsText" text="SICK">
      <formula>NOT(ISERROR(SEARCH("SICK",BC58)))</formula>
    </cfRule>
    <cfRule type="containsText" dxfId="191" priority="316" operator="containsText" text="AL">
      <formula>NOT(ISERROR(SEARCH("AL",BC58)))</formula>
    </cfRule>
  </conditionalFormatting>
  <conditionalFormatting sqref="BG59:BH59">
    <cfRule type="containsText" dxfId="190" priority="209" operator="containsText" text="NL">
      <formula>NOT(ISERROR(SEARCH("NL",BG59)))</formula>
    </cfRule>
    <cfRule type="containsText" dxfId="189" priority="208" operator="containsText" text="SP">
      <formula>NOT(ISERROR(SEARCH("SP",BG59)))</formula>
    </cfRule>
    <cfRule type="containsText" dxfId="188" priority="207" operator="containsText" text="EL">
      <formula>NOT(ISERROR(SEARCH("EL",BG59)))</formula>
    </cfRule>
    <cfRule type="containsText" dxfId="187" priority="211" operator="containsText" text="SUS">
      <formula>NOT(ISERROR(SEARCH("SUS",BG59)))</formula>
    </cfRule>
    <cfRule type="containsText" dxfId="186" priority="212" operator="containsText" text="FL">
      <formula>NOT(ISERROR(SEARCH("FL",BG59)))</formula>
    </cfRule>
    <cfRule type="containsText" dxfId="185" priority="213" operator="containsText" text="OFF">
      <formula>NOT(ISERROR(SEARCH("OFF",BG59)))</formula>
    </cfRule>
    <cfRule type="containsText" dxfId="184" priority="214" operator="containsText" text="AB">
      <formula>NOT(ISERROR(SEARCH("AB",BG59)))</formula>
    </cfRule>
    <cfRule type="containsText" dxfId="183" priority="215" operator="containsText" text="SICK">
      <formula>NOT(ISERROR(SEARCH("SICK",BG59)))</formula>
    </cfRule>
    <cfRule type="containsText" dxfId="182" priority="210" operator="containsText" text="MC">
      <formula>NOT(ISERROR(SEARCH("MC",BG59)))</formula>
    </cfRule>
    <cfRule type="containsText" dxfId="181" priority="216" operator="containsText" text="AL">
      <formula>NOT(ISERROR(SEARCH("AL",BG59)))</formula>
    </cfRule>
  </conditionalFormatting>
  <conditionalFormatting sqref="BQ13">
    <cfRule type="containsText" dxfId="180" priority="47" operator="containsText" text="AB">
      <formula>NOT(ISERROR(SEARCH("AB",BQ13)))</formula>
    </cfRule>
    <cfRule type="containsText" dxfId="179" priority="48" operator="containsText" text="SICK">
      <formula>NOT(ISERROR(SEARCH("SICK",BQ13)))</formula>
    </cfRule>
  </conditionalFormatting>
  <conditionalFormatting sqref="BQ21:BQ22">
    <cfRule type="containsText" dxfId="178" priority="15" stopIfTrue="1" operator="containsText" text="AL">
      <formula>NOT(ISERROR(SEARCH("AL",BQ21)))</formula>
    </cfRule>
    <cfRule type="containsText" dxfId="177" priority="19" stopIfTrue="1" operator="containsText" text="SICK">
      <formula>NOT(ISERROR(SEARCH("SICK",BQ21)))</formula>
    </cfRule>
    <cfRule type="containsText" dxfId="176" priority="14" stopIfTrue="1" operator="containsText" text="SP">
      <formula>NOT(ISERROR(SEARCH("SP",BQ21)))</formula>
    </cfRule>
    <cfRule type="containsText" dxfId="175" priority="18" stopIfTrue="1" operator="containsText" text="FL">
      <formula>NOT(ISERROR(SEARCH("FL",BQ21)))</formula>
    </cfRule>
    <cfRule type="containsText" dxfId="174" priority="17" stopIfTrue="1" operator="containsText" text="AB">
      <formula>NOT(ISERROR(SEARCH("AB",BQ21)))</formula>
    </cfRule>
    <cfRule type="containsText" dxfId="173" priority="16" stopIfTrue="1" operator="containsText" text="EL">
      <formula>NOT(ISERROR(SEARCH("EL",BQ21)))</formula>
    </cfRule>
  </conditionalFormatting>
  <conditionalFormatting sqref="BR5:BR7 BR9:BR13 BR55 BI58:BP58">
    <cfRule type="containsText" dxfId="172" priority="327" operator="containsText" text="AB">
      <formula>NOT(ISERROR(SEARCH("AB",BI5)))</formula>
    </cfRule>
    <cfRule type="containsText" dxfId="171" priority="328" operator="containsText" text="SICK">
      <formula>NOT(ISERROR(SEARCH("SICK",BI5)))</formula>
    </cfRule>
  </conditionalFormatting>
  <conditionalFormatting sqref="BR8">
    <cfRule type="cellIs" dxfId="170" priority="72" stopIfTrue="1" operator="equal">
      <formula>";"</formula>
    </cfRule>
  </conditionalFormatting>
  <conditionalFormatting sqref="BR21:BR22">
    <cfRule type="cellIs" dxfId="169" priority="20" stopIfTrue="1" operator="equal">
      <formula>";"</formula>
    </cfRule>
  </conditionalFormatting>
  <conditionalFormatting sqref="BR22:BR37 A2 BR18:BR20 BR56 BR58:BR60">
    <cfRule type="cellIs" dxfId="168" priority="330" operator="equal">
      <formula>";"</formula>
    </cfRule>
  </conditionalFormatting>
  <conditionalFormatting sqref="BT4:BZ4">
    <cfRule type="containsText" dxfId="167" priority="306" operator="containsText" text="EL">
      <formula>NOT(ISERROR(SEARCH("EL",BT4)))</formula>
    </cfRule>
    <cfRule type="containsText" dxfId="166" priority="307" operator="containsText" text="SP">
      <formula>NOT(ISERROR(SEARCH("SP",BT4)))</formula>
    </cfRule>
    <cfRule type="containsText" dxfId="165" priority="308" operator="containsText" text="NL">
      <formula>NOT(ISERROR(SEARCH("NL",BT4)))</formula>
    </cfRule>
    <cfRule type="containsText" dxfId="164" priority="309" operator="containsText" text="MC">
      <formula>NOT(ISERROR(SEARCH("MC",BT4)))</formula>
    </cfRule>
    <cfRule type="containsText" dxfId="163" priority="310" operator="containsText" text="SUS">
      <formula>NOT(ISERROR(SEARCH("SUS",BT4)))</formula>
    </cfRule>
    <cfRule type="containsText" dxfId="162" priority="311" operator="containsText" text="FL">
      <formula>NOT(ISERROR(SEARCH("FL",BT4)))</formula>
    </cfRule>
    <cfRule type="containsText" dxfId="161" priority="312" operator="containsText" text="OFF">
      <formula>NOT(ISERROR(SEARCH("OFF",BT4)))</formula>
    </cfRule>
    <cfRule type="containsText" dxfId="160" priority="313" operator="containsText" text="AB">
      <formula>NOT(ISERROR(SEARCH("AB",BT4)))</formula>
    </cfRule>
    <cfRule type="containsText" dxfId="159" priority="314" operator="containsText" text="SICK">
      <formula>NOT(ISERROR(SEARCH("SICK",BT4)))</formula>
    </cfRule>
    <cfRule type="containsText" dxfId="158" priority="315" operator="containsText" text="AL">
      <formula>NOT(ISERROR(SEARCH("AL",BT4)))</formula>
    </cfRule>
  </conditionalFormatting>
  <conditionalFormatting sqref="BT17:BZ17">
    <cfRule type="containsText" dxfId="157" priority="297" operator="containsText" text="SP">
      <formula>NOT(ISERROR(SEARCH("SP",BT17)))</formula>
    </cfRule>
    <cfRule type="containsText" dxfId="156" priority="298" operator="containsText" text="NL">
      <formula>NOT(ISERROR(SEARCH("NL",BT17)))</formula>
    </cfRule>
    <cfRule type="containsText" dxfId="155" priority="299" operator="containsText" text="MC">
      <formula>NOT(ISERROR(SEARCH("MC",BT17)))</formula>
    </cfRule>
    <cfRule type="containsText" dxfId="154" priority="300" operator="containsText" text="SUS">
      <formula>NOT(ISERROR(SEARCH("SUS",BT17)))</formula>
    </cfRule>
    <cfRule type="containsText" dxfId="153" priority="301" operator="containsText" text="FL">
      <formula>NOT(ISERROR(SEARCH("FL",BT17)))</formula>
    </cfRule>
    <cfRule type="containsText" dxfId="152" priority="302" operator="containsText" text="OFF">
      <formula>NOT(ISERROR(SEARCH("OFF",BT17)))</formula>
    </cfRule>
    <cfRule type="containsText" dxfId="151" priority="303" operator="containsText" text="AB">
      <formula>NOT(ISERROR(SEARCH("AB",BT17)))</formula>
    </cfRule>
    <cfRule type="containsText" dxfId="150" priority="304" operator="containsText" text="SICK">
      <formula>NOT(ISERROR(SEARCH("SICK",BT17)))</formula>
    </cfRule>
    <cfRule type="containsText" dxfId="149" priority="305" operator="containsText" text="AL">
      <formula>NOT(ISERROR(SEARCH("AL",BT17)))</formula>
    </cfRule>
    <cfRule type="containsText" dxfId="148" priority="296" operator="containsText" text="EL">
      <formula>NOT(ISERROR(SEARCH("EL",BT17)))</formula>
    </cfRule>
  </conditionalFormatting>
  <conditionalFormatting sqref="CB4">
    <cfRule type="containsText" dxfId="147" priority="288" operator="containsText" text="NL">
      <formula>NOT(ISERROR(SEARCH("NL",CB4)))</formula>
    </cfRule>
    <cfRule type="containsText" dxfId="146" priority="289" operator="containsText" text="MC">
      <formula>NOT(ISERROR(SEARCH("MC",CB4)))</formula>
    </cfRule>
    <cfRule type="containsText" dxfId="145" priority="290" operator="containsText" text="SUS">
      <formula>NOT(ISERROR(SEARCH("SUS",CB4)))</formula>
    </cfRule>
    <cfRule type="containsText" dxfId="144" priority="291" operator="containsText" text="FL">
      <formula>NOT(ISERROR(SEARCH("FL",CB4)))</formula>
    </cfRule>
    <cfRule type="containsText" dxfId="143" priority="292" operator="containsText" text="OFF">
      <formula>NOT(ISERROR(SEARCH("OFF",CB4)))</formula>
    </cfRule>
    <cfRule type="containsText" dxfId="142" priority="293" operator="containsText" text="AB">
      <formula>NOT(ISERROR(SEARCH("AB",CB4)))</formula>
    </cfRule>
    <cfRule type="containsText" dxfId="141" priority="295" operator="containsText" text="AL">
      <formula>NOT(ISERROR(SEARCH("AL",CB4)))</formula>
    </cfRule>
    <cfRule type="containsText" dxfId="140" priority="294" operator="containsText" text="SICK">
      <formula>NOT(ISERROR(SEARCH("SICK",CB4)))</formula>
    </cfRule>
  </conditionalFormatting>
  <conditionalFormatting sqref="CB17">
    <cfRule type="containsText" dxfId="139" priority="287" operator="containsText" text="AL">
      <formula>NOT(ISERROR(SEARCH("AL",CB17)))</formula>
    </cfRule>
    <cfRule type="containsText" dxfId="138" priority="280" operator="containsText" text="NL">
      <formula>NOT(ISERROR(SEARCH("NL",CB17)))</formula>
    </cfRule>
    <cfRule type="containsText" dxfId="137" priority="281" operator="containsText" text="MC">
      <formula>NOT(ISERROR(SEARCH("MC",CB17)))</formula>
    </cfRule>
    <cfRule type="containsText" dxfId="136" priority="282" operator="containsText" text="SUS">
      <formula>NOT(ISERROR(SEARCH("SUS",CB17)))</formula>
    </cfRule>
    <cfRule type="containsText" dxfId="135" priority="283" operator="containsText" text="FL">
      <formula>NOT(ISERROR(SEARCH("FL",CB17)))</formula>
    </cfRule>
    <cfRule type="containsText" dxfId="134" priority="284" operator="containsText" text="OFF">
      <formula>NOT(ISERROR(SEARCH("OFF",CB17)))</formula>
    </cfRule>
    <cfRule type="containsText" dxfId="133" priority="285" operator="containsText" text="AB">
      <formula>NOT(ISERROR(SEARCH("AB",CB17)))</formula>
    </cfRule>
    <cfRule type="containsText" dxfId="132" priority="286" operator="containsText" text="SICK">
      <formula>NOT(ISERROR(SEARCH("SICK",CB17)))</formula>
    </cfRule>
  </conditionalFormatting>
  <conditionalFormatting sqref="CB4:CC4">
    <cfRule type="containsText" dxfId="131" priority="271" operator="containsText" text="SP">
      <formula>NOT(ISERROR(SEARCH("SP",CB4)))</formula>
    </cfRule>
  </conditionalFormatting>
  <conditionalFormatting sqref="CB17:CC17">
    <cfRule type="containsText" dxfId="130" priority="262" operator="containsText" text="SP">
      <formula>NOT(ISERROR(SEARCH("SP",CB17)))</formula>
    </cfRule>
  </conditionalFormatting>
  <conditionalFormatting sqref="CB4:CD4">
    <cfRule type="containsText" dxfId="129" priority="252" operator="containsText" text="EL">
      <formula>NOT(ISERROR(SEARCH("EL",CB4)))</formula>
    </cfRule>
  </conditionalFormatting>
  <conditionalFormatting sqref="CB17:CD17">
    <cfRule type="containsText" dxfId="128" priority="242" operator="containsText" text="EL">
      <formula>NOT(ISERROR(SEARCH("EL",CB17)))</formula>
    </cfRule>
  </conditionalFormatting>
  <conditionalFormatting sqref="CC4">
    <cfRule type="containsText" dxfId="127" priority="276" operator="containsText" text="OFF">
      <formula>NOT(ISERROR(SEARCH("OFF",CC4)))</formula>
    </cfRule>
    <cfRule type="containsText" dxfId="126" priority="277" operator="containsText" text="AB">
      <formula>NOT(ISERROR(SEARCH("AB",CC4)))</formula>
    </cfRule>
    <cfRule type="containsText" dxfId="125" priority="278" operator="containsText" text="SICK">
      <formula>NOT(ISERROR(SEARCH("SICK",CC4)))</formula>
    </cfRule>
    <cfRule type="containsText" dxfId="124" priority="279" operator="containsText" text="AL">
      <formula>NOT(ISERROR(SEARCH("AL",CC4)))</formula>
    </cfRule>
    <cfRule type="containsText" dxfId="123" priority="272" operator="containsText" text="NL">
      <formula>NOT(ISERROR(SEARCH("NL",CC4)))</formula>
    </cfRule>
    <cfRule type="containsText" dxfId="122" priority="273" operator="containsText" text="MC">
      <formula>NOT(ISERROR(SEARCH("MC",CC4)))</formula>
    </cfRule>
    <cfRule type="containsText" dxfId="121" priority="274" operator="containsText" text="SUS">
      <formula>NOT(ISERROR(SEARCH("SUS",CC4)))</formula>
    </cfRule>
    <cfRule type="containsText" dxfId="120" priority="275" operator="containsText" text="FL">
      <formula>NOT(ISERROR(SEARCH("FL",CC4)))</formula>
    </cfRule>
  </conditionalFormatting>
  <conditionalFormatting sqref="CC17">
    <cfRule type="containsText" dxfId="119" priority="263" operator="containsText" text="NL">
      <formula>NOT(ISERROR(SEARCH("NL",CC17)))</formula>
    </cfRule>
    <cfRule type="containsText" dxfId="118" priority="264" operator="containsText" text="MC">
      <formula>NOT(ISERROR(SEARCH("MC",CC17)))</formula>
    </cfRule>
    <cfRule type="containsText" dxfId="117" priority="265" operator="containsText" text="SUS">
      <formula>NOT(ISERROR(SEARCH("SUS",CC17)))</formula>
    </cfRule>
    <cfRule type="containsText" dxfId="116" priority="266" operator="containsText" text="FL">
      <formula>NOT(ISERROR(SEARCH("FL",CC17)))</formula>
    </cfRule>
    <cfRule type="containsText" dxfId="115" priority="267" operator="containsText" text="OFF">
      <formula>NOT(ISERROR(SEARCH("OFF",CC17)))</formula>
    </cfRule>
    <cfRule type="containsText" dxfId="114" priority="268" operator="containsText" text="AB">
      <formula>NOT(ISERROR(SEARCH("AB",CC17)))</formula>
    </cfRule>
    <cfRule type="containsText" dxfId="113" priority="269" operator="containsText" text="SICK">
      <formula>NOT(ISERROR(SEARCH("SICK",CC17)))</formula>
    </cfRule>
    <cfRule type="containsText" dxfId="112" priority="270" operator="containsText" text="AL">
      <formula>NOT(ISERROR(SEARCH("AL",CC17)))</formula>
    </cfRule>
  </conditionalFormatting>
  <conditionalFormatting sqref="CD4">
    <cfRule type="containsText" dxfId="111" priority="254" operator="containsText" text="NL">
      <formula>NOT(ISERROR(SEARCH("NL",CD4)))</formula>
    </cfRule>
    <cfRule type="containsText" dxfId="110" priority="255" operator="containsText" text="MC">
      <formula>NOT(ISERROR(SEARCH("MC",CD4)))</formula>
    </cfRule>
    <cfRule type="containsText" dxfId="109" priority="256" operator="containsText" text="SUS">
      <formula>NOT(ISERROR(SEARCH("SUS",CD4)))</formula>
    </cfRule>
    <cfRule type="containsText" dxfId="108" priority="257" operator="containsText" text="FL">
      <formula>NOT(ISERROR(SEARCH("FL",CD4)))</formula>
    </cfRule>
    <cfRule type="containsText" dxfId="107" priority="258" operator="containsText" text="OFF">
      <formula>NOT(ISERROR(SEARCH("OFF",CD4)))</formula>
    </cfRule>
    <cfRule type="containsText" dxfId="106" priority="259" operator="containsText" text="AB">
      <formula>NOT(ISERROR(SEARCH("AB",CD4)))</formula>
    </cfRule>
    <cfRule type="containsText" dxfId="105" priority="260" operator="containsText" text="SICK">
      <formula>NOT(ISERROR(SEARCH("SICK",CD4)))</formula>
    </cfRule>
    <cfRule type="containsText" dxfId="104" priority="261" operator="containsText" text="AL">
      <formula>NOT(ISERROR(SEARCH("AL",CD4)))</formula>
    </cfRule>
    <cfRule type="containsText" dxfId="103" priority="253" operator="containsText" text="SP">
      <formula>NOT(ISERROR(SEARCH("SP",CD4)))</formula>
    </cfRule>
  </conditionalFormatting>
  <conditionalFormatting sqref="CD17">
    <cfRule type="containsText" dxfId="102" priority="249" operator="containsText" text="AB">
      <formula>NOT(ISERROR(SEARCH("AB",CD17)))</formula>
    </cfRule>
    <cfRule type="containsText" dxfId="101" priority="248" operator="containsText" text="OFF">
      <formula>NOT(ISERROR(SEARCH("OFF",CD17)))</formula>
    </cfRule>
    <cfRule type="containsText" dxfId="100" priority="247" operator="containsText" text="FL">
      <formula>NOT(ISERROR(SEARCH("FL",CD17)))</formula>
    </cfRule>
    <cfRule type="containsText" dxfId="99" priority="246" operator="containsText" text="SUS">
      <formula>NOT(ISERROR(SEARCH("SUS",CD17)))</formula>
    </cfRule>
    <cfRule type="containsText" dxfId="98" priority="245" operator="containsText" text="MC">
      <formula>NOT(ISERROR(SEARCH("MC",CD17)))</formula>
    </cfRule>
    <cfRule type="containsText" dxfId="97" priority="251" operator="containsText" text="AL">
      <formula>NOT(ISERROR(SEARCH("AL",CD17)))</formula>
    </cfRule>
    <cfRule type="containsText" dxfId="96" priority="243" operator="containsText" text="SP">
      <formula>NOT(ISERROR(SEARCH("SP",CD17)))</formula>
    </cfRule>
    <cfRule type="containsText" dxfId="95" priority="250" operator="containsText" text="SICK">
      <formula>NOT(ISERROR(SEARCH("SICK",CD17)))</formula>
    </cfRule>
    <cfRule type="containsText" dxfId="94" priority="244" operator="containsText" text="NL">
      <formula>NOT(ISERROR(SEARCH("NL",CD17)))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4039-03E6-4ED9-B0A1-48BE97D692FE}">
  <sheetPr>
    <pageSetUpPr fitToPage="1"/>
  </sheetPr>
  <dimension ref="A1:BJ26"/>
  <sheetViews>
    <sheetView zoomScaleNormal="100" workbookViewId="0">
      <pane xSplit="4" ySplit="1" topLeftCell="I2" activePane="bottomRight" state="frozen"/>
      <selection pane="topRight" activeCell="E1" sqref="E1"/>
      <selection pane="bottomLeft" activeCell="A5" sqref="A5"/>
      <selection pane="bottomRight" activeCell="O19" sqref="O19"/>
    </sheetView>
  </sheetViews>
  <sheetFormatPr defaultRowHeight="15" x14ac:dyDescent="0.25"/>
  <cols>
    <col min="1" max="1" width="5" customWidth="1"/>
    <col min="2" max="2" width="10.85546875" style="18" customWidth="1"/>
    <col min="3" max="3" width="29.140625" customWidth="1"/>
    <col min="4" max="4" width="8" hidden="1" customWidth="1"/>
    <col min="5" max="5" width="6.42578125" customWidth="1"/>
    <col min="6" max="6" width="7.5703125" customWidth="1"/>
    <col min="7" max="8" width="6.42578125" customWidth="1"/>
    <col min="9" max="9" width="7.7109375" customWidth="1"/>
    <col min="10" max="10" width="6.42578125" customWidth="1"/>
    <col min="11" max="11" width="7.5703125" customWidth="1"/>
    <col min="12" max="12" width="7.28515625" customWidth="1"/>
    <col min="13" max="13" width="6.42578125" customWidth="1"/>
    <col min="14" max="14" width="7.140625" customWidth="1"/>
    <col min="15" max="15" width="6.42578125" customWidth="1"/>
    <col min="16" max="16" width="7.5703125" customWidth="1"/>
    <col min="17" max="23" width="6.42578125" customWidth="1"/>
    <col min="24" max="24" width="7.140625" customWidth="1"/>
    <col min="25" max="34" width="6.42578125" customWidth="1"/>
    <col min="35" max="35" width="5" customWidth="1"/>
    <col min="36" max="48" width="5.140625" customWidth="1"/>
    <col min="49" max="49" width="12.7109375" customWidth="1"/>
    <col min="52" max="62" width="5.28515625" customWidth="1"/>
  </cols>
  <sheetData>
    <row r="1" spans="1:62" s="165" customFormat="1" ht="24" customHeight="1" x14ac:dyDescent="0.3">
      <c r="A1" s="247" t="s">
        <v>119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9"/>
      <c r="AG1" s="170"/>
      <c r="AH1" s="17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</row>
    <row r="2" spans="1:62" s="165" customFormat="1" ht="18.75" customHeight="1" x14ac:dyDescent="0.3">
      <c r="A2" s="225" t="s">
        <v>33</v>
      </c>
      <c r="B2" s="225"/>
      <c r="C2" s="225"/>
      <c r="D2" s="86"/>
      <c r="E2" s="254" t="s">
        <v>7</v>
      </c>
      <c r="F2" s="254"/>
      <c r="G2" s="254" t="s">
        <v>1</v>
      </c>
      <c r="H2" s="254"/>
      <c r="I2" s="254" t="s">
        <v>2</v>
      </c>
      <c r="J2" s="254"/>
      <c r="K2" s="254" t="s">
        <v>3</v>
      </c>
      <c r="L2" s="254"/>
      <c r="M2" s="254" t="s">
        <v>4</v>
      </c>
      <c r="N2" s="254"/>
      <c r="O2" s="254" t="s">
        <v>5</v>
      </c>
      <c r="P2" s="254"/>
      <c r="Q2" s="254" t="s">
        <v>6</v>
      </c>
      <c r="R2" s="254"/>
      <c r="S2" s="254" t="s">
        <v>7</v>
      </c>
      <c r="T2" s="254"/>
      <c r="U2" s="254" t="s">
        <v>1</v>
      </c>
      <c r="V2" s="254"/>
      <c r="W2" s="254" t="s">
        <v>2</v>
      </c>
      <c r="X2" s="254"/>
      <c r="Y2" s="254" t="s">
        <v>3</v>
      </c>
      <c r="Z2" s="254"/>
      <c r="AA2" s="254" t="s">
        <v>4</v>
      </c>
      <c r="AB2" s="254"/>
      <c r="AC2" s="254" t="s">
        <v>5</v>
      </c>
      <c r="AD2" s="254"/>
      <c r="AE2" s="254" t="s">
        <v>6</v>
      </c>
      <c r="AF2" s="254"/>
      <c r="AG2" s="254" t="s">
        <v>7</v>
      </c>
      <c r="AH2" s="254"/>
      <c r="AI2" s="251" t="s">
        <v>8</v>
      </c>
      <c r="AJ2" s="251" t="s">
        <v>9</v>
      </c>
      <c r="AK2" s="171"/>
      <c r="AL2" s="9"/>
      <c r="AM2" s="9"/>
      <c r="AN2" s="9"/>
      <c r="AO2" s="9"/>
      <c r="AP2" s="9"/>
      <c r="AQ2" s="9"/>
      <c r="AR2" s="9"/>
      <c r="AS2" s="185"/>
      <c r="AT2" s="185"/>
      <c r="AU2" s="9"/>
      <c r="AV2" s="186"/>
      <c r="AW2" s="186"/>
      <c r="AZ2" s="237" t="s">
        <v>83</v>
      </c>
      <c r="BA2" s="237"/>
      <c r="BB2" s="237"/>
      <c r="BC2" s="237"/>
      <c r="BD2" s="237"/>
      <c r="BE2" s="237"/>
      <c r="BF2" s="237"/>
      <c r="BG2" s="237"/>
      <c r="BH2" s="237"/>
      <c r="BI2" s="237"/>
      <c r="BJ2" s="166"/>
    </row>
    <row r="3" spans="1:62" s="165" customFormat="1" ht="18.75" customHeight="1" x14ac:dyDescent="0.3">
      <c r="A3" s="225"/>
      <c r="B3" s="225"/>
      <c r="C3" s="225"/>
      <c r="D3" s="86"/>
      <c r="E3" s="255">
        <v>46266</v>
      </c>
      <c r="F3" s="255"/>
      <c r="G3" s="255">
        <v>46267</v>
      </c>
      <c r="H3" s="255"/>
      <c r="I3" s="255">
        <v>46268</v>
      </c>
      <c r="J3" s="255"/>
      <c r="K3" s="255">
        <v>46269</v>
      </c>
      <c r="L3" s="255"/>
      <c r="M3" s="255">
        <v>46270</v>
      </c>
      <c r="N3" s="255"/>
      <c r="O3" s="255">
        <v>46271</v>
      </c>
      <c r="P3" s="255"/>
      <c r="Q3" s="255">
        <v>46272</v>
      </c>
      <c r="R3" s="255"/>
      <c r="S3" s="255">
        <v>46273</v>
      </c>
      <c r="T3" s="255"/>
      <c r="U3" s="255">
        <v>46274</v>
      </c>
      <c r="V3" s="255"/>
      <c r="W3" s="255">
        <v>46275</v>
      </c>
      <c r="X3" s="255"/>
      <c r="Y3" s="255">
        <v>46276</v>
      </c>
      <c r="Z3" s="255"/>
      <c r="AA3" s="255">
        <v>46277</v>
      </c>
      <c r="AB3" s="255"/>
      <c r="AC3" s="255">
        <v>46278</v>
      </c>
      <c r="AD3" s="255"/>
      <c r="AE3" s="255">
        <v>46279</v>
      </c>
      <c r="AF3" s="255"/>
      <c r="AG3" s="255">
        <v>46280</v>
      </c>
      <c r="AH3" s="255"/>
      <c r="AI3" s="252"/>
      <c r="AJ3" s="252"/>
      <c r="AK3" s="171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Z3" s="48" t="s">
        <v>100</v>
      </c>
      <c r="BA3" s="48"/>
      <c r="BB3" s="48"/>
      <c r="BC3" s="48"/>
      <c r="BD3" s="48"/>
      <c r="BE3" s="48"/>
      <c r="BF3" s="48"/>
      <c r="BG3" s="48"/>
      <c r="BH3" s="48"/>
      <c r="BI3" s="48"/>
      <c r="BJ3" s="166"/>
    </row>
    <row r="4" spans="1:62" s="165" customFormat="1" ht="18.75" customHeight="1" x14ac:dyDescent="0.3">
      <c r="A4" s="172" t="s">
        <v>10</v>
      </c>
      <c r="B4" s="172" t="s">
        <v>11</v>
      </c>
      <c r="C4" s="172" t="s">
        <v>12</v>
      </c>
      <c r="D4" s="172"/>
      <c r="E4" s="173" t="s">
        <v>13</v>
      </c>
      <c r="F4" s="173" t="s">
        <v>14</v>
      </c>
      <c r="G4" s="173" t="s">
        <v>13</v>
      </c>
      <c r="H4" s="173" t="s">
        <v>14</v>
      </c>
      <c r="I4" s="173" t="s">
        <v>13</v>
      </c>
      <c r="J4" s="173" t="s">
        <v>14</v>
      </c>
      <c r="K4" s="173" t="s">
        <v>13</v>
      </c>
      <c r="L4" s="173" t="s">
        <v>14</v>
      </c>
      <c r="M4" s="173" t="s">
        <v>13</v>
      </c>
      <c r="N4" s="173" t="s">
        <v>14</v>
      </c>
      <c r="O4" s="173" t="s">
        <v>13</v>
      </c>
      <c r="P4" s="173" t="s">
        <v>14</v>
      </c>
      <c r="Q4" s="173" t="s">
        <v>13</v>
      </c>
      <c r="R4" s="173" t="s">
        <v>14</v>
      </c>
      <c r="S4" s="173" t="s">
        <v>13</v>
      </c>
      <c r="T4" s="173" t="s">
        <v>14</v>
      </c>
      <c r="U4" s="173" t="s">
        <v>13</v>
      </c>
      <c r="V4" s="173" t="s">
        <v>14</v>
      </c>
      <c r="W4" s="173" t="s">
        <v>13</v>
      </c>
      <c r="X4" s="173" t="s">
        <v>14</v>
      </c>
      <c r="Y4" s="173" t="s">
        <v>13</v>
      </c>
      <c r="Z4" s="173" t="s">
        <v>14</v>
      </c>
      <c r="AA4" s="173" t="s">
        <v>13</v>
      </c>
      <c r="AB4" s="173" t="s">
        <v>14</v>
      </c>
      <c r="AC4" s="173" t="s">
        <v>13</v>
      </c>
      <c r="AD4" s="173" t="s">
        <v>14</v>
      </c>
      <c r="AE4" s="173" t="s">
        <v>13</v>
      </c>
      <c r="AF4" s="173" t="s">
        <v>14</v>
      </c>
      <c r="AG4" s="173" t="s">
        <v>13</v>
      </c>
      <c r="AH4" s="173" t="s">
        <v>14</v>
      </c>
      <c r="AI4" s="253"/>
      <c r="AJ4" s="253"/>
      <c r="AK4" s="174"/>
      <c r="AL4" s="187" t="s">
        <v>15</v>
      </c>
      <c r="AM4" s="187" t="s">
        <v>16</v>
      </c>
      <c r="AN4" s="187" t="s">
        <v>17</v>
      </c>
      <c r="AO4" s="187" t="s">
        <v>18</v>
      </c>
      <c r="AP4" s="187" t="s">
        <v>19</v>
      </c>
      <c r="AQ4" s="187" t="s">
        <v>20</v>
      </c>
      <c r="AR4" s="187" t="s">
        <v>97</v>
      </c>
      <c r="AS4" s="43" t="s">
        <v>22</v>
      </c>
      <c r="AT4" s="187" t="s">
        <v>23</v>
      </c>
      <c r="AU4" s="187" t="s">
        <v>24</v>
      </c>
      <c r="AV4" s="187" t="s">
        <v>25</v>
      </c>
      <c r="AW4" s="9" t="s">
        <v>26</v>
      </c>
      <c r="AZ4" s="167" t="s">
        <v>16</v>
      </c>
      <c r="BA4" s="167" t="s">
        <v>17</v>
      </c>
      <c r="BB4" s="167" t="s">
        <v>18</v>
      </c>
      <c r="BC4" s="167" t="s">
        <v>19</v>
      </c>
      <c r="BD4" s="167" t="s">
        <v>20</v>
      </c>
      <c r="BE4" s="167" t="s">
        <v>21</v>
      </c>
      <c r="BF4" s="167" t="s">
        <v>22</v>
      </c>
      <c r="BG4" s="167" t="s">
        <v>23</v>
      </c>
      <c r="BH4" s="167" t="s">
        <v>24</v>
      </c>
      <c r="BI4" s="167" t="s">
        <v>25</v>
      </c>
      <c r="BJ4" s="167" t="s">
        <v>84</v>
      </c>
    </row>
    <row r="5" spans="1:62" s="165" customFormat="1" ht="27.75" customHeight="1" x14ac:dyDescent="0.3">
      <c r="A5" s="53">
        <v>1</v>
      </c>
      <c r="B5" s="53" t="s">
        <v>120</v>
      </c>
      <c r="C5" s="175" t="s">
        <v>121</v>
      </c>
      <c r="D5" s="176">
        <v>45387</v>
      </c>
      <c r="E5" s="188">
        <v>46267.343472222223</v>
      </c>
      <c r="F5" s="188">
        <v>46264.950995370367</v>
      </c>
      <c r="G5" s="188">
        <v>46267.343472222223</v>
      </c>
      <c r="H5" s="188">
        <v>0</v>
      </c>
      <c r="I5" s="188">
        <v>46268.33017361111</v>
      </c>
      <c r="J5" s="188">
        <v>0</v>
      </c>
      <c r="K5" s="188">
        <v>46269.579340277778</v>
      </c>
      <c r="L5" s="188">
        <v>46269.998391203706</v>
      </c>
      <c r="M5" s="188">
        <v>46270.352870370371</v>
      </c>
      <c r="N5" s="188">
        <v>46270.999976851854</v>
      </c>
      <c r="O5" s="188">
        <v>46271.345219907409</v>
      </c>
      <c r="P5" s="188">
        <v>0</v>
      </c>
      <c r="Q5" s="188">
        <v>46272.346817129626</v>
      </c>
      <c r="R5" s="188">
        <v>0</v>
      </c>
      <c r="S5" s="188">
        <v>46273.312314814815</v>
      </c>
      <c r="T5" s="188">
        <v>0</v>
      </c>
      <c r="U5" s="188">
        <v>46274.335335648146</v>
      </c>
      <c r="V5" s="188">
        <v>0</v>
      </c>
      <c r="W5" s="188">
        <v>46275.35292824074</v>
      </c>
      <c r="X5" s="188">
        <v>0</v>
      </c>
      <c r="Y5" s="189" t="s">
        <v>15</v>
      </c>
      <c r="Z5" s="189" t="s">
        <v>15</v>
      </c>
      <c r="AA5" s="188">
        <v>46277.339282407411</v>
      </c>
      <c r="AB5" s="188">
        <v>0</v>
      </c>
      <c r="AC5" s="190">
        <v>46278.339212962965</v>
      </c>
      <c r="AD5" s="190">
        <v>0</v>
      </c>
      <c r="AE5" s="190">
        <v>46279.339756944442</v>
      </c>
      <c r="AF5" s="190">
        <v>0</v>
      </c>
      <c r="AG5" s="190">
        <v>46280.339421296296</v>
      </c>
      <c r="AH5" s="190">
        <v>0</v>
      </c>
      <c r="AI5" s="191">
        <f>AK5+AL5+AM5+AN5+AS5+AQ5+AR5+AV5</f>
        <v>30</v>
      </c>
      <c r="AJ5" s="192">
        <v>3</v>
      </c>
      <c r="AK5" s="193">
        <v>29</v>
      </c>
      <c r="AL5" s="192">
        <f>COUNTIF(B5:AF5,"OFF")/2</f>
        <v>1</v>
      </c>
      <c r="AM5" s="194">
        <f>COUNTIF(B5:AF5,"MC")/2</f>
        <v>0</v>
      </c>
      <c r="AN5" s="194">
        <f>COUNTIF(B5:AF5,"EL")/2</f>
        <v>0</v>
      </c>
      <c r="AO5" s="194">
        <f>COUNTIF(B5:AF5,"AL")/2</f>
        <v>0</v>
      </c>
      <c r="AP5" s="194">
        <f>COUNTIF(B5:AF5,"SUS")/2</f>
        <v>0</v>
      </c>
      <c r="AQ5" s="194">
        <f>COUNTIF(B5:AF5,"FL")/2</f>
        <v>0</v>
      </c>
      <c r="AR5" s="194">
        <f>COUNTIF(B5:AF5,"SICK")/2</f>
        <v>0</v>
      </c>
      <c r="AS5" s="194">
        <f>COUNTIF(B5:AF5,"HD")/2</f>
        <v>0</v>
      </c>
      <c r="AT5" s="194">
        <f>COUNTIF(B5:AF5,"AB")/2</f>
        <v>0</v>
      </c>
      <c r="AU5" s="194">
        <f>COUNTIF(B5:AF5,"NL")/2</f>
        <v>0</v>
      </c>
      <c r="AV5" s="194">
        <f>COUNTIF(B5:AF5,"SP")/2</f>
        <v>0</v>
      </c>
      <c r="AW5" s="177"/>
      <c r="AZ5" s="168">
        <v>0</v>
      </c>
      <c r="BA5" s="168">
        <v>0</v>
      </c>
      <c r="BB5" s="168">
        <v>0</v>
      </c>
      <c r="BC5" s="168">
        <v>0</v>
      </c>
      <c r="BD5" s="168">
        <v>0</v>
      </c>
      <c r="BE5" s="169">
        <v>3</v>
      </c>
      <c r="BF5" s="168">
        <v>0</v>
      </c>
      <c r="BG5" s="168">
        <v>0</v>
      </c>
      <c r="BH5" s="168">
        <v>0</v>
      </c>
      <c r="BI5" s="168">
        <v>0</v>
      </c>
      <c r="BJ5" s="164">
        <f t="shared" ref="BJ5" si="0">SUM(AZ5:BI5)</f>
        <v>3</v>
      </c>
    </row>
    <row r="6" spans="1:62" s="165" customFormat="1" ht="18.75" x14ac:dyDescent="0.3">
      <c r="A6" s="74"/>
      <c r="B6" s="19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</row>
    <row r="7" spans="1:62" s="165" customFormat="1" ht="20.25" customHeight="1" x14ac:dyDescent="0.3">
      <c r="A7" s="74"/>
      <c r="B7" s="19"/>
      <c r="C7" s="74"/>
      <c r="D7" s="74"/>
      <c r="E7" s="242" t="s">
        <v>1</v>
      </c>
      <c r="F7" s="243"/>
      <c r="G7" s="242" t="s">
        <v>2</v>
      </c>
      <c r="H7" s="243"/>
      <c r="I7" s="242" t="s">
        <v>3</v>
      </c>
      <c r="J7" s="243"/>
      <c r="K7" s="242" t="s">
        <v>4</v>
      </c>
      <c r="L7" s="243"/>
      <c r="M7" s="242" t="s">
        <v>5</v>
      </c>
      <c r="N7" s="243"/>
      <c r="O7" s="242" t="s">
        <v>6</v>
      </c>
      <c r="P7" s="243"/>
      <c r="Q7" s="242" t="s">
        <v>7</v>
      </c>
      <c r="R7" s="243"/>
      <c r="S7" s="242" t="s">
        <v>1</v>
      </c>
      <c r="T7" s="243"/>
      <c r="U7" s="242" t="s">
        <v>2</v>
      </c>
      <c r="V7" s="243"/>
      <c r="W7" s="242" t="s">
        <v>3</v>
      </c>
      <c r="X7" s="243"/>
      <c r="Y7" s="242" t="s">
        <v>4</v>
      </c>
      <c r="Z7" s="243"/>
      <c r="AA7" s="242" t="s">
        <v>5</v>
      </c>
      <c r="AB7" s="243"/>
      <c r="AC7" s="242" t="s">
        <v>6</v>
      </c>
      <c r="AD7" s="243"/>
      <c r="AE7" s="242" t="s">
        <v>7</v>
      </c>
      <c r="AF7" s="243"/>
      <c r="AG7" s="242" t="s">
        <v>1</v>
      </c>
      <c r="AH7" s="243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</row>
    <row r="8" spans="1:62" s="165" customFormat="1" ht="20.25" customHeight="1" x14ac:dyDescent="0.3">
      <c r="A8" s="74"/>
      <c r="B8" s="19"/>
      <c r="C8" s="74"/>
      <c r="D8" s="74"/>
      <c r="E8" s="245">
        <v>46281</v>
      </c>
      <c r="F8" s="246"/>
      <c r="G8" s="245">
        <v>46282</v>
      </c>
      <c r="H8" s="246"/>
      <c r="I8" s="245">
        <v>46283</v>
      </c>
      <c r="J8" s="246"/>
      <c r="K8" s="245">
        <v>46284</v>
      </c>
      <c r="L8" s="246"/>
      <c r="M8" s="245">
        <v>46285</v>
      </c>
      <c r="N8" s="246"/>
      <c r="O8" s="245">
        <v>46286</v>
      </c>
      <c r="P8" s="246"/>
      <c r="Q8" s="245">
        <v>46287</v>
      </c>
      <c r="R8" s="246"/>
      <c r="S8" s="245">
        <v>46288</v>
      </c>
      <c r="T8" s="246"/>
      <c r="U8" s="245">
        <v>46289</v>
      </c>
      <c r="V8" s="246"/>
      <c r="W8" s="245">
        <v>46290</v>
      </c>
      <c r="X8" s="246"/>
      <c r="Y8" s="245">
        <v>46291</v>
      </c>
      <c r="Z8" s="246"/>
      <c r="AA8" s="245">
        <v>46292</v>
      </c>
      <c r="AB8" s="246"/>
      <c r="AC8" s="245">
        <v>46293</v>
      </c>
      <c r="AD8" s="246"/>
      <c r="AE8" s="245">
        <v>46294</v>
      </c>
      <c r="AF8" s="246"/>
      <c r="AG8" s="245">
        <v>46295</v>
      </c>
      <c r="AH8" s="246"/>
      <c r="AI8" s="74"/>
      <c r="AJ8" s="74"/>
      <c r="AK8" s="74"/>
      <c r="AL8" s="178" t="s">
        <v>71</v>
      </c>
      <c r="AM8" s="179"/>
      <c r="AN8" s="179"/>
      <c r="AO8" s="20" t="s">
        <v>15</v>
      </c>
      <c r="AP8" s="19"/>
      <c r="AQ8" s="180" t="s">
        <v>72</v>
      </c>
      <c r="AR8" s="181"/>
      <c r="AS8" s="181"/>
      <c r="AT8" s="182"/>
      <c r="AU8" s="144" t="s">
        <v>21</v>
      </c>
      <c r="AV8" s="74"/>
      <c r="AW8" s="74"/>
    </row>
    <row r="9" spans="1:62" s="165" customFormat="1" ht="20.25" customHeight="1" x14ac:dyDescent="0.3">
      <c r="A9" s="74"/>
      <c r="B9" s="19"/>
      <c r="C9" s="74"/>
      <c r="D9" s="74"/>
      <c r="E9" s="173" t="s">
        <v>13</v>
      </c>
      <c r="F9" s="173" t="s">
        <v>14</v>
      </c>
      <c r="G9" s="173" t="s">
        <v>13</v>
      </c>
      <c r="H9" s="173" t="s">
        <v>14</v>
      </c>
      <c r="I9" s="173" t="s">
        <v>13</v>
      </c>
      <c r="J9" s="173" t="s">
        <v>14</v>
      </c>
      <c r="K9" s="173" t="s">
        <v>13</v>
      </c>
      <c r="L9" s="173" t="s">
        <v>14</v>
      </c>
      <c r="M9" s="173" t="s">
        <v>13</v>
      </c>
      <c r="N9" s="173" t="s">
        <v>14</v>
      </c>
      <c r="O9" s="173" t="s">
        <v>13</v>
      </c>
      <c r="P9" s="173" t="s">
        <v>14</v>
      </c>
      <c r="Q9" s="173" t="s">
        <v>13</v>
      </c>
      <c r="R9" s="173" t="s">
        <v>14</v>
      </c>
      <c r="S9" s="173" t="s">
        <v>13</v>
      </c>
      <c r="T9" s="173" t="s">
        <v>14</v>
      </c>
      <c r="U9" s="173" t="s">
        <v>13</v>
      </c>
      <c r="V9" s="173" t="s">
        <v>14</v>
      </c>
      <c r="W9" s="173" t="s">
        <v>13</v>
      </c>
      <c r="X9" s="173" t="s">
        <v>14</v>
      </c>
      <c r="Y9" s="173" t="s">
        <v>13</v>
      </c>
      <c r="Z9" s="173" t="s">
        <v>14</v>
      </c>
      <c r="AA9" s="173" t="s">
        <v>13</v>
      </c>
      <c r="AB9" s="173" t="s">
        <v>14</v>
      </c>
      <c r="AC9" s="173" t="s">
        <v>13</v>
      </c>
      <c r="AD9" s="173" t="s">
        <v>14</v>
      </c>
      <c r="AE9" s="173" t="s">
        <v>13</v>
      </c>
      <c r="AF9" s="173" t="s">
        <v>14</v>
      </c>
      <c r="AG9" s="173" t="s">
        <v>13</v>
      </c>
      <c r="AH9" s="173" t="s">
        <v>14</v>
      </c>
      <c r="AI9" s="74"/>
      <c r="AJ9" s="74"/>
      <c r="AK9" s="74"/>
      <c r="AL9" s="178" t="s">
        <v>73</v>
      </c>
      <c r="AM9" s="179"/>
      <c r="AN9" s="179"/>
      <c r="AO9" s="20" t="s">
        <v>16</v>
      </c>
      <c r="AP9" s="19"/>
      <c r="AQ9" s="183" t="s">
        <v>74</v>
      </c>
      <c r="AR9" s="184"/>
      <c r="AS9" s="184"/>
      <c r="AT9" s="182"/>
      <c r="AU9" s="144" t="s">
        <v>22</v>
      </c>
      <c r="AV9" s="74"/>
      <c r="AW9" s="74"/>
    </row>
    <row r="10" spans="1:62" s="165" customFormat="1" ht="22.5" customHeight="1" x14ac:dyDescent="0.3">
      <c r="A10" s="74"/>
      <c r="B10" s="19"/>
      <c r="C10" s="74"/>
      <c r="D10" s="74"/>
      <c r="E10" s="188">
        <v>46281.33934027778</v>
      </c>
      <c r="F10" s="188">
        <v>46281.992430555554</v>
      </c>
      <c r="G10" s="188">
        <v>46282.340601851851</v>
      </c>
      <c r="H10" s="188">
        <v>0</v>
      </c>
      <c r="I10" s="188">
        <v>46283.5705787037</v>
      </c>
      <c r="J10" s="188">
        <v>0</v>
      </c>
      <c r="K10" s="188">
        <v>46284.340763888889</v>
      </c>
      <c r="L10" s="188">
        <v>0</v>
      </c>
      <c r="M10" s="188">
        <v>46285.339120370372</v>
      </c>
      <c r="N10" s="188">
        <v>46285.984444444446</v>
      </c>
      <c r="O10" s="188">
        <v>46286.335717592592</v>
      </c>
      <c r="P10" s="188">
        <v>46286.979722222219</v>
      </c>
      <c r="Q10" s="188">
        <v>46287.344953703701</v>
      </c>
      <c r="R10" s="188">
        <v>0</v>
      </c>
      <c r="S10" s="188">
        <v>46288.333622685182</v>
      </c>
      <c r="T10" s="188">
        <v>0</v>
      </c>
      <c r="U10" s="188">
        <v>46289.337789351855</v>
      </c>
      <c r="V10" s="188">
        <v>0</v>
      </c>
      <c r="W10" s="188">
        <v>46290.006238425929</v>
      </c>
      <c r="X10" s="188">
        <v>46290.978229166663</v>
      </c>
      <c r="Y10" s="188">
        <v>46291.337951388887</v>
      </c>
      <c r="Z10" s="188">
        <v>0</v>
      </c>
      <c r="AA10" s="188">
        <v>46292.338784722226</v>
      </c>
      <c r="AB10" s="188">
        <v>0</v>
      </c>
      <c r="AC10" s="188">
        <v>46293.34</v>
      </c>
      <c r="AD10" s="195">
        <v>0</v>
      </c>
      <c r="AE10" s="195">
        <v>0.33888888888888885</v>
      </c>
      <c r="AF10" s="196">
        <v>1</v>
      </c>
      <c r="AG10" s="196">
        <v>1</v>
      </c>
      <c r="AH10" s="196">
        <v>1</v>
      </c>
      <c r="AI10" s="74"/>
      <c r="AJ10" s="74"/>
      <c r="AK10" s="74"/>
      <c r="AL10" s="178" t="s">
        <v>75</v>
      </c>
      <c r="AM10" s="179"/>
      <c r="AN10" s="179"/>
      <c r="AO10" s="20" t="s">
        <v>17</v>
      </c>
      <c r="AP10" s="19"/>
      <c r="AQ10" s="183" t="s">
        <v>76</v>
      </c>
      <c r="AR10" s="184"/>
      <c r="AS10" s="184"/>
      <c r="AT10" s="182"/>
      <c r="AU10" s="144" t="s">
        <v>23</v>
      </c>
      <c r="AV10" s="74"/>
      <c r="AW10" s="74"/>
    </row>
    <row r="11" spans="1:62" s="165" customFormat="1" ht="18.75" x14ac:dyDescent="0.3">
      <c r="A11" s="74"/>
      <c r="B11" s="19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178" t="s">
        <v>77</v>
      </c>
      <c r="AM11" s="179"/>
      <c r="AN11" s="179"/>
      <c r="AO11" s="20" t="s">
        <v>18</v>
      </c>
      <c r="AP11" s="19"/>
      <c r="AQ11" s="180" t="s">
        <v>78</v>
      </c>
      <c r="AR11" s="181"/>
      <c r="AS11" s="181"/>
      <c r="AT11" s="182"/>
      <c r="AU11" s="144" t="s">
        <v>24</v>
      </c>
      <c r="AV11" s="74"/>
      <c r="AW11" s="74"/>
    </row>
    <row r="12" spans="1:62" s="165" customFormat="1" ht="18.75" x14ac:dyDescent="0.3">
      <c r="A12" s="74"/>
      <c r="B12" s="19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178" t="s">
        <v>79</v>
      </c>
      <c r="AM12" s="179"/>
      <c r="AN12" s="179"/>
      <c r="AO12" s="20" t="s">
        <v>19</v>
      </c>
      <c r="AP12" s="19"/>
      <c r="AQ12" s="180" t="s">
        <v>80</v>
      </c>
      <c r="AR12" s="181"/>
      <c r="AS12" s="181"/>
      <c r="AT12" s="182"/>
      <c r="AU12" s="144" t="s">
        <v>25</v>
      </c>
      <c r="AV12" s="74"/>
      <c r="AW12" s="74"/>
    </row>
    <row r="13" spans="1:62" s="165" customFormat="1" ht="18.75" x14ac:dyDescent="0.3">
      <c r="A13" s="74"/>
      <c r="B13" s="19"/>
      <c r="C13" s="74"/>
      <c r="D13" s="74"/>
      <c r="E13" s="74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74"/>
      <c r="AH13" s="74"/>
      <c r="AI13" s="74"/>
      <c r="AJ13" s="74"/>
      <c r="AK13" s="74"/>
      <c r="AL13" s="178" t="s">
        <v>81</v>
      </c>
      <c r="AM13" s="179"/>
      <c r="AN13" s="179"/>
      <c r="AO13" s="20" t="s">
        <v>20</v>
      </c>
      <c r="AP13" s="19"/>
      <c r="AQ13" s="19"/>
      <c r="AR13" s="19"/>
      <c r="AS13" s="19"/>
      <c r="AT13" s="19"/>
      <c r="AU13" s="19"/>
      <c r="AV13" s="74"/>
      <c r="AW13" s="74"/>
    </row>
    <row r="14" spans="1:62" s="165" customFormat="1" ht="18.75" x14ac:dyDescent="0.3">
      <c r="A14" s="74"/>
      <c r="B14" s="19"/>
      <c r="C14" s="74"/>
      <c r="D14" s="74"/>
      <c r="E14" s="74"/>
      <c r="F14" s="198" t="s">
        <v>107</v>
      </c>
      <c r="G14" s="198"/>
      <c r="H14" s="198" t="s">
        <v>122</v>
      </c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7"/>
      <c r="AA14" s="197"/>
      <c r="AB14" s="197"/>
      <c r="AC14" s="197"/>
      <c r="AD14" s="199"/>
      <c r="AE14" s="199"/>
      <c r="AF14" s="199"/>
      <c r="AG14" s="21"/>
      <c r="AH14" s="21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</row>
    <row r="15" spans="1:62" s="165" customFormat="1" ht="18.75" x14ac:dyDescent="0.3">
      <c r="A15" s="74"/>
      <c r="B15" s="19"/>
      <c r="C15" s="74"/>
      <c r="D15" s="74"/>
      <c r="E15" s="74"/>
      <c r="F15" s="197"/>
      <c r="G15" s="197"/>
      <c r="H15" s="200" t="s">
        <v>123</v>
      </c>
      <c r="I15" s="200"/>
      <c r="J15" s="200"/>
      <c r="K15" s="200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201"/>
      <c r="W15" s="201"/>
      <c r="X15" s="202" t="s">
        <v>82</v>
      </c>
      <c r="Y15" s="203"/>
      <c r="Z15" s="197"/>
      <c r="AA15" s="197"/>
      <c r="AB15" s="197"/>
      <c r="AC15" s="197"/>
      <c r="AD15" s="201"/>
      <c r="AE15" s="204"/>
      <c r="AF15" s="204"/>
      <c r="AG15" s="27"/>
      <c r="AH15" s="27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</row>
    <row r="16" spans="1:62" s="165" customFormat="1" ht="18.75" x14ac:dyDescent="0.3">
      <c r="A16" s="74"/>
      <c r="B16" s="19"/>
      <c r="C16" s="74"/>
      <c r="D16" s="74"/>
      <c r="E16" s="74"/>
      <c r="F16" s="197"/>
      <c r="G16" s="197"/>
      <c r="H16" s="200"/>
      <c r="I16" s="200"/>
      <c r="J16" s="200"/>
      <c r="K16" s="200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201"/>
      <c r="W16" s="201"/>
      <c r="X16" s="202"/>
      <c r="Y16" s="203"/>
      <c r="Z16" s="197"/>
      <c r="AA16" s="197"/>
      <c r="AB16" s="197"/>
      <c r="AC16" s="197"/>
      <c r="AD16" s="201"/>
      <c r="AE16" s="204"/>
      <c r="AF16" s="204"/>
      <c r="AG16" s="27"/>
      <c r="AH16" s="27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</row>
    <row r="17" spans="1:49" s="165" customFormat="1" ht="18.75" x14ac:dyDescent="0.3">
      <c r="A17" s="74"/>
      <c r="B17" s="19"/>
      <c r="C17" s="74"/>
      <c r="D17" s="74"/>
      <c r="E17" s="74"/>
      <c r="F17" s="197"/>
      <c r="G17" s="197"/>
      <c r="H17" s="200"/>
      <c r="I17" s="200"/>
      <c r="J17" s="200"/>
      <c r="K17" s="200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201"/>
      <c r="W17" s="201"/>
      <c r="X17" s="202"/>
      <c r="Y17" s="203"/>
      <c r="Z17" s="197"/>
      <c r="AA17" s="197"/>
      <c r="AB17" s="197"/>
      <c r="AC17" s="197"/>
      <c r="AD17" s="201"/>
      <c r="AE17" s="204"/>
      <c r="AF17" s="204"/>
      <c r="AG17" s="27"/>
      <c r="AH17" s="27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</row>
    <row r="18" spans="1:49" s="165" customFormat="1" ht="18.75" x14ac:dyDescent="0.3">
      <c r="A18" s="74"/>
      <c r="B18" s="19"/>
      <c r="C18" s="74"/>
      <c r="D18" s="74"/>
      <c r="E18" s="74"/>
      <c r="F18" s="197"/>
      <c r="G18" s="197"/>
      <c r="H18" s="200"/>
      <c r="I18" s="200"/>
      <c r="J18" s="200"/>
      <c r="K18" s="200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201"/>
      <c r="W18" s="201"/>
      <c r="X18" s="202"/>
      <c r="Y18" s="203"/>
      <c r="Z18" s="197"/>
      <c r="AA18" s="197"/>
      <c r="AB18" s="197"/>
      <c r="AC18" s="197"/>
      <c r="AD18" s="201"/>
      <c r="AE18" s="204"/>
      <c r="AF18" s="204"/>
      <c r="AG18" s="27"/>
      <c r="AH18" s="27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</row>
    <row r="19" spans="1:49" s="165" customFormat="1" ht="18.75" x14ac:dyDescent="0.3">
      <c r="A19" s="74"/>
      <c r="B19" s="19"/>
      <c r="C19" s="74"/>
      <c r="D19" s="74"/>
      <c r="E19" s="74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</row>
    <row r="20" spans="1:49" s="165" customFormat="1" ht="18.75" x14ac:dyDescent="0.3">
      <c r="A20" s="74"/>
      <c r="B20" s="19"/>
      <c r="C20" s="74"/>
      <c r="D20" s="74"/>
      <c r="E20" s="74"/>
      <c r="F20" s="197"/>
      <c r="G20" s="197"/>
      <c r="H20" s="205" t="s">
        <v>63</v>
      </c>
      <c r="I20" s="205"/>
      <c r="J20" s="205"/>
      <c r="K20" s="205"/>
      <c r="L20" s="205"/>
      <c r="M20" s="205"/>
      <c r="N20" s="205"/>
      <c r="O20" s="205"/>
      <c r="P20" s="205"/>
      <c r="Q20" s="206"/>
      <c r="R20" s="207" t="s">
        <v>64</v>
      </c>
      <c r="S20" s="207"/>
      <c r="T20" s="205"/>
      <c r="U20" s="208"/>
      <c r="V20" s="205"/>
      <c r="W20" s="197"/>
      <c r="X20" s="197"/>
      <c r="Y20" s="197"/>
      <c r="Z20" s="197"/>
      <c r="AA20" s="197"/>
      <c r="AB20" s="197"/>
      <c r="AC20" s="199"/>
      <c r="AD20" s="207" t="s">
        <v>65</v>
      </c>
      <c r="AE20" s="199"/>
      <c r="AF20" s="197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</row>
    <row r="21" spans="1:49" s="165" customFormat="1" ht="18.75" x14ac:dyDescent="0.3">
      <c r="A21" s="74"/>
      <c r="B21" s="19"/>
      <c r="C21" s="74"/>
      <c r="D21" s="74"/>
      <c r="E21" s="74"/>
      <c r="F21" s="197"/>
      <c r="G21" s="209"/>
      <c r="H21" s="201"/>
      <c r="I21" s="201"/>
      <c r="J21" s="201"/>
      <c r="K21" s="201"/>
      <c r="L21" s="201"/>
      <c r="M21" s="201"/>
      <c r="N21" s="201"/>
      <c r="O21" s="201"/>
      <c r="P21" s="201"/>
      <c r="Q21" s="210"/>
      <c r="R21" s="210"/>
      <c r="S21" s="201"/>
      <c r="T21" s="201"/>
      <c r="U21" s="201"/>
      <c r="V21" s="201"/>
      <c r="W21" s="197"/>
      <c r="X21" s="197"/>
      <c r="Y21" s="197"/>
      <c r="Z21" s="197"/>
      <c r="AA21" s="197"/>
      <c r="AB21" s="197"/>
      <c r="AC21" s="204"/>
      <c r="AD21" s="211"/>
      <c r="AE21" s="211"/>
      <c r="AF21" s="197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</row>
    <row r="22" spans="1:49" s="165" customFormat="1" ht="18.75" x14ac:dyDescent="0.3">
      <c r="A22" s="74"/>
      <c r="B22" s="19"/>
      <c r="C22" s="74"/>
      <c r="D22" s="74"/>
      <c r="E22" s="74"/>
      <c r="F22" s="197"/>
      <c r="G22" s="209"/>
      <c r="H22" s="202"/>
      <c r="I22" s="202"/>
      <c r="J22" s="202"/>
      <c r="K22" s="202"/>
      <c r="L22" s="202"/>
      <c r="M22" s="202"/>
      <c r="N22" s="202"/>
      <c r="O22" s="202"/>
      <c r="P22" s="202"/>
      <c r="Q22" s="203"/>
      <c r="R22" s="210"/>
      <c r="S22" s="201"/>
      <c r="T22" s="202"/>
      <c r="U22" s="201"/>
      <c r="V22" s="202"/>
      <c r="W22" s="197"/>
      <c r="X22" s="197"/>
      <c r="Y22" s="197"/>
      <c r="Z22" s="197"/>
      <c r="AA22" s="197"/>
      <c r="AB22" s="197"/>
      <c r="AC22" s="201"/>
      <c r="AD22" s="212"/>
      <c r="AE22" s="212"/>
      <c r="AF22" s="197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</row>
    <row r="23" spans="1:49" s="165" customFormat="1" ht="18.75" x14ac:dyDescent="0.3">
      <c r="A23" s="74"/>
      <c r="B23" s="19"/>
      <c r="C23" s="74"/>
      <c r="D23" s="74"/>
      <c r="E23" s="74"/>
      <c r="F23" s="197"/>
      <c r="G23" s="200"/>
      <c r="H23" s="202"/>
      <c r="I23" s="202"/>
      <c r="J23" s="202"/>
      <c r="K23" s="202"/>
      <c r="L23" s="202"/>
      <c r="M23" s="202"/>
      <c r="N23" s="202"/>
      <c r="O23" s="202"/>
      <c r="P23" s="202"/>
      <c r="Q23" s="203"/>
      <c r="R23" s="210"/>
      <c r="S23" s="199"/>
      <c r="T23" s="202"/>
      <c r="U23" s="201"/>
      <c r="V23" s="202"/>
      <c r="W23" s="197"/>
      <c r="X23" s="197"/>
      <c r="Y23" s="197"/>
      <c r="Z23" s="197"/>
      <c r="AA23" s="197"/>
      <c r="AB23" s="197"/>
      <c r="AC23" s="201"/>
      <c r="AD23" s="212"/>
      <c r="AE23" s="212"/>
      <c r="AF23" s="197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</row>
    <row r="24" spans="1:49" s="165" customFormat="1" ht="18.75" x14ac:dyDescent="0.3">
      <c r="A24" s="74"/>
      <c r="B24" s="19"/>
      <c r="C24" s="74"/>
      <c r="D24" s="74"/>
      <c r="E24" s="74"/>
      <c r="F24" s="197"/>
      <c r="G24" s="244" t="s">
        <v>116</v>
      </c>
      <c r="H24" s="244"/>
      <c r="I24" s="244"/>
      <c r="J24" s="244"/>
      <c r="K24" s="213"/>
      <c r="L24" s="213"/>
      <c r="M24" s="213"/>
      <c r="N24" s="213"/>
      <c r="O24" s="213"/>
      <c r="P24" s="213"/>
      <c r="Q24" s="214"/>
      <c r="R24" s="215" t="s">
        <v>66</v>
      </c>
      <c r="S24" s="216"/>
      <c r="T24" s="213"/>
      <c r="U24" s="213"/>
      <c r="V24" s="213"/>
      <c r="W24" s="197"/>
      <c r="X24" s="197"/>
      <c r="Y24" s="197"/>
      <c r="Z24" s="197"/>
      <c r="AA24" s="197"/>
      <c r="AB24" s="197"/>
      <c r="AC24" s="216"/>
      <c r="AD24" s="215" t="s">
        <v>67</v>
      </c>
      <c r="AE24" s="217"/>
      <c r="AF24" s="197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</row>
    <row r="25" spans="1:49" s="165" customFormat="1" ht="18.75" x14ac:dyDescent="0.3">
      <c r="A25" s="74"/>
      <c r="B25" s="19"/>
      <c r="C25" s="74"/>
      <c r="D25" s="74"/>
      <c r="E25" s="74"/>
      <c r="F25" s="197"/>
      <c r="G25" s="213"/>
      <c r="H25" s="213" t="s">
        <v>68</v>
      </c>
      <c r="I25" s="213"/>
      <c r="J25" s="213"/>
      <c r="K25" s="213"/>
      <c r="L25" s="213"/>
      <c r="M25" s="213"/>
      <c r="N25" s="213"/>
      <c r="O25" s="213"/>
      <c r="P25" s="213"/>
      <c r="Q25" s="218"/>
      <c r="R25" s="215" t="s">
        <v>69</v>
      </c>
      <c r="S25" s="215"/>
      <c r="T25" s="213"/>
      <c r="U25" s="197"/>
      <c r="V25" s="197"/>
      <c r="W25" s="197"/>
      <c r="X25" s="197"/>
      <c r="Y25" s="197"/>
      <c r="Z25" s="197"/>
      <c r="AA25" s="197"/>
      <c r="AB25" s="197"/>
      <c r="AC25" s="216"/>
      <c r="AD25" s="215" t="s">
        <v>70</v>
      </c>
      <c r="AE25" s="217"/>
      <c r="AF25" s="197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</row>
    <row r="26" spans="1:49" ht="17.25" x14ac:dyDescent="0.3"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</row>
  </sheetData>
  <mergeCells count="67">
    <mergeCell ref="AG3:AH3"/>
    <mergeCell ref="W3:X3"/>
    <mergeCell ref="Y3:Z3"/>
    <mergeCell ref="AA3:AB3"/>
    <mergeCell ref="AC3:AD3"/>
    <mergeCell ref="AE3:AF3"/>
    <mergeCell ref="AZ2:BI2"/>
    <mergeCell ref="E3:F3"/>
    <mergeCell ref="E2:F2"/>
    <mergeCell ref="K2:L2"/>
    <mergeCell ref="M2:N2"/>
    <mergeCell ref="O2:P2"/>
    <mergeCell ref="Q2:R2"/>
    <mergeCell ref="G2:H2"/>
    <mergeCell ref="I2:J2"/>
    <mergeCell ref="G3:H3"/>
    <mergeCell ref="I3:J3"/>
    <mergeCell ref="K3:L3"/>
    <mergeCell ref="M3:N3"/>
    <mergeCell ref="O3:P3"/>
    <mergeCell ref="AA2:AB2"/>
    <mergeCell ref="AC2:AD2"/>
    <mergeCell ref="Y8:Z8"/>
    <mergeCell ref="AE8:AF8"/>
    <mergeCell ref="A1:AF1"/>
    <mergeCell ref="AI1:AW1"/>
    <mergeCell ref="A2:C3"/>
    <mergeCell ref="AI2:AI4"/>
    <mergeCell ref="AJ2:AJ4"/>
    <mergeCell ref="AE2:AF2"/>
    <mergeCell ref="AG2:AH2"/>
    <mergeCell ref="S2:T2"/>
    <mergeCell ref="U2:V2"/>
    <mergeCell ref="W2:X2"/>
    <mergeCell ref="Y2:Z2"/>
    <mergeCell ref="Q3:R3"/>
    <mergeCell ref="S3:T3"/>
    <mergeCell ref="U3:V3"/>
    <mergeCell ref="W8:X8"/>
    <mergeCell ref="U8:V8"/>
    <mergeCell ref="S8:T8"/>
    <mergeCell ref="Q8:R8"/>
    <mergeCell ref="O8:P8"/>
    <mergeCell ref="AG8:AH8"/>
    <mergeCell ref="AG7:AH7"/>
    <mergeCell ref="AE7:AF7"/>
    <mergeCell ref="AC7:AD7"/>
    <mergeCell ref="AA7:AB7"/>
    <mergeCell ref="AC8:AD8"/>
    <mergeCell ref="AA8:AB8"/>
    <mergeCell ref="Y7:Z7"/>
    <mergeCell ref="W7:X7"/>
    <mergeCell ref="U7:V7"/>
    <mergeCell ref="S7:T7"/>
    <mergeCell ref="Q7:R7"/>
    <mergeCell ref="E7:F7"/>
    <mergeCell ref="G24:J24"/>
    <mergeCell ref="O7:P7"/>
    <mergeCell ref="M7:N7"/>
    <mergeCell ref="K7:L7"/>
    <mergeCell ref="I7:J7"/>
    <mergeCell ref="G7:H7"/>
    <mergeCell ref="E8:F8"/>
    <mergeCell ref="M8:N8"/>
    <mergeCell ref="K8:L8"/>
    <mergeCell ref="I8:J8"/>
    <mergeCell ref="G8:H8"/>
  </mergeCells>
  <phoneticPr fontId="17" type="noConversion"/>
  <conditionalFormatting sqref="A2">
    <cfRule type="cellIs" dxfId="93" priority="45" stopIfTrue="1" operator="equal">
      <formula>";"</formula>
    </cfRule>
  </conditionalFormatting>
  <conditionalFormatting sqref="C5">
    <cfRule type="duplicateValues" dxfId="92" priority="1"/>
    <cfRule type="duplicateValues" dxfId="91" priority="2"/>
    <cfRule type="duplicateValues" dxfId="90" priority="3"/>
  </conditionalFormatting>
  <conditionalFormatting sqref="C12:C1048576 C1:C4">
    <cfRule type="duplicateValues" dxfId="89" priority="3558"/>
  </conditionalFormatting>
  <conditionalFormatting sqref="C12:C1048576">
    <cfRule type="duplicateValues" dxfId="88" priority="3561"/>
  </conditionalFormatting>
  <conditionalFormatting sqref="D5">
    <cfRule type="timePeriod" dxfId="87" priority="4" timePeriod="thisWeek">
      <formula>AND(TODAY()-ROUNDDOWN(D5,0)&lt;=WEEKDAY(TODAY())-1,ROUNDDOWN(D5,0)-TODAY()&lt;=7-WEEKDAY(TODAY()))</formula>
    </cfRule>
    <cfRule type="timePeriod" dxfId="86" priority="5" timePeriod="last7Days">
      <formula>AND(TODAY()-FLOOR(D5,1)&lt;=6,FLOOR(D5,1)&lt;=TODAY())</formula>
    </cfRule>
    <cfRule type="timePeriod" priority="6" timePeriod="nextWeek">
      <formula>AND(ROUNDDOWN(D5,0)-TODAY()&gt;(7-WEEKDAY(TODAY())),ROUNDDOWN(D5,0)-TODAY()&lt;(15-WEEKDAY(TODAY())))</formula>
    </cfRule>
    <cfRule type="timePeriod" dxfId="85" priority="7" timePeriod="nextWeek">
      <formula>AND(ROUNDDOWN(D5,0)-TODAY()&gt;(7-WEEKDAY(TODAY())),ROUNDDOWN(D5,0)-TODAY()&lt;(15-WEEKDAY(TODAY())))</formula>
    </cfRule>
  </conditionalFormatting>
  <conditionalFormatting sqref="AJ5">
    <cfRule type="cellIs" dxfId="84" priority="46" operator="equal">
      <formula>";"</formula>
    </cfRule>
  </conditionalFormatting>
  <conditionalFormatting sqref="AL4:AR4">
    <cfRule type="containsText" dxfId="83" priority="43" operator="containsText" text="SICK">
      <formula>NOT(ISERROR(SEARCH("SICK",AL4)))</formula>
    </cfRule>
    <cfRule type="containsText" dxfId="82" priority="44" operator="containsText" text="AL">
      <formula>NOT(ISERROR(SEARCH("AL",AL4)))</formula>
    </cfRule>
    <cfRule type="containsText" dxfId="81" priority="42" operator="containsText" text="AB">
      <formula>NOT(ISERROR(SEARCH("AB",AL4)))</formula>
    </cfRule>
    <cfRule type="containsText" dxfId="80" priority="36" operator="containsText" text="SP">
      <formula>NOT(ISERROR(SEARCH("SP",AL4)))</formula>
    </cfRule>
    <cfRule type="containsText" dxfId="79" priority="35" operator="containsText" text="EL">
      <formula>NOT(ISERROR(SEARCH("EL",AL4)))</formula>
    </cfRule>
    <cfRule type="containsText" dxfId="78" priority="37" operator="containsText" text="NL">
      <formula>NOT(ISERROR(SEARCH("NL",AL4)))</formula>
    </cfRule>
    <cfRule type="containsText" dxfId="77" priority="38" operator="containsText" text="MC">
      <formula>NOT(ISERROR(SEARCH("MC",AL4)))</formula>
    </cfRule>
    <cfRule type="containsText" dxfId="76" priority="39" operator="containsText" text="SUS">
      <formula>NOT(ISERROR(SEARCH("SUS",AL4)))</formula>
    </cfRule>
    <cfRule type="containsText" dxfId="75" priority="40" operator="containsText" text="FL">
      <formula>NOT(ISERROR(SEARCH("FL",AL4)))</formula>
    </cfRule>
    <cfRule type="containsText" dxfId="74" priority="41" operator="containsText" text="OFF">
      <formula>NOT(ISERROR(SEARCH("OFF",AL4)))</formula>
    </cfRule>
  </conditionalFormatting>
  <conditionalFormatting sqref="AT4">
    <cfRule type="containsText" dxfId="73" priority="31" operator="containsText" text="OFF">
      <formula>NOT(ISERROR(SEARCH("OFF",AT4)))</formula>
    </cfRule>
    <cfRule type="containsText" dxfId="72" priority="27" operator="containsText" text="NL">
      <formula>NOT(ISERROR(SEARCH("NL",AT4)))</formula>
    </cfRule>
    <cfRule type="containsText" dxfId="71" priority="28" operator="containsText" text="MC">
      <formula>NOT(ISERROR(SEARCH("MC",AT4)))</formula>
    </cfRule>
    <cfRule type="containsText" dxfId="70" priority="29" operator="containsText" text="SUS">
      <formula>NOT(ISERROR(SEARCH("SUS",AT4)))</formula>
    </cfRule>
    <cfRule type="containsText" dxfId="69" priority="30" operator="containsText" text="FL">
      <formula>NOT(ISERROR(SEARCH("FL",AT4)))</formula>
    </cfRule>
    <cfRule type="containsText" dxfId="68" priority="32" operator="containsText" text="AB">
      <formula>NOT(ISERROR(SEARCH("AB",AT4)))</formula>
    </cfRule>
    <cfRule type="containsText" dxfId="67" priority="33" operator="containsText" text="SICK">
      <formula>NOT(ISERROR(SEARCH("SICK",AT4)))</formula>
    </cfRule>
    <cfRule type="containsText" dxfId="66" priority="34" operator="containsText" text="AL">
      <formula>NOT(ISERROR(SEARCH("AL",AT4)))</formula>
    </cfRule>
  </conditionalFormatting>
  <conditionalFormatting sqref="AT4:AU4">
    <cfRule type="containsText" dxfId="65" priority="18" operator="containsText" text="SP">
      <formula>NOT(ISERROR(SEARCH("SP",AT4)))</formula>
    </cfRule>
  </conditionalFormatting>
  <conditionalFormatting sqref="AT4:AV4">
    <cfRule type="containsText" dxfId="64" priority="8" operator="containsText" text="EL">
      <formula>NOT(ISERROR(SEARCH("EL",AT4)))</formula>
    </cfRule>
  </conditionalFormatting>
  <conditionalFormatting sqref="AU4">
    <cfRule type="containsText" dxfId="63" priority="20" operator="containsText" text="MC">
      <formula>NOT(ISERROR(SEARCH("MC",AU4)))</formula>
    </cfRule>
    <cfRule type="containsText" dxfId="62" priority="26" operator="containsText" text="AL">
      <formula>NOT(ISERROR(SEARCH("AL",AU4)))</formula>
    </cfRule>
    <cfRule type="containsText" dxfId="61" priority="24" operator="containsText" text="AB">
      <formula>NOT(ISERROR(SEARCH("AB",AU4)))</formula>
    </cfRule>
    <cfRule type="containsText" dxfId="60" priority="25" operator="containsText" text="SICK">
      <formula>NOT(ISERROR(SEARCH("SICK",AU4)))</formula>
    </cfRule>
    <cfRule type="containsText" dxfId="59" priority="19" operator="containsText" text="NL">
      <formula>NOT(ISERROR(SEARCH("NL",AU4)))</formula>
    </cfRule>
    <cfRule type="containsText" dxfId="58" priority="23" operator="containsText" text="OFF">
      <formula>NOT(ISERROR(SEARCH("OFF",AU4)))</formula>
    </cfRule>
    <cfRule type="containsText" dxfId="57" priority="22" operator="containsText" text="FL">
      <formula>NOT(ISERROR(SEARCH("FL",AU4)))</formula>
    </cfRule>
    <cfRule type="containsText" dxfId="56" priority="21" operator="containsText" text="SUS">
      <formula>NOT(ISERROR(SEARCH("SUS",AU4)))</formula>
    </cfRule>
  </conditionalFormatting>
  <conditionalFormatting sqref="AV4">
    <cfRule type="containsText" dxfId="55" priority="9" operator="containsText" text="SP">
      <formula>NOT(ISERROR(SEARCH("SP",AV4)))</formula>
    </cfRule>
    <cfRule type="containsText" dxfId="54" priority="10" operator="containsText" text="NL">
      <formula>NOT(ISERROR(SEARCH("NL",AV4)))</formula>
    </cfRule>
    <cfRule type="containsText" dxfId="53" priority="11" operator="containsText" text="MC">
      <formula>NOT(ISERROR(SEARCH("MC",AV4)))</formula>
    </cfRule>
    <cfRule type="containsText" dxfId="52" priority="12" operator="containsText" text="SUS">
      <formula>NOT(ISERROR(SEARCH("SUS",AV4)))</formula>
    </cfRule>
    <cfRule type="containsText" dxfId="51" priority="13" operator="containsText" text="FL">
      <formula>NOT(ISERROR(SEARCH("FL",AV4)))</formula>
    </cfRule>
    <cfRule type="containsText" dxfId="50" priority="14" operator="containsText" text="OFF">
      <formula>NOT(ISERROR(SEARCH("OFF",AV4)))</formula>
    </cfRule>
    <cfRule type="containsText" dxfId="49" priority="15" operator="containsText" text="AB">
      <formula>NOT(ISERROR(SEARCH("AB",AV4)))</formula>
    </cfRule>
    <cfRule type="containsText" dxfId="48" priority="16" operator="containsText" text="SICK">
      <formula>NOT(ISERROR(SEARCH("SICK",AV4)))</formula>
    </cfRule>
    <cfRule type="containsText" dxfId="47" priority="17" operator="containsText" text="AL">
      <formula>NOT(ISERROR(SEARCH("AL",AV4)))</formula>
    </cfRule>
  </conditionalFormatting>
  <pageMargins left="0.7" right="0.7" top="0.75" bottom="0.75" header="0.3" footer="0.3"/>
  <pageSetup paperSize="9" scale="3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F169-42CC-42B8-9B71-09F2C8A7B10E}">
  <sheetPr>
    <pageSetUpPr fitToPage="1"/>
  </sheetPr>
  <dimension ref="A1:BJ23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N17" sqref="N17"/>
    </sheetView>
  </sheetViews>
  <sheetFormatPr defaultRowHeight="15" x14ac:dyDescent="0.25"/>
  <cols>
    <col min="1" max="1" width="5" customWidth="1"/>
    <col min="2" max="2" width="10.85546875" style="18" customWidth="1"/>
    <col min="3" max="3" width="29.140625" customWidth="1"/>
    <col min="4" max="4" width="8" hidden="1" customWidth="1"/>
    <col min="5" max="5" width="6.42578125" customWidth="1"/>
    <col min="6" max="6" width="7.5703125" customWidth="1"/>
    <col min="7" max="8" width="6.42578125" customWidth="1"/>
    <col min="9" max="9" width="7.7109375" customWidth="1"/>
    <col min="10" max="10" width="6.42578125" customWidth="1"/>
    <col min="11" max="11" width="7.5703125" customWidth="1"/>
    <col min="12" max="12" width="7.28515625" customWidth="1"/>
    <col min="13" max="13" width="6.42578125" customWidth="1"/>
    <col min="14" max="14" width="7.140625" customWidth="1"/>
    <col min="15" max="15" width="6.42578125" customWidth="1"/>
    <col min="16" max="16" width="7.5703125" customWidth="1"/>
    <col min="17" max="23" width="6.42578125" customWidth="1"/>
    <col min="24" max="24" width="7.140625" customWidth="1"/>
    <col min="25" max="34" width="6.42578125" customWidth="1"/>
    <col min="35" max="35" width="6.5703125" customWidth="1"/>
    <col min="36" max="48" width="5.140625" customWidth="1"/>
    <col min="49" max="49" width="12.7109375" customWidth="1"/>
    <col min="52" max="62" width="5.28515625" customWidth="1"/>
  </cols>
  <sheetData>
    <row r="1" spans="1:62" s="165" customFormat="1" ht="24" customHeight="1" x14ac:dyDescent="0.3">
      <c r="A1" s="247" t="s">
        <v>128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9"/>
      <c r="AG1" s="170"/>
      <c r="AH1" s="17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</row>
    <row r="2" spans="1:62" s="165" customFormat="1" ht="18.75" customHeight="1" x14ac:dyDescent="0.3">
      <c r="A2" s="225" t="s">
        <v>33</v>
      </c>
      <c r="B2" s="225"/>
      <c r="C2" s="225"/>
      <c r="D2" s="86"/>
      <c r="E2" s="254" t="s">
        <v>2</v>
      </c>
      <c r="F2" s="254"/>
      <c r="G2" s="254" t="s">
        <v>3</v>
      </c>
      <c r="H2" s="254"/>
      <c r="I2" s="254" t="s">
        <v>4</v>
      </c>
      <c r="J2" s="254"/>
      <c r="K2" s="254" t="s">
        <v>5</v>
      </c>
      <c r="L2" s="254"/>
      <c r="M2" s="254" t="s">
        <v>6</v>
      </c>
      <c r="N2" s="254"/>
      <c r="O2" s="254" t="s">
        <v>7</v>
      </c>
      <c r="P2" s="254"/>
      <c r="Q2" s="254" t="s">
        <v>1</v>
      </c>
      <c r="R2" s="254"/>
      <c r="S2" s="254" t="s">
        <v>2</v>
      </c>
      <c r="T2" s="254"/>
      <c r="U2" s="254" t="s">
        <v>3</v>
      </c>
      <c r="V2" s="254"/>
      <c r="W2" s="254" t="s">
        <v>4</v>
      </c>
      <c r="X2" s="254"/>
      <c r="Y2" s="254" t="s">
        <v>5</v>
      </c>
      <c r="Z2" s="254"/>
      <c r="AA2" s="254" t="s">
        <v>6</v>
      </c>
      <c r="AB2" s="254"/>
      <c r="AC2" s="254" t="s">
        <v>7</v>
      </c>
      <c r="AD2" s="254"/>
      <c r="AE2" s="254" t="s">
        <v>1</v>
      </c>
      <c r="AF2" s="254"/>
      <c r="AG2" s="254" t="s">
        <v>2</v>
      </c>
      <c r="AH2" s="254"/>
      <c r="AI2" s="251" t="s">
        <v>8</v>
      </c>
      <c r="AJ2" s="251" t="s">
        <v>9</v>
      </c>
      <c r="AK2" s="171"/>
      <c r="AL2" s="9"/>
      <c r="AM2" s="9"/>
      <c r="AN2" s="9"/>
      <c r="AO2" s="9"/>
      <c r="AP2" s="9"/>
      <c r="AQ2" s="9"/>
      <c r="AR2" s="9"/>
      <c r="AS2" s="185"/>
      <c r="AT2" s="185"/>
      <c r="AU2" s="9"/>
      <c r="AV2" s="186"/>
      <c r="AW2" s="186"/>
      <c r="AZ2" s="237" t="s">
        <v>83</v>
      </c>
      <c r="BA2" s="237"/>
      <c r="BB2" s="237"/>
      <c r="BC2" s="237"/>
      <c r="BD2" s="237"/>
      <c r="BE2" s="237"/>
      <c r="BF2" s="237"/>
      <c r="BG2" s="237"/>
      <c r="BH2" s="237"/>
      <c r="BI2" s="237"/>
      <c r="BJ2" s="166"/>
    </row>
    <row r="3" spans="1:62" s="165" customFormat="1" ht="18.75" customHeight="1" x14ac:dyDescent="0.3">
      <c r="A3" s="225"/>
      <c r="B3" s="225"/>
      <c r="C3" s="225"/>
      <c r="D3" s="86"/>
      <c r="E3" s="255">
        <v>46296</v>
      </c>
      <c r="F3" s="255"/>
      <c r="G3" s="255">
        <v>46297</v>
      </c>
      <c r="H3" s="255"/>
      <c r="I3" s="255">
        <v>46298</v>
      </c>
      <c r="J3" s="255"/>
      <c r="K3" s="255">
        <v>46299</v>
      </c>
      <c r="L3" s="255"/>
      <c r="M3" s="255">
        <v>46300</v>
      </c>
      <c r="N3" s="255"/>
      <c r="O3" s="255">
        <v>46301</v>
      </c>
      <c r="P3" s="255"/>
      <c r="Q3" s="255">
        <v>46302</v>
      </c>
      <c r="R3" s="255"/>
      <c r="S3" s="255">
        <v>46303</v>
      </c>
      <c r="T3" s="255"/>
      <c r="U3" s="255">
        <v>46304</v>
      </c>
      <c r="V3" s="255"/>
      <c r="W3" s="255">
        <v>46305</v>
      </c>
      <c r="X3" s="255"/>
      <c r="Y3" s="255">
        <v>46306</v>
      </c>
      <c r="Z3" s="255"/>
      <c r="AA3" s="255">
        <v>46307</v>
      </c>
      <c r="AB3" s="255"/>
      <c r="AC3" s="255">
        <v>46308</v>
      </c>
      <c r="AD3" s="255"/>
      <c r="AE3" s="255">
        <v>46309</v>
      </c>
      <c r="AF3" s="255"/>
      <c r="AG3" s="255">
        <v>46310</v>
      </c>
      <c r="AH3" s="255"/>
      <c r="AI3" s="252"/>
      <c r="AJ3" s="252"/>
      <c r="AK3" s="171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Z3" s="48" t="s">
        <v>100</v>
      </c>
      <c r="BA3" s="48"/>
      <c r="BB3" s="48"/>
      <c r="BC3" s="48"/>
      <c r="BD3" s="48"/>
      <c r="BE3" s="48"/>
      <c r="BF3" s="48"/>
      <c r="BG3" s="48"/>
      <c r="BH3" s="48"/>
      <c r="BI3" s="48"/>
      <c r="BJ3" s="166"/>
    </row>
    <row r="4" spans="1:62" s="165" customFormat="1" ht="18.75" customHeight="1" x14ac:dyDescent="0.3">
      <c r="A4" s="224" t="s">
        <v>10</v>
      </c>
      <c r="B4" s="224" t="s">
        <v>11</v>
      </c>
      <c r="C4" s="224" t="s">
        <v>12</v>
      </c>
      <c r="D4" s="172"/>
      <c r="E4" s="173" t="s">
        <v>13</v>
      </c>
      <c r="F4" s="173" t="s">
        <v>14</v>
      </c>
      <c r="G4" s="173" t="s">
        <v>13</v>
      </c>
      <c r="H4" s="173" t="s">
        <v>14</v>
      </c>
      <c r="I4" s="173" t="s">
        <v>13</v>
      </c>
      <c r="J4" s="173" t="s">
        <v>14</v>
      </c>
      <c r="K4" s="173" t="s">
        <v>13</v>
      </c>
      <c r="L4" s="173" t="s">
        <v>14</v>
      </c>
      <c r="M4" s="173" t="s">
        <v>13</v>
      </c>
      <c r="N4" s="173" t="s">
        <v>14</v>
      </c>
      <c r="O4" s="173" t="s">
        <v>13</v>
      </c>
      <c r="P4" s="173" t="s">
        <v>14</v>
      </c>
      <c r="Q4" s="173" t="s">
        <v>13</v>
      </c>
      <c r="R4" s="173" t="s">
        <v>14</v>
      </c>
      <c r="S4" s="173" t="s">
        <v>13</v>
      </c>
      <c r="T4" s="173" t="s">
        <v>14</v>
      </c>
      <c r="U4" s="173" t="s">
        <v>13</v>
      </c>
      <c r="V4" s="173" t="s">
        <v>14</v>
      </c>
      <c r="W4" s="173" t="s">
        <v>13</v>
      </c>
      <c r="X4" s="173" t="s">
        <v>14</v>
      </c>
      <c r="Y4" s="173" t="s">
        <v>13</v>
      </c>
      <c r="Z4" s="173" t="s">
        <v>14</v>
      </c>
      <c r="AA4" s="173" t="s">
        <v>13</v>
      </c>
      <c r="AB4" s="173" t="s">
        <v>14</v>
      </c>
      <c r="AC4" s="173" t="s">
        <v>13</v>
      </c>
      <c r="AD4" s="173" t="s">
        <v>14</v>
      </c>
      <c r="AE4" s="173" t="s">
        <v>13</v>
      </c>
      <c r="AF4" s="173" t="s">
        <v>14</v>
      </c>
      <c r="AG4" s="173" t="s">
        <v>13</v>
      </c>
      <c r="AH4" s="173" t="s">
        <v>14</v>
      </c>
      <c r="AI4" s="253"/>
      <c r="AJ4" s="253"/>
      <c r="AK4" s="174"/>
      <c r="AL4" s="187" t="s">
        <v>15</v>
      </c>
      <c r="AM4" s="187" t="s">
        <v>16</v>
      </c>
      <c r="AN4" s="187" t="s">
        <v>17</v>
      </c>
      <c r="AO4" s="187" t="s">
        <v>18</v>
      </c>
      <c r="AP4" s="187" t="s">
        <v>19</v>
      </c>
      <c r="AQ4" s="187" t="s">
        <v>20</v>
      </c>
      <c r="AR4" s="187" t="s">
        <v>97</v>
      </c>
      <c r="AS4" s="43" t="s">
        <v>22</v>
      </c>
      <c r="AT4" s="187" t="s">
        <v>23</v>
      </c>
      <c r="AU4" s="187" t="s">
        <v>24</v>
      </c>
      <c r="AV4" s="187" t="s">
        <v>25</v>
      </c>
      <c r="AW4" s="9" t="s">
        <v>26</v>
      </c>
      <c r="AZ4" s="167" t="s">
        <v>16</v>
      </c>
      <c r="BA4" s="167" t="s">
        <v>17</v>
      </c>
      <c r="BB4" s="167" t="s">
        <v>18</v>
      </c>
      <c r="BC4" s="167" t="s">
        <v>19</v>
      </c>
      <c r="BD4" s="167" t="s">
        <v>20</v>
      </c>
      <c r="BE4" s="167" t="s">
        <v>21</v>
      </c>
      <c r="BF4" s="167" t="s">
        <v>22</v>
      </c>
      <c r="BG4" s="167" t="s">
        <v>23</v>
      </c>
      <c r="BH4" s="167" t="s">
        <v>24</v>
      </c>
      <c r="BI4" s="167" t="s">
        <v>25</v>
      </c>
      <c r="BJ4" s="167" t="s">
        <v>84</v>
      </c>
    </row>
    <row r="5" spans="1:62" s="165" customFormat="1" ht="27.75" customHeight="1" x14ac:dyDescent="0.3">
      <c r="A5" s="53">
        <v>1</v>
      </c>
      <c r="B5" s="53" t="s">
        <v>108</v>
      </c>
      <c r="C5" s="175" t="s">
        <v>109</v>
      </c>
      <c r="D5" s="176">
        <v>45387</v>
      </c>
      <c r="E5" s="104">
        <v>0.35416666666666669</v>
      </c>
      <c r="F5" s="104">
        <v>46296.970185185186</v>
      </c>
      <c r="G5" s="104">
        <v>46297.575011574074</v>
      </c>
      <c r="H5" s="104">
        <v>46297.954375000001</v>
      </c>
      <c r="I5" s="104">
        <v>46298.346180555556</v>
      </c>
      <c r="J5" s="104">
        <v>0</v>
      </c>
      <c r="K5" s="104">
        <v>46299.35015046296</v>
      </c>
      <c r="L5" s="104">
        <v>46299.955983796295</v>
      </c>
      <c r="M5" s="104">
        <v>0</v>
      </c>
      <c r="N5" s="104">
        <v>46300.950196759259</v>
      </c>
      <c r="O5" s="104">
        <v>46301.3515625</v>
      </c>
      <c r="P5" s="104">
        <v>46301.949421296296</v>
      </c>
      <c r="Q5" s="104">
        <v>46302.348993055559</v>
      </c>
      <c r="R5" s="104">
        <v>46302.948425925926</v>
      </c>
      <c r="S5" s="104">
        <v>46303.348946759259</v>
      </c>
      <c r="T5" s="104">
        <v>46303.965497685182</v>
      </c>
      <c r="U5" s="220" t="s">
        <v>15</v>
      </c>
      <c r="V5" s="220" t="s">
        <v>15</v>
      </c>
      <c r="W5" s="104">
        <v>46305.347060185188</v>
      </c>
      <c r="X5" s="104">
        <v>46305.974085648151</v>
      </c>
      <c r="Y5" s="104">
        <v>46306.349282407406</v>
      </c>
      <c r="Z5" s="104">
        <v>46306.947442129633</v>
      </c>
      <c r="AA5" s="104">
        <v>46307.348807870374</v>
      </c>
      <c r="AB5" s="104">
        <v>46307.954155092593</v>
      </c>
      <c r="AC5" s="104">
        <v>46308.349386574075</v>
      </c>
      <c r="AD5" s="104">
        <v>0</v>
      </c>
      <c r="AE5" s="104">
        <v>46309.352083333331</v>
      </c>
      <c r="AF5" s="104">
        <v>46309.94767361111</v>
      </c>
      <c r="AG5" s="104">
        <v>46310.350810185184</v>
      </c>
      <c r="AH5" s="104">
        <v>46310.972488425927</v>
      </c>
      <c r="AI5" s="191">
        <f>AK5+AL5+AM5+AN5+AS5+AQ5+AR5+AV5</f>
        <v>18</v>
      </c>
      <c r="AJ5" s="192">
        <v>2</v>
      </c>
      <c r="AK5" s="193">
        <v>17</v>
      </c>
      <c r="AL5" s="192">
        <f>COUNTIF(B5:AF5,"OFF")/2</f>
        <v>1</v>
      </c>
      <c r="AM5" s="194">
        <f>COUNTIF(B5:AF5,"MC")/2</f>
        <v>0</v>
      </c>
      <c r="AN5" s="194">
        <f>COUNTIF(B5:AF5,"EL")/2</f>
        <v>0</v>
      </c>
      <c r="AO5" s="194">
        <f>COUNTIF(B5:AF5,"AL")/2</f>
        <v>0</v>
      </c>
      <c r="AP5" s="194">
        <f>COUNTIF(B5:AF5,"SUS")/2</f>
        <v>0</v>
      </c>
      <c r="AQ5" s="194">
        <f>COUNTIF(B5:AF5,"FL")/2</f>
        <v>0</v>
      </c>
      <c r="AR5" s="194">
        <f>COUNTIF(B5:AF5,"SICK")/2</f>
        <v>0</v>
      </c>
      <c r="AS5" s="194">
        <f>COUNTIF(B5:AF5,"HD")/2</f>
        <v>0</v>
      </c>
      <c r="AT5" s="194">
        <f>COUNTIF(B5:AF5,"AB")/2</f>
        <v>0</v>
      </c>
      <c r="AU5" s="194">
        <f>COUNTIF(B5:AF5,"NL")/2</f>
        <v>0</v>
      </c>
      <c r="AV5" s="194">
        <f>COUNTIF(B5:AF5,"SP")/2</f>
        <v>0</v>
      </c>
      <c r="AW5" s="177"/>
      <c r="AZ5" s="168">
        <v>0</v>
      </c>
      <c r="BA5" s="168">
        <v>0</v>
      </c>
      <c r="BB5" s="168">
        <v>0</v>
      </c>
      <c r="BC5" s="168">
        <v>0</v>
      </c>
      <c r="BD5" s="168">
        <v>0</v>
      </c>
      <c r="BE5" s="169">
        <v>3</v>
      </c>
      <c r="BF5" s="168">
        <v>0</v>
      </c>
      <c r="BG5" s="168">
        <v>0</v>
      </c>
      <c r="BH5" s="168">
        <v>0</v>
      </c>
      <c r="BI5" s="168">
        <v>0</v>
      </c>
      <c r="BJ5" s="164">
        <f t="shared" ref="BJ5" si="0">SUM(AZ5:BI5)</f>
        <v>3</v>
      </c>
    </row>
    <row r="6" spans="1:62" s="165" customFormat="1" ht="18.75" x14ac:dyDescent="0.3">
      <c r="A6" s="74"/>
      <c r="B6" s="19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</row>
    <row r="7" spans="1:62" s="165" customFormat="1" ht="20.25" customHeight="1" x14ac:dyDescent="0.3">
      <c r="A7" s="74"/>
      <c r="B7" s="19"/>
      <c r="C7" s="74"/>
      <c r="D7" s="74"/>
      <c r="F7" s="197"/>
      <c r="G7" s="197"/>
      <c r="H7" s="197"/>
      <c r="I7" s="197"/>
      <c r="J7" s="197"/>
      <c r="K7" s="197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242" t="s">
        <v>3</v>
      </c>
      <c r="AD7" s="243"/>
      <c r="AE7" s="242" t="s">
        <v>4</v>
      </c>
      <c r="AF7" s="243"/>
      <c r="AG7" s="242" t="s">
        <v>5</v>
      </c>
      <c r="AH7" s="243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</row>
    <row r="8" spans="1:62" s="165" customFormat="1" ht="20.25" customHeight="1" x14ac:dyDescent="0.3">
      <c r="A8" s="74"/>
      <c r="B8" s="19"/>
      <c r="C8" s="74"/>
      <c r="D8" s="74"/>
      <c r="F8" s="198" t="s">
        <v>107</v>
      </c>
      <c r="G8" s="198"/>
      <c r="H8" s="198" t="s">
        <v>129</v>
      </c>
      <c r="I8" s="198"/>
      <c r="J8" s="198"/>
      <c r="K8" s="198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245">
        <v>46311</v>
      </c>
      <c r="AD8" s="246"/>
      <c r="AE8" s="245">
        <v>46312</v>
      </c>
      <c r="AF8" s="246"/>
      <c r="AG8" s="245">
        <v>46313</v>
      </c>
      <c r="AH8" s="246"/>
      <c r="AI8" s="74"/>
      <c r="AJ8" s="74"/>
      <c r="AK8" s="74"/>
      <c r="AL8" s="178" t="s">
        <v>71</v>
      </c>
      <c r="AM8" s="179"/>
      <c r="AN8" s="179"/>
      <c r="AO8" s="20" t="s">
        <v>15</v>
      </c>
      <c r="AP8" s="19"/>
      <c r="AQ8" s="180" t="s">
        <v>72</v>
      </c>
      <c r="AR8" s="181"/>
      <c r="AS8" s="181"/>
      <c r="AT8" s="182"/>
      <c r="AU8" s="144" t="s">
        <v>21</v>
      </c>
      <c r="AV8" s="74"/>
      <c r="AW8" s="74"/>
    </row>
    <row r="9" spans="1:62" s="165" customFormat="1" ht="20.25" customHeight="1" x14ac:dyDescent="0.3">
      <c r="A9" s="74"/>
      <c r="B9" s="19"/>
      <c r="C9" s="74"/>
      <c r="D9" s="74"/>
      <c r="F9" s="197"/>
      <c r="G9" s="197"/>
      <c r="H9" s="200" t="s">
        <v>130</v>
      </c>
      <c r="I9" s="200"/>
      <c r="J9" s="200"/>
      <c r="K9" s="200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173" t="s">
        <v>13</v>
      </c>
      <c r="AD9" s="173" t="s">
        <v>14</v>
      </c>
      <c r="AE9" s="173" t="s">
        <v>13</v>
      </c>
      <c r="AF9" s="173" t="s">
        <v>14</v>
      </c>
      <c r="AG9" s="173" t="s">
        <v>13</v>
      </c>
      <c r="AH9" s="173" t="s">
        <v>14</v>
      </c>
      <c r="AI9" s="74"/>
      <c r="AJ9" s="74"/>
      <c r="AK9" s="74"/>
      <c r="AL9" s="178" t="s">
        <v>73</v>
      </c>
      <c r="AM9" s="179"/>
      <c r="AN9" s="179"/>
      <c r="AO9" s="20" t="s">
        <v>16</v>
      </c>
      <c r="AP9" s="19"/>
      <c r="AQ9" s="183" t="s">
        <v>74</v>
      </c>
      <c r="AR9" s="184"/>
      <c r="AS9" s="184"/>
      <c r="AT9" s="182"/>
      <c r="AU9" s="144" t="s">
        <v>22</v>
      </c>
      <c r="AV9" s="74"/>
      <c r="AW9" s="74"/>
    </row>
    <row r="10" spans="1:62" s="165" customFormat="1" ht="22.5" customHeight="1" x14ac:dyDescent="0.3">
      <c r="A10" s="74"/>
      <c r="B10" s="19"/>
      <c r="C10" s="74"/>
      <c r="D10" s="74"/>
      <c r="H10" s="74" t="s">
        <v>131</v>
      </c>
      <c r="I10" s="74"/>
      <c r="J10" s="74"/>
      <c r="K10" s="74"/>
      <c r="L10" s="74"/>
      <c r="M10"/>
      <c r="N10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104">
        <v>46311.576041666667</v>
      </c>
      <c r="AD10" s="104">
        <v>0</v>
      </c>
      <c r="AE10" s="104">
        <v>46312.358449074076</v>
      </c>
      <c r="AF10" s="104">
        <v>0</v>
      </c>
      <c r="AG10" s="104">
        <v>46313.351145833331</v>
      </c>
      <c r="AH10" s="104">
        <v>0</v>
      </c>
      <c r="AI10" s="74"/>
      <c r="AJ10" s="74"/>
      <c r="AK10" s="74"/>
      <c r="AL10" s="178" t="s">
        <v>75</v>
      </c>
      <c r="AM10" s="179"/>
      <c r="AN10" s="179"/>
      <c r="AO10" s="20" t="s">
        <v>17</v>
      </c>
      <c r="AP10" s="19"/>
      <c r="AQ10" s="183" t="s">
        <v>76</v>
      </c>
      <c r="AR10" s="184"/>
      <c r="AS10" s="184"/>
      <c r="AT10" s="182"/>
      <c r="AU10" s="144" t="s">
        <v>23</v>
      </c>
      <c r="AV10" s="74"/>
      <c r="AW10" s="74"/>
    </row>
    <row r="11" spans="1:62" s="165" customFormat="1" ht="18.75" x14ac:dyDescent="0.3">
      <c r="A11" s="74"/>
      <c r="B11" s="19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178" t="s">
        <v>77</v>
      </c>
      <c r="AM11" s="179"/>
      <c r="AN11" s="179"/>
      <c r="AO11" s="20" t="s">
        <v>18</v>
      </c>
      <c r="AP11" s="19"/>
      <c r="AQ11" s="180" t="s">
        <v>78</v>
      </c>
      <c r="AR11" s="181"/>
      <c r="AS11" s="181"/>
      <c r="AT11" s="182"/>
      <c r="AU11" s="144" t="s">
        <v>24</v>
      </c>
      <c r="AV11" s="74"/>
      <c r="AW11" s="74"/>
    </row>
    <row r="12" spans="1:62" s="165" customFormat="1" ht="18.75" x14ac:dyDescent="0.3">
      <c r="A12" s="74"/>
      <c r="B12" s="19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178" t="s">
        <v>79</v>
      </c>
      <c r="AM12" s="179"/>
      <c r="AN12" s="179"/>
      <c r="AO12" s="20" t="s">
        <v>19</v>
      </c>
      <c r="AP12" s="19"/>
      <c r="AQ12" s="180" t="s">
        <v>80</v>
      </c>
      <c r="AR12" s="181"/>
      <c r="AS12" s="181"/>
      <c r="AT12" s="182"/>
      <c r="AU12" s="144" t="s">
        <v>25</v>
      </c>
      <c r="AV12" s="74"/>
      <c r="AW12" s="74"/>
    </row>
    <row r="13" spans="1:62" s="165" customFormat="1" ht="18.75" x14ac:dyDescent="0.3">
      <c r="A13" s="74"/>
      <c r="B13" s="19"/>
      <c r="C13" s="74"/>
      <c r="D13" s="74"/>
      <c r="E13" s="74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74"/>
      <c r="AH13" s="74"/>
      <c r="AI13" s="74"/>
      <c r="AJ13" s="74"/>
      <c r="AK13" s="74"/>
      <c r="AL13" s="178" t="s">
        <v>81</v>
      </c>
      <c r="AM13" s="179"/>
      <c r="AN13" s="179"/>
      <c r="AO13" s="20" t="s">
        <v>20</v>
      </c>
      <c r="AP13" s="19"/>
      <c r="AQ13" s="19"/>
      <c r="AR13" s="19"/>
      <c r="AS13" s="19"/>
      <c r="AT13" s="19"/>
      <c r="AU13" s="19"/>
      <c r="AV13" s="74"/>
      <c r="AW13" s="74"/>
    </row>
    <row r="14" spans="1:62" s="165" customFormat="1" ht="18.75" x14ac:dyDescent="0.3">
      <c r="A14" s="74"/>
      <c r="B14" s="19"/>
      <c r="C14" s="74"/>
      <c r="D14" s="74"/>
      <c r="E14" s="74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7"/>
      <c r="AA14" s="197"/>
      <c r="AB14" s="197"/>
      <c r="AC14" s="197"/>
      <c r="AD14" s="199"/>
      <c r="AE14" s="199"/>
      <c r="AF14" s="199"/>
      <c r="AG14" s="21"/>
      <c r="AH14" s="21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</row>
    <row r="15" spans="1:62" s="165" customFormat="1" ht="18.75" x14ac:dyDescent="0.3">
      <c r="A15" s="74"/>
      <c r="B15" s="19"/>
      <c r="C15" s="74"/>
      <c r="D15" s="74"/>
      <c r="E15" s="74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201"/>
      <c r="W15" s="201"/>
      <c r="X15" s="202" t="s">
        <v>82</v>
      </c>
      <c r="Y15" s="203"/>
      <c r="Z15" s="197"/>
      <c r="AA15" s="197"/>
      <c r="AB15" s="197"/>
      <c r="AC15" s="197"/>
      <c r="AD15" s="201"/>
      <c r="AE15" s="204"/>
      <c r="AF15" s="204"/>
      <c r="AG15" s="27"/>
      <c r="AH15" s="27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</row>
    <row r="16" spans="1:62" s="165" customFormat="1" ht="18.75" x14ac:dyDescent="0.3">
      <c r="A16" s="74"/>
      <c r="B16" s="19"/>
      <c r="C16" s="74"/>
      <c r="D16" s="74"/>
      <c r="E16" s="74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</row>
    <row r="17" spans="1:49" s="165" customFormat="1" ht="18.75" x14ac:dyDescent="0.3">
      <c r="A17" s="74"/>
      <c r="B17" s="19"/>
      <c r="C17" s="74"/>
      <c r="D17" s="74"/>
      <c r="E17" s="74"/>
      <c r="F17" s="197"/>
      <c r="G17" s="197"/>
      <c r="H17" s="205" t="s">
        <v>63</v>
      </c>
      <c r="I17" s="205"/>
      <c r="J17" s="205"/>
      <c r="K17" s="205"/>
      <c r="L17" s="205"/>
      <c r="M17" s="205"/>
      <c r="N17" s="205"/>
      <c r="O17" s="205"/>
      <c r="P17" s="205"/>
      <c r="Q17" s="206"/>
      <c r="R17" s="207" t="s">
        <v>64</v>
      </c>
      <c r="S17" s="207"/>
      <c r="T17" s="205"/>
      <c r="U17" s="208"/>
      <c r="V17" s="205"/>
      <c r="W17" s="197"/>
      <c r="X17" s="197"/>
      <c r="Y17" s="197"/>
      <c r="Z17" s="197"/>
      <c r="AA17" s="197"/>
      <c r="AB17" s="197"/>
      <c r="AC17" s="199"/>
      <c r="AD17" s="207" t="s">
        <v>65</v>
      </c>
      <c r="AE17" s="199"/>
      <c r="AF17" s="197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</row>
    <row r="18" spans="1:49" s="165" customFormat="1" ht="18.75" x14ac:dyDescent="0.3">
      <c r="A18" s="74"/>
      <c r="B18" s="19"/>
      <c r="C18" s="74"/>
      <c r="D18" s="74"/>
      <c r="E18" s="74"/>
      <c r="F18" s="197"/>
      <c r="G18" s="209"/>
      <c r="H18" s="201"/>
      <c r="I18" s="201"/>
      <c r="J18" s="201"/>
      <c r="K18" s="201"/>
      <c r="L18" s="201"/>
      <c r="M18" s="201"/>
      <c r="N18" s="201"/>
      <c r="O18" s="201"/>
      <c r="P18" s="201"/>
      <c r="Q18" s="210"/>
      <c r="R18" s="210"/>
      <c r="S18" s="201"/>
      <c r="T18" s="201"/>
      <c r="U18" s="201"/>
      <c r="V18" s="201"/>
      <c r="W18" s="197"/>
      <c r="X18" s="197"/>
      <c r="Y18" s="197"/>
      <c r="Z18" s="197"/>
      <c r="AA18" s="197"/>
      <c r="AB18" s="197"/>
      <c r="AC18" s="204"/>
      <c r="AD18" s="211"/>
      <c r="AE18" s="211"/>
      <c r="AF18" s="197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</row>
    <row r="19" spans="1:49" s="165" customFormat="1" ht="18.75" x14ac:dyDescent="0.3">
      <c r="A19" s="74"/>
      <c r="B19" s="19"/>
      <c r="C19" s="74"/>
      <c r="D19" s="74"/>
      <c r="E19" s="74"/>
      <c r="F19" s="197"/>
      <c r="G19" s="209"/>
      <c r="H19" s="202"/>
      <c r="I19" s="202"/>
      <c r="J19" s="202"/>
      <c r="K19" s="202"/>
      <c r="L19" s="202"/>
      <c r="M19" s="202"/>
      <c r="N19" s="202"/>
      <c r="O19" s="202"/>
      <c r="P19" s="202"/>
      <c r="Q19" s="203"/>
      <c r="R19" s="210"/>
      <c r="S19" s="201"/>
      <c r="T19" s="202"/>
      <c r="U19" s="201"/>
      <c r="V19" s="202"/>
      <c r="W19" s="197"/>
      <c r="X19" s="197"/>
      <c r="Y19" s="197"/>
      <c r="Z19" s="197"/>
      <c r="AA19" s="197"/>
      <c r="AB19" s="197"/>
      <c r="AC19" s="201"/>
      <c r="AD19" s="212"/>
      <c r="AE19" s="212"/>
      <c r="AF19" s="197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</row>
    <row r="20" spans="1:49" s="165" customFormat="1" ht="18.75" x14ac:dyDescent="0.3">
      <c r="A20" s="74"/>
      <c r="B20" s="19"/>
      <c r="C20" s="74"/>
      <c r="D20" s="74"/>
      <c r="E20" s="74"/>
      <c r="F20" s="197"/>
      <c r="G20" s="200"/>
      <c r="H20" s="202"/>
      <c r="I20" s="202"/>
      <c r="J20" s="202"/>
      <c r="K20" s="202"/>
      <c r="L20" s="202"/>
      <c r="M20" s="202"/>
      <c r="N20" s="202"/>
      <c r="O20" s="202"/>
      <c r="P20" s="202"/>
      <c r="Q20" s="203"/>
      <c r="R20" s="210"/>
      <c r="S20" s="199"/>
      <c r="T20" s="202"/>
      <c r="U20" s="201"/>
      <c r="V20" s="202"/>
      <c r="W20" s="197"/>
      <c r="X20" s="197"/>
      <c r="Y20" s="197"/>
      <c r="Z20" s="197"/>
      <c r="AA20" s="197"/>
      <c r="AB20" s="197"/>
      <c r="AC20" s="201"/>
      <c r="AD20" s="212"/>
      <c r="AE20" s="212"/>
      <c r="AF20" s="197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</row>
    <row r="21" spans="1:49" s="165" customFormat="1" ht="18.75" x14ac:dyDescent="0.3">
      <c r="A21" s="74"/>
      <c r="B21" s="19"/>
      <c r="C21" s="74"/>
      <c r="D21" s="74"/>
      <c r="E21" s="74"/>
      <c r="F21" s="197"/>
      <c r="G21" s="244" t="s">
        <v>116</v>
      </c>
      <c r="H21" s="244"/>
      <c r="I21" s="244"/>
      <c r="J21" s="244"/>
      <c r="K21" s="213"/>
      <c r="L21" s="213"/>
      <c r="M21" s="213"/>
      <c r="N21" s="213"/>
      <c r="O21" s="213"/>
      <c r="P21" s="213"/>
      <c r="Q21" s="214"/>
      <c r="R21" s="215" t="s">
        <v>66</v>
      </c>
      <c r="S21" s="216"/>
      <c r="T21" s="213"/>
      <c r="U21" s="213"/>
      <c r="V21" s="213"/>
      <c r="W21" s="197"/>
      <c r="X21" s="197"/>
      <c r="Y21" s="197"/>
      <c r="Z21" s="197"/>
      <c r="AA21" s="197"/>
      <c r="AB21" s="197"/>
      <c r="AC21" s="216"/>
      <c r="AD21" s="215" t="s">
        <v>67</v>
      </c>
      <c r="AE21" s="217"/>
      <c r="AF21" s="197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</row>
    <row r="22" spans="1:49" s="165" customFormat="1" ht="18.75" x14ac:dyDescent="0.3">
      <c r="A22" s="74"/>
      <c r="B22" s="19"/>
      <c r="C22" s="74"/>
      <c r="D22" s="74"/>
      <c r="E22" s="74"/>
      <c r="F22" s="197"/>
      <c r="G22" s="213"/>
      <c r="H22" s="213" t="s">
        <v>68</v>
      </c>
      <c r="I22" s="213"/>
      <c r="J22" s="213"/>
      <c r="K22" s="213"/>
      <c r="L22" s="213"/>
      <c r="M22" s="213"/>
      <c r="N22" s="213"/>
      <c r="O22" s="213"/>
      <c r="P22" s="213"/>
      <c r="Q22" s="218"/>
      <c r="R22" s="215" t="s">
        <v>69</v>
      </c>
      <c r="S22" s="215"/>
      <c r="T22" s="213"/>
      <c r="U22" s="197"/>
      <c r="V22" s="197"/>
      <c r="W22" s="197"/>
      <c r="X22" s="197"/>
      <c r="Y22" s="197"/>
      <c r="Z22" s="197"/>
      <c r="AA22" s="197"/>
      <c r="AB22" s="197"/>
      <c r="AC22" s="216"/>
      <c r="AD22" s="215" t="s">
        <v>70</v>
      </c>
      <c r="AE22" s="217"/>
      <c r="AF22" s="197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</row>
    <row r="23" spans="1:49" ht="17.25" x14ac:dyDescent="0.3"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</row>
  </sheetData>
  <mergeCells count="43">
    <mergeCell ref="AC8:AD8"/>
    <mergeCell ref="AE8:AF8"/>
    <mergeCell ref="AG8:AH8"/>
    <mergeCell ref="G21:J21"/>
    <mergeCell ref="O3:P3"/>
    <mergeCell ref="Q3:R3"/>
    <mergeCell ref="S3:T3"/>
    <mergeCell ref="U3:V3"/>
    <mergeCell ref="W3:X3"/>
    <mergeCell ref="AA3:AB3"/>
    <mergeCell ref="AC3:AD3"/>
    <mergeCell ref="AE3:AF3"/>
    <mergeCell ref="AG3:AH3"/>
    <mergeCell ref="AC7:AD7"/>
    <mergeCell ref="AE7:AF7"/>
    <mergeCell ref="AG7:AH7"/>
    <mergeCell ref="AE2:AF2"/>
    <mergeCell ref="AG2:AH2"/>
    <mergeCell ref="AI2:AI4"/>
    <mergeCell ref="AJ2:AJ4"/>
    <mergeCell ref="AZ2:BI2"/>
    <mergeCell ref="E3:F3"/>
    <mergeCell ref="G3:H3"/>
    <mergeCell ref="I3:J3"/>
    <mergeCell ref="K3:L3"/>
    <mergeCell ref="M3:N3"/>
    <mergeCell ref="AC2:AD2"/>
    <mergeCell ref="Y3:Z3"/>
    <mergeCell ref="A1:AF1"/>
    <mergeCell ref="AI1:AW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</mergeCells>
  <phoneticPr fontId="17" type="noConversion"/>
  <conditionalFormatting sqref="A2">
    <cfRule type="cellIs" dxfId="46" priority="45" stopIfTrue="1" operator="equal">
      <formula>";"</formula>
    </cfRule>
  </conditionalFormatting>
  <conditionalFormatting sqref="C5">
    <cfRule type="duplicateValues" dxfId="45" priority="1"/>
    <cfRule type="duplicateValues" dxfId="44" priority="2"/>
    <cfRule type="duplicateValues" dxfId="43" priority="3"/>
  </conditionalFormatting>
  <conditionalFormatting sqref="C12:C1048576 C1:C4">
    <cfRule type="duplicateValues" dxfId="42" priority="47"/>
  </conditionalFormatting>
  <conditionalFormatting sqref="C12:C1048576">
    <cfRule type="duplicateValues" dxfId="41" priority="48"/>
  </conditionalFormatting>
  <conditionalFormatting sqref="D5">
    <cfRule type="timePeriod" dxfId="40" priority="4" timePeriod="thisWeek">
      <formula>AND(TODAY()-ROUNDDOWN(D5,0)&lt;=WEEKDAY(TODAY())-1,ROUNDDOWN(D5,0)-TODAY()&lt;=7-WEEKDAY(TODAY()))</formula>
    </cfRule>
    <cfRule type="timePeriod" dxfId="39" priority="5" timePeriod="last7Days">
      <formula>AND(TODAY()-FLOOR(D5,1)&lt;=6,FLOOR(D5,1)&lt;=TODAY())</formula>
    </cfRule>
    <cfRule type="timePeriod" priority="6" timePeriod="nextWeek">
      <formula>AND(ROUNDDOWN(D5,0)-TODAY()&gt;(7-WEEKDAY(TODAY())),ROUNDDOWN(D5,0)-TODAY()&lt;(15-WEEKDAY(TODAY())))</formula>
    </cfRule>
    <cfRule type="timePeriod" dxfId="38" priority="7" timePeriod="nextWeek">
      <formula>AND(ROUNDDOWN(D5,0)-TODAY()&gt;(7-WEEKDAY(TODAY())),ROUNDDOWN(D5,0)-TODAY()&lt;(15-WEEKDAY(TODAY())))</formula>
    </cfRule>
  </conditionalFormatting>
  <conditionalFormatting sqref="AJ5">
    <cfRule type="cellIs" dxfId="37" priority="46" operator="equal">
      <formula>";"</formula>
    </cfRule>
  </conditionalFormatting>
  <conditionalFormatting sqref="AL4:AR4">
    <cfRule type="containsText" dxfId="36" priority="43" operator="containsText" text="SICK">
      <formula>NOT(ISERROR(SEARCH("SICK",AL4)))</formula>
    </cfRule>
    <cfRule type="containsText" dxfId="35" priority="44" operator="containsText" text="AL">
      <formula>NOT(ISERROR(SEARCH("AL",AL4)))</formula>
    </cfRule>
    <cfRule type="containsText" dxfId="34" priority="42" operator="containsText" text="AB">
      <formula>NOT(ISERROR(SEARCH("AB",AL4)))</formula>
    </cfRule>
    <cfRule type="containsText" dxfId="33" priority="36" operator="containsText" text="SP">
      <formula>NOT(ISERROR(SEARCH("SP",AL4)))</formula>
    </cfRule>
    <cfRule type="containsText" dxfId="32" priority="35" operator="containsText" text="EL">
      <formula>NOT(ISERROR(SEARCH("EL",AL4)))</formula>
    </cfRule>
    <cfRule type="containsText" dxfId="31" priority="37" operator="containsText" text="NL">
      <formula>NOT(ISERROR(SEARCH("NL",AL4)))</formula>
    </cfRule>
    <cfRule type="containsText" dxfId="30" priority="38" operator="containsText" text="MC">
      <formula>NOT(ISERROR(SEARCH("MC",AL4)))</formula>
    </cfRule>
    <cfRule type="containsText" dxfId="29" priority="39" operator="containsText" text="SUS">
      <formula>NOT(ISERROR(SEARCH("SUS",AL4)))</formula>
    </cfRule>
    <cfRule type="containsText" dxfId="28" priority="40" operator="containsText" text="FL">
      <formula>NOT(ISERROR(SEARCH("FL",AL4)))</formula>
    </cfRule>
    <cfRule type="containsText" dxfId="27" priority="41" operator="containsText" text="OFF">
      <formula>NOT(ISERROR(SEARCH("OFF",AL4)))</formula>
    </cfRule>
  </conditionalFormatting>
  <conditionalFormatting sqref="AT4">
    <cfRule type="containsText" dxfId="26" priority="31" operator="containsText" text="OFF">
      <formula>NOT(ISERROR(SEARCH("OFF",AT4)))</formula>
    </cfRule>
    <cfRule type="containsText" dxfId="25" priority="27" operator="containsText" text="NL">
      <formula>NOT(ISERROR(SEARCH("NL",AT4)))</formula>
    </cfRule>
    <cfRule type="containsText" dxfId="24" priority="28" operator="containsText" text="MC">
      <formula>NOT(ISERROR(SEARCH("MC",AT4)))</formula>
    </cfRule>
    <cfRule type="containsText" dxfId="23" priority="29" operator="containsText" text="SUS">
      <formula>NOT(ISERROR(SEARCH("SUS",AT4)))</formula>
    </cfRule>
    <cfRule type="containsText" dxfId="22" priority="30" operator="containsText" text="FL">
      <formula>NOT(ISERROR(SEARCH("FL",AT4)))</formula>
    </cfRule>
    <cfRule type="containsText" dxfId="21" priority="32" operator="containsText" text="AB">
      <formula>NOT(ISERROR(SEARCH("AB",AT4)))</formula>
    </cfRule>
    <cfRule type="containsText" dxfId="20" priority="33" operator="containsText" text="SICK">
      <formula>NOT(ISERROR(SEARCH("SICK",AT4)))</formula>
    </cfRule>
    <cfRule type="containsText" dxfId="19" priority="34" operator="containsText" text="AL">
      <formula>NOT(ISERROR(SEARCH("AL",AT4)))</formula>
    </cfRule>
  </conditionalFormatting>
  <conditionalFormatting sqref="AT4:AU4">
    <cfRule type="containsText" dxfId="18" priority="18" operator="containsText" text="SP">
      <formula>NOT(ISERROR(SEARCH("SP",AT4)))</formula>
    </cfRule>
  </conditionalFormatting>
  <conditionalFormatting sqref="AT4:AV4">
    <cfRule type="containsText" dxfId="17" priority="8" operator="containsText" text="EL">
      <formula>NOT(ISERROR(SEARCH("EL",AT4)))</formula>
    </cfRule>
  </conditionalFormatting>
  <conditionalFormatting sqref="AU4">
    <cfRule type="containsText" dxfId="16" priority="20" operator="containsText" text="MC">
      <formula>NOT(ISERROR(SEARCH("MC",AU4)))</formula>
    </cfRule>
    <cfRule type="containsText" dxfId="15" priority="26" operator="containsText" text="AL">
      <formula>NOT(ISERROR(SEARCH("AL",AU4)))</formula>
    </cfRule>
    <cfRule type="containsText" dxfId="14" priority="24" operator="containsText" text="AB">
      <formula>NOT(ISERROR(SEARCH("AB",AU4)))</formula>
    </cfRule>
    <cfRule type="containsText" dxfId="13" priority="25" operator="containsText" text="SICK">
      <formula>NOT(ISERROR(SEARCH("SICK",AU4)))</formula>
    </cfRule>
    <cfRule type="containsText" dxfId="12" priority="19" operator="containsText" text="NL">
      <formula>NOT(ISERROR(SEARCH("NL",AU4)))</formula>
    </cfRule>
    <cfRule type="containsText" dxfId="11" priority="23" operator="containsText" text="OFF">
      <formula>NOT(ISERROR(SEARCH("OFF",AU4)))</formula>
    </cfRule>
    <cfRule type="containsText" dxfId="10" priority="22" operator="containsText" text="FL">
      <formula>NOT(ISERROR(SEARCH("FL",AU4)))</formula>
    </cfRule>
    <cfRule type="containsText" dxfId="9" priority="21" operator="containsText" text="SUS">
      <formula>NOT(ISERROR(SEARCH("SUS",AU4)))</formula>
    </cfRule>
  </conditionalFormatting>
  <conditionalFormatting sqref="AV4">
    <cfRule type="containsText" dxfId="8" priority="9" operator="containsText" text="SP">
      <formula>NOT(ISERROR(SEARCH("SP",AV4)))</formula>
    </cfRule>
    <cfRule type="containsText" dxfId="7" priority="10" operator="containsText" text="NL">
      <formula>NOT(ISERROR(SEARCH("NL",AV4)))</formula>
    </cfRule>
    <cfRule type="containsText" dxfId="6" priority="11" operator="containsText" text="MC">
      <formula>NOT(ISERROR(SEARCH("MC",AV4)))</formula>
    </cfRule>
    <cfRule type="containsText" dxfId="5" priority="12" operator="containsText" text="SUS">
      <formula>NOT(ISERROR(SEARCH("SUS",AV4)))</formula>
    </cfRule>
    <cfRule type="containsText" dxfId="4" priority="13" operator="containsText" text="FL">
      <formula>NOT(ISERROR(SEARCH("FL",AV4)))</formula>
    </cfRule>
    <cfRule type="containsText" dxfId="3" priority="14" operator="containsText" text="OFF">
      <formula>NOT(ISERROR(SEARCH("OFF",AV4)))</formula>
    </cfRule>
    <cfRule type="containsText" dxfId="2" priority="15" operator="containsText" text="AB">
      <formula>NOT(ISERROR(SEARCH("AB",AV4)))</formula>
    </cfRule>
    <cfRule type="containsText" dxfId="1" priority="16" operator="containsText" text="SICK">
      <formula>NOT(ISERROR(SEARCH("SICK",AV4)))</formula>
    </cfRule>
    <cfRule type="containsText" dxfId="0" priority="17" operator="containsText" text="AL">
      <formula>NOT(ISERROR(SEARCH("AL",AV4)))</formula>
    </cfRule>
  </conditionalFormatting>
  <pageMargins left="0.7" right="0.7" top="0.75" bottom="0.75" header="0.3" footer="0.3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James</vt:lpstr>
      <vt:lpstr>Tarik Ahmed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2026-10-18T08:20:17Z</cp:lastPrinted>
  <dcterms:created xsi:type="dcterms:W3CDTF">2025-11-05T07:56:06Z</dcterms:created>
  <dcterms:modified xsi:type="dcterms:W3CDTF">2026-10-30T10:07:29Z</dcterms:modified>
</cp:coreProperties>
</file>