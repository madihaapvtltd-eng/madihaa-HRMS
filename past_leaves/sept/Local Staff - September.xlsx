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sept\"/>
    </mc:Choice>
  </mc:AlternateContent>
  <xr:revisionPtr revIDLastSave="0" documentId="13_ncr:1_{2ECFA7D5-0C62-40B9-BAA7-D92F6385A10F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  <sheet name="Abdulla Aboobakuru" sheetId="5" r:id="rId2"/>
  </sheets>
  <definedNames>
    <definedName name="_xlnm._FilterDatabase" localSheetId="0" hidden="1">MASTER!$A$1:$CT$28</definedName>
    <definedName name="_xlnm.Print_Area" localSheetId="0">MASTER!$A$2:$CE$37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2" i="5" l="1"/>
  <c r="AE12" i="5"/>
  <c r="AD12" i="5"/>
  <c r="AC12" i="5"/>
  <c r="AB12" i="5"/>
  <c r="AA12" i="5"/>
  <c r="Z12" i="5"/>
  <c r="Y12" i="5"/>
  <c r="X12" i="5"/>
  <c r="W12" i="5"/>
  <c r="BQ30" i="1" l="1"/>
  <c r="BQ23" i="1" l="1"/>
  <c r="BS14" i="1" l="1"/>
  <c r="BS7" i="1"/>
  <c r="BQ7" i="1" s="1"/>
  <c r="BT7" i="1"/>
  <c r="BU7" i="1"/>
  <c r="BV7" i="1"/>
  <c r="BW7" i="1"/>
  <c r="BX7" i="1"/>
  <c r="BY7" i="1"/>
  <c r="BZ7" i="1"/>
  <c r="CA7" i="1"/>
  <c r="CB7" i="1"/>
  <c r="CC7" i="1"/>
  <c r="CD7" i="1"/>
  <c r="BS8" i="1"/>
  <c r="BQ8" i="1" s="1"/>
  <c r="BT8" i="1"/>
  <c r="BU8" i="1"/>
  <c r="BV8" i="1"/>
  <c r="BW8" i="1"/>
  <c r="BX8" i="1"/>
  <c r="BY8" i="1"/>
  <c r="BZ8" i="1"/>
  <c r="CA8" i="1"/>
  <c r="CB8" i="1"/>
  <c r="CC8" i="1"/>
  <c r="CD8" i="1"/>
  <c r="BS9" i="1"/>
  <c r="BQ9" i="1" s="1"/>
  <c r="BT9" i="1"/>
  <c r="BU9" i="1"/>
  <c r="BV9" i="1"/>
  <c r="BW9" i="1"/>
  <c r="BX9" i="1"/>
  <c r="BY9" i="1"/>
  <c r="BZ9" i="1"/>
  <c r="CA9" i="1"/>
  <c r="CB9" i="1"/>
  <c r="CC9" i="1"/>
  <c r="CD9" i="1"/>
  <c r="BS10" i="1"/>
  <c r="BT10" i="1"/>
  <c r="BU10" i="1"/>
  <c r="BV10" i="1"/>
  <c r="BW10" i="1"/>
  <c r="BX10" i="1"/>
  <c r="BY10" i="1"/>
  <c r="BZ10" i="1"/>
  <c r="BQ10" i="1" s="1"/>
  <c r="CA10" i="1"/>
  <c r="CB10" i="1"/>
  <c r="CC10" i="1"/>
  <c r="CD10" i="1"/>
  <c r="BS11" i="1"/>
  <c r="BT11" i="1"/>
  <c r="BQ11" i="1" s="1"/>
  <c r="BU11" i="1"/>
  <c r="BV11" i="1"/>
  <c r="BW11" i="1"/>
  <c r="BX11" i="1"/>
  <c r="BY11" i="1"/>
  <c r="BZ11" i="1"/>
  <c r="CA11" i="1"/>
  <c r="CB11" i="1"/>
  <c r="CC11" i="1"/>
  <c r="CD11" i="1"/>
  <c r="BS12" i="1"/>
  <c r="BQ12" i="1" s="1"/>
  <c r="BT12" i="1"/>
  <c r="BU12" i="1"/>
  <c r="BV12" i="1"/>
  <c r="BW12" i="1"/>
  <c r="BX12" i="1"/>
  <c r="BY12" i="1"/>
  <c r="BZ12" i="1"/>
  <c r="CA12" i="1"/>
  <c r="CB12" i="1"/>
  <c r="CC12" i="1"/>
  <c r="CD12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BT14" i="1"/>
  <c r="BU14" i="1"/>
  <c r="BV14" i="1"/>
  <c r="BW14" i="1"/>
  <c r="BX14" i="1"/>
  <c r="BY14" i="1"/>
  <c r="BZ14" i="1"/>
  <c r="CA14" i="1"/>
  <c r="CB14" i="1"/>
  <c r="CC14" i="1"/>
  <c r="CD14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BS19" i="1"/>
  <c r="BT19" i="1"/>
  <c r="BU19" i="1"/>
  <c r="BV19" i="1"/>
  <c r="BW19" i="1"/>
  <c r="BX19" i="1"/>
  <c r="BY19" i="1"/>
  <c r="BZ19" i="1"/>
  <c r="CA19" i="1"/>
  <c r="CC19" i="1"/>
  <c r="CD19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BS22" i="1"/>
  <c r="BT22" i="1"/>
  <c r="BU22" i="1"/>
  <c r="BV22" i="1"/>
  <c r="BW22" i="1"/>
  <c r="BX22" i="1"/>
  <c r="BY22" i="1"/>
  <c r="BZ22" i="1"/>
  <c r="BQ22" i="1" s="1"/>
  <c r="CA22" i="1"/>
  <c r="CB22" i="1"/>
  <c r="CC22" i="1"/>
  <c r="CD22" i="1"/>
  <c r="BS23" i="1"/>
  <c r="BT23" i="1"/>
  <c r="BU23" i="1"/>
  <c r="BV23" i="1"/>
  <c r="BW23" i="1"/>
  <c r="BX23" i="1"/>
  <c r="BY23" i="1"/>
  <c r="CA23" i="1"/>
  <c r="CB23" i="1"/>
  <c r="CC23" i="1"/>
  <c r="CD23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BS30" i="1"/>
  <c r="BT30" i="1"/>
  <c r="BU30" i="1"/>
  <c r="BV30" i="1"/>
  <c r="BW30" i="1"/>
  <c r="BX30" i="1"/>
  <c r="BY30" i="1"/>
  <c r="BZ30" i="1"/>
  <c r="CA30" i="1"/>
  <c r="CC30" i="1"/>
  <c r="CD30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R32" i="1"/>
  <c r="BQ13" i="1" l="1"/>
  <c r="BQ26" i="1"/>
  <c r="BQ18" i="1"/>
  <c r="BQ24" i="1"/>
  <c r="BQ29" i="1"/>
  <c r="BQ28" i="1"/>
  <c r="BQ27" i="1"/>
  <c r="BQ25" i="1"/>
  <c r="BQ21" i="1"/>
  <c r="BQ20" i="1"/>
  <c r="BQ19" i="1"/>
  <c r="BQ17" i="1"/>
  <c r="BQ16" i="1"/>
  <c r="BQ15" i="1"/>
  <c r="BQ31" i="1"/>
  <c r="BQ32" i="1"/>
  <c r="BQ14" i="1"/>
  <c r="CR30" i="1" l="1"/>
  <c r="CR31" i="1"/>
  <c r="BS6" i="1"/>
  <c r="CR29" i="1" l="1"/>
  <c r="CR28" i="1" l="1"/>
  <c r="CR27" i="1" l="1"/>
  <c r="CR12" i="1" l="1"/>
  <c r="CR25" i="1"/>
  <c r="CR26" i="1"/>
  <c r="CR47" i="1" l="1"/>
  <c r="CR24" i="1" l="1"/>
  <c r="CR23" i="1"/>
  <c r="CR22" i="1"/>
  <c r="CR21" i="1"/>
  <c r="CR20" i="1"/>
  <c r="CR11" i="1"/>
  <c r="CR19" i="1"/>
  <c r="CR18" i="1"/>
  <c r="CR17" i="1"/>
  <c r="CR16" i="1"/>
  <c r="CR10" i="1"/>
  <c r="CR15" i="1"/>
  <c r="CR13" i="1"/>
  <c r="CR9" i="1"/>
  <c r="CR8" i="1"/>
  <c r="CR14" i="1"/>
  <c r="CR7" i="1"/>
  <c r="CR6" i="1"/>
  <c r="CD6" i="1" l="1"/>
  <c r="CC6" i="1"/>
  <c r="CB6" i="1"/>
  <c r="CA6" i="1"/>
  <c r="BZ6" i="1"/>
  <c r="BY6" i="1"/>
  <c r="BX6" i="1"/>
  <c r="BW6" i="1"/>
  <c r="BV6" i="1"/>
  <c r="BU6" i="1"/>
  <c r="BT6" i="1"/>
  <c r="BQ6" i="1" l="1"/>
  <c r="CR46" i="1" l="1"/>
</calcChain>
</file>

<file path=xl/sharedStrings.xml><?xml version="1.0" encoding="utf-8"?>
<sst xmlns="http://schemas.openxmlformats.org/spreadsheetml/2006/main" count="530" uniqueCount="122">
  <si>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</si>
  <si>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</si>
  <si>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</si>
  <si>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</si>
  <si>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</si>
  <si>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</si>
  <si>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</si>
  <si>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</si>
  <si>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</si>
  <si>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</si>
  <si>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</si>
  <si>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</si>
  <si>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</si>
  <si>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</si>
  <si>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</si>
  <si>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</si>
  <si>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</si>
  <si>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</si>
  <si>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</si>
  <si>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</si>
  <si>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</si>
  <si>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</si>
  <si>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</si>
  <si>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</si>
  <si>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</si>
  <si>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</si>
  <si>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</si>
  <si>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</si>
  <si>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</si>
  <si>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</si>
  <si>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</si>
  <si>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MAD0393</t>
  </si>
  <si>
    <t>Mariyam Hameedha</t>
  </si>
  <si>
    <t>MAD0523</t>
  </si>
  <si>
    <t>Aishath Naeema</t>
  </si>
  <si>
    <t>MAD0449</t>
  </si>
  <si>
    <t>Hassan Sameer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</si>
  <si>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</si>
  <si>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</si>
  <si>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</si>
  <si>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</si>
  <si>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</si>
  <si>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</si>
  <si>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</si>
  <si>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</si>
  <si>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</si>
  <si>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</si>
  <si>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</si>
  <si>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</si>
  <si>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</si>
  <si>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</si>
  <si>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</si>
  <si>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</si>
  <si>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</si>
  <si>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</si>
  <si>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</si>
  <si>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</si>
  <si>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</si>
  <si>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</si>
  <si>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</si>
  <si>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</si>
  <si>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</si>
  <si>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</si>
  <si>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</si>
  <si>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</si>
  <si>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</si>
  <si>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</si>
  <si>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</si>
  <si>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</si>
  <si>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</si>
  <si>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</si>
  <si>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</si>
  <si>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</si>
  <si>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</si>
  <si>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 xml:space="preserve">Moosa Ahmed </t>
  </si>
  <si>
    <t xml:space="preserve"> </t>
  </si>
  <si>
    <t>Suspended</t>
  </si>
  <si>
    <t>Special Leave</t>
  </si>
  <si>
    <t>HR Executive</t>
  </si>
  <si>
    <t>Office Manager</t>
  </si>
  <si>
    <t>Chairman</t>
  </si>
  <si>
    <t>Family Leave</t>
  </si>
  <si>
    <t>Pls don’t Remove below data</t>
  </si>
  <si>
    <t>Total</t>
  </si>
  <si>
    <t>MAD0732</t>
  </si>
  <si>
    <t>Fathmath Nuha</t>
  </si>
  <si>
    <t>DOJ</t>
  </si>
  <si>
    <t>SICK</t>
  </si>
  <si>
    <t>MAD0768</t>
  </si>
  <si>
    <t>Aishath Suhama</t>
  </si>
  <si>
    <t>MAD0770</t>
  </si>
  <si>
    <t>Zainab Ahmed Marzoog</t>
  </si>
  <si>
    <t xml:space="preserve">Used Leave Totals (Running Year, up to end of this month -JUNE 2026) </t>
  </si>
  <si>
    <t>MAD0771</t>
  </si>
  <si>
    <t>Saamila Ibrahim</t>
  </si>
  <si>
    <t>MDA0687</t>
  </si>
  <si>
    <t>Ibrahim Riyaz</t>
  </si>
  <si>
    <t>MDA0780</t>
  </si>
  <si>
    <t>Leela Ibrahim</t>
  </si>
  <si>
    <t>Lila Ibrahim</t>
  </si>
  <si>
    <t>-</t>
  </si>
  <si>
    <t>Ismail Shareef</t>
  </si>
  <si>
    <t>MDA0784</t>
  </si>
  <si>
    <t>MDA0783</t>
  </si>
  <si>
    <t>Fathmath Inaya</t>
  </si>
  <si>
    <t>ABS</t>
  </si>
  <si>
    <t>MDA0786</t>
  </si>
  <si>
    <t>Aiminath Hassan Didi</t>
  </si>
  <si>
    <t>DOJ - 26TH SEPTEMBER 2026</t>
  </si>
  <si>
    <t>DOJ - 6th SEPTEMBER 2026</t>
  </si>
  <si>
    <t>Operations Manager</t>
  </si>
  <si>
    <t>ATTENDANCE  -  SEPTEMBER 2026 -Male Local Staffs</t>
  </si>
  <si>
    <t>S NO</t>
  </si>
  <si>
    <t>Note:</t>
  </si>
  <si>
    <t>OT:</t>
  </si>
  <si>
    <t>Prepared By:</t>
  </si>
  <si>
    <t>Checked By:</t>
  </si>
  <si>
    <t>Approved By</t>
  </si>
  <si>
    <t>Moosa Ahmed</t>
  </si>
  <si>
    <t>LOCAL STAFF</t>
  </si>
  <si>
    <t>Food money for Abdullah Aboobakuru - SEP 16th - 30th, 2026   - MALE LOCAL STAFFS</t>
  </si>
  <si>
    <t>Food Money  - 15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</si>
</sst>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b/>
      <u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Segoe UI"/>
      <family val="2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/>
    </xf>
    <xf numFmtId="1" fontId="8" fillId="7" borderId="14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" fontId="6" fillId="5" borderId="12" xfId="0" applyNumberFormat="1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20" fontId="14" fillId="0" borderId="0" xfId="0" applyNumberFormat="1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20" fontId="11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18" fillId="6" borderId="0" xfId="0" applyFont="1" applyFill="1" applyAlignment="1">
      <alignment vertical="center"/>
    </xf>
    <xf numFmtId="0" fontId="11" fillId="6" borderId="0" xfId="0" applyFont="1" applyFill="1" applyAlignment="1">
      <alignment horizontal="center" vertical="center"/>
    </xf>
    <xf numFmtId="0" fontId="11" fillId="6" borderId="0" xfId="0" applyFont="1" applyFill="1"/>
    <xf numFmtId="1" fontId="17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9" xfId="0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66" fontId="8" fillId="4" borderId="13" xfId="0" applyNumberFormat="1" applyFont="1" applyFill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0" fillId="0" borderId="15" xfId="0" applyBorder="1"/>
    <xf numFmtId="1" fontId="21" fillId="0" borderId="9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 vertical="center"/>
    </xf>
    <xf numFmtId="20" fontId="24" fillId="0" borderId="9" xfId="0" applyNumberFormat="1" applyFont="1" applyBorder="1" applyAlignment="1">
      <alignment horizontal="center" vertical="center" wrapText="1"/>
    </xf>
    <xf numFmtId="20" fontId="26" fillId="0" borderId="9" xfId="0" applyNumberFormat="1" applyFont="1" applyBorder="1" applyAlignment="1">
      <alignment horizontal="center" vertical="center" wrapText="1"/>
    </xf>
    <xf numFmtId="1" fontId="22" fillId="0" borderId="12" xfId="0" applyNumberFormat="1" applyFont="1" applyBorder="1" applyAlignment="1">
      <alignment horizontal="center" vertical="center"/>
    </xf>
    <xf numFmtId="1" fontId="22" fillId="0" borderId="1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9" borderId="9" xfId="0" applyNumberFormat="1" applyFill="1" applyBorder="1" applyAlignment="1">
      <alignment horizontal="center" vertical="center"/>
    </xf>
    <xf numFmtId="165" fontId="28" fillId="6" borderId="9" xfId="0" applyNumberFormat="1" applyFont="1" applyFill="1" applyBorder="1" applyAlignment="1">
      <alignment horizontal="center" vertical="center"/>
    </xf>
    <xf numFmtId="165" fontId="0" fillId="11" borderId="9" xfId="0" applyNumberFormat="1" applyFill="1" applyBorder="1" applyAlignment="1">
      <alignment horizontal="center" vertical="center"/>
    </xf>
    <xf numFmtId="22" fontId="23" fillId="0" borderId="0" xfId="0" applyNumberFormat="1" applyFont="1" applyAlignment="1">
      <alignment horizontal="left" vertical="top" wrapText="1"/>
    </xf>
    <xf numFmtId="165" fontId="21" fillId="0" borderId="9" xfId="0" applyNumberFormat="1" applyFont="1" applyBorder="1" applyAlignment="1">
      <alignment horizontal="center" vertical="center"/>
    </xf>
    <xf numFmtId="165" fontId="28" fillId="6" borderId="9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49" fontId="0" fillId="8" borderId="0" xfId="0" applyNumberFormat="1" applyFill="1" applyAlignment="1">
      <alignment vertical="center"/>
    </xf>
    <xf numFmtId="49" fontId="0" fillId="8" borderId="0" xfId="0" applyNumberFormat="1" applyFill="1" applyAlignment="1">
      <alignment horizontal="center" vertical="center"/>
    </xf>
    <xf numFmtId="1" fontId="28" fillId="6" borderId="9" xfId="0" applyNumberFormat="1" applyFont="1" applyFill="1" applyBorder="1" applyAlignment="1">
      <alignment horizontal="center" vertical="center" wrapText="1"/>
    </xf>
    <xf numFmtId="165" fontId="0" fillId="0" borderId="1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 wrapText="1"/>
    </xf>
    <xf numFmtId="166" fontId="0" fillId="0" borderId="10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1" fillId="6" borderId="10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19" fillId="6" borderId="10" xfId="0" applyFont="1" applyFill="1" applyBorder="1" applyAlignment="1">
      <alignment horizontal="left" vertical="center" wrapText="1"/>
    </xf>
    <xf numFmtId="165" fontId="0" fillId="0" borderId="9" xfId="0" quotePrefix="1" applyNumberFormat="1" applyBorder="1" applyAlignment="1">
      <alignment horizontal="center" vertical="center"/>
    </xf>
    <xf numFmtId="165" fontId="28" fillId="0" borderId="9" xfId="0" applyNumberFormat="1" applyFont="1" applyBorder="1" applyAlignment="1">
      <alignment horizontal="center" vertical="center"/>
    </xf>
    <xf numFmtId="165" fontId="28" fillId="0" borderId="9" xfId="0" applyNumberFormat="1" applyFont="1" applyBorder="1" applyAlignment="1">
      <alignment horizontal="center" vertical="center" wrapText="1"/>
    </xf>
    <xf numFmtId="165" fontId="21" fillId="0" borderId="9" xfId="0" applyNumberFormat="1" applyFont="1" applyBorder="1" applyAlignment="1">
      <alignment horizontal="center" vertical="center" wrapText="1"/>
    </xf>
    <xf numFmtId="165" fontId="30" fillId="0" borderId="25" xfId="0" applyNumberFormat="1" applyFont="1" applyBorder="1" applyAlignment="1">
      <alignment horizontal="center" vertical="center" wrapText="1"/>
    </xf>
    <xf numFmtId="165" fontId="10" fillId="0" borderId="9" xfId="0" applyNumberFormat="1" applyFont="1" applyBorder="1" applyAlignment="1">
      <alignment horizontal="center" vertical="center"/>
    </xf>
    <xf numFmtId="165" fontId="29" fillId="0" borderId="9" xfId="0" applyNumberFormat="1" applyFont="1" applyBorder="1" applyAlignment="1">
      <alignment horizontal="center" vertical="center" wrapText="1"/>
    </xf>
    <xf numFmtId="165" fontId="30" fillId="0" borderId="9" xfId="0" applyNumberFormat="1" applyFont="1" applyBorder="1" applyAlignment="1">
      <alignment horizontal="center" vertical="center"/>
    </xf>
    <xf numFmtId="165" fontId="30" fillId="0" borderId="9" xfId="0" applyNumberFormat="1" applyFont="1" applyBorder="1" applyAlignment="1">
      <alignment horizontal="center" vertical="center" wrapText="1"/>
    </xf>
    <xf numFmtId="165" fontId="0" fillId="12" borderId="9" xfId="0" applyNumberFormat="1" applyFill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5" fontId="0" fillId="13" borderId="9" xfId="0" applyNumberFormat="1" applyFill="1" applyBorder="1" applyAlignment="1">
      <alignment horizontal="center" vertical="center"/>
    </xf>
    <xf numFmtId="165" fontId="0" fillId="14" borderId="9" xfId="0" applyNumberFormat="1" applyFill="1" applyBorder="1" applyAlignment="1">
      <alignment horizontal="center" vertical="center"/>
    </xf>
    <xf numFmtId="165" fontId="11" fillId="2" borderId="9" xfId="0" applyNumberFormat="1" applyFont="1" applyFill="1" applyBorder="1" applyAlignment="1">
      <alignment horizontal="center" vertical="center"/>
    </xf>
    <xf numFmtId="165" fontId="0" fillId="9" borderId="9" xfId="0" quotePrefix="1" applyNumberFormat="1" applyFill="1" applyBorder="1" applyAlignment="1">
      <alignment horizontal="center" vertical="center"/>
    </xf>
    <xf numFmtId="165" fontId="0" fillId="15" borderId="9" xfId="0" applyNumberFormat="1" applyFill="1" applyBorder="1" applyAlignment="1">
      <alignment horizontal="center" vertical="center"/>
    </xf>
    <xf numFmtId="165" fontId="0" fillId="16" borderId="9" xfId="0" applyNumberFormat="1" applyFill="1" applyBorder="1" applyAlignment="1">
      <alignment horizontal="center" vertical="center"/>
    </xf>
    <xf numFmtId="165" fontId="29" fillId="12" borderId="9" xfId="0" applyNumberFormat="1" applyFont="1" applyFill="1" applyBorder="1" applyAlignment="1">
      <alignment horizontal="center" vertical="center" wrapText="1"/>
    </xf>
    <xf numFmtId="165" fontId="0" fillId="17" borderId="9" xfId="0" applyNumberFormat="1" applyFill="1" applyBorder="1" applyAlignment="1">
      <alignment horizontal="center" vertical="center"/>
    </xf>
    <xf numFmtId="165" fontId="31" fillId="0" borderId="0" xfId="0" applyNumberFormat="1" applyFont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8" fillId="0" borderId="0" xfId="0" applyFont="1" applyAlignment="1">
      <alignment horizontal="right"/>
    </xf>
    <xf numFmtId="0" fontId="32" fillId="0" borderId="0" xfId="0" applyFont="1" applyAlignment="1">
      <alignment horizontal="right" vertical="center"/>
    </xf>
    <xf numFmtId="0" fontId="32" fillId="0" borderId="0" xfId="0" applyFont="1" applyAlignment="1">
      <alignment vertical="center"/>
    </xf>
    <xf numFmtId="0" fontId="18" fillId="0" borderId="0" xfId="0" applyFont="1"/>
    <xf numFmtId="0" fontId="27" fillId="0" borderId="0" xfId="0" applyFont="1" applyAlignment="1">
      <alignment horizontal="right"/>
    </xf>
    <xf numFmtId="0" fontId="27" fillId="0" borderId="0" xfId="0" applyFont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/>
    <xf numFmtId="0" fontId="18" fillId="0" borderId="9" xfId="0" applyFont="1" applyBorder="1" applyAlignment="1">
      <alignment horizontal="center" vertical="center" textRotation="90" wrapText="1"/>
    </xf>
    <xf numFmtId="0" fontId="33" fillId="10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center"/>
    </xf>
    <xf numFmtId="0" fontId="33" fillId="10" borderId="0" xfId="0" applyFont="1" applyFill="1" applyAlignment="1">
      <alignment vertical="center"/>
    </xf>
    <xf numFmtId="0" fontId="34" fillId="10" borderId="0" xfId="0" applyFont="1" applyFill="1"/>
    <xf numFmtId="0" fontId="9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3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18" fillId="5" borderId="18" xfId="0" applyNumberFormat="1" applyFont="1" applyFill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20" fontId="11" fillId="0" borderId="9" xfId="0" applyNumberFormat="1" applyFont="1" applyBorder="1" applyAlignment="1">
      <alignment horizontal="center" vertical="center" wrapText="1"/>
    </xf>
    <xf numFmtId="20" fontId="19" fillId="6" borderId="9" xfId="0" applyNumberFormat="1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4" fillId="10" borderId="0" xfId="0" applyFont="1" applyFill="1" applyAlignment="1">
      <alignment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34" fillId="10" borderId="0" xfId="0" applyFont="1" applyFill="1" applyAlignment="1">
      <alignment horizontal="center" vertical="center"/>
    </xf>
    <xf numFmtId="49" fontId="34" fillId="10" borderId="0" xfId="0" applyNumberFormat="1" applyFont="1" applyFill="1" applyAlignment="1">
      <alignment vertical="center"/>
    </xf>
    <xf numFmtId="1" fontId="35" fillId="0" borderId="0" xfId="0" applyNumberFormat="1" applyFont="1" applyAlignment="1">
      <alignment horizontal="center" vertical="center"/>
    </xf>
    <xf numFmtId="49" fontId="34" fillId="10" borderId="0" xfId="0" applyNumberFormat="1" applyFont="1" applyFill="1" applyAlignment="1">
      <alignment horizontal="left" vertical="center"/>
    </xf>
    <xf numFmtId="0" fontId="34" fillId="10" borderId="0" xfId="0" applyFont="1" applyFill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65" fontId="27" fillId="0" borderId="9" xfId="0" applyNumberFormat="1" applyFont="1" applyBorder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5" fontId="27" fillId="0" borderId="26" xfId="0" applyNumberFormat="1" applyFont="1" applyBorder="1" applyAlignment="1">
      <alignment horizontal="center" vertical="center"/>
    </xf>
    <xf numFmtId="165" fontId="27" fillId="2" borderId="9" xfId="0" applyNumberFormat="1" applyFont="1" applyFill="1" applyBorder="1" applyAlignment="1">
      <alignment horizontal="center" vertical="center"/>
    </xf>
    <xf numFmtId="165" fontId="27" fillId="12" borderId="9" xfId="0" applyNumberFormat="1" applyFont="1" applyFill="1" applyBorder="1" applyAlignment="1">
      <alignment horizontal="center" vertical="center"/>
    </xf>
    <xf numFmtId="1" fontId="32" fillId="7" borderId="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27" fillId="0" borderId="0" xfId="0" applyFont="1"/>
    <xf numFmtId="0" fontId="37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165" fontId="32" fillId="0" borderId="0" xfId="0" applyNumberFormat="1" applyFont="1" applyAlignment="1">
      <alignment horizontal="center"/>
    </xf>
    <xf numFmtId="0" fontId="37" fillId="0" borderId="0" xfId="0" applyFont="1" applyAlignment="1">
      <alignment horizontal="center" vertical="center"/>
    </xf>
    <xf numFmtId="165" fontId="32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65" fontId="32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15" fontId="5" fillId="3" borderId="3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3" fillId="5" borderId="12" xfId="0" applyFont="1" applyFill="1" applyBorder="1" applyAlignment="1">
      <alignment horizontal="center" vertical="center" textRotation="90" wrapText="1"/>
    </xf>
    <xf numFmtId="0" fontId="3" fillId="5" borderId="16" xfId="0" applyFont="1" applyFill="1" applyBorder="1" applyAlignment="1">
      <alignment horizontal="center" vertical="center" textRotation="90" wrapText="1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164" fontId="5" fillId="3" borderId="7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5" fontId="0" fillId="14" borderId="10" xfId="0" applyNumberFormat="1" applyFill="1" applyBorder="1" applyAlignment="1">
      <alignment horizontal="center" vertical="center"/>
    </xf>
    <xf numFmtId="165" fontId="0" fillId="14" borderId="13" xfId="0" applyNumberFormat="1" applyFill="1" applyBorder="1" applyAlignment="1">
      <alignment horizontal="center" vertical="center"/>
    </xf>
    <xf numFmtId="165" fontId="0" fillId="14" borderId="14" xfId="0" applyNumberFormat="1" applyFill="1" applyBorder="1" applyAlignment="1">
      <alignment horizontal="center" vertical="center"/>
    </xf>
    <xf numFmtId="165" fontId="0" fillId="13" borderId="10" xfId="0" applyNumberFormat="1" applyFill="1" applyBorder="1" applyAlignment="1">
      <alignment horizontal="center" vertical="center"/>
    </xf>
    <xf numFmtId="165" fontId="0" fillId="13" borderId="13" xfId="0" applyNumberFormat="1" applyFill="1" applyBorder="1" applyAlignment="1">
      <alignment horizontal="center" vertical="center"/>
    </xf>
    <xf numFmtId="165" fontId="0" fillId="13" borderId="14" xfId="0" applyNumberFormat="1" applyFill="1" applyBorder="1" applyAlignment="1">
      <alignment horizontal="center" vertical="center"/>
    </xf>
    <xf numFmtId="165" fontId="32" fillId="0" borderId="0" xfId="0" applyNumberFormat="1" applyFont="1" applyAlignment="1">
      <alignment horizontal="left" vertical="center"/>
    </xf>
    <xf numFmtId="0" fontId="18" fillId="5" borderId="16" xfId="0" applyFont="1" applyFill="1" applyBorder="1" applyAlignment="1">
      <alignment horizontal="center" vertical="center" textRotation="90" wrapText="1"/>
    </xf>
    <xf numFmtId="0" fontId="18" fillId="5" borderId="18" xfId="0" applyFont="1" applyFill="1" applyBorder="1" applyAlignment="1">
      <alignment horizontal="center" vertical="center" textRotation="90" wrapText="1"/>
    </xf>
    <xf numFmtId="0" fontId="18" fillId="0" borderId="16" xfId="0" applyFont="1" applyBorder="1" applyAlignment="1">
      <alignment horizontal="center" vertical="center" textRotation="90" wrapText="1"/>
    </xf>
    <xf numFmtId="0" fontId="18" fillId="0" borderId="18" xfId="0" applyFont="1" applyBorder="1" applyAlignment="1">
      <alignment horizontal="center" vertical="center" textRotation="90" wrapText="1"/>
    </xf>
    <xf numFmtId="15" fontId="0" fillId="3" borderId="9" xfId="0" applyNumberForma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606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auto="1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2:CT48"/>
  <sheetViews>
    <sheetView tabSelected="1" zoomScale="75" zoomScaleNormal="75" workbookViewId="0">
      <pane xSplit="3" ySplit="5" topLeftCell="AI6" activePane="bottomRight" state="frozen"/>
      <selection pane="topRight" activeCell="D1" sqref="D1"/>
      <selection pane="bottomLeft" activeCell="A5" sqref="A5"/>
      <selection pane="bottomRight" activeCell="BF24" sqref="BF24"/>
    </sheetView>
  </sheetViews>
  <sheetFormatPr defaultRowHeight="15.75" x14ac:dyDescent="0.25"/>
  <cols>
    <col min="1" max="1" width="5.5703125" customWidth="1"/>
    <col min="2" max="2" width="13.85546875" customWidth="1"/>
    <col min="3" max="3" width="27.5703125" customWidth="1"/>
    <col min="4" max="4" width="20.42578125" style="59" hidden="1" customWidth="1"/>
    <col min="5" max="34" width="7.42578125" customWidth="1"/>
    <col min="35" max="35" width="4.28515625" customWidth="1"/>
    <col min="36" max="36" width="5.5703125" customWidth="1"/>
    <col min="37" max="65" width="6.85546875" customWidth="1"/>
    <col min="66" max="66" width="6.7109375" customWidth="1"/>
    <col min="67" max="68" width="6.85546875" hidden="1" customWidth="1"/>
    <col min="69" max="70" width="5.140625" customWidth="1"/>
    <col min="71" max="73" width="5.28515625" customWidth="1"/>
    <col min="74" max="74" width="6.28515625" customWidth="1"/>
    <col min="75" max="77" width="5.28515625" customWidth="1"/>
    <col min="78" max="78" width="5.7109375" customWidth="1"/>
    <col min="79" max="82" width="5.28515625" customWidth="1"/>
    <col min="83" max="83" width="31.28515625" customWidth="1"/>
    <col min="86" max="95" width="7.5703125" style="13" customWidth="1"/>
    <col min="96" max="96" width="7.5703125" style="20" customWidth="1"/>
  </cols>
  <sheetData>
    <row r="2" spans="1:96" ht="30.75" customHeight="1" thickBot="1" x14ac:dyDescent="0.3">
      <c r="A2" s="204" t="s">
        <v>111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7"/>
      <c r="AI2" s="61"/>
      <c r="AJ2" s="203" t="s">
        <v>111</v>
      </c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</row>
    <row r="3" spans="1:96" ht="21.75" customHeight="1" thickBot="1" x14ac:dyDescent="0.3">
      <c r="A3" s="192" t="s">
        <v>0</v>
      </c>
      <c r="B3" s="193"/>
      <c r="C3" s="193"/>
      <c r="D3" s="194"/>
      <c r="E3" s="183" t="s">
        <v>7</v>
      </c>
      <c r="F3" s="184"/>
      <c r="G3" s="183" t="s">
        <v>1</v>
      </c>
      <c r="H3" s="184"/>
      <c r="I3" s="183" t="s">
        <v>2</v>
      </c>
      <c r="J3" s="184"/>
      <c r="K3" s="183" t="s">
        <v>3</v>
      </c>
      <c r="L3" s="184"/>
      <c r="M3" s="183" t="s">
        <v>4</v>
      </c>
      <c r="N3" s="184"/>
      <c r="O3" s="183" t="s">
        <v>5</v>
      </c>
      <c r="P3" s="184"/>
      <c r="Q3" s="183" t="s">
        <v>6</v>
      </c>
      <c r="R3" s="184"/>
      <c r="S3" s="183" t="s">
        <v>7</v>
      </c>
      <c r="T3" s="184"/>
      <c r="U3" s="183" t="s">
        <v>1</v>
      </c>
      <c r="V3" s="184"/>
      <c r="W3" s="183" t="s">
        <v>2</v>
      </c>
      <c r="X3" s="184"/>
      <c r="Y3" s="183" t="s">
        <v>3</v>
      </c>
      <c r="Z3" s="184"/>
      <c r="AA3" s="183" t="s">
        <v>4</v>
      </c>
      <c r="AB3" s="184"/>
      <c r="AC3" s="183" t="s">
        <v>5</v>
      </c>
      <c r="AD3" s="184"/>
      <c r="AE3" s="183" t="s">
        <v>6</v>
      </c>
      <c r="AF3" s="184"/>
      <c r="AG3" s="183" t="s">
        <v>7</v>
      </c>
      <c r="AH3" s="184"/>
      <c r="AI3" s="61"/>
      <c r="AJ3" s="205" t="s">
        <v>8</v>
      </c>
      <c r="AK3" s="183" t="s">
        <v>1</v>
      </c>
      <c r="AL3" s="184"/>
      <c r="AM3" s="183" t="s">
        <v>2</v>
      </c>
      <c r="AN3" s="184"/>
      <c r="AO3" s="183" t="s">
        <v>3</v>
      </c>
      <c r="AP3" s="184"/>
      <c r="AQ3" s="183" t="s">
        <v>4</v>
      </c>
      <c r="AR3" s="184"/>
      <c r="AS3" s="183" t="s">
        <v>5</v>
      </c>
      <c r="AT3" s="184"/>
      <c r="AU3" s="183" t="s">
        <v>6</v>
      </c>
      <c r="AV3" s="184"/>
      <c r="AW3" s="183" t="s">
        <v>7</v>
      </c>
      <c r="AX3" s="184"/>
      <c r="AY3" s="183" t="s">
        <v>1</v>
      </c>
      <c r="AZ3" s="184"/>
      <c r="BA3" s="183" t="s">
        <v>2</v>
      </c>
      <c r="BB3" s="184"/>
      <c r="BC3" s="183" t="s">
        <v>3</v>
      </c>
      <c r="BD3" s="184"/>
      <c r="BE3" s="183" t="s">
        <v>4</v>
      </c>
      <c r="BF3" s="184"/>
      <c r="BG3" s="183" t="s">
        <v>5</v>
      </c>
      <c r="BH3" s="184"/>
      <c r="BI3" s="183" t="s">
        <v>6</v>
      </c>
      <c r="BJ3" s="184"/>
      <c r="BK3" s="183" t="s">
        <v>7</v>
      </c>
      <c r="BL3" s="184"/>
      <c r="BM3" s="183" t="s">
        <v>1</v>
      </c>
      <c r="BN3" s="184"/>
      <c r="BO3" s="183" t="s">
        <v>2</v>
      </c>
      <c r="BP3" s="184"/>
      <c r="BQ3" s="199" t="s">
        <v>49</v>
      </c>
      <c r="BR3" s="197" t="s">
        <v>50</v>
      </c>
      <c r="BS3" s="188"/>
      <c r="BT3" s="189"/>
      <c r="BU3" s="189"/>
      <c r="BV3" s="189"/>
      <c r="BW3" s="189"/>
      <c r="BX3" s="189"/>
      <c r="BY3" s="189"/>
      <c r="BZ3" s="189"/>
      <c r="CA3" s="189"/>
      <c r="CB3" s="189"/>
      <c r="CC3" s="189"/>
      <c r="CD3" s="189"/>
      <c r="CE3" s="190"/>
      <c r="CH3" s="196" t="s">
        <v>82</v>
      </c>
      <c r="CI3" s="196"/>
      <c r="CJ3" s="196"/>
      <c r="CK3" s="196"/>
      <c r="CL3" s="196"/>
      <c r="CM3" s="196"/>
      <c r="CN3" s="196"/>
      <c r="CO3" s="196"/>
      <c r="CP3" s="196"/>
      <c r="CQ3" s="196"/>
    </row>
    <row r="4" spans="1:96" ht="21.75" customHeight="1" x14ac:dyDescent="0.25">
      <c r="A4" s="186"/>
      <c r="B4" s="187"/>
      <c r="C4" s="187"/>
      <c r="D4" s="195"/>
      <c r="E4" s="201">
        <v>46266</v>
      </c>
      <c r="F4" s="202"/>
      <c r="G4" s="201">
        <v>46267</v>
      </c>
      <c r="H4" s="202"/>
      <c r="I4" s="201">
        <v>46268</v>
      </c>
      <c r="J4" s="202"/>
      <c r="K4" s="201">
        <v>46269</v>
      </c>
      <c r="L4" s="202"/>
      <c r="M4" s="201">
        <v>46270</v>
      </c>
      <c r="N4" s="202"/>
      <c r="O4" s="201">
        <v>46271</v>
      </c>
      <c r="P4" s="202"/>
      <c r="Q4" s="201">
        <v>46272</v>
      </c>
      <c r="R4" s="202"/>
      <c r="S4" s="201">
        <v>46273</v>
      </c>
      <c r="T4" s="202"/>
      <c r="U4" s="201">
        <v>46274</v>
      </c>
      <c r="V4" s="202"/>
      <c r="W4" s="201">
        <v>46275</v>
      </c>
      <c r="X4" s="202"/>
      <c r="Y4" s="201">
        <v>46276</v>
      </c>
      <c r="Z4" s="202"/>
      <c r="AA4" s="201">
        <v>46277</v>
      </c>
      <c r="AB4" s="202"/>
      <c r="AC4" s="201">
        <v>46278</v>
      </c>
      <c r="AD4" s="202"/>
      <c r="AE4" s="201">
        <v>46279</v>
      </c>
      <c r="AF4" s="202"/>
      <c r="AG4" s="201">
        <v>46280</v>
      </c>
      <c r="AH4" s="202"/>
      <c r="AI4" s="61"/>
      <c r="AJ4" s="206"/>
      <c r="AK4" s="181">
        <v>46281</v>
      </c>
      <c r="AL4" s="182"/>
      <c r="AM4" s="181">
        <v>46282</v>
      </c>
      <c r="AN4" s="182"/>
      <c r="AO4" s="181">
        <v>46283</v>
      </c>
      <c r="AP4" s="182"/>
      <c r="AQ4" s="181">
        <v>46284</v>
      </c>
      <c r="AR4" s="182"/>
      <c r="AS4" s="181">
        <v>46285</v>
      </c>
      <c r="AT4" s="182"/>
      <c r="AU4" s="181">
        <v>46286</v>
      </c>
      <c r="AV4" s="182"/>
      <c r="AW4" s="181">
        <v>46287</v>
      </c>
      <c r="AX4" s="182"/>
      <c r="AY4" s="181">
        <v>46288</v>
      </c>
      <c r="AZ4" s="182"/>
      <c r="BA4" s="181">
        <v>46289</v>
      </c>
      <c r="BB4" s="182"/>
      <c r="BC4" s="181">
        <v>46290</v>
      </c>
      <c r="BD4" s="182"/>
      <c r="BE4" s="181">
        <v>46291</v>
      </c>
      <c r="BF4" s="182"/>
      <c r="BG4" s="181">
        <v>46292</v>
      </c>
      <c r="BH4" s="182"/>
      <c r="BI4" s="181">
        <v>46293</v>
      </c>
      <c r="BJ4" s="182"/>
      <c r="BK4" s="181">
        <v>46294</v>
      </c>
      <c r="BL4" s="182"/>
      <c r="BM4" s="181">
        <v>46295</v>
      </c>
      <c r="BN4" s="182"/>
      <c r="BO4" s="181">
        <v>46296</v>
      </c>
      <c r="BP4" s="182"/>
      <c r="BQ4" s="200"/>
      <c r="BR4" s="198"/>
      <c r="BS4" s="4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5"/>
      <c r="CH4" s="191" t="s">
        <v>92</v>
      </c>
      <c r="CI4" s="191"/>
      <c r="CJ4" s="191"/>
      <c r="CK4" s="191"/>
      <c r="CL4" s="191"/>
      <c r="CM4" s="191"/>
      <c r="CN4" s="191"/>
      <c r="CO4" s="191"/>
      <c r="CP4" s="191"/>
      <c r="CQ4" s="191"/>
      <c r="CR4" s="191"/>
    </row>
    <row r="5" spans="1:96" ht="25.5" customHeight="1" x14ac:dyDescent="0.25">
      <c r="A5" s="6" t="s">
        <v>8</v>
      </c>
      <c r="B5" s="6" t="s">
        <v>9</v>
      </c>
      <c r="C5" s="28" t="s">
        <v>10</v>
      </c>
      <c r="D5" s="56" t="s">
        <v>86</v>
      </c>
      <c r="E5" s="1" t="s">
        <v>11</v>
      </c>
      <c r="F5" s="2" t="s">
        <v>12</v>
      </c>
      <c r="G5" s="1" t="s">
        <v>11</v>
      </c>
      <c r="H5" s="2" t="s">
        <v>12</v>
      </c>
      <c r="I5" s="1" t="s">
        <v>11</v>
      </c>
      <c r="J5" s="2" t="s">
        <v>12</v>
      </c>
      <c r="K5" s="1" t="s">
        <v>11</v>
      </c>
      <c r="L5" s="2" t="s">
        <v>12</v>
      </c>
      <c r="M5" s="1" t="s">
        <v>11</v>
      </c>
      <c r="N5" s="2" t="s">
        <v>12</v>
      </c>
      <c r="O5" s="1" t="s">
        <v>11</v>
      </c>
      <c r="P5" s="2" t="s">
        <v>12</v>
      </c>
      <c r="Q5" s="1" t="s">
        <v>11</v>
      </c>
      <c r="R5" s="2" t="s">
        <v>12</v>
      </c>
      <c r="S5" s="1" t="s">
        <v>11</v>
      </c>
      <c r="T5" s="2" t="s">
        <v>12</v>
      </c>
      <c r="U5" s="1" t="s">
        <v>11</v>
      </c>
      <c r="V5" s="2" t="s">
        <v>12</v>
      </c>
      <c r="W5" s="1" t="s">
        <v>11</v>
      </c>
      <c r="X5" s="2" t="s">
        <v>12</v>
      </c>
      <c r="Y5" s="1" t="s">
        <v>11</v>
      </c>
      <c r="Z5" s="2" t="s">
        <v>12</v>
      </c>
      <c r="AA5" s="1" t="s">
        <v>11</v>
      </c>
      <c r="AB5" s="2" t="s">
        <v>12</v>
      </c>
      <c r="AC5" s="1" t="s">
        <v>11</v>
      </c>
      <c r="AD5" s="2" t="s">
        <v>12</v>
      </c>
      <c r="AE5" s="8" t="s">
        <v>11</v>
      </c>
      <c r="AF5" s="9" t="s">
        <v>12</v>
      </c>
      <c r="AG5" s="8" t="s">
        <v>11</v>
      </c>
      <c r="AH5" s="26" t="s">
        <v>12</v>
      </c>
      <c r="AI5" s="61"/>
      <c r="AJ5" s="206"/>
      <c r="AK5" s="8" t="s">
        <v>11</v>
      </c>
      <c r="AL5" s="9" t="s">
        <v>12</v>
      </c>
      <c r="AM5" s="8" t="s">
        <v>11</v>
      </c>
      <c r="AN5" s="9" t="s">
        <v>12</v>
      </c>
      <c r="AO5" s="8" t="s">
        <v>11</v>
      </c>
      <c r="AP5" s="9" t="s">
        <v>12</v>
      </c>
      <c r="AQ5" s="8" t="s">
        <v>11</v>
      </c>
      <c r="AR5" s="9" t="s">
        <v>12</v>
      </c>
      <c r="AS5" s="8" t="s">
        <v>11</v>
      </c>
      <c r="AT5" s="9" t="s">
        <v>12</v>
      </c>
      <c r="AU5" s="8" t="s">
        <v>11</v>
      </c>
      <c r="AV5" s="9" t="s">
        <v>12</v>
      </c>
      <c r="AW5" s="8" t="s">
        <v>11</v>
      </c>
      <c r="AX5" s="9" t="s">
        <v>12</v>
      </c>
      <c r="AY5" s="8" t="s">
        <v>11</v>
      </c>
      <c r="AZ5" s="9" t="s">
        <v>12</v>
      </c>
      <c r="BA5" s="8" t="s">
        <v>11</v>
      </c>
      <c r="BB5" s="9" t="s">
        <v>12</v>
      </c>
      <c r="BC5" s="8" t="s">
        <v>11</v>
      </c>
      <c r="BD5" s="9" t="s">
        <v>12</v>
      </c>
      <c r="BE5" s="8" t="s">
        <v>11</v>
      </c>
      <c r="BF5" s="9" t="s">
        <v>12</v>
      </c>
      <c r="BG5" s="8" t="s">
        <v>11</v>
      </c>
      <c r="BH5" s="9" t="s">
        <v>12</v>
      </c>
      <c r="BI5" s="8" t="s">
        <v>11</v>
      </c>
      <c r="BJ5" s="9" t="s">
        <v>12</v>
      </c>
      <c r="BK5" s="8" t="s">
        <v>11</v>
      </c>
      <c r="BL5" s="9" t="s">
        <v>12</v>
      </c>
      <c r="BM5" s="8" t="s">
        <v>11</v>
      </c>
      <c r="BN5" s="9" t="s">
        <v>12</v>
      </c>
      <c r="BO5" s="8" t="s">
        <v>11</v>
      </c>
      <c r="BP5" s="9" t="s">
        <v>12</v>
      </c>
      <c r="BQ5" s="200"/>
      <c r="BR5" s="198"/>
      <c r="BS5" s="10"/>
      <c r="BT5" s="63" t="s">
        <v>51</v>
      </c>
      <c r="BU5" s="64" t="s">
        <v>52</v>
      </c>
      <c r="BV5" s="62" t="s">
        <v>53</v>
      </c>
      <c r="BW5" s="64" t="s">
        <v>54</v>
      </c>
      <c r="BX5" s="62" t="s">
        <v>55</v>
      </c>
      <c r="BY5" s="64" t="s">
        <v>56</v>
      </c>
      <c r="BZ5" s="65" t="s">
        <v>87</v>
      </c>
      <c r="CA5" s="11" t="s">
        <v>58</v>
      </c>
      <c r="CB5" s="62" t="s">
        <v>59</v>
      </c>
      <c r="CC5" s="62" t="s">
        <v>60</v>
      </c>
      <c r="CD5" s="62" t="s">
        <v>61</v>
      </c>
      <c r="CE5" s="12" t="s">
        <v>62</v>
      </c>
      <c r="CH5" s="40" t="s">
        <v>52</v>
      </c>
      <c r="CI5" s="41" t="s">
        <v>53</v>
      </c>
      <c r="CJ5" s="41" t="s">
        <v>54</v>
      </c>
      <c r="CK5" s="41" t="s">
        <v>55</v>
      </c>
      <c r="CL5" s="41" t="s">
        <v>56</v>
      </c>
      <c r="CM5" s="41" t="s">
        <v>57</v>
      </c>
      <c r="CN5" s="41" t="s">
        <v>58</v>
      </c>
      <c r="CO5" s="41" t="s">
        <v>59</v>
      </c>
      <c r="CP5" s="41" t="s">
        <v>60</v>
      </c>
      <c r="CQ5" s="41" t="s">
        <v>61</v>
      </c>
      <c r="CR5" s="42" t="s">
        <v>83</v>
      </c>
    </row>
    <row r="6" spans="1:96" s="20" customFormat="1" ht="24" customHeight="1" x14ac:dyDescent="0.25">
      <c r="A6" s="29">
        <v>1</v>
      </c>
      <c r="B6" s="30" t="s">
        <v>13</v>
      </c>
      <c r="C6" s="31" t="s">
        <v>14</v>
      </c>
      <c r="D6" s="57"/>
      <c r="E6" s="63">
        <v>1</v>
      </c>
      <c r="F6" s="63">
        <v>1</v>
      </c>
      <c r="G6" s="63">
        <v>1</v>
      </c>
      <c r="H6" s="63">
        <v>1</v>
      </c>
      <c r="I6" s="63">
        <v>1</v>
      </c>
      <c r="J6" s="63">
        <v>1</v>
      </c>
      <c r="K6" s="63" t="s">
        <v>51</v>
      </c>
      <c r="L6" s="63" t="s">
        <v>51</v>
      </c>
      <c r="M6" s="63">
        <v>1</v>
      </c>
      <c r="N6" s="63">
        <v>1</v>
      </c>
      <c r="O6" s="63">
        <v>1</v>
      </c>
      <c r="P6" s="63">
        <v>1</v>
      </c>
      <c r="Q6" s="63">
        <v>1</v>
      </c>
      <c r="R6" s="63">
        <v>1</v>
      </c>
      <c r="S6" s="63">
        <v>1</v>
      </c>
      <c r="T6" s="63">
        <v>1</v>
      </c>
      <c r="U6" s="63">
        <v>1</v>
      </c>
      <c r="V6" s="63">
        <v>1</v>
      </c>
      <c r="W6" s="63">
        <v>1</v>
      </c>
      <c r="X6" s="63">
        <v>1</v>
      </c>
      <c r="Y6" s="63" t="s">
        <v>51</v>
      </c>
      <c r="Z6" s="63" t="s">
        <v>51</v>
      </c>
      <c r="AA6" s="63">
        <v>1</v>
      </c>
      <c r="AB6" s="63">
        <v>1</v>
      </c>
      <c r="AC6" s="63">
        <v>1</v>
      </c>
      <c r="AD6" s="63">
        <v>1</v>
      </c>
      <c r="AE6" s="63">
        <v>1</v>
      </c>
      <c r="AF6" s="63">
        <v>1</v>
      </c>
      <c r="AG6" s="63">
        <v>1</v>
      </c>
      <c r="AH6" s="63">
        <v>1</v>
      </c>
      <c r="AI6" s="70"/>
      <c r="AJ6" s="29">
        <v>1</v>
      </c>
      <c r="AK6" s="63">
        <v>1</v>
      </c>
      <c r="AL6" s="63">
        <v>1</v>
      </c>
      <c r="AM6" s="63">
        <v>1</v>
      </c>
      <c r="AN6" s="63">
        <v>1</v>
      </c>
      <c r="AO6" s="63" t="s">
        <v>51</v>
      </c>
      <c r="AP6" s="63" t="s">
        <v>51</v>
      </c>
      <c r="AQ6" s="63">
        <v>1</v>
      </c>
      <c r="AR6" s="63">
        <v>1</v>
      </c>
      <c r="AS6" s="63">
        <v>1</v>
      </c>
      <c r="AT6" s="63">
        <v>1</v>
      </c>
      <c r="AU6" s="63">
        <v>1</v>
      </c>
      <c r="AV6" s="63">
        <v>1</v>
      </c>
      <c r="AW6" s="63">
        <v>1</v>
      </c>
      <c r="AX6" s="63">
        <v>1</v>
      </c>
      <c r="AY6" s="63">
        <v>1</v>
      </c>
      <c r="AZ6" s="63">
        <v>1</v>
      </c>
      <c r="BA6" s="63">
        <v>1</v>
      </c>
      <c r="BB6" s="63">
        <v>1</v>
      </c>
      <c r="BC6" s="63" t="s">
        <v>51</v>
      </c>
      <c r="BD6" s="63" t="s">
        <v>51</v>
      </c>
      <c r="BE6" s="63">
        <v>1</v>
      </c>
      <c r="BF6" s="63">
        <v>1</v>
      </c>
      <c r="BG6" s="63">
        <v>1</v>
      </c>
      <c r="BH6" s="63">
        <v>1</v>
      </c>
      <c r="BI6" s="63">
        <v>1</v>
      </c>
      <c r="BJ6" s="63">
        <v>1</v>
      </c>
      <c r="BK6" s="63">
        <v>1</v>
      </c>
      <c r="BL6" s="63">
        <v>1</v>
      </c>
      <c r="BM6" s="63">
        <v>1</v>
      </c>
      <c r="BN6" s="63">
        <v>1</v>
      </c>
      <c r="BO6" s="63">
        <v>1</v>
      </c>
      <c r="BP6" s="63">
        <v>1</v>
      </c>
      <c r="BQ6" s="7">
        <f t="shared" ref="BQ6:BQ31" si="0">BS6+BT6+BU6+BZ6+BW6+BY6+BX6</f>
        <v>30</v>
      </c>
      <c r="BR6" s="53">
        <v>0</v>
      </c>
      <c r="BS6" s="33">
        <f>COUNT(E6:AH6)/2+COUNT(AK6:BN6)/2</f>
        <v>26</v>
      </c>
      <c r="BT6" s="34">
        <f t="shared" ref="BT6:BT9" si="1">COUNTIF(E6:BN6,"OFF")/2</f>
        <v>4</v>
      </c>
      <c r="BU6" s="34">
        <f t="shared" ref="BU6:BU9" si="2">COUNTIF(E6:BN6,"MC")/2</f>
        <v>0</v>
      </c>
      <c r="BV6" s="34">
        <f t="shared" ref="BV6:BV8" si="3">COUNTIF(E6:BN6,"EL")/2</f>
        <v>0</v>
      </c>
      <c r="BW6" s="34">
        <f t="shared" ref="BW6:BW9" si="4">COUNTIF(E6:BN6,"AL")/2</f>
        <v>0</v>
      </c>
      <c r="BX6" s="34">
        <f t="shared" ref="BX6:BX10" si="5">COUNTIF(E6:BN6,"SUS")/2</f>
        <v>0</v>
      </c>
      <c r="BY6" s="34">
        <f t="shared" ref="BY6:BY10" si="6">COUNTIF(E6:BN6,"FL")/2</f>
        <v>0</v>
      </c>
      <c r="BZ6" s="34">
        <f t="shared" ref="BZ6:BZ9" si="7">COUNTIF(E6:BN6,"SICK")/2</f>
        <v>0</v>
      </c>
      <c r="CA6" s="34">
        <f t="shared" ref="CA6:CA10" si="8">COUNTIF(E6:BN6,"HD")/2</f>
        <v>0</v>
      </c>
      <c r="CB6" s="34">
        <f t="shared" ref="CB6:CB10" si="9">COUNTIF(E6:BN6,"AB")/2</f>
        <v>0</v>
      </c>
      <c r="CC6" s="34">
        <f t="shared" ref="CC6:CC10" si="10">COUNTIF(E6:BN6,"NL")/2</f>
        <v>0</v>
      </c>
      <c r="CD6" s="34">
        <f t="shared" ref="CD6:CD10" si="11">COUNTIF(E6:BN6,"SP")/2</f>
        <v>0</v>
      </c>
      <c r="CE6" s="35"/>
      <c r="CH6" s="32">
        <v>0</v>
      </c>
      <c r="CI6" s="29">
        <v>0</v>
      </c>
      <c r="CJ6" s="29">
        <v>0</v>
      </c>
      <c r="CK6" s="29">
        <v>0</v>
      </c>
      <c r="CL6" s="29">
        <v>0</v>
      </c>
      <c r="CM6" s="29">
        <v>0</v>
      </c>
      <c r="CN6" s="29">
        <v>0</v>
      </c>
      <c r="CO6" s="29">
        <v>0</v>
      </c>
      <c r="CP6" s="29">
        <v>0</v>
      </c>
      <c r="CQ6" s="29">
        <v>0</v>
      </c>
      <c r="CR6" s="39">
        <f t="shared" ref="CR6:CR25" si="12">SUM(CH6:CQ6)</f>
        <v>0</v>
      </c>
    </row>
    <row r="7" spans="1:96" s="20" customFormat="1" ht="24" customHeight="1" x14ac:dyDescent="0.25">
      <c r="A7" s="29">
        <v>2</v>
      </c>
      <c r="B7" s="30" t="s">
        <v>15</v>
      </c>
      <c r="C7" s="31" t="s">
        <v>16</v>
      </c>
      <c r="D7" s="58"/>
      <c r="E7" s="66">
        <v>1</v>
      </c>
      <c r="F7" s="66">
        <v>1</v>
      </c>
      <c r="G7" s="66">
        <v>1</v>
      </c>
      <c r="H7" s="66">
        <v>1</v>
      </c>
      <c r="I7" s="66">
        <v>1</v>
      </c>
      <c r="J7" s="66">
        <v>1</v>
      </c>
      <c r="K7" s="63" t="s">
        <v>51</v>
      </c>
      <c r="L7" s="63" t="s">
        <v>51</v>
      </c>
      <c r="M7" s="66">
        <v>1</v>
      </c>
      <c r="N7" s="66">
        <v>1</v>
      </c>
      <c r="O7" s="66">
        <v>1</v>
      </c>
      <c r="P7" s="66">
        <v>1</v>
      </c>
      <c r="Q7" s="66">
        <v>1</v>
      </c>
      <c r="R7" s="66">
        <v>1</v>
      </c>
      <c r="S7" s="66">
        <v>1</v>
      </c>
      <c r="T7" s="66">
        <v>1</v>
      </c>
      <c r="U7" s="66">
        <v>1</v>
      </c>
      <c r="V7" s="66">
        <v>1</v>
      </c>
      <c r="W7" s="66">
        <v>1</v>
      </c>
      <c r="X7" s="66">
        <v>1</v>
      </c>
      <c r="Y7" s="63" t="s">
        <v>51</v>
      </c>
      <c r="Z7" s="63" t="s">
        <v>51</v>
      </c>
      <c r="AA7" s="66">
        <v>1</v>
      </c>
      <c r="AB7" s="63">
        <v>1</v>
      </c>
      <c r="AC7" s="63">
        <v>1</v>
      </c>
      <c r="AD7" s="63">
        <v>1</v>
      </c>
      <c r="AE7" s="63">
        <v>1</v>
      </c>
      <c r="AF7" s="63">
        <v>1</v>
      </c>
      <c r="AG7" s="63">
        <v>1</v>
      </c>
      <c r="AH7" s="63">
        <v>1</v>
      </c>
      <c r="AI7" s="70"/>
      <c r="AJ7" s="29">
        <v>2</v>
      </c>
      <c r="AK7" s="63">
        <v>1</v>
      </c>
      <c r="AL7" s="63">
        <v>1</v>
      </c>
      <c r="AM7" s="63">
        <v>1</v>
      </c>
      <c r="AN7" s="63">
        <v>1</v>
      </c>
      <c r="AO7" s="63" t="s">
        <v>51</v>
      </c>
      <c r="AP7" s="63" t="s">
        <v>51</v>
      </c>
      <c r="AQ7" s="63">
        <v>1</v>
      </c>
      <c r="AR7" s="63">
        <v>1</v>
      </c>
      <c r="AS7" s="63">
        <v>1</v>
      </c>
      <c r="AT7" s="63">
        <v>1</v>
      </c>
      <c r="AU7" s="63">
        <v>1</v>
      </c>
      <c r="AV7" s="63">
        <v>1</v>
      </c>
      <c r="AW7" s="63">
        <v>1</v>
      </c>
      <c r="AX7" s="63">
        <v>1</v>
      </c>
      <c r="AY7" s="63">
        <v>1</v>
      </c>
      <c r="AZ7" s="63">
        <v>1</v>
      </c>
      <c r="BA7" s="63">
        <v>1</v>
      </c>
      <c r="BB7" s="63">
        <v>1</v>
      </c>
      <c r="BC7" s="63" t="s">
        <v>51</v>
      </c>
      <c r="BD7" s="63" t="s">
        <v>51</v>
      </c>
      <c r="BE7" s="63">
        <v>1</v>
      </c>
      <c r="BF7" s="63">
        <v>1</v>
      </c>
      <c r="BG7" s="63">
        <v>1</v>
      </c>
      <c r="BH7" s="63">
        <v>1</v>
      </c>
      <c r="BI7" s="63">
        <v>1</v>
      </c>
      <c r="BJ7" s="63">
        <v>1</v>
      </c>
      <c r="BK7" s="63">
        <v>1</v>
      </c>
      <c r="BL7" s="63">
        <v>1</v>
      </c>
      <c r="BM7" s="63">
        <v>1</v>
      </c>
      <c r="BN7" s="63">
        <v>1</v>
      </c>
      <c r="BO7" s="63">
        <v>1</v>
      </c>
      <c r="BP7" s="63">
        <v>1</v>
      </c>
      <c r="BQ7" s="7">
        <f t="shared" si="0"/>
        <v>30</v>
      </c>
      <c r="BR7" s="53">
        <v>0</v>
      </c>
      <c r="BS7" s="33">
        <f t="shared" ref="BS7:BS31" si="13">COUNT(E7:AH7)/2+COUNT(AK7:BN7)/2</f>
        <v>26</v>
      </c>
      <c r="BT7" s="34">
        <f t="shared" si="1"/>
        <v>4</v>
      </c>
      <c r="BU7" s="34">
        <f t="shared" si="2"/>
        <v>0</v>
      </c>
      <c r="BV7" s="34">
        <f t="shared" si="3"/>
        <v>0</v>
      </c>
      <c r="BW7" s="34">
        <f t="shared" si="4"/>
        <v>0</v>
      </c>
      <c r="BX7" s="34">
        <f t="shared" si="5"/>
        <v>0</v>
      </c>
      <c r="BY7" s="34">
        <f t="shared" si="6"/>
        <v>0</v>
      </c>
      <c r="BZ7" s="34">
        <f t="shared" si="7"/>
        <v>0</v>
      </c>
      <c r="CA7" s="34">
        <f t="shared" si="8"/>
        <v>0</v>
      </c>
      <c r="CB7" s="34">
        <f t="shared" si="9"/>
        <v>0</v>
      </c>
      <c r="CC7" s="34">
        <f t="shared" si="10"/>
        <v>0</v>
      </c>
      <c r="CD7" s="34">
        <f t="shared" si="11"/>
        <v>0</v>
      </c>
      <c r="CE7" s="35"/>
      <c r="CH7" s="32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39">
        <f t="shared" si="12"/>
        <v>0</v>
      </c>
    </row>
    <row r="8" spans="1:96" s="20" customFormat="1" ht="24" customHeight="1" x14ac:dyDescent="0.25">
      <c r="A8" s="29">
        <v>3</v>
      </c>
      <c r="B8" s="34" t="s">
        <v>19</v>
      </c>
      <c r="C8" s="89" t="s">
        <v>20</v>
      </c>
      <c r="D8" s="85">
        <v>43952</v>
      </c>
      <c r="E8" s="67">
        <v>1</v>
      </c>
      <c r="F8" s="67">
        <v>1</v>
      </c>
      <c r="G8" s="67">
        <v>1</v>
      </c>
      <c r="H8" s="67">
        <v>1</v>
      </c>
      <c r="I8" s="67">
        <v>1</v>
      </c>
      <c r="J8" s="67">
        <v>1</v>
      </c>
      <c r="K8" s="63" t="s">
        <v>51</v>
      </c>
      <c r="L8" s="63" t="s">
        <v>51</v>
      </c>
      <c r="M8" s="67">
        <v>1</v>
      </c>
      <c r="N8" s="67">
        <v>1</v>
      </c>
      <c r="O8" s="67">
        <v>1</v>
      </c>
      <c r="P8" s="67">
        <v>1</v>
      </c>
      <c r="Q8" s="67">
        <v>1</v>
      </c>
      <c r="R8" s="67">
        <v>1</v>
      </c>
      <c r="S8" s="67">
        <v>1</v>
      </c>
      <c r="T8" s="67">
        <v>1</v>
      </c>
      <c r="U8" s="67">
        <v>1</v>
      </c>
      <c r="V8" s="67">
        <v>1</v>
      </c>
      <c r="W8" s="67">
        <v>1</v>
      </c>
      <c r="X8" s="67">
        <v>1</v>
      </c>
      <c r="Y8" s="63" t="s">
        <v>51</v>
      </c>
      <c r="Z8" s="63" t="s">
        <v>51</v>
      </c>
      <c r="AA8" s="63">
        <v>1</v>
      </c>
      <c r="AB8" s="63">
        <v>1</v>
      </c>
      <c r="AC8" s="63">
        <v>1</v>
      </c>
      <c r="AD8" s="63">
        <v>1</v>
      </c>
      <c r="AE8" s="63">
        <v>1</v>
      </c>
      <c r="AF8" s="63">
        <v>1</v>
      </c>
      <c r="AG8" s="63">
        <v>1</v>
      </c>
      <c r="AH8" s="63">
        <v>1</v>
      </c>
      <c r="AI8" s="70"/>
      <c r="AJ8" s="29">
        <v>3</v>
      </c>
      <c r="AK8" s="63">
        <v>1</v>
      </c>
      <c r="AL8" s="63">
        <v>1</v>
      </c>
      <c r="AM8" s="63">
        <v>1</v>
      </c>
      <c r="AN8" s="63">
        <v>1</v>
      </c>
      <c r="AO8" s="63" t="s">
        <v>51</v>
      </c>
      <c r="AP8" s="63" t="s">
        <v>51</v>
      </c>
      <c r="AQ8" s="63">
        <v>1</v>
      </c>
      <c r="AR8" s="63">
        <v>1</v>
      </c>
      <c r="AS8" s="63">
        <v>1</v>
      </c>
      <c r="AT8" s="63">
        <v>1</v>
      </c>
      <c r="AU8" s="63">
        <v>1</v>
      </c>
      <c r="AV8" s="63">
        <v>1</v>
      </c>
      <c r="AW8" s="63">
        <v>1</v>
      </c>
      <c r="AX8" s="63">
        <v>1</v>
      </c>
      <c r="AY8" s="63">
        <v>1</v>
      </c>
      <c r="AZ8" s="63">
        <v>1</v>
      </c>
      <c r="BA8" s="63">
        <v>1</v>
      </c>
      <c r="BB8" s="63">
        <v>1</v>
      </c>
      <c r="BC8" s="63" t="s">
        <v>51</v>
      </c>
      <c r="BD8" s="63" t="s">
        <v>51</v>
      </c>
      <c r="BE8" s="63">
        <v>1</v>
      </c>
      <c r="BF8" s="63">
        <v>1</v>
      </c>
      <c r="BG8" s="63">
        <v>1</v>
      </c>
      <c r="BH8" s="63">
        <v>1</v>
      </c>
      <c r="BI8" s="63">
        <v>1</v>
      </c>
      <c r="BJ8" s="63">
        <v>1</v>
      </c>
      <c r="BK8" s="63">
        <v>1</v>
      </c>
      <c r="BL8" s="63">
        <v>1</v>
      </c>
      <c r="BM8" s="63">
        <v>1</v>
      </c>
      <c r="BN8" s="63">
        <v>1</v>
      </c>
      <c r="BO8" s="63">
        <v>1</v>
      </c>
      <c r="BP8" s="63">
        <v>1</v>
      </c>
      <c r="BQ8" s="7">
        <f t="shared" si="0"/>
        <v>30</v>
      </c>
      <c r="BR8" s="53">
        <v>0</v>
      </c>
      <c r="BS8" s="33">
        <f t="shared" si="13"/>
        <v>26</v>
      </c>
      <c r="BT8" s="34">
        <f t="shared" si="1"/>
        <v>4</v>
      </c>
      <c r="BU8" s="34">
        <f t="shared" si="2"/>
        <v>0</v>
      </c>
      <c r="BV8" s="34">
        <f t="shared" si="3"/>
        <v>0</v>
      </c>
      <c r="BW8" s="34">
        <f t="shared" si="4"/>
        <v>0</v>
      </c>
      <c r="BX8" s="34">
        <f t="shared" si="5"/>
        <v>0</v>
      </c>
      <c r="BY8" s="34">
        <f t="shared" si="6"/>
        <v>0</v>
      </c>
      <c r="BZ8" s="34">
        <f t="shared" si="7"/>
        <v>0</v>
      </c>
      <c r="CA8" s="34">
        <f t="shared" si="8"/>
        <v>0</v>
      </c>
      <c r="CB8" s="34">
        <f t="shared" si="9"/>
        <v>0</v>
      </c>
      <c r="CC8" s="34">
        <f t="shared" si="10"/>
        <v>0</v>
      </c>
      <c r="CD8" s="34">
        <f t="shared" si="11"/>
        <v>0</v>
      </c>
      <c r="CE8" s="35"/>
      <c r="CH8" s="32">
        <v>0</v>
      </c>
      <c r="CI8" s="29">
        <v>0</v>
      </c>
      <c r="CJ8" s="29">
        <v>33</v>
      </c>
      <c r="CK8" s="29">
        <v>0</v>
      </c>
      <c r="CL8" s="29">
        <v>0</v>
      </c>
      <c r="CM8" s="29">
        <v>0</v>
      </c>
      <c r="CN8" s="29">
        <v>0</v>
      </c>
      <c r="CO8" s="29">
        <v>0</v>
      </c>
      <c r="CP8" s="29">
        <v>0</v>
      </c>
      <c r="CQ8" s="29">
        <v>0</v>
      </c>
      <c r="CR8" s="38">
        <f t="shared" si="12"/>
        <v>33</v>
      </c>
    </row>
    <row r="9" spans="1:96" s="20" customFormat="1" ht="24" customHeight="1" x14ac:dyDescent="0.25">
      <c r="A9" s="29">
        <v>4</v>
      </c>
      <c r="B9" s="36" t="s">
        <v>21</v>
      </c>
      <c r="C9" s="90" t="s">
        <v>22</v>
      </c>
      <c r="D9" s="86">
        <v>45600</v>
      </c>
      <c r="E9" s="63">
        <v>1</v>
      </c>
      <c r="F9" s="63">
        <v>1</v>
      </c>
      <c r="G9" s="63">
        <v>1</v>
      </c>
      <c r="H9" s="63">
        <v>1</v>
      </c>
      <c r="I9" s="63">
        <v>1</v>
      </c>
      <c r="J9" s="63">
        <v>1</v>
      </c>
      <c r="K9" s="63" t="s">
        <v>51</v>
      </c>
      <c r="L9" s="63" t="s">
        <v>51</v>
      </c>
      <c r="M9" s="63">
        <v>1</v>
      </c>
      <c r="N9" s="63">
        <v>1</v>
      </c>
      <c r="O9" s="63">
        <v>1</v>
      </c>
      <c r="P9" s="63">
        <v>1</v>
      </c>
      <c r="Q9" s="63">
        <v>1</v>
      </c>
      <c r="R9" s="63">
        <v>1</v>
      </c>
      <c r="S9" s="63">
        <v>1</v>
      </c>
      <c r="T9" s="63">
        <v>1</v>
      </c>
      <c r="U9" s="63">
        <v>1</v>
      </c>
      <c r="V9" s="63">
        <v>1</v>
      </c>
      <c r="W9" s="63">
        <v>1</v>
      </c>
      <c r="X9" s="63">
        <v>1</v>
      </c>
      <c r="Y9" s="63" t="s">
        <v>51</v>
      </c>
      <c r="Z9" s="63" t="s">
        <v>51</v>
      </c>
      <c r="AA9" s="63">
        <v>1</v>
      </c>
      <c r="AB9" s="63">
        <v>1</v>
      </c>
      <c r="AC9" s="63">
        <v>1</v>
      </c>
      <c r="AD9" s="63">
        <v>1</v>
      </c>
      <c r="AE9" s="63">
        <v>1</v>
      </c>
      <c r="AF9" s="63">
        <v>1</v>
      </c>
      <c r="AG9" s="63">
        <v>1</v>
      </c>
      <c r="AH9" s="63">
        <v>1</v>
      </c>
      <c r="AI9" s="70"/>
      <c r="AJ9" s="29">
        <v>4</v>
      </c>
      <c r="AK9" s="63">
        <v>1</v>
      </c>
      <c r="AL9" s="63">
        <v>1</v>
      </c>
      <c r="AM9" s="63">
        <v>1</v>
      </c>
      <c r="AN9" s="63">
        <v>1</v>
      </c>
      <c r="AO9" s="63" t="s">
        <v>51</v>
      </c>
      <c r="AP9" s="63" t="s">
        <v>51</v>
      </c>
      <c r="AQ9" s="63">
        <v>1</v>
      </c>
      <c r="AR9" s="63">
        <v>1</v>
      </c>
      <c r="AS9" s="63">
        <v>1</v>
      </c>
      <c r="AT9" s="63">
        <v>1</v>
      </c>
      <c r="AU9" s="63">
        <v>1</v>
      </c>
      <c r="AV9" s="63">
        <v>1</v>
      </c>
      <c r="AW9" s="63">
        <v>1</v>
      </c>
      <c r="AX9" s="63">
        <v>1</v>
      </c>
      <c r="AY9" s="63">
        <v>1</v>
      </c>
      <c r="AZ9" s="63">
        <v>1</v>
      </c>
      <c r="BA9" s="63">
        <v>1</v>
      </c>
      <c r="BB9" s="63">
        <v>1</v>
      </c>
      <c r="BC9" s="63" t="s">
        <v>51</v>
      </c>
      <c r="BD9" s="63" t="s">
        <v>51</v>
      </c>
      <c r="BE9" s="63">
        <v>1</v>
      </c>
      <c r="BF9" s="63">
        <v>1</v>
      </c>
      <c r="BG9" s="63">
        <v>1</v>
      </c>
      <c r="BH9" s="63">
        <v>1</v>
      </c>
      <c r="BI9" s="63">
        <v>1</v>
      </c>
      <c r="BJ9" s="63">
        <v>1</v>
      </c>
      <c r="BK9" s="63">
        <v>1</v>
      </c>
      <c r="BL9" s="63">
        <v>1</v>
      </c>
      <c r="BM9" s="63">
        <v>1</v>
      </c>
      <c r="BN9" s="63">
        <v>1</v>
      </c>
      <c r="BO9" s="63">
        <v>1</v>
      </c>
      <c r="BP9" s="63">
        <v>1</v>
      </c>
      <c r="BQ9" s="7">
        <f t="shared" si="0"/>
        <v>30</v>
      </c>
      <c r="BR9" s="53">
        <v>0</v>
      </c>
      <c r="BS9" s="33">
        <f t="shared" si="13"/>
        <v>26</v>
      </c>
      <c r="BT9" s="34">
        <f t="shared" si="1"/>
        <v>4</v>
      </c>
      <c r="BU9" s="34">
        <f t="shared" si="2"/>
        <v>0</v>
      </c>
      <c r="BV9" s="34">
        <f>COUNTIF(E9:BP9,"EL")/2</f>
        <v>0</v>
      </c>
      <c r="BW9" s="34">
        <f t="shared" si="4"/>
        <v>0</v>
      </c>
      <c r="BX9" s="34">
        <f t="shared" si="5"/>
        <v>0</v>
      </c>
      <c r="BY9" s="34">
        <f t="shared" si="6"/>
        <v>0</v>
      </c>
      <c r="BZ9" s="34">
        <f t="shared" si="7"/>
        <v>0</v>
      </c>
      <c r="CA9" s="34">
        <f t="shared" si="8"/>
        <v>0</v>
      </c>
      <c r="CB9" s="34">
        <f t="shared" si="9"/>
        <v>0</v>
      </c>
      <c r="CC9" s="34">
        <f t="shared" si="10"/>
        <v>0</v>
      </c>
      <c r="CD9" s="34">
        <f t="shared" si="11"/>
        <v>0</v>
      </c>
      <c r="CE9" s="35" t="s">
        <v>75</v>
      </c>
      <c r="CH9" s="32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38">
        <f t="shared" si="12"/>
        <v>0</v>
      </c>
    </row>
    <row r="10" spans="1:96" s="20" customFormat="1" ht="24" customHeight="1" x14ac:dyDescent="0.25">
      <c r="A10" s="29">
        <v>5</v>
      </c>
      <c r="B10" s="34" t="s">
        <v>27</v>
      </c>
      <c r="C10" s="89" t="s">
        <v>28</v>
      </c>
      <c r="D10" s="87">
        <v>44531</v>
      </c>
      <c r="E10" s="83">
        <v>1</v>
      </c>
      <c r="F10" s="83">
        <v>1</v>
      </c>
      <c r="G10" s="83">
        <v>1</v>
      </c>
      <c r="H10" s="83">
        <v>1</v>
      </c>
      <c r="I10" s="83">
        <v>1</v>
      </c>
      <c r="J10" s="83">
        <v>1</v>
      </c>
      <c r="K10" s="63" t="s">
        <v>51</v>
      </c>
      <c r="L10" s="63" t="s">
        <v>51</v>
      </c>
      <c r="M10" s="83">
        <v>1</v>
      </c>
      <c r="N10" s="83">
        <v>1</v>
      </c>
      <c r="O10" s="83">
        <v>1</v>
      </c>
      <c r="P10" s="83">
        <v>1</v>
      </c>
      <c r="Q10" s="83">
        <v>1</v>
      </c>
      <c r="R10" s="83">
        <v>1</v>
      </c>
      <c r="S10" s="63">
        <v>1</v>
      </c>
      <c r="T10" s="63">
        <v>1</v>
      </c>
      <c r="U10" s="63">
        <v>1</v>
      </c>
      <c r="V10" s="63">
        <v>1</v>
      </c>
      <c r="W10" s="63">
        <v>1</v>
      </c>
      <c r="X10" s="63">
        <v>1</v>
      </c>
      <c r="Y10" s="63" t="s">
        <v>51</v>
      </c>
      <c r="Z10" s="63" t="s">
        <v>51</v>
      </c>
      <c r="AA10" s="83">
        <v>1</v>
      </c>
      <c r="AB10" s="83">
        <v>1</v>
      </c>
      <c r="AC10" s="83">
        <v>1</v>
      </c>
      <c r="AD10" s="83">
        <v>1</v>
      </c>
      <c r="AE10" s="83">
        <v>1</v>
      </c>
      <c r="AF10" s="83">
        <v>1</v>
      </c>
      <c r="AG10" s="83">
        <v>1</v>
      </c>
      <c r="AH10" s="83">
        <v>1</v>
      </c>
      <c r="AI10" s="70"/>
      <c r="AJ10" s="29">
        <v>5</v>
      </c>
      <c r="AK10" s="63">
        <v>1</v>
      </c>
      <c r="AL10" s="63">
        <v>1</v>
      </c>
      <c r="AM10" s="63">
        <v>1</v>
      </c>
      <c r="AN10" s="63">
        <v>1</v>
      </c>
      <c r="AO10" s="63" t="s">
        <v>51</v>
      </c>
      <c r="AP10" s="63" t="s">
        <v>51</v>
      </c>
      <c r="AQ10" s="63">
        <v>1</v>
      </c>
      <c r="AR10" s="63">
        <v>1</v>
      </c>
      <c r="AS10" s="63">
        <v>1</v>
      </c>
      <c r="AT10" s="63">
        <v>1</v>
      </c>
      <c r="AU10" s="63">
        <v>1</v>
      </c>
      <c r="AV10" s="63">
        <v>1</v>
      </c>
      <c r="AW10" s="63">
        <v>1</v>
      </c>
      <c r="AX10" s="63">
        <v>1</v>
      </c>
      <c r="AY10" s="63">
        <v>1</v>
      </c>
      <c r="AZ10" s="63">
        <v>1</v>
      </c>
      <c r="BA10" s="63">
        <v>1</v>
      </c>
      <c r="BB10" s="63">
        <v>1</v>
      </c>
      <c r="BC10" s="63" t="s">
        <v>51</v>
      </c>
      <c r="BD10" s="63" t="s">
        <v>51</v>
      </c>
      <c r="BE10" s="63">
        <v>1</v>
      </c>
      <c r="BF10" s="63">
        <v>1</v>
      </c>
      <c r="BG10" s="63">
        <v>1</v>
      </c>
      <c r="BH10" s="63">
        <v>1</v>
      </c>
      <c r="BI10" s="63">
        <v>1</v>
      </c>
      <c r="BJ10" s="63">
        <v>1</v>
      </c>
      <c r="BK10" s="63">
        <v>1</v>
      </c>
      <c r="BL10" s="63">
        <v>1</v>
      </c>
      <c r="BM10" s="63">
        <v>1</v>
      </c>
      <c r="BN10" s="63">
        <v>1</v>
      </c>
      <c r="BO10" s="63">
        <v>1</v>
      </c>
      <c r="BP10" s="63">
        <v>1</v>
      </c>
      <c r="BQ10" s="7">
        <f t="shared" si="0"/>
        <v>30</v>
      </c>
      <c r="BR10" s="53">
        <v>0</v>
      </c>
      <c r="BS10" s="33">
        <f t="shared" si="13"/>
        <v>26</v>
      </c>
      <c r="BT10" s="34">
        <f>COUNTIF(E10:BP10,"OFF")/2</f>
        <v>4</v>
      </c>
      <c r="BU10" s="34">
        <f>COUNTIF(E10:BP10,"MC")/2</f>
        <v>0</v>
      </c>
      <c r="BV10" s="34">
        <f t="shared" ref="BV10" si="14">COUNTIF(E10:BP10,"EL")/2</f>
        <v>0</v>
      </c>
      <c r="BW10" s="34">
        <f>COUNTIF(E10:BP10,"AL")/2</f>
        <v>0</v>
      </c>
      <c r="BX10" s="34">
        <f t="shared" si="5"/>
        <v>0</v>
      </c>
      <c r="BY10" s="34">
        <f t="shared" si="6"/>
        <v>0</v>
      </c>
      <c r="BZ10" s="34">
        <f>COUNTIF(E10:BP10,"SICK")/2</f>
        <v>0</v>
      </c>
      <c r="CA10" s="34">
        <f t="shared" si="8"/>
        <v>0</v>
      </c>
      <c r="CB10" s="34">
        <f t="shared" si="9"/>
        <v>0</v>
      </c>
      <c r="CC10" s="34">
        <f t="shared" si="10"/>
        <v>0</v>
      </c>
      <c r="CD10" s="34">
        <f t="shared" si="11"/>
        <v>0</v>
      </c>
      <c r="CE10" s="35"/>
      <c r="CH10" s="32">
        <v>0</v>
      </c>
      <c r="CI10" s="29">
        <v>0</v>
      </c>
      <c r="CJ10" s="29">
        <v>17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38">
        <f t="shared" si="12"/>
        <v>17</v>
      </c>
    </row>
    <row r="11" spans="1:96" s="20" customFormat="1" ht="24" customHeight="1" x14ac:dyDescent="0.25">
      <c r="A11" s="29">
        <v>6</v>
      </c>
      <c r="B11" s="34" t="s">
        <v>37</v>
      </c>
      <c r="C11" s="31" t="s">
        <v>38</v>
      </c>
      <c r="D11" s="88">
        <v>45292</v>
      </c>
      <c r="E11" s="63">
        <v>1</v>
      </c>
      <c r="F11" s="63">
        <v>1</v>
      </c>
      <c r="G11" s="63">
        <v>1</v>
      </c>
      <c r="H11" s="63">
        <v>1</v>
      </c>
      <c r="I11" s="63">
        <v>1</v>
      </c>
      <c r="J11" s="63">
        <v>1</v>
      </c>
      <c r="K11" s="63" t="s">
        <v>51</v>
      </c>
      <c r="L11" s="63" t="s">
        <v>51</v>
      </c>
      <c r="M11" s="63">
        <v>1</v>
      </c>
      <c r="N11" s="63">
        <v>1</v>
      </c>
      <c r="O11" s="63">
        <v>1</v>
      </c>
      <c r="P11" s="63">
        <v>1</v>
      </c>
      <c r="Q11" s="63">
        <v>1</v>
      </c>
      <c r="R11" s="63">
        <v>1</v>
      </c>
      <c r="S11" s="63">
        <v>1</v>
      </c>
      <c r="T11" s="63">
        <v>1</v>
      </c>
      <c r="U11" s="63">
        <v>1</v>
      </c>
      <c r="V11" s="63">
        <v>1</v>
      </c>
      <c r="W11" s="63">
        <v>1</v>
      </c>
      <c r="X11" s="63">
        <v>1</v>
      </c>
      <c r="Y11" s="63" t="s">
        <v>51</v>
      </c>
      <c r="Z11" s="63" t="s">
        <v>51</v>
      </c>
      <c r="AA11" s="63">
        <v>1</v>
      </c>
      <c r="AB11" s="63">
        <v>1</v>
      </c>
      <c r="AC11" s="63">
        <v>1</v>
      </c>
      <c r="AD11" s="63">
        <v>1</v>
      </c>
      <c r="AE11" s="63">
        <v>1</v>
      </c>
      <c r="AF11" s="63">
        <v>1</v>
      </c>
      <c r="AG11" s="63">
        <v>1</v>
      </c>
      <c r="AH11" s="63">
        <v>1</v>
      </c>
      <c r="AI11" s="70"/>
      <c r="AJ11" s="29">
        <v>6</v>
      </c>
      <c r="AK11" s="69">
        <v>1</v>
      </c>
      <c r="AL11" s="69">
        <v>1</v>
      </c>
      <c r="AM11" s="69">
        <v>1</v>
      </c>
      <c r="AN11" s="69">
        <v>1</v>
      </c>
      <c r="AO11" s="63" t="s">
        <v>51</v>
      </c>
      <c r="AP11" s="63" t="s">
        <v>51</v>
      </c>
      <c r="AQ11" s="63">
        <v>1</v>
      </c>
      <c r="AR11" s="63">
        <v>1</v>
      </c>
      <c r="AS11" s="63">
        <v>1</v>
      </c>
      <c r="AT11" s="63">
        <v>1</v>
      </c>
      <c r="AU11" s="63">
        <v>1</v>
      </c>
      <c r="AV11" s="63">
        <v>1</v>
      </c>
      <c r="AW11" s="63">
        <v>1</v>
      </c>
      <c r="AX11" s="63">
        <v>1</v>
      </c>
      <c r="AY11" s="63">
        <v>1</v>
      </c>
      <c r="AZ11" s="63">
        <v>1</v>
      </c>
      <c r="BA11" s="63">
        <v>1</v>
      </c>
      <c r="BB11" s="63">
        <v>1</v>
      </c>
      <c r="BC11" s="63" t="s">
        <v>51</v>
      </c>
      <c r="BD11" s="63" t="s">
        <v>51</v>
      </c>
      <c r="BE11" s="69">
        <v>1</v>
      </c>
      <c r="BF11" s="69">
        <v>1</v>
      </c>
      <c r="BG11" s="69">
        <v>1</v>
      </c>
      <c r="BH11" s="69">
        <v>1</v>
      </c>
      <c r="BI11" s="69">
        <v>1</v>
      </c>
      <c r="BJ11" s="69">
        <v>1</v>
      </c>
      <c r="BK11" s="69">
        <v>1</v>
      </c>
      <c r="BL11" s="69">
        <v>1</v>
      </c>
      <c r="BM11" s="69">
        <v>1</v>
      </c>
      <c r="BN11" s="69">
        <v>1</v>
      </c>
      <c r="BO11" s="69">
        <v>1</v>
      </c>
      <c r="BP11" s="69">
        <v>1</v>
      </c>
      <c r="BQ11" s="7">
        <f t="shared" si="0"/>
        <v>30</v>
      </c>
      <c r="BR11" s="53">
        <v>0</v>
      </c>
      <c r="BS11" s="33">
        <f t="shared" si="13"/>
        <v>26</v>
      </c>
      <c r="BT11" s="34">
        <f t="shared" ref="BT11:BT13" si="15">COUNTIF(E11:BP11,"OFF")/2</f>
        <v>4</v>
      </c>
      <c r="BU11" s="34">
        <f t="shared" ref="BU11:BU13" si="16">COUNTIF(E11:BP11,"MC")/2</f>
        <v>0</v>
      </c>
      <c r="BV11" s="34">
        <f t="shared" ref="BV11:BV13" si="17">COUNTIF(E11:BP11,"EL")/2</f>
        <v>0</v>
      </c>
      <c r="BW11" s="34">
        <f t="shared" ref="BW11:BW13" si="18">COUNTIF(E11:BP11,"AL")/2</f>
        <v>0</v>
      </c>
      <c r="BX11" s="34">
        <f t="shared" ref="BX11:BX13" si="19">COUNTIF(E11:BN11,"SUS")/2</f>
        <v>0</v>
      </c>
      <c r="BY11" s="34">
        <f t="shared" ref="BY11:BY13" si="20">COUNTIF(E11:BN11,"FL")/2</f>
        <v>0</v>
      </c>
      <c r="BZ11" s="34">
        <f t="shared" ref="BZ11:BZ13" si="21">COUNTIF(E11:BP11,"SICK")/2</f>
        <v>0</v>
      </c>
      <c r="CA11" s="34">
        <f t="shared" ref="CA11:CA13" si="22">COUNTIF(E11:BN11,"HD")/2</f>
        <v>0</v>
      </c>
      <c r="CB11" s="34">
        <f t="shared" ref="CB11:CB13" si="23">COUNTIF(E11:BN11,"AB")/2</f>
        <v>0</v>
      </c>
      <c r="CC11" s="34">
        <f t="shared" ref="CC11:CC13" si="24">COUNTIF(E11:BN11,"NL")/2</f>
        <v>0</v>
      </c>
      <c r="CD11" s="34">
        <f t="shared" ref="CD11:CD13" si="25">COUNTIF(E11:BN11,"SP")/2</f>
        <v>0</v>
      </c>
      <c r="CE11" s="35"/>
      <c r="CH11" s="32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38">
        <f>SUM(CH11:CQ11)</f>
        <v>0</v>
      </c>
    </row>
    <row r="12" spans="1:96" s="20" customFormat="1" ht="24" customHeight="1" x14ac:dyDescent="0.25">
      <c r="A12" s="29">
        <v>7</v>
      </c>
      <c r="B12" s="36" t="s">
        <v>90</v>
      </c>
      <c r="C12" s="91" t="s">
        <v>91</v>
      </c>
      <c r="D12" s="86"/>
      <c r="E12" s="63">
        <v>1</v>
      </c>
      <c r="F12" s="63">
        <v>1</v>
      </c>
      <c r="G12" s="63">
        <v>1</v>
      </c>
      <c r="H12" s="63">
        <v>1</v>
      </c>
      <c r="I12" s="63">
        <v>1</v>
      </c>
      <c r="J12" s="63">
        <v>1</v>
      </c>
      <c r="K12" s="63" t="s">
        <v>51</v>
      </c>
      <c r="L12" s="63" t="s">
        <v>51</v>
      </c>
      <c r="M12" s="63">
        <v>1</v>
      </c>
      <c r="N12" s="63">
        <v>1</v>
      </c>
      <c r="O12" s="63">
        <v>1</v>
      </c>
      <c r="P12" s="63">
        <v>1</v>
      </c>
      <c r="Q12" s="63">
        <v>1</v>
      </c>
      <c r="R12" s="63">
        <v>1</v>
      </c>
      <c r="S12" s="63">
        <v>1</v>
      </c>
      <c r="T12" s="83">
        <v>1</v>
      </c>
      <c r="U12" s="83">
        <v>1</v>
      </c>
      <c r="V12" s="83">
        <v>1</v>
      </c>
      <c r="W12" s="63">
        <v>1</v>
      </c>
      <c r="X12" s="63">
        <v>1</v>
      </c>
      <c r="Y12" s="63" t="s">
        <v>51</v>
      </c>
      <c r="Z12" s="63" t="s">
        <v>51</v>
      </c>
      <c r="AA12" s="63">
        <v>1</v>
      </c>
      <c r="AB12" s="63">
        <v>1</v>
      </c>
      <c r="AC12" s="63">
        <v>1</v>
      </c>
      <c r="AD12" s="63">
        <v>1</v>
      </c>
      <c r="AE12" s="63">
        <v>1</v>
      </c>
      <c r="AF12" s="63">
        <v>1</v>
      </c>
      <c r="AG12" s="83">
        <v>1</v>
      </c>
      <c r="AH12" s="83">
        <v>1</v>
      </c>
      <c r="AI12" s="70"/>
      <c r="AJ12" s="29">
        <v>7</v>
      </c>
      <c r="AK12" s="69">
        <v>1</v>
      </c>
      <c r="AL12" s="69">
        <v>1</v>
      </c>
      <c r="AM12" s="69">
        <v>1</v>
      </c>
      <c r="AN12" s="69">
        <v>1</v>
      </c>
      <c r="AO12" s="63" t="s">
        <v>51</v>
      </c>
      <c r="AP12" s="63" t="s">
        <v>51</v>
      </c>
      <c r="AQ12" s="63">
        <v>1</v>
      </c>
      <c r="AR12" s="63">
        <v>1</v>
      </c>
      <c r="AS12" s="63">
        <v>1</v>
      </c>
      <c r="AT12" s="63">
        <v>1</v>
      </c>
      <c r="AU12" s="63">
        <v>1</v>
      </c>
      <c r="AV12" s="63">
        <v>1</v>
      </c>
      <c r="AW12" s="63">
        <v>1</v>
      </c>
      <c r="AX12" s="63">
        <v>1</v>
      </c>
      <c r="AY12" s="63">
        <v>1</v>
      </c>
      <c r="AZ12" s="63">
        <v>1</v>
      </c>
      <c r="BA12" s="63">
        <v>1</v>
      </c>
      <c r="BB12" s="63">
        <v>1</v>
      </c>
      <c r="BC12" s="63" t="s">
        <v>51</v>
      </c>
      <c r="BD12" s="63" t="s">
        <v>51</v>
      </c>
      <c r="BE12" s="63">
        <v>1</v>
      </c>
      <c r="BF12" s="63">
        <v>1</v>
      </c>
      <c r="BG12" s="63">
        <v>1</v>
      </c>
      <c r="BH12" s="63">
        <v>1</v>
      </c>
      <c r="BI12" s="63">
        <v>1</v>
      </c>
      <c r="BJ12" s="63">
        <v>1</v>
      </c>
      <c r="BK12" s="63">
        <v>1</v>
      </c>
      <c r="BL12" s="63">
        <v>1</v>
      </c>
      <c r="BM12" s="63">
        <v>1</v>
      </c>
      <c r="BN12" s="63">
        <v>1</v>
      </c>
      <c r="BO12" s="63">
        <v>1</v>
      </c>
      <c r="BP12" s="63">
        <v>1</v>
      </c>
      <c r="BQ12" s="7">
        <f>BS12+BT12+BU12+BZ12+BW12+BY12+BX12</f>
        <v>30</v>
      </c>
      <c r="BR12" s="53">
        <v>0</v>
      </c>
      <c r="BS12" s="33">
        <f t="shared" si="13"/>
        <v>26</v>
      </c>
      <c r="BT12" s="34">
        <f t="shared" si="15"/>
        <v>4</v>
      </c>
      <c r="BU12" s="34">
        <f t="shared" si="16"/>
        <v>0</v>
      </c>
      <c r="BV12" s="34">
        <f t="shared" si="17"/>
        <v>0</v>
      </c>
      <c r="BW12" s="34">
        <f t="shared" si="18"/>
        <v>0</v>
      </c>
      <c r="BX12" s="34">
        <f t="shared" si="19"/>
        <v>0</v>
      </c>
      <c r="BY12" s="34">
        <f t="shared" si="20"/>
        <v>0</v>
      </c>
      <c r="BZ12" s="34">
        <f t="shared" si="21"/>
        <v>0</v>
      </c>
      <c r="CA12" s="34">
        <f t="shared" si="22"/>
        <v>0</v>
      </c>
      <c r="CB12" s="34">
        <f t="shared" si="23"/>
        <v>0</v>
      </c>
      <c r="CC12" s="34">
        <f t="shared" si="24"/>
        <v>0</v>
      </c>
      <c r="CD12" s="34">
        <f t="shared" si="25"/>
        <v>0</v>
      </c>
      <c r="CE12" s="35"/>
      <c r="CH12" s="32">
        <v>0</v>
      </c>
      <c r="CI12" s="32">
        <v>0</v>
      </c>
      <c r="CJ12" s="32">
        <v>0</v>
      </c>
      <c r="CK12" s="32">
        <v>0</v>
      </c>
      <c r="CL12" s="32">
        <v>0</v>
      </c>
      <c r="CM12" s="32">
        <v>0</v>
      </c>
      <c r="CN12" s="32">
        <v>0</v>
      </c>
      <c r="CO12" s="32">
        <v>0</v>
      </c>
      <c r="CP12" s="32">
        <v>0</v>
      </c>
      <c r="CQ12" s="32">
        <v>0</v>
      </c>
      <c r="CR12" s="38">
        <f>SUM(CH12:CQ12)</f>
        <v>0</v>
      </c>
    </row>
    <row r="13" spans="1:96" s="20" customFormat="1" ht="24" customHeight="1" x14ac:dyDescent="0.25">
      <c r="A13" s="29">
        <v>8</v>
      </c>
      <c r="B13" s="34" t="s">
        <v>23</v>
      </c>
      <c r="C13" s="31" t="s">
        <v>24</v>
      </c>
      <c r="D13" s="87">
        <v>41326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0"/>
      <c r="AJ13" s="29">
        <v>8</v>
      </c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 t="s">
        <v>100</v>
      </c>
      <c r="BP13" s="72" t="s">
        <v>100</v>
      </c>
      <c r="BQ13" s="7">
        <f t="shared" si="0"/>
        <v>0</v>
      </c>
      <c r="BR13" s="53">
        <v>0</v>
      </c>
      <c r="BS13" s="33">
        <f t="shared" si="13"/>
        <v>0</v>
      </c>
      <c r="BT13" s="34">
        <f t="shared" si="15"/>
        <v>0</v>
      </c>
      <c r="BU13" s="34">
        <f t="shared" si="16"/>
        <v>0</v>
      </c>
      <c r="BV13" s="34">
        <f t="shared" si="17"/>
        <v>0</v>
      </c>
      <c r="BW13" s="34">
        <f t="shared" si="18"/>
        <v>0</v>
      </c>
      <c r="BX13" s="34">
        <f t="shared" si="19"/>
        <v>0</v>
      </c>
      <c r="BY13" s="34">
        <f t="shared" si="20"/>
        <v>0</v>
      </c>
      <c r="BZ13" s="34">
        <f t="shared" si="21"/>
        <v>0</v>
      </c>
      <c r="CA13" s="34">
        <f t="shared" si="22"/>
        <v>0</v>
      </c>
      <c r="CB13" s="34">
        <f t="shared" si="23"/>
        <v>0</v>
      </c>
      <c r="CC13" s="34">
        <f t="shared" si="24"/>
        <v>0</v>
      </c>
      <c r="CD13" s="34">
        <f t="shared" si="25"/>
        <v>0</v>
      </c>
      <c r="CE13" s="35"/>
      <c r="CH13" s="32">
        <v>0</v>
      </c>
      <c r="CI13" s="29">
        <v>0</v>
      </c>
      <c r="CJ13" s="29">
        <v>18</v>
      </c>
      <c r="CK13" s="29">
        <v>0</v>
      </c>
      <c r="CL13" s="29">
        <v>0</v>
      </c>
      <c r="CM13" s="29">
        <v>8</v>
      </c>
      <c r="CN13" s="29">
        <v>0</v>
      </c>
      <c r="CO13" s="29">
        <v>0</v>
      </c>
      <c r="CP13" s="29">
        <v>0</v>
      </c>
      <c r="CQ13" s="29">
        <v>6</v>
      </c>
      <c r="CR13" s="38">
        <f>SUM(CH13:CQ13)</f>
        <v>32</v>
      </c>
    </row>
    <row r="14" spans="1:96" s="20" customFormat="1" ht="24" customHeight="1" x14ac:dyDescent="0.25">
      <c r="A14" s="29">
        <v>9</v>
      </c>
      <c r="B14" s="34" t="s">
        <v>17</v>
      </c>
      <c r="C14" s="31" t="s">
        <v>18</v>
      </c>
      <c r="D14" s="87">
        <v>35548</v>
      </c>
      <c r="E14" s="71">
        <v>46266.326631944445</v>
      </c>
      <c r="F14" s="71">
        <v>46264.966354166667</v>
      </c>
      <c r="G14" s="71">
        <v>46267.322118055556</v>
      </c>
      <c r="H14" s="71">
        <v>0</v>
      </c>
      <c r="I14" s="71">
        <v>46268.316550925927</v>
      </c>
      <c r="J14" s="71">
        <v>0</v>
      </c>
      <c r="K14" s="71">
        <v>0</v>
      </c>
      <c r="L14" s="71">
        <v>0</v>
      </c>
      <c r="M14" s="71">
        <v>46270.319166666668</v>
      </c>
      <c r="N14" s="71">
        <v>0</v>
      </c>
      <c r="O14" s="71">
        <v>46271.31790509259</v>
      </c>
      <c r="P14" s="71">
        <v>0</v>
      </c>
      <c r="Q14" s="71">
        <v>46272.322650462964</v>
      </c>
      <c r="R14" s="71">
        <v>0</v>
      </c>
      <c r="S14" s="71">
        <v>46273.320509259262</v>
      </c>
      <c r="T14" s="71">
        <v>0</v>
      </c>
      <c r="U14" s="71">
        <v>46274.321944444448</v>
      </c>
      <c r="V14" s="71">
        <v>0</v>
      </c>
      <c r="W14" s="71">
        <v>46275.320439814815</v>
      </c>
      <c r="X14" s="71">
        <v>0</v>
      </c>
      <c r="Y14" s="71">
        <v>46276.552222222221</v>
      </c>
      <c r="Z14" s="71">
        <v>0</v>
      </c>
      <c r="AA14" s="71">
        <v>46277.331724537034</v>
      </c>
      <c r="AB14" s="71">
        <v>0</v>
      </c>
      <c r="AC14" s="71">
        <v>46278.323344907411</v>
      </c>
      <c r="AD14" s="71">
        <v>0</v>
      </c>
      <c r="AE14" s="71">
        <v>46279.326643518521</v>
      </c>
      <c r="AF14" s="71">
        <v>0</v>
      </c>
      <c r="AG14" s="71">
        <v>46280.325162037036</v>
      </c>
      <c r="AH14" s="71">
        <v>0</v>
      </c>
      <c r="AI14" s="84"/>
      <c r="AJ14" s="29">
        <v>9</v>
      </c>
      <c r="AK14" s="71">
        <v>46281.323194444441</v>
      </c>
      <c r="AL14" s="71">
        <v>0</v>
      </c>
      <c r="AM14" s="92">
        <v>46282.321956018517</v>
      </c>
      <c r="AN14" s="71">
        <v>0</v>
      </c>
      <c r="AO14" s="71">
        <v>0</v>
      </c>
      <c r="AP14" s="71">
        <v>0</v>
      </c>
      <c r="AQ14" s="71">
        <v>46284.318553240744</v>
      </c>
      <c r="AR14" s="71">
        <v>0</v>
      </c>
      <c r="AS14" s="71">
        <v>46285.324502314812</v>
      </c>
      <c r="AT14" s="71">
        <v>0</v>
      </c>
      <c r="AU14" s="71">
        <v>46286.323587962965</v>
      </c>
      <c r="AV14" s="71">
        <v>0</v>
      </c>
      <c r="AW14" s="71">
        <v>46287.321157407408</v>
      </c>
      <c r="AX14" s="71">
        <v>46287.723738425928</v>
      </c>
      <c r="AY14" s="71">
        <v>46288.323634259257</v>
      </c>
      <c r="AZ14" s="71">
        <v>0</v>
      </c>
      <c r="BA14" s="71">
        <v>46289.322233796294</v>
      </c>
      <c r="BB14" s="71">
        <v>0</v>
      </c>
      <c r="BC14" s="71">
        <v>46290.553449074076</v>
      </c>
      <c r="BD14" s="71">
        <v>0</v>
      </c>
      <c r="BE14" s="71">
        <v>46291.322939814818</v>
      </c>
      <c r="BF14" s="71">
        <v>0</v>
      </c>
      <c r="BG14" s="71">
        <v>46292.326157407406</v>
      </c>
      <c r="BH14" s="71">
        <v>0</v>
      </c>
      <c r="BI14" s="71">
        <v>46293.32199074074</v>
      </c>
      <c r="BJ14" s="71">
        <v>0</v>
      </c>
      <c r="BK14" s="71">
        <v>46294.325798611113</v>
      </c>
      <c r="BL14" s="93">
        <v>0</v>
      </c>
      <c r="BM14" s="94">
        <v>46295.323750000003</v>
      </c>
      <c r="BN14" s="93">
        <v>0</v>
      </c>
      <c r="BO14" s="73">
        <v>0.31805555555555554</v>
      </c>
      <c r="BP14" s="73">
        <v>0.72777777777777775</v>
      </c>
      <c r="BQ14" s="7">
        <f t="shared" si="0"/>
        <v>30</v>
      </c>
      <c r="BR14" s="53">
        <v>4</v>
      </c>
      <c r="BS14" s="33">
        <f t="shared" si="13"/>
        <v>30</v>
      </c>
      <c r="BT14" s="34">
        <f t="shared" ref="BT14:BT31" si="26">COUNTIF(E14:BP14,"OFF")/2</f>
        <v>0</v>
      </c>
      <c r="BU14" s="34">
        <f t="shared" ref="BU14:BU31" si="27">COUNTIF(E14:BP14,"MC")/2</f>
        <v>0</v>
      </c>
      <c r="BV14" s="34">
        <f t="shared" ref="BV14:BV31" si="28">COUNTIF(E14:BP14,"EL")/2</f>
        <v>0</v>
      </c>
      <c r="BW14" s="34">
        <f t="shared" ref="BW14:BW31" si="29">COUNTIF(E14:BP14,"AL")/2</f>
        <v>0</v>
      </c>
      <c r="BX14" s="34">
        <f t="shared" ref="BX14:BX31" si="30">COUNTIF(E14:BN14,"SUS")/2</f>
        <v>0</v>
      </c>
      <c r="BY14" s="34">
        <f t="shared" ref="BY14:BY31" si="31">COUNTIF(E14:BN14,"FL")/2</f>
        <v>0</v>
      </c>
      <c r="BZ14" s="34">
        <f t="shared" ref="BZ14:BZ31" si="32">COUNTIF(E14:BP14,"SICK")/2</f>
        <v>0</v>
      </c>
      <c r="CA14" s="34">
        <f t="shared" ref="CA14:CA31" si="33">COUNTIF(E14:BN14,"HD")/2</f>
        <v>0</v>
      </c>
      <c r="CB14" s="34">
        <f t="shared" ref="CB14:CB31" si="34">COUNTIF(E14:BN14,"AB")/2</f>
        <v>0</v>
      </c>
      <c r="CC14" s="34">
        <f t="shared" ref="CC14:CC31" si="35">COUNTIF(E14:BN14,"NL")/2</f>
        <v>0</v>
      </c>
      <c r="CD14" s="34">
        <f t="shared" ref="CD14:CD31" si="36">COUNTIF(E14:BN14,"SP")/2</f>
        <v>0</v>
      </c>
      <c r="CE14" s="35"/>
      <c r="CH14" s="32">
        <v>0</v>
      </c>
      <c r="CI14" s="29">
        <v>0</v>
      </c>
      <c r="CJ14" s="29">
        <v>13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38">
        <f>SUM(CH14:CQ14)</f>
        <v>13</v>
      </c>
    </row>
    <row r="15" spans="1:96" s="20" customFormat="1" ht="24" customHeight="1" x14ac:dyDescent="0.25">
      <c r="A15" s="29">
        <v>10</v>
      </c>
      <c r="B15" s="34" t="s">
        <v>25</v>
      </c>
      <c r="C15" s="31" t="s">
        <v>26</v>
      </c>
      <c r="D15" s="87">
        <v>43591</v>
      </c>
      <c r="E15" s="71">
        <v>46266.363321759258</v>
      </c>
      <c r="F15" s="71">
        <v>46264.926354166666</v>
      </c>
      <c r="G15" s="71">
        <v>46267.38921296296</v>
      </c>
      <c r="H15" s="71">
        <v>46267.770474537036</v>
      </c>
      <c r="I15" s="71">
        <v>46268.004791666666</v>
      </c>
      <c r="J15" s="71">
        <v>0</v>
      </c>
      <c r="K15" s="71">
        <v>46269.579710648148</v>
      </c>
      <c r="L15" s="71">
        <v>46269.998935185184</v>
      </c>
      <c r="M15" s="71">
        <v>46270.377465277779</v>
      </c>
      <c r="N15" s="71">
        <v>46270.999826388892</v>
      </c>
      <c r="O15" s="71">
        <v>46271.377662037034</v>
      </c>
      <c r="P15" s="71">
        <v>46271.795335648145</v>
      </c>
      <c r="Q15" s="71">
        <v>46272.399050925924</v>
      </c>
      <c r="R15" s="71">
        <v>46272.990185185183</v>
      </c>
      <c r="S15" s="71">
        <v>46273.362534722219</v>
      </c>
      <c r="T15" s="71">
        <v>46273.995462962965</v>
      </c>
      <c r="U15" s="71">
        <v>46274.389930555553</v>
      </c>
      <c r="V15" s="71">
        <v>46274.990879629629</v>
      </c>
      <c r="W15" s="71">
        <v>46275.388726851852</v>
      </c>
      <c r="X15" s="71">
        <v>0</v>
      </c>
      <c r="Y15" s="71">
        <v>46276.584398148145</v>
      </c>
      <c r="Z15" s="71">
        <v>46276.981539351851</v>
      </c>
      <c r="AA15" s="71">
        <v>46277.377638888887</v>
      </c>
      <c r="AB15" s="71">
        <v>0</v>
      </c>
      <c r="AC15" s="71">
        <v>46278.416250000002</v>
      </c>
      <c r="AD15" s="71">
        <v>46278.983587962961</v>
      </c>
      <c r="AE15" s="71">
        <v>46279.385370370372</v>
      </c>
      <c r="AF15" s="71">
        <v>46279.750208333331</v>
      </c>
      <c r="AG15" s="71">
        <v>46280.410844907405</v>
      </c>
      <c r="AH15" s="71">
        <v>46280.986284722225</v>
      </c>
      <c r="AI15" s="70"/>
      <c r="AJ15" s="29">
        <v>10</v>
      </c>
      <c r="AK15" s="71">
        <v>46281.384629629632</v>
      </c>
      <c r="AL15" s="71">
        <v>46281.754965277774</v>
      </c>
      <c r="AM15" s="71">
        <v>46282.384120370371</v>
      </c>
      <c r="AN15" s="71">
        <v>0</v>
      </c>
      <c r="AO15" s="71">
        <v>46283.582708333335</v>
      </c>
      <c r="AP15" s="71">
        <v>46283.980081018519</v>
      </c>
      <c r="AQ15" s="71">
        <v>46284.38621527778</v>
      </c>
      <c r="AR15" s="71">
        <v>0</v>
      </c>
      <c r="AS15" s="71">
        <v>46285.026782407411</v>
      </c>
      <c r="AT15" s="71">
        <v>46285.984502314815</v>
      </c>
      <c r="AU15" s="101" t="s">
        <v>87</v>
      </c>
      <c r="AV15" s="101" t="s">
        <v>87</v>
      </c>
      <c r="AW15" s="71">
        <v>46287.369305555556</v>
      </c>
      <c r="AX15" s="71">
        <v>46287.986504629633</v>
      </c>
      <c r="AY15" s="71">
        <v>46288.376087962963</v>
      </c>
      <c r="AZ15" s="71">
        <v>46288.758819444447</v>
      </c>
      <c r="BA15" s="71">
        <v>0</v>
      </c>
      <c r="BB15" s="71">
        <v>0</v>
      </c>
      <c r="BC15" s="71">
        <v>46290.006168981483</v>
      </c>
      <c r="BD15" s="71">
        <v>46290.762199074074</v>
      </c>
      <c r="BE15" s="71">
        <v>46291.374780092592</v>
      </c>
      <c r="BF15" s="71">
        <v>0</v>
      </c>
      <c r="BG15" s="71">
        <v>0</v>
      </c>
      <c r="BH15" s="71">
        <v>46292.989074074074</v>
      </c>
      <c r="BI15" s="71">
        <v>46293.372395833336</v>
      </c>
      <c r="BJ15" s="71">
        <v>46293.983287037037</v>
      </c>
      <c r="BK15" s="71">
        <v>46294.377916666665</v>
      </c>
      <c r="BL15" s="95">
        <v>46294.983090277776</v>
      </c>
      <c r="BM15" s="94">
        <v>46295.376284722224</v>
      </c>
      <c r="BN15" s="94">
        <v>0</v>
      </c>
      <c r="BO15" s="77">
        <v>0.3756944444444445</v>
      </c>
      <c r="BP15" s="77">
        <v>0.77361111111111114</v>
      </c>
      <c r="BQ15" s="7">
        <f t="shared" si="0"/>
        <v>30</v>
      </c>
      <c r="BR15" s="53">
        <v>4</v>
      </c>
      <c r="BS15" s="33">
        <f t="shared" si="13"/>
        <v>29</v>
      </c>
      <c r="BT15" s="34">
        <f t="shared" si="26"/>
        <v>0</v>
      </c>
      <c r="BU15" s="34">
        <f t="shared" si="27"/>
        <v>0</v>
      </c>
      <c r="BV15" s="34">
        <f t="shared" si="28"/>
        <v>0</v>
      </c>
      <c r="BW15" s="34">
        <f t="shared" si="29"/>
        <v>0</v>
      </c>
      <c r="BX15" s="34">
        <f t="shared" si="30"/>
        <v>0</v>
      </c>
      <c r="BY15" s="34">
        <f t="shared" si="31"/>
        <v>0</v>
      </c>
      <c r="BZ15" s="34">
        <f t="shared" si="32"/>
        <v>1</v>
      </c>
      <c r="CA15" s="34">
        <f t="shared" si="33"/>
        <v>0</v>
      </c>
      <c r="CB15" s="34">
        <f t="shared" si="34"/>
        <v>0</v>
      </c>
      <c r="CC15" s="34">
        <f t="shared" si="35"/>
        <v>0</v>
      </c>
      <c r="CD15" s="34">
        <f t="shared" si="36"/>
        <v>0</v>
      </c>
      <c r="CE15" s="35" t="s">
        <v>75</v>
      </c>
      <c r="CH15" s="32">
        <v>0</v>
      </c>
      <c r="CI15" s="29">
        <v>0</v>
      </c>
      <c r="CJ15" s="29">
        <v>27</v>
      </c>
      <c r="CK15" s="29">
        <v>0</v>
      </c>
      <c r="CL15" s="29">
        <v>0</v>
      </c>
      <c r="CM15" s="29">
        <v>8</v>
      </c>
      <c r="CN15" s="29">
        <v>0</v>
      </c>
      <c r="CO15" s="29">
        <v>0</v>
      </c>
      <c r="CP15" s="29">
        <v>0</v>
      </c>
      <c r="CQ15" s="29">
        <v>0</v>
      </c>
      <c r="CR15" s="38">
        <f>SUM(CH15:CQ15)</f>
        <v>35</v>
      </c>
    </row>
    <row r="16" spans="1:96" s="20" customFormat="1" ht="24" customHeight="1" x14ac:dyDescent="0.25">
      <c r="A16" s="29">
        <v>11</v>
      </c>
      <c r="B16" s="34" t="s">
        <v>29</v>
      </c>
      <c r="C16" s="31" t="s">
        <v>30</v>
      </c>
      <c r="D16" s="87">
        <v>43542</v>
      </c>
      <c r="E16" s="71">
        <v>46266.338807870372</v>
      </c>
      <c r="F16" s="71">
        <v>46264.93818287037</v>
      </c>
      <c r="G16" s="71">
        <v>46267.340046296296</v>
      </c>
      <c r="H16" s="71">
        <v>46267.964131944442</v>
      </c>
      <c r="I16" s="71">
        <v>46268.340601851851</v>
      </c>
      <c r="J16" s="71">
        <v>46268.9765162037</v>
      </c>
      <c r="K16" s="71">
        <v>46269.575567129628</v>
      </c>
      <c r="L16" s="71">
        <v>46269.958680555559</v>
      </c>
      <c r="M16" s="71">
        <v>46270.341435185182</v>
      </c>
      <c r="N16" s="71">
        <v>46270.971562500003</v>
      </c>
      <c r="O16" s="71">
        <v>46271.343356481484</v>
      </c>
      <c r="P16" s="71">
        <v>46271.957557870373</v>
      </c>
      <c r="Q16" s="71">
        <v>46272.340671296297</v>
      </c>
      <c r="R16" s="71">
        <v>46272.963518518518</v>
      </c>
      <c r="S16" s="71">
        <v>46273.339143518519</v>
      </c>
      <c r="T16" s="71">
        <v>46273.963912037034</v>
      </c>
      <c r="U16" s="71">
        <v>46274.342986111114</v>
      </c>
      <c r="V16" s="71">
        <v>46274.955787037034</v>
      </c>
      <c r="W16" s="71">
        <v>46275.344872685186</v>
      </c>
      <c r="X16" s="71">
        <v>46275.976087962961</v>
      </c>
      <c r="Y16" s="104" t="s">
        <v>51</v>
      </c>
      <c r="Z16" s="104" t="s">
        <v>51</v>
      </c>
      <c r="AA16" s="71">
        <v>46277.341886574075</v>
      </c>
      <c r="AB16" s="71">
        <v>46277.971817129626</v>
      </c>
      <c r="AC16" s="71">
        <v>46278.341747685183</v>
      </c>
      <c r="AD16" s="71">
        <v>46278.953217592592</v>
      </c>
      <c r="AE16" s="71">
        <v>46279.342141203706</v>
      </c>
      <c r="AF16" s="71">
        <v>46279.956724537034</v>
      </c>
      <c r="AG16" s="71">
        <v>46280.342546296299</v>
      </c>
      <c r="AH16" s="71">
        <v>46280.957673611112</v>
      </c>
      <c r="AI16" s="70"/>
      <c r="AJ16" s="29">
        <v>11</v>
      </c>
      <c r="AK16" s="71">
        <v>46281.342627314814</v>
      </c>
      <c r="AL16" s="71">
        <v>46281.954108796293</v>
      </c>
      <c r="AM16" s="71">
        <v>46282.338888888888</v>
      </c>
      <c r="AN16" s="71">
        <v>46282.973773148151</v>
      </c>
      <c r="AO16" s="71">
        <v>46283.575300925928</v>
      </c>
      <c r="AP16" s="71">
        <v>46283.957442129627</v>
      </c>
      <c r="AQ16" s="71">
        <v>46284.344768518517</v>
      </c>
      <c r="AR16" s="71">
        <v>46284.970231481479</v>
      </c>
      <c r="AS16" s="71">
        <v>46285.340451388889</v>
      </c>
      <c r="AT16" s="71">
        <v>46285.958101851851</v>
      </c>
      <c r="AU16" s="71">
        <v>46286.343738425923</v>
      </c>
      <c r="AV16" s="71">
        <v>46286.956909722219</v>
      </c>
      <c r="AW16" s="71">
        <v>46287.341157407405</v>
      </c>
      <c r="AX16" s="71">
        <v>46287.956944444442</v>
      </c>
      <c r="AY16" s="71">
        <v>46288.339814814812</v>
      </c>
      <c r="AZ16" s="71">
        <v>46288.962557870371</v>
      </c>
      <c r="BA16" s="71">
        <v>46289.335694444446</v>
      </c>
      <c r="BB16" s="71">
        <v>46289.978912037041</v>
      </c>
      <c r="BC16" s="63" t="s">
        <v>51</v>
      </c>
      <c r="BD16" s="63" t="s">
        <v>51</v>
      </c>
      <c r="BE16" s="101" t="s">
        <v>87</v>
      </c>
      <c r="BF16" s="101" t="s">
        <v>87</v>
      </c>
      <c r="BG16" s="101" t="s">
        <v>87</v>
      </c>
      <c r="BH16" s="101" t="s">
        <v>87</v>
      </c>
      <c r="BI16" s="71">
        <v>46293.3440162037</v>
      </c>
      <c r="BJ16" s="71">
        <v>0</v>
      </c>
      <c r="BK16" s="71">
        <v>46294.343009259261</v>
      </c>
      <c r="BL16" s="71">
        <v>46294.963935185187</v>
      </c>
      <c r="BM16" s="71">
        <v>46295.346400462964</v>
      </c>
      <c r="BN16" s="71">
        <v>46295.964212962965</v>
      </c>
      <c r="BO16" s="71">
        <v>46265.34171296296</v>
      </c>
      <c r="BP16" s="71">
        <v>0.95694444444444438</v>
      </c>
      <c r="BQ16" s="7">
        <f t="shared" si="0"/>
        <v>30</v>
      </c>
      <c r="BR16" s="53">
        <v>2</v>
      </c>
      <c r="BS16" s="33">
        <f t="shared" si="13"/>
        <v>26</v>
      </c>
      <c r="BT16" s="34">
        <f t="shared" si="26"/>
        <v>2</v>
      </c>
      <c r="BU16" s="34">
        <f t="shared" si="27"/>
        <v>0</v>
      </c>
      <c r="BV16" s="34">
        <f t="shared" si="28"/>
        <v>0</v>
      </c>
      <c r="BW16" s="34">
        <f t="shared" si="29"/>
        <v>0</v>
      </c>
      <c r="BX16" s="34">
        <f t="shared" si="30"/>
        <v>0</v>
      </c>
      <c r="BY16" s="34">
        <f t="shared" si="31"/>
        <v>0</v>
      </c>
      <c r="BZ16" s="34">
        <f t="shared" si="32"/>
        <v>2</v>
      </c>
      <c r="CA16" s="34">
        <f t="shared" si="33"/>
        <v>0</v>
      </c>
      <c r="CB16" s="34">
        <f t="shared" si="34"/>
        <v>0</v>
      </c>
      <c r="CC16" s="34">
        <f t="shared" si="35"/>
        <v>0</v>
      </c>
      <c r="CD16" s="34">
        <f t="shared" si="36"/>
        <v>0</v>
      </c>
      <c r="CE16" s="35" t="s">
        <v>75</v>
      </c>
      <c r="CH16" s="32">
        <v>0</v>
      </c>
      <c r="CI16" s="29">
        <v>0</v>
      </c>
      <c r="CJ16" s="29">
        <v>20</v>
      </c>
      <c r="CK16" s="29">
        <v>0</v>
      </c>
      <c r="CL16" s="29">
        <v>0</v>
      </c>
      <c r="CM16" s="29">
        <v>2</v>
      </c>
      <c r="CN16" s="29">
        <v>0</v>
      </c>
      <c r="CO16" s="29">
        <v>0</v>
      </c>
      <c r="CP16" s="29">
        <v>0</v>
      </c>
      <c r="CQ16" s="29">
        <v>0</v>
      </c>
      <c r="CR16" s="38">
        <f t="shared" si="12"/>
        <v>22</v>
      </c>
    </row>
    <row r="17" spans="1:96" s="20" customFormat="1" ht="24" customHeight="1" x14ac:dyDescent="0.25">
      <c r="A17" s="29">
        <v>12</v>
      </c>
      <c r="B17" s="34" t="s">
        <v>31</v>
      </c>
      <c r="C17" s="31" t="s">
        <v>32</v>
      </c>
      <c r="D17" s="87">
        <v>44513</v>
      </c>
      <c r="E17" s="71">
        <v>46266.354189814818</v>
      </c>
      <c r="F17" s="71">
        <v>46264.729675925926</v>
      </c>
      <c r="G17" s="71">
        <v>46267.352835648147</v>
      </c>
      <c r="H17" s="71">
        <v>46267.926192129627</v>
      </c>
      <c r="I17" s="71">
        <v>46268.353564814817</v>
      </c>
      <c r="J17" s="71">
        <v>46268.979826388888</v>
      </c>
      <c r="K17" s="103" t="s">
        <v>51</v>
      </c>
      <c r="L17" s="103" t="s">
        <v>51</v>
      </c>
      <c r="M17" s="71">
        <v>46270.354756944442</v>
      </c>
      <c r="N17" s="71">
        <v>46270.975185185183</v>
      </c>
      <c r="O17" s="71">
        <v>46271.353912037041</v>
      </c>
      <c r="P17" s="71">
        <v>46271.947916666664</v>
      </c>
      <c r="Q17" s="71">
        <v>46272.354456018518</v>
      </c>
      <c r="R17" s="71">
        <v>46272.960578703707</v>
      </c>
      <c r="S17" s="71">
        <v>46273.355254629627</v>
      </c>
      <c r="T17" s="71">
        <v>46273.975254629629</v>
      </c>
      <c r="U17" s="71">
        <v>46274.354618055557</v>
      </c>
      <c r="V17" s="71">
        <v>46274.961921296293</v>
      </c>
      <c r="W17" s="71">
        <v>46275.354618055557</v>
      </c>
      <c r="X17" s="71">
        <v>46275.982256944444</v>
      </c>
      <c r="Y17" s="71">
        <v>46276.579189814816</v>
      </c>
      <c r="Z17" s="71">
        <v>46276.960370370369</v>
      </c>
      <c r="AA17" s="71">
        <v>46277.356006944443</v>
      </c>
      <c r="AB17" s="71">
        <v>46277.976458333331</v>
      </c>
      <c r="AC17" s="71">
        <v>46278.355902777781</v>
      </c>
      <c r="AD17" s="71">
        <v>46278.955972222226</v>
      </c>
      <c r="AE17" s="71">
        <v>46279.353483796294</v>
      </c>
      <c r="AF17" s="71">
        <v>46279.962083333332</v>
      </c>
      <c r="AG17" s="71">
        <v>46280.355115740742</v>
      </c>
      <c r="AH17" s="71">
        <v>46280.949930555558</v>
      </c>
      <c r="AI17" s="70"/>
      <c r="AJ17" s="29">
        <v>12</v>
      </c>
      <c r="AK17" s="71">
        <v>46281.354432870372</v>
      </c>
      <c r="AL17" s="71">
        <v>46281.952939814815</v>
      </c>
      <c r="AM17" s="71">
        <v>46282.353055555555</v>
      </c>
      <c r="AN17" s="71">
        <v>46282.980474537035</v>
      </c>
      <c r="AO17" s="63" t="s">
        <v>51</v>
      </c>
      <c r="AP17" s="63" t="s">
        <v>51</v>
      </c>
      <c r="AQ17" s="71">
        <v>46284.353622685187</v>
      </c>
      <c r="AR17" s="71">
        <v>46284.975590277776</v>
      </c>
      <c r="AS17" s="71">
        <v>46285.353032407409</v>
      </c>
      <c r="AT17" s="71">
        <v>46285.966608796298</v>
      </c>
      <c r="AU17" s="71">
        <v>46286.354039351849</v>
      </c>
      <c r="AV17" s="71">
        <v>46286.962743055556</v>
      </c>
      <c r="AW17" s="71">
        <v>46287.354953703703</v>
      </c>
      <c r="AX17" s="71">
        <v>46287.968773148146</v>
      </c>
      <c r="AY17" s="71">
        <v>46288.354675925926</v>
      </c>
      <c r="AZ17" s="71">
        <v>46288.966458333336</v>
      </c>
      <c r="BA17" s="71">
        <v>46289.354537037034</v>
      </c>
      <c r="BB17" s="71">
        <v>46289.984212962961</v>
      </c>
      <c r="BC17" s="71">
        <v>46290.578622685185</v>
      </c>
      <c r="BD17" s="71">
        <v>46290.955520833333</v>
      </c>
      <c r="BE17" s="71">
        <v>46291.354201388887</v>
      </c>
      <c r="BF17" s="71">
        <v>46291.980393518519</v>
      </c>
      <c r="BG17" s="71">
        <v>46292.352233796293</v>
      </c>
      <c r="BH17" s="71">
        <v>46292.966331018521</v>
      </c>
      <c r="BI17" s="71">
        <v>46293.35423611111</v>
      </c>
      <c r="BJ17" s="71">
        <v>46293.961539351854</v>
      </c>
      <c r="BK17" s="71">
        <v>46294.353217592594</v>
      </c>
      <c r="BL17" s="71">
        <v>46294.967106481483</v>
      </c>
      <c r="BM17" s="71">
        <v>46295.355196759258</v>
      </c>
      <c r="BN17" s="71">
        <v>46295.960752314815</v>
      </c>
      <c r="BO17" s="71">
        <v>46265.353958333333</v>
      </c>
      <c r="BP17" s="71">
        <v>0.9472222222222223</v>
      </c>
      <c r="BQ17" s="7">
        <f t="shared" si="0"/>
        <v>30</v>
      </c>
      <c r="BR17" s="53">
        <v>2</v>
      </c>
      <c r="BS17" s="33">
        <f t="shared" si="13"/>
        <v>28</v>
      </c>
      <c r="BT17" s="34">
        <f t="shared" si="26"/>
        <v>2</v>
      </c>
      <c r="BU17" s="34">
        <f t="shared" si="27"/>
        <v>0</v>
      </c>
      <c r="BV17" s="34">
        <f t="shared" si="28"/>
        <v>0</v>
      </c>
      <c r="BW17" s="34">
        <f t="shared" si="29"/>
        <v>0</v>
      </c>
      <c r="BX17" s="34">
        <f t="shared" si="30"/>
        <v>0</v>
      </c>
      <c r="BY17" s="34">
        <f t="shared" si="31"/>
        <v>0</v>
      </c>
      <c r="BZ17" s="34">
        <f t="shared" si="32"/>
        <v>0</v>
      </c>
      <c r="CA17" s="34">
        <f t="shared" si="33"/>
        <v>0</v>
      </c>
      <c r="CB17" s="34">
        <f t="shared" si="34"/>
        <v>0</v>
      </c>
      <c r="CC17" s="34">
        <f t="shared" si="35"/>
        <v>0</v>
      </c>
      <c r="CD17" s="34">
        <f t="shared" si="36"/>
        <v>0</v>
      </c>
      <c r="CE17" s="35" t="s">
        <v>75</v>
      </c>
      <c r="CH17" s="32">
        <v>3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38">
        <f t="shared" si="12"/>
        <v>3</v>
      </c>
    </row>
    <row r="18" spans="1:96" s="20" customFormat="1" ht="24" customHeight="1" x14ac:dyDescent="0.25">
      <c r="A18" s="29">
        <v>13</v>
      </c>
      <c r="B18" s="34" t="s">
        <v>33</v>
      </c>
      <c r="C18" s="31" t="s">
        <v>34</v>
      </c>
      <c r="D18" s="87"/>
      <c r="E18" s="71">
        <v>0</v>
      </c>
      <c r="F18" s="71">
        <v>46264.962395833332</v>
      </c>
      <c r="G18" s="71">
        <v>0</v>
      </c>
      <c r="H18" s="71">
        <v>46267.947766203702</v>
      </c>
      <c r="I18" s="71">
        <v>0</v>
      </c>
      <c r="J18" s="71">
        <v>46268.965833333335</v>
      </c>
      <c r="K18" s="104" t="s">
        <v>51</v>
      </c>
      <c r="L18" s="104" t="s">
        <v>51</v>
      </c>
      <c r="M18" s="71">
        <v>0</v>
      </c>
      <c r="N18" s="71">
        <v>0</v>
      </c>
      <c r="O18" s="71">
        <v>46271.350034722222</v>
      </c>
      <c r="P18" s="71">
        <v>0</v>
      </c>
      <c r="Q18" s="71">
        <v>0</v>
      </c>
      <c r="R18" s="71">
        <v>46272.946701388886</v>
      </c>
      <c r="S18" s="71">
        <v>0</v>
      </c>
      <c r="T18" s="71">
        <v>46273.94972222222</v>
      </c>
      <c r="U18" s="71">
        <v>0</v>
      </c>
      <c r="V18" s="71">
        <v>46274.946319444447</v>
      </c>
      <c r="W18" s="71">
        <v>0</v>
      </c>
      <c r="X18" s="71">
        <v>46275.96303240741</v>
      </c>
      <c r="Y18" s="71">
        <v>46276.574942129628</v>
      </c>
      <c r="Z18" s="71">
        <v>46276.947893518518</v>
      </c>
      <c r="AA18" s="71">
        <v>0</v>
      </c>
      <c r="AB18" s="71">
        <v>46277.967488425929</v>
      </c>
      <c r="AC18" s="71">
        <v>46278.350555555553</v>
      </c>
      <c r="AD18" s="71">
        <v>0</v>
      </c>
      <c r="AE18" s="71">
        <v>46279.348564814813</v>
      </c>
      <c r="AF18" s="71">
        <v>0</v>
      </c>
      <c r="AG18" s="71">
        <v>0</v>
      </c>
      <c r="AH18" s="71">
        <v>46280.953842592593</v>
      </c>
      <c r="AI18" s="70"/>
      <c r="AJ18" s="29">
        <v>13</v>
      </c>
      <c r="AK18" s="71">
        <v>46281.348414351851</v>
      </c>
      <c r="AL18" s="71">
        <v>0</v>
      </c>
      <c r="AM18" s="71">
        <v>46282.348101851851</v>
      </c>
      <c r="AN18" s="71">
        <v>0</v>
      </c>
      <c r="AO18" s="63" t="s">
        <v>51</v>
      </c>
      <c r="AP18" s="63" t="s">
        <v>51</v>
      </c>
      <c r="AQ18" s="71">
        <v>46284.349675925929</v>
      </c>
      <c r="AR18" s="71">
        <v>0</v>
      </c>
      <c r="AS18" s="71">
        <v>0</v>
      </c>
      <c r="AT18" s="71">
        <v>46285.945798611108</v>
      </c>
      <c r="AU18" s="71">
        <v>0</v>
      </c>
      <c r="AV18" s="71">
        <v>46286.944756944446</v>
      </c>
      <c r="AW18" s="71">
        <v>0</v>
      </c>
      <c r="AX18" s="71">
        <v>46287.948229166665</v>
      </c>
      <c r="AY18" s="71">
        <v>0</v>
      </c>
      <c r="AZ18" s="71">
        <v>46288.949328703704</v>
      </c>
      <c r="BA18" s="71">
        <v>0</v>
      </c>
      <c r="BB18" s="71">
        <v>46289.965057870373</v>
      </c>
      <c r="BC18" s="71">
        <v>46290.574652777781</v>
      </c>
      <c r="BD18" s="71">
        <v>46290.947002314817</v>
      </c>
      <c r="BE18" s="71">
        <v>0</v>
      </c>
      <c r="BF18" s="71">
        <v>0</v>
      </c>
      <c r="BG18" s="71">
        <v>0</v>
      </c>
      <c r="BH18" s="71">
        <v>46292.946851851855</v>
      </c>
      <c r="BI18" s="71">
        <v>0</v>
      </c>
      <c r="BJ18" s="71">
        <v>46293.945960648147</v>
      </c>
      <c r="BK18" s="76">
        <v>0</v>
      </c>
      <c r="BL18" s="76">
        <v>46294.946817129632</v>
      </c>
      <c r="BM18" s="76">
        <v>0</v>
      </c>
      <c r="BN18" s="76">
        <v>46295.943981481483</v>
      </c>
      <c r="BO18" s="76">
        <v>0.34791666666666665</v>
      </c>
      <c r="BP18" s="76">
        <v>0.65416666666666667</v>
      </c>
      <c r="BQ18" s="7">
        <f t="shared" si="0"/>
        <v>30</v>
      </c>
      <c r="BR18" s="53">
        <v>2</v>
      </c>
      <c r="BS18" s="33">
        <f t="shared" si="13"/>
        <v>28</v>
      </c>
      <c r="BT18" s="34">
        <f t="shared" si="26"/>
        <v>2</v>
      </c>
      <c r="BU18" s="34">
        <f t="shared" si="27"/>
        <v>0</v>
      </c>
      <c r="BV18" s="34">
        <f t="shared" si="28"/>
        <v>0</v>
      </c>
      <c r="BW18" s="34">
        <f t="shared" si="29"/>
        <v>0</v>
      </c>
      <c r="BX18" s="34">
        <f t="shared" si="30"/>
        <v>0</v>
      </c>
      <c r="BY18" s="34">
        <f t="shared" si="31"/>
        <v>0</v>
      </c>
      <c r="BZ18" s="34">
        <f t="shared" si="32"/>
        <v>0</v>
      </c>
      <c r="CA18" s="34">
        <f t="shared" si="33"/>
        <v>0</v>
      </c>
      <c r="CB18" s="34">
        <f t="shared" si="34"/>
        <v>0</v>
      </c>
      <c r="CC18" s="34">
        <f t="shared" si="35"/>
        <v>0</v>
      </c>
      <c r="CD18" s="34">
        <f t="shared" si="36"/>
        <v>0</v>
      </c>
      <c r="CE18" s="35"/>
      <c r="CH18" s="32">
        <v>0</v>
      </c>
      <c r="CI18" s="29">
        <v>0</v>
      </c>
      <c r="CJ18" s="29">
        <v>0</v>
      </c>
      <c r="CK18" s="29">
        <v>0</v>
      </c>
      <c r="CL18" s="29">
        <v>1</v>
      </c>
      <c r="CM18" s="29">
        <v>4</v>
      </c>
      <c r="CN18" s="29">
        <v>0</v>
      </c>
      <c r="CO18" s="29">
        <v>3</v>
      </c>
      <c r="CP18" s="29">
        <v>0</v>
      </c>
      <c r="CQ18" s="29">
        <v>0</v>
      </c>
      <c r="CR18" s="38">
        <f t="shared" si="12"/>
        <v>8</v>
      </c>
    </row>
    <row r="19" spans="1:96" s="20" customFormat="1" ht="24" customHeight="1" x14ac:dyDescent="0.25">
      <c r="A19" s="29">
        <v>14</v>
      </c>
      <c r="B19" s="34" t="s">
        <v>35</v>
      </c>
      <c r="C19" s="31" t="s">
        <v>36</v>
      </c>
      <c r="D19" s="87">
        <v>44791</v>
      </c>
      <c r="E19" s="71">
        <v>46266.341319444444</v>
      </c>
      <c r="F19" s="71">
        <v>46264.940810185188</v>
      </c>
      <c r="G19" s="71">
        <v>46267.348483796297</v>
      </c>
      <c r="H19" s="71">
        <v>0</v>
      </c>
      <c r="I19" s="71">
        <v>46268.335717592592</v>
      </c>
      <c r="J19" s="71">
        <v>0</v>
      </c>
      <c r="K19" s="104" t="s">
        <v>51</v>
      </c>
      <c r="L19" s="104" t="s">
        <v>51</v>
      </c>
      <c r="M19" s="71">
        <v>46270.343564814815</v>
      </c>
      <c r="N19" s="71">
        <v>46270.895173611112</v>
      </c>
      <c r="O19" s="71">
        <v>0</v>
      </c>
      <c r="P19" s="71">
        <v>0</v>
      </c>
      <c r="Q19" s="71">
        <v>46272.342395833337</v>
      </c>
      <c r="R19" s="71">
        <v>46272.894803240742</v>
      </c>
      <c r="S19" s="71">
        <v>46273.338564814818</v>
      </c>
      <c r="T19" s="71">
        <v>46273.891342592593</v>
      </c>
      <c r="U19" s="71">
        <v>46274.341145833336</v>
      </c>
      <c r="V19" s="71">
        <v>0</v>
      </c>
      <c r="W19" s="71">
        <v>46275.327789351853</v>
      </c>
      <c r="X19" s="71">
        <v>0</v>
      </c>
      <c r="Y19" s="71">
        <v>46276.613645833335</v>
      </c>
      <c r="Z19" s="71">
        <v>0</v>
      </c>
      <c r="AA19" s="71">
        <v>46277.361342592594</v>
      </c>
      <c r="AB19" s="71">
        <v>0</v>
      </c>
      <c r="AC19" s="71">
        <v>46278.337476851855</v>
      </c>
      <c r="AD19" s="71">
        <v>46278.870057870372</v>
      </c>
      <c r="AE19" s="71">
        <v>46279.335648148146</v>
      </c>
      <c r="AF19" s="71">
        <v>46279.868877314817</v>
      </c>
      <c r="AG19" s="71">
        <v>46280.337233796294</v>
      </c>
      <c r="AH19" s="71">
        <v>46280.862372685187</v>
      </c>
      <c r="AI19" s="70"/>
      <c r="AJ19" s="29">
        <v>14</v>
      </c>
      <c r="AK19" s="71">
        <v>46281.337071759262</v>
      </c>
      <c r="AL19" s="71">
        <v>46281.864861111113</v>
      </c>
      <c r="AM19" s="71">
        <v>46282.335335648146</v>
      </c>
      <c r="AN19" s="71">
        <v>46282.858287037037</v>
      </c>
      <c r="AO19" s="63" t="s">
        <v>51</v>
      </c>
      <c r="AP19" s="63" t="s">
        <v>51</v>
      </c>
      <c r="AQ19" s="71">
        <v>46284.335509259261</v>
      </c>
      <c r="AR19" s="71">
        <v>0</v>
      </c>
      <c r="AS19" s="71">
        <v>46285.33834490741</v>
      </c>
      <c r="AT19" s="71">
        <v>46285.868483796294</v>
      </c>
      <c r="AU19" s="71">
        <v>46286.340636574074</v>
      </c>
      <c r="AV19" s="71">
        <v>0</v>
      </c>
      <c r="AW19" s="71">
        <v>46287.345138888886</v>
      </c>
      <c r="AX19" s="71">
        <v>46287.849490740744</v>
      </c>
      <c r="AY19" s="109" t="s">
        <v>87</v>
      </c>
      <c r="AZ19" s="109" t="s">
        <v>87</v>
      </c>
      <c r="BA19" s="109" t="s">
        <v>87</v>
      </c>
      <c r="BB19" s="109" t="s">
        <v>87</v>
      </c>
      <c r="BC19" s="108" t="s">
        <v>105</v>
      </c>
      <c r="BD19" s="108" t="s">
        <v>105</v>
      </c>
      <c r="BE19" s="108" t="s">
        <v>105</v>
      </c>
      <c r="BF19" s="108" t="s">
        <v>105</v>
      </c>
      <c r="BG19" s="71">
        <v>46292.338113425925</v>
      </c>
      <c r="BH19" s="71">
        <v>0</v>
      </c>
      <c r="BI19" s="71">
        <v>46293.348796296297</v>
      </c>
      <c r="BJ19" s="71">
        <v>0</v>
      </c>
      <c r="BK19" s="71">
        <v>46294.336446759262</v>
      </c>
      <c r="BL19" s="96">
        <v>46294.946817129632</v>
      </c>
      <c r="BM19" s="97">
        <v>0</v>
      </c>
      <c r="BN19" s="71">
        <v>46295.943981481483</v>
      </c>
      <c r="BO19" s="71">
        <v>0.32430555555555557</v>
      </c>
      <c r="BP19" s="71">
        <v>1</v>
      </c>
      <c r="BQ19" s="7">
        <f t="shared" si="0"/>
        <v>28</v>
      </c>
      <c r="BR19" s="53">
        <v>2</v>
      </c>
      <c r="BS19" s="33">
        <f t="shared" si="13"/>
        <v>24</v>
      </c>
      <c r="BT19" s="34">
        <f t="shared" si="26"/>
        <v>2</v>
      </c>
      <c r="BU19" s="34">
        <f t="shared" si="27"/>
        <v>0</v>
      </c>
      <c r="BV19" s="34">
        <f t="shared" si="28"/>
        <v>0</v>
      </c>
      <c r="BW19" s="34">
        <f t="shared" si="29"/>
        <v>0</v>
      </c>
      <c r="BX19" s="34">
        <f t="shared" si="30"/>
        <v>0</v>
      </c>
      <c r="BY19" s="34">
        <f t="shared" si="31"/>
        <v>0</v>
      </c>
      <c r="BZ19" s="34">
        <f t="shared" si="32"/>
        <v>2</v>
      </c>
      <c r="CA19" s="34">
        <f t="shared" si="33"/>
        <v>0</v>
      </c>
      <c r="CB19" s="34">
        <v>2</v>
      </c>
      <c r="CC19" s="34">
        <f t="shared" si="35"/>
        <v>0</v>
      </c>
      <c r="CD19" s="34">
        <f t="shared" si="36"/>
        <v>0</v>
      </c>
      <c r="CE19" s="5"/>
      <c r="CH19" s="32">
        <v>0</v>
      </c>
      <c r="CI19" s="29">
        <v>0</v>
      </c>
      <c r="CJ19" s="29">
        <v>0</v>
      </c>
      <c r="CK19" s="29">
        <v>24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38">
        <f t="shared" si="12"/>
        <v>24</v>
      </c>
    </row>
    <row r="20" spans="1:96" s="20" customFormat="1" ht="24" customHeight="1" x14ac:dyDescent="0.25">
      <c r="A20" s="29">
        <v>15</v>
      </c>
      <c r="B20" s="34" t="s">
        <v>39</v>
      </c>
      <c r="C20" s="31" t="s">
        <v>40</v>
      </c>
      <c r="D20" s="87">
        <v>45491</v>
      </c>
      <c r="E20" s="71">
        <v>46266.354571759257</v>
      </c>
      <c r="F20" s="71">
        <v>46264.936631944445</v>
      </c>
      <c r="G20" s="71">
        <v>46267.353159722225</v>
      </c>
      <c r="H20" s="71">
        <v>0</v>
      </c>
      <c r="I20" s="71">
        <v>46268.353321759256</v>
      </c>
      <c r="J20" s="71">
        <v>0</v>
      </c>
      <c r="K20" s="71">
        <v>46269.579699074071</v>
      </c>
      <c r="L20" s="71">
        <v>46269.952986111108</v>
      </c>
      <c r="M20" s="71">
        <v>0</v>
      </c>
      <c r="N20" s="71">
        <v>0</v>
      </c>
      <c r="O20" s="71">
        <v>0</v>
      </c>
      <c r="P20" s="71">
        <v>0</v>
      </c>
      <c r="Q20" s="101" t="s">
        <v>87</v>
      </c>
      <c r="R20" s="101" t="s">
        <v>87</v>
      </c>
      <c r="S20" s="71">
        <v>46273.352164351854</v>
      </c>
      <c r="T20" s="71">
        <v>0</v>
      </c>
      <c r="U20" s="71">
        <v>46274.354930555557</v>
      </c>
      <c r="V20" s="71">
        <v>0</v>
      </c>
      <c r="W20" s="71">
        <v>46275.358854166669</v>
      </c>
      <c r="X20" s="71">
        <v>0</v>
      </c>
      <c r="Y20" s="104" t="s">
        <v>51</v>
      </c>
      <c r="Z20" s="104" t="s">
        <v>51</v>
      </c>
      <c r="AA20" s="71">
        <v>46277.353622685187</v>
      </c>
      <c r="AB20" s="71">
        <v>0</v>
      </c>
      <c r="AC20" s="71">
        <v>0</v>
      </c>
      <c r="AD20" s="71">
        <v>0</v>
      </c>
      <c r="AE20" s="71">
        <v>0</v>
      </c>
      <c r="AF20" s="71">
        <v>46279.949918981481</v>
      </c>
      <c r="AG20" s="71">
        <v>46280.354548611111</v>
      </c>
      <c r="AH20" s="71">
        <v>0</v>
      </c>
      <c r="AI20" s="70"/>
      <c r="AJ20" s="29">
        <v>15</v>
      </c>
      <c r="AK20" s="98">
        <v>0</v>
      </c>
      <c r="AL20" s="98">
        <v>46281.952280092592</v>
      </c>
      <c r="AM20" s="101" t="s">
        <v>87</v>
      </c>
      <c r="AN20" s="101" t="s">
        <v>87</v>
      </c>
      <c r="AO20" s="98">
        <v>46283.583587962959</v>
      </c>
      <c r="AP20" s="98">
        <v>46283.947233796294</v>
      </c>
      <c r="AQ20" s="98">
        <v>46284.354861111111</v>
      </c>
      <c r="AR20" s="98">
        <v>0</v>
      </c>
      <c r="AS20" s="98">
        <v>46285.355162037034</v>
      </c>
      <c r="AT20" s="98">
        <v>0</v>
      </c>
      <c r="AU20" s="98">
        <v>46286.353587962964</v>
      </c>
      <c r="AV20" s="98">
        <v>0</v>
      </c>
      <c r="AW20" s="98">
        <v>46287.356863425928</v>
      </c>
      <c r="AX20" s="98">
        <v>0</v>
      </c>
      <c r="AY20" s="109" t="s">
        <v>87</v>
      </c>
      <c r="AZ20" s="109" t="s">
        <v>87</v>
      </c>
      <c r="BA20" s="98">
        <v>46289.353865740741</v>
      </c>
      <c r="BB20" s="71">
        <v>0</v>
      </c>
      <c r="BC20" s="98">
        <v>46290.632326388892</v>
      </c>
      <c r="BD20" s="98">
        <v>46290.951203703706</v>
      </c>
      <c r="BE20" s="98">
        <v>0</v>
      </c>
      <c r="BF20" s="98">
        <v>46291.971608796295</v>
      </c>
      <c r="BG20" s="98">
        <v>46292.354317129626</v>
      </c>
      <c r="BH20" s="98">
        <v>0</v>
      </c>
      <c r="BI20" s="71">
        <v>46293.354212962964</v>
      </c>
      <c r="BJ20" s="71">
        <v>0</v>
      </c>
      <c r="BK20" s="98">
        <v>46294.354108796295</v>
      </c>
      <c r="BL20" s="96">
        <v>0</v>
      </c>
      <c r="BM20" s="97">
        <v>46295.354155092595</v>
      </c>
      <c r="BN20" s="71">
        <v>0</v>
      </c>
      <c r="BO20" s="71">
        <v>1</v>
      </c>
      <c r="BP20" s="71">
        <v>0.95208333333333339</v>
      </c>
      <c r="BQ20" s="7">
        <f t="shared" si="0"/>
        <v>30</v>
      </c>
      <c r="BR20" s="53">
        <v>3</v>
      </c>
      <c r="BS20" s="33">
        <f t="shared" si="13"/>
        <v>26</v>
      </c>
      <c r="BT20" s="34">
        <f t="shared" si="26"/>
        <v>1</v>
      </c>
      <c r="BU20" s="34">
        <f t="shared" si="27"/>
        <v>0</v>
      </c>
      <c r="BV20" s="34">
        <f t="shared" si="28"/>
        <v>0</v>
      </c>
      <c r="BW20" s="34">
        <f t="shared" si="29"/>
        <v>0</v>
      </c>
      <c r="BX20" s="34">
        <f t="shared" si="30"/>
        <v>0</v>
      </c>
      <c r="BY20" s="34">
        <f t="shared" si="31"/>
        <v>0</v>
      </c>
      <c r="BZ20" s="34">
        <f t="shared" si="32"/>
        <v>3</v>
      </c>
      <c r="CA20" s="34">
        <f t="shared" si="33"/>
        <v>0</v>
      </c>
      <c r="CB20" s="34">
        <f t="shared" si="34"/>
        <v>0</v>
      </c>
      <c r="CC20" s="34">
        <f t="shared" si="35"/>
        <v>0</v>
      </c>
      <c r="CD20" s="34">
        <f t="shared" si="36"/>
        <v>0</v>
      </c>
      <c r="CE20" s="35"/>
      <c r="CH20" s="32">
        <v>0</v>
      </c>
      <c r="CI20" s="29">
        <v>11</v>
      </c>
      <c r="CJ20" s="29">
        <v>18</v>
      </c>
      <c r="CK20" s="29">
        <v>0</v>
      </c>
      <c r="CL20" s="29">
        <v>4</v>
      </c>
      <c r="CM20" s="29">
        <v>7</v>
      </c>
      <c r="CN20" s="29">
        <v>0</v>
      </c>
      <c r="CO20" s="29">
        <v>4</v>
      </c>
      <c r="CP20" s="29">
        <v>0</v>
      </c>
      <c r="CQ20" s="29">
        <v>0</v>
      </c>
      <c r="CR20" s="38">
        <f t="shared" si="12"/>
        <v>44</v>
      </c>
    </row>
    <row r="21" spans="1:96" s="20" customFormat="1" ht="24" customHeight="1" x14ac:dyDescent="0.25">
      <c r="A21" s="29">
        <v>16</v>
      </c>
      <c r="B21" s="34" t="s">
        <v>41</v>
      </c>
      <c r="C21" s="31" t="s">
        <v>42</v>
      </c>
      <c r="D21" s="87">
        <v>45509</v>
      </c>
      <c r="E21" s="71">
        <v>0</v>
      </c>
      <c r="F21" s="71">
        <v>46264.979120370372</v>
      </c>
      <c r="G21" s="101" t="s">
        <v>87</v>
      </c>
      <c r="H21" s="101" t="s">
        <v>87</v>
      </c>
      <c r="I21" s="71">
        <v>0</v>
      </c>
      <c r="J21" s="71">
        <v>46268.969189814816</v>
      </c>
      <c r="K21" s="71">
        <v>46269.583854166667</v>
      </c>
      <c r="L21" s="71">
        <v>46269.948842592596</v>
      </c>
      <c r="M21" s="71">
        <v>46270.353854166664</v>
      </c>
      <c r="N21" s="71">
        <v>0</v>
      </c>
      <c r="O21" s="71">
        <v>46271.35365740741</v>
      </c>
      <c r="P21" s="71">
        <v>0</v>
      </c>
      <c r="Q21" s="71">
        <v>46272.356145833335</v>
      </c>
      <c r="R21" s="71">
        <v>0</v>
      </c>
      <c r="S21" s="71">
        <v>46273.352280092593</v>
      </c>
      <c r="T21" s="71">
        <v>0</v>
      </c>
      <c r="U21" s="71">
        <v>46274.353020833332</v>
      </c>
      <c r="V21" s="71">
        <v>0</v>
      </c>
      <c r="W21" s="71">
        <v>46275.354791666665</v>
      </c>
      <c r="X21" s="71">
        <v>0</v>
      </c>
      <c r="Y21" s="104" t="s">
        <v>51</v>
      </c>
      <c r="Z21" s="104" t="s">
        <v>51</v>
      </c>
      <c r="AA21" s="71">
        <v>0</v>
      </c>
      <c r="AB21" s="71">
        <v>46277.958749999998</v>
      </c>
      <c r="AC21" s="71">
        <v>0</v>
      </c>
      <c r="AD21" s="71">
        <v>46278.946539351855</v>
      </c>
      <c r="AE21" s="71">
        <v>46279.353182870371</v>
      </c>
      <c r="AF21" s="71">
        <v>0</v>
      </c>
      <c r="AG21" s="72" t="s">
        <v>54</v>
      </c>
      <c r="AH21" s="72" t="s">
        <v>54</v>
      </c>
      <c r="AI21" s="70"/>
      <c r="AJ21" s="29">
        <v>16</v>
      </c>
      <c r="AK21" s="72" t="s">
        <v>54</v>
      </c>
      <c r="AL21" s="72" t="s">
        <v>54</v>
      </c>
      <c r="AM21" s="106" t="s">
        <v>54</v>
      </c>
      <c r="AN21" s="72" t="s">
        <v>54</v>
      </c>
      <c r="AO21" s="72" t="s">
        <v>54</v>
      </c>
      <c r="AP21" s="72" t="s">
        <v>54</v>
      </c>
      <c r="AQ21" s="72" t="s">
        <v>54</v>
      </c>
      <c r="AR21" s="72" t="s">
        <v>54</v>
      </c>
      <c r="AS21" s="72" t="s">
        <v>54</v>
      </c>
      <c r="AT21" s="72" t="s">
        <v>54</v>
      </c>
      <c r="AU21" s="72" t="s">
        <v>54</v>
      </c>
      <c r="AV21" s="72" t="s">
        <v>54</v>
      </c>
      <c r="AW21" s="72" t="s">
        <v>54</v>
      </c>
      <c r="AX21" s="72" t="s">
        <v>54</v>
      </c>
      <c r="AY21" s="72" t="s">
        <v>54</v>
      </c>
      <c r="AZ21" s="72" t="s">
        <v>54</v>
      </c>
      <c r="BA21" s="72" t="s">
        <v>54</v>
      </c>
      <c r="BB21" s="72" t="s">
        <v>54</v>
      </c>
      <c r="BC21" s="72" t="s">
        <v>54</v>
      </c>
      <c r="BD21" s="72" t="s">
        <v>54</v>
      </c>
      <c r="BE21" s="72" t="s">
        <v>54</v>
      </c>
      <c r="BF21" s="72" t="s">
        <v>54</v>
      </c>
      <c r="BG21" s="72" t="s">
        <v>54</v>
      </c>
      <c r="BH21" s="72" t="s">
        <v>54</v>
      </c>
      <c r="BI21" s="72" t="s">
        <v>54</v>
      </c>
      <c r="BJ21" s="72" t="s">
        <v>54</v>
      </c>
      <c r="BK21" s="72" t="s">
        <v>54</v>
      </c>
      <c r="BL21" s="72" t="s">
        <v>54</v>
      </c>
      <c r="BM21" s="72" t="s">
        <v>54</v>
      </c>
      <c r="BN21" s="72" t="s">
        <v>54</v>
      </c>
      <c r="BO21" s="71">
        <v>0.9784722222222223</v>
      </c>
      <c r="BP21" s="71">
        <v>1</v>
      </c>
      <c r="BQ21" s="7">
        <f t="shared" si="0"/>
        <v>30</v>
      </c>
      <c r="BR21" s="53">
        <v>1</v>
      </c>
      <c r="BS21" s="33">
        <f t="shared" si="13"/>
        <v>12</v>
      </c>
      <c r="BT21" s="34">
        <f t="shared" si="26"/>
        <v>1</v>
      </c>
      <c r="BU21" s="34">
        <f t="shared" si="27"/>
        <v>0</v>
      </c>
      <c r="BV21" s="34">
        <f t="shared" si="28"/>
        <v>0</v>
      </c>
      <c r="BW21" s="34">
        <f t="shared" si="29"/>
        <v>16</v>
      </c>
      <c r="BX21" s="34">
        <f t="shared" si="30"/>
        <v>0</v>
      </c>
      <c r="BY21" s="34">
        <f t="shared" si="31"/>
        <v>0</v>
      </c>
      <c r="BZ21" s="34">
        <f t="shared" si="32"/>
        <v>1</v>
      </c>
      <c r="CA21" s="34">
        <f t="shared" si="33"/>
        <v>0</v>
      </c>
      <c r="CB21" s="34">
        <f t="shared" si="34"/>
        <v>0</v>
      </c>
      <c r="CC21" s="34">
        <f t="shared" si="35"/>
        <v>0</v>
      </c>
      <c r="CD21" s="34">
        <f t="shared" si="36"/>
        <v>0</v>
      </c>
      <c r="CE21" s="35"/>
      <c r="CH21" s="32">
        <v>1</v>
      </c>
      <c r="CI21" s="29">
        <v>0</v>
      </c>
      <c r="CJ21" s="29">
        <v>0</v>
      </c>
      <c r="CK21" s="29">
        <v>0</v>
      </c>
      <c r="CL21" s="29">
        <v>0</v>
      </c>
      <c r="CM21" s="29">
        <v>14</v>
      </c>
      <c r="CN21" s="29">
        <v>0</v>
      </c>
      <c r="CO21" s="29">
        <v>3</v>
      </c>
      <c r="CP21" s="29">
        <v>0</v>
      </c>
      <c r="CQ21" s="29">
        <v>0</v>
      </c>
      <c r="CR21" s="38">
        <f t="shared" si="12"/>
        <v>18</v>
      </c>
    </row>
    <row r="22" spans="1:96" s="20" customFormat="1" ht="24" customHeight="1" x14ac:dyDescent="0.25">
      <c r="A22" s="29">
        <v>17</v>
      </c>
      <c r="B22" s="37" t="s">
        <v>43</v>
      </c>
      <c r="C22" s="31" t="s">
        <v>44</v>
      </c>
      <c r="D22" s="87">
        <v>45566</v>
      </c>
      <c r="E22" s="71">
        <v>46266.371145833335</v>
      </c>
      <c r="F22" s="71">
        <v>46264.958425925928</v>
      </c>
      <c r="G22" s="71">
        <v>46267.36509259259</v>
      </c>
      <c r="H22" s="71">
        <v>46267.745416666665</v>
      </c>
      <c r="I22" s="71">
        <v>46268.365891203706</v>
      </c>
      <c r="J22" s="71">
        <v>46268.731354166666</v>
      </c>
      <c r="K22" s="71">
        <v>46269.566851851851</v>
      </c>
      <c r="L22" s="71">
        <v>0</v>
      </c>
      <c r="M22" s="71">
        <v>46270.365925925929</v>
      </c>
      <c r="N22" s="71">
        <v>0</v>
      </c>
      <c r="O22" s="71">
        <v>46271.369166666664</v>
      </c>
      <c r="P22" s="71">
        <v>46271.759571759256</v>
      </c>
      <c r="Q22" s="71">
        <v>46272.368206018517</v>
      </c>
      <c r="R22" s="71">
        <v>0</v>
      </c>
      <c r="S22" s="71">
        <v>46273.36346064815</v>
      </c>
      <c r="T22" s="71">
        <v>46273.761956018519</v>
      </c>
      <c r="U22" s="71">
        <v>46274.359398148146</v>
      </c>
      <c r="V22" s="71">
        <v>0</v>
      </c>
      <c r="W22" s="71">
        <v>0</v>
      </c>
      <c r="X22" s="71">
        <v>46275.736203703702</v>
      </c>
      <c r="Y22" s="104" t="s">
        <v>51</v>
      </c>
      <c r="Z22" s="104" t="s">
        <v>51</v>
      </c>
      <c r="AA22" s="71">
        <v>46277.371238425927</v>
      </c>
      <c r="AB22" s="71">
        <v>46277.765185185184</v>
      </c>
      <c r="AC22" s="71">
        <v>46278.372731481482</v>
      </c>
      <c r="AD22" s="71">
        <v>46278.897152777776</v>
      </c>
      <c r="AE22" s="71">
        <v>46279.355428240742</v>
      </c>
      <c r="AF22" s="71">
        <v>46279.741157407407</v>
      </c>
      <c r="AG22" s="71">
        <v>46280.368831018517</v>
      </c>
      <c r="AH22" s="71">
        <v>46280.756099537037</v>
      </c>
      <c r="AI22" s="70"/>
      <c r="AJ22" s="29">
        <v>17</v>
      </c>
      <c r="AK22" s="71">
        <v>46281.363900462966</v>
      </c>
      <c r="AL22" s="71">
        <v>46281.749583333331</v>
      </c>
      <c r="AM22" s="71">
        <v>46282.373912037037</v>
      </c>
      <c r="AN22" s="71">
        <v>46282.709791666668</v>
      </c>
      <c r="AO22" s="71">
        <v>46283.57571759259</v>
      </c>
      <c r="AP22" s="71">
        <v>0</v>
      </c>
      <c r="AQ22" s="71">
        <v>46284.378182870372</v>
      </c>
      <c r="AR22" s="71">
        <v>0</v>
      </c>
      <c r="AS22" s="71">
        <v>46285.370092592595</v>
      </c>
      <c r="AT22" s="71">
        <v>46285.742893518516</v>
      </c>
      <c r="AU22" s="71">
        <v>46286.378969907404</v>
      </c>
      <c r="AV22" s="71">
        <v>46286.724849537037</v>
      </c>
      <c r="AW22" s="71" t="s">
        <v>87</v>
      </c>
      <c r="AX22" s="71" t="s">
        <v>87</v>
      </c>
      <c r="AY22" s="71">
        <v>46288.373518518521</v>
      </c>
      <c r="AZ22" s="71">
        <v>0</v>
      </c>
      <c r="BA22" s="71">
        <v>46289.377534722225</v>
      </c>
      <c r="BB22" s="71">
        <v>0</v>
      </c>
      <c r="BC22" s="63" t="s">
        <v>51</v>
      </c>
      <c r="BD22" s="63" t="s">
        <v>51</v>
      </c>
      <c r="BE22" s="71">
        <v>46291.372106481482</v>
      </c>
      <c r="BF22" s="71">
        <v>46291.725381944445</v>
      </c>
      <c r="BG22" s="71">
        <v>46292.374363425923</v>
      </c>
      <c r="BH22" s="71">
        <v>46292.74790509259</v>
      </c>
      <c r="BI22" s="71">
        <v>46293.374363425923</v>
      </c>
      <c r="BJ22" s="71">
        <v>0</v>
      </c>
      <c r="BK22" s="71">
        <v>46294.365393518521</v>
      </c>
      <c r="BL22" s="96">
        <v>0</v>
      </c>
      <c r="BM22" s="99">
        <v>46295.372881944444</v>
      </c>
      <c r="BN22" s="71">
        <v>46295.74790509259</v>
      </c>
      <c r="BO22" s="71">
        <v>0.36319444444444443</v>
      </c>
      <c r="BP22" s="71">
        <v>0.75694444444444453</v>
      </c>
      <c r="BQ22" s="7">
        <f t="shared" si="0"/>
        <v>30</v>
      </c>
      <c r="BR22" s="53">
        <v>2</v>
      </c>
      <c r="BS22" s="33">
        <f t="shared" si="13"/>
        <v>27</v>
      </c>
      <c r="BT22" s="34">
        <f t="shared" si="26"/>
        <v>2</v>
      </c>
      <c r="BU22" s="34">
        <f t="shared" si="27"/>
        <v>0</v>
      </c>
      <c r="BV22" s="34">
        <f t="shared" si="28"/>
        <v>0</v>
      </c>
      <c r="BW22" s="34">
        <f t="shared" si="29"/>
        <v>0</v>
      </c>
      <c r="BX22" s="34">
        <f t="shared" si="30"/>
        <v>0</v>
      </c>
      <c r="BY22" s="34">
        <f t="shared" si="31"/>
        <v>0</v>
      </c>
      <c r="BZ22" s="34">
        <f t="shared" si="32"/>
        <v>1</v>
      </c>
      <c r="CA22" s="34">
        <f t="shared" si="33"/>
        <v>0</v>
      </c>
      <c r="CB22" s="34">
        <f t="shared" si="34"/>
        <v>0</v>
      </c>
      <c r="CC22" s="34">
        <f t="shared" si="35"/>
        <v>0</v>
      </c>
      <c r="CD22" s="34">
        <f t="shared" si="36"/>
        <v>0</v>
      </c>
      <c r="CE22" s="35"/>
      <c r="CH22" s="32">
        <v>0</v>
      </c>
      <c r="CI22" s="29">
        <v>0</v>
      </c>
      <c r="CJ22" s="29">
        <v>30</v>
      </c>
      <c r="CK22" s="29">
        <v>0</v>
      </c>
      <c r="CL22" s="29">
        <v>0</v>
      </c>
      <c r="CM22" s="29">
        <v>5</v>
      </c>
      <c r="CN22" s="29">
        <v>0</v>
      </c>
      <c r="CO22" s="29">
        <v>0</v>
      </c>
      <c r="CP22" s="29">
        <v>0</v>
      </c>
      <c r="CQ22" s="29">
        <v>0</v>
      </c>
      <c r="CR22" s="38">
        <f t="shared" si="12"/>
        <v>35</v>
      </c>
    </row>
    <row r="23" spans="1:96" s="20" customFormat="1" ht="24" customHeight="1" x14ac:dyDescent="0.25">
      <c r="A23" s="29">
        <v>18</v>
      </c>
      <c r="B23" s="37" t="s">
        <v>45</v>
      </c>
      <c r="C23" s="31" t="s">
        <v>46</v>
      </c>
      <c r="D23" s="87">
        <v>45785</v>
      </c>
      <c r="E23" s="71">
        <v>46266.348564814813</v>
      </c>
      <c r="F23" s="71">
        <v>46264.972233796296</v>
      </c>
      <c r="G23" s="71">
        <v>46267.35083333333</v>
      </c>
      <c r="H23" s="71">
        <v>0</v>
      </c>
      <c r="I23" s="71">
        <v>46268.346493055556</v>
      </c>
      <c r="J23" s="71">
        <v>0</v>
      </c>
      <c r="K23" s="71">
        <v>46269.579444444447</v>
      </c>
      <c r="L23" s="71">
        <v>46269.98841435185</v>
      </c>
      <c r="M23" s="71">
        <v>46270.335590277777</v>
      </c>
      <c r="N23" s="71">
        <v>46270.998796296299</v>
      </c>
      <c r="O23" s="71">
        <v>46271.350497685184</v>
      </c>
      <c r="P23" s="71">
        <v>46271.951192129629</v>
      </c>
      <c r="Q23" s="71">
        <v>46272.340173611112</v>
      </c>
      <c r="R23" s="71">
        <v>0</v>
      </c>
      <c r="S23" s="71">
        <v>46273.351412037038</v>
      </c>
      <c r="T23" s="71">
        <v>0</v>
      </c>
      <c r="U23" s="71">
        <v>46274.392824074072</v>
      </c>
      <c r="V23" s="71">
        <v>0</v>
      </c>
      <c r="W23" s="71">
        <v>46275.368067129632</v>
      </c>
      <c r="X23" s="71">
        <v>0</v>
      </c>
      <c r="Y23" s="104" t="s">
        <v>51</v>
      </c>
      <c r="Z23" s="104" t="s">
        <v>51</v>
      </c>
      <c r="AA23" s="71">
        <v>46277.387465277781</v>
      </c>
      <c r="AB23" s="71">
        <v>0</v>
      </c>
      <c r="AC23" s="71">
        <v>46278.378032407411</v>
      </c>
      <c r="AD23" s="71">
        <v>0</v>
      </c>
      <c r="AE23" s="71">
        <v>46279.366203703707</v>
      </c>
      <c r="AF23" s="71">
        <v>0</v>
      </c>
      <c r="AG23" s="71">
        <v>46280.359259259261</v>
      </c>
      <c r="AH23" s="71">
        <v>0</v>
      </c>
      <c r="AI23" s="70"/>
      <c r="AJ23" s="29">
        <v>18</v>
      </c>
      <c r="AK23" s="71">
        <v>46281.344236111108</v>
      </c>
      <c r="AL23" s="71">
        <v>46281.983958333331</v>
      </c>
      <c r="AM23" s="71">
        <v>46282.354502314818</v>
      </c>
      <c r="AN23" s="71">
        <v>0</v>
      </c>
      <c r="AO23" s="71">
        <v>0</v>
      </c>
      <c r="AP23" s="71">
        <v>46283.948217592595</v>
      </c>
      <c r="AQ23" s="71">
        <v>46284.348263888889</v>
      </c>
      <c r="AR23" s="71">
        <v>46284.997291666667</v>
      </c>
      <c r="AS23" s="71">
        <v>46285.337870370371</v>
      </c>
      <c r="AT23" s="71">
        <v>0</v>
      </c>
      <c r="AU23" s="71">
        <v>46286.334351851852</v>
      </c>
      <c r="AV23" s="71">
        <v>46286.946250000001</v>
      </c>
      <c r="AW23" s="71">
        <v>46287.336863425924</v>
      </c>
      <c r="AX23" s="71">
        <v>46287.983784722222</v>
      </c>
      <c r="AY23" s="71">
        <v>46288.340092592596</v>
      </c>
      <c r="AZ23" s="71">
        <v>0</v>
      </c>
      <c r="BA23" s="71">
        <v>46289.344259259262</v>
      </c>
      <c r="BB23" s="71">
        <v>46289.976134259261</v>
      </c>
      <c r="BC23" s="63" t="s">
        <v>51</v>
      </c>
      <c r="BD23" s="63" t="s">
        <v>51</v>
      </c>
      <c r="BE23" s="71">
        <v>46291.354988425926</v>
      </c>
      <c r="BF23" s="71">
        <v>46291.985590277778</v>
      </c>
      <c r="BG23" s="71">
        <v>46292.338541666664</v>
      </c>
      <c r="BH23" s="71">
        <v>46292.986273148148</v>
      </c>
      <c r="BI23" s="71">
        <v>46293.338391203702</v>
      </c>
      <c r="BJ23" s="71">
        <v>0</v>
      </c>
      <c r="BK23" s="71">
        <v>46294.380578703705</v>
      </c>
      <c r="BL23" s="96">
        <v>46294.969305555554</v>
      </c>
      <c r="BM23" s="71">
        <v>46295.377766203703</v>
      </c>
      <c r="BN23" s="71">
        <v>46295.979942129627</v>
      </c>
      <c r="BO23" s="74" t="s">
        <v>87</v>
      </c>
      <c r="BP23" s="74" t="s">
        <v>87</v>
      </c>
      <c r="BQ23" s="7">
        <f>BS23+BT23+BU23+BZ23+BW23+BY23+BX23</f>
        <v>30</v>
      </c>
      <c r="BR23" s="53">
        <v>2</v>
      </c>
      <c r="BS23" s="33">
        <f t="shared" si="13"/>
        <v>28</v>
      </c>
      <c r="BT23" s="34">
        <f t="shared" si="26"/>
        <v>2</v>
      </c>
      <c r="BU23" s="34">
        <f t="shared" si="27"/>
        <v>0</v>
      </c>
      <c r="BV23" s="34">
        <f t="shared" si="28"/>
        <v>0</v>
      </c>
      <c r="BW23" s="34">
        <f t="shared" si="29"/>
        <v>0</v>
      </c>
      <c r="BX23" s="34">
        <f t="shared" si="30"/>
        <v>0</v>
      </c>
      <c r="BY23" s="34">
        <f t="shared" si="31"/>
        <v>0</v>
      </c>
      <c r="BZ23" s="34">
        <v>0</v>
      </c>
      <c r="CA23" s="34">
        <f t="shared" si="33"/>
        <v>0</v>
      </c>
      <c r="CB23" s="34">
        <f t="shared" si="34"/>
        <v>0</v>
      </c>
      <c r="CC23" s="34">
        <f t="shared" si="35"/>
        <v>0</v>
      </c>
      <c r="CD23" s="34">
        <f t="shared" si="36"/>
        <v>0</v>
      </c>
      <c r="CE23" s="35"/>
      <c r="CH23" s="32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38">
        <f t="shared" si="12"/>
        <v>0</v>
      </c>
    </row>
    <row r="24" spans="1:96" s="20" customFormat="1" ht="24" customHeight="1" x14ac:dyDescent="0.25">
      <c r="A24" s="29">
        <v>19</v>
      </c>
      <c r="B24" s="37" t="s">
        <v>47</v>
      </c>
      <c r="C24" s="31" t="s">
        <v>48</v>
      </c>
      <c r="D24" s="87">
        <v>45826</v>
      </c>
      <c r="E24" s="71">
        <v>46266.337916666664</v>
      </c>
      <c r="F24" s="71">
        <v>46264.964259259257</v>
      </c>
      <c r="G24" s="71">
        <v>46267.335266203707</v>
      </c>
      <c r="H24" s="71">
        <v>46267.947395833333</v>
      </c>
      <c r="I24" s="71">
        <v>46268.343113425923</v>
      </c>
      <c r="J24" s="71">
        <v>46268.970983796295</v>
      </c>
      <c r="K24" s="104" t="s">
        <v>51</v>
      </c>
      <c r="L24" s="104" t="s">
        <v>51</v>
      </c>
      <c r="M24" s="71">
        <v>46270.355636574073</v>
      </c>
      <c r="N24" s="71">
        <v>46270.956018518518</v>
      </c>
      <c r="O24" s="71">
        <v>46271.355567129627</v>
      </c>
      <c r="P24" s="71">
        <v>46271.940300925926</v>
      </c>
      <c r="Q24" s="71">
        <v>46272.353344907409</v>
      </c>
      <c r="R24" s="71">
        <v>0</v>
      </c>
      <c r="S24" s="71">
        <v>46273.354814814818</v>
      </c>
      <c r="T24" s="71">
        <v>0</v>
      </c>
      <c r="U24" s="71">
        <v>46274.353877314818</v>
      </c>
      <c r="V24" s="71">
        <v>46274.991331018522</v>
      </c>
      <c r="W24" s="71">
        <v>46275.365983796299</v>
      </c>
      <c r="X24" s="71">
        <v>0</v>
      </c>
      <c r="Y24" s="71">
        <v>0</v>
      </c>
      <c r="Z24" s="71">
        <v>46276.981979166667</v>
      </c>
      <c r="AA24" s="71">
        <v>46277.361458333333</v>
      </c>
      <c r="AB24" s="71">
        <v>0</v>
      </c>
      <c r="AC24" s="71">
        <v>46278.35601851852</v>
      </c>
      <c r="AD24" s="71">
        <v>0</v>
      </c>
      <c r="AE24" s="71">
        <v>46279.355833333335</v>
      </c>
      <c r="AF24" s="71">
        <v>0</v>
      </c>
      <c r="AG24" s="71">
        <v>46280.34710648148</v>
      </c>
      <c r="AH24" s="71">
        <v>0</v>
      </c>
      <c r="AI24" s="70"/>
      <c r="AJ24" s="29">
        <v>19</v>
      </c>
      <c r="AK24" s="71">
        <v>46281.355127314811</v>
      </c>
      <c r="AL24" s="71">
        <v>46281.938692129632</v>
      </c>
      <c r="AM24" s="92">
        <v>46282.34920138889</v>
      </c>
      <c r="AN24" s="71">
        <v>46282.951655092591</v>
      </c>
      <c r="AO24" s="71">
        <v>46283.578206018516</v>
      </c>
      <c r="AP24" s="71">
        <v>0</v>
      </c>
      <c r="AQ24" s="71">
        <v>46284.344305555554</v>
      </c>
      <c r="AR24" s="71">
        <v>0</v>
      </c>
      <c r="AS24" s="71">
        <v>46285.348402777781</v>
      </c>
      <c r="AT24" s="71">
        <v>46285.940636574072</v>
      </c>
      <c r="AU24" s="71">
        <v>46286.316793981481</v>
      </c>
      <c r="AV24" s="71">
        <v>46286.941400462965</v>
      </c>
      <c r="AW24" s="71">
        <v>46287.322615740741</v>
      </c>
      <c r="AX24" s="71">
        <v>46287.939236111109</v>
      </c>
      <c r="AY24" s="71">
        <v>46288.329872685186</v>
      </c>
      <c r="AZ24" s="71">
        <v>46288.983055555553</v>
      </c>
      <c r="BA24" s="71">
        <v>46289.339247685188</v>
      </c>
      <c r="BB24" s="71">
        <v>46289.975081018521</v>
      </c>
      <c r="BC24" s="71">
        <v>46290.582395833335</v>
      </c>
      <c r="BD24" s="71">
        <v>46290.929027777776</v>
      </c>
      <c r="BE24" s="71">
        <v>46291.32608796296</v>
      </c>
      <c r="BF24" s="71">
        <v>46291.980578703704</v>
      </c>
      <c r="BG24" s="71">
        <v>46292.347673611112</v>
      </c>
      <c r="BH24" s="71">
        <v>46292.949108796296</v>
      </c>
      <c r="BI24" s="101" t="s">
        <v>87</v>
      </c>
      <c r="BJ24" s="101" t="s">
        <v>87</v>
      </c>
      <c r="BK24" s="101" t="s">
        <v>87</v>
      </c>
      <c r="BL24" s="101" t="s">
        <v>87</v>
      </c>
      <c r="BM24" s="100">
        <v>0.35416666666666669</v>
      </c>
      <c r="BN24" s="71">
        <v>0</v>
      </c>
      <c r="BO24" s="71">
        <v>0.34722222222222227</v>
      </c>
      <c r="BP24" s="71">
        <v>0.97916666666666663</v>
      </c>
      <c r="BQ24" s="7">
        <f t="shared" si="0"/>
        <v>30</v>
      </c>
      <c r="BR24" s="53">
        <v>3</v>
      </c>
      <c r="BS24" s="33">
        <f t="shared" si="13"/>
        <v>27</v>
      </c>
      <c r="BT24" s="34">
        <f t="shared" si="26"/>
        <v>1</v>
      </c>
      <c r="BU24" s="34">
        <f t="shared" si="27"/>
        <v>0</v>
      </c>
      <c r="BV24" s="34">
        <f t="shared" si="28"/>
        <v>0</v>
      </c>
      <c r="BW24" s="34">
        <f t="shared" si="29"/>
        <v>0</v>
      </c>
      <c r="BX24" s="34">
        <f t="shared" si="30"/>
        <v>0</v>
      </c>
      <c r="BY24" s="34">
        <f t="shared" si="31"/>
        <v>0</v>
      </c>
      <c r="BZ24" s="34">
        <f t="shared" si="32"/>
        <v>2</v>
      </c>
      <c r="CA24" s="34">
        <f t="shared" si="33"/>
        <v>0</v>
      </c>
      <c r="CB24" s="34">
        <f t="shared" si="34"/>
        <v>0</v>
      </c>
      <c r="CC24" s="34">
        <f t="shared" si="35"/>
        <v>0</v>
      </c>
      <c r="CD24" s="34">
        <f t="shared" si="36"/>
        <v>0</v>
      </c>
      <c r="CE24" s="35"/>
      <c r="CH24" s="32">
        <v>0</v>
      </c>
      <c r="CI24" s="29">
        <v>0</v>
      </c>
      <c r="CJ24" s="29">
        <v>4</v>
      </c>
      <c r="CK24" s="29">
        <v>0</v>
      </c>
      <c r="CL24" s="29">
        <v>10</v>
      </c>
      <c r="CM24" s="29">
        <v>2</v>
      </c>
      <c r="CN24" s="29">
        <v>0</v>
      </c>
      <c r="CO24" s="29">
        <v>0</v>
      </c>
      <c r="CP24" s="29">
        <v>0</v>
      </c>
      <c r="CQ24" s="29">
        <v>0</v>
      </c>
      <c r="CR24" s="38">
        <f t="shared" si="12"/>
        <v>16</v>
      </c>
    </row>
    <row r="25" spans="1:96" s="27" customFormat="1" ht="24" customHeight="1" x14ac:dyDescent="0.25">
      <c r="A25" s="29">
        <v>20</v>
      </c>
      <c r="B25" s="37" t="s">
        <v>84</v>
      </c>
      <c r="C25" s="31" t="s">
        <v>85</v>
      </c>
      <c r="D25" s="87">
        <v>45999</v>
      </c>
      <c r="E25" s="71">
        <v>46266.352685185186</v>
      </c>
      <c r="F25" s="71">
        <v>0</v>
      </c>
      <c r="G25" s="71">
        <v>46267.352638888886</v>
      </c>
      <c r="H25" s="71">
        <v>0</v>
      </c>
      <c r="I25" s="71">
        <v>46268.352696759262</v>
      </c>
      <c r="J25" s="71">
        <v>0</v>
      </c>
      <c r="K25" s="71">
        <v>46269.580104166664</v>
      </c>
      <c r="L25" s="71">
        <v>0</v>
      </c>
      <c r="M25" s="71">
        <v>46270.354085648149</v>
      </c>
      <c r="N25" s="71">
        <v>0</v>
      </c>
      <c r="O25" s="71">
        <v>46271.35429398148</v>
      </c>
      <c r="P25" s="71">
        <v>0</v>
      </c>
      <c r="Q25" s="71">
        <v>46272.355104166665</v>
      </c>
      <c r="R25" s="71">
        <v>0</v>
      </c>
      <c r="S25" s="71">
        <v>46273.353483796294</v>
      </c>
      <c r="T25" s="71">
        <v>0</v>
      </c>
      <c r="U25" s="101" t="s">
        <v>56</v>
      </c>
      <c r="V25" s="101" t="s">
        <v>56</v>
      </c>
      <c r="W25" s="71">
        <v>46275.355347222219</v>
      </c>
      <c r="X25" s="71">
        <v>0</v>
      </c>
      <c r="Y25" s="104" t="s">
        <v>51</v>
      </c>
      <c r="Z25" s="104" t="s">
        <v>51</v>
      </c>
      <c r="AA25" s="71">
        <v>46277.354884259257</v>
      </c>
      <c r="AB25" s="71">
        <v>0</v>
      </c>
      <c r="AC25" s="71">
        <v>46278.353680555556</v>
      </c>
      <c r="AD25" s="71">
        <v>0</v>
      </c>
      <c r="AE25" s="71">
        <v>46279.354062500002</v>
      </c>
      <c r="AF25" s="71">
        <v>0</v>
      </c>
      <c r="AG25" s="71">
        <v>46280.354675925926</v>
      </c>
      <c r="AH25" s="71">
        <v>0</v>
      </c>
      <c r="AI25" s="70"/>
      <c r="AJ25" s="29">
        <v>21</v>
      </c>
      <c r="AK25" s="71">
        <v>46281.353819444441</v>
      </c>
      <c r="AL25" s="71">
        <v>0</v>
      </c>
      <c r="AM25" s="71">
        <v>46282.354837962965</v>
      </c>
      <c r="AN25" s="71">
        <v>0</v>
      </c>
      <c r="AO25" s="71">
        <v>46283.580891203703</v>
      </c>
      <c r="AP25" s="71">
        <v>46283.935231481482</v>
      </c>
      <c r="AQ25" s="71">
        <v>46284.355474537035</v>
      </c>
      <c r="AR25" s="71">
        <v>46284.966932870368</v>
      </c>
      <c r="AS25" s="71">
        <v>46285.355810185189</v>
      </c>
      <c r="AT25" s="71">
        <v>46285.956250000003</v>
      </c>
      <c r="AU25" s="71">
        <v>46286.354548611111</v>
      </c>
      <c r="AV25" s="71">
        <v>46286.956689814811</v>
      </c>
      <c r="AW25" s="71">
        <v>46287.357488425929</v>
      </c>
      <c r="AX25" s="71">
        <v>0</v>
      </c>
      <c r="AY25" s="71">
        <v>46288.355451388888</v>
      </c>
      <c r="AZ25" s="71">
        <v>0</v>
      </c>
      <c r="BA25" s="71">
        <v>46289.355590277781</v>
      </c>
      <c r="BB25" s="71">
        <v>46289.958819444444</v>
      </c>
      <c r="BC25" s="63" t="s">
        <v>51</v>
      </c>
      <c r="BD25" s="63" t="s">
        <v>51</v>
      </c>
      <c r="BE25" s="71">
        <v>46291.355150462965</v>
      </c>
      <c r="BF25" s="71">
        <v>46291.950173611112</v>
      </c>
      <c r="BG25" s="71">
        <v>46292.352129629631</v>
      </c>
      <c r="BH25" s="71">
        <v>0</v>
      </c>
      <c r="BI25" s="71">
        <v>46293.351909722223</v>
      </c>
      <c r="BJ25" s="71">
        <v>0</v>
      </c>
      <c r="BK25" s="71">
        <v>46294.359490740739</v>
      </c>
      <c r="BL25" s="96">
        <v>0</v>
      </c>
      <c r="BM25" s="100">
        <v>46295.354768518519</v>
      </c>
      <c r="BN25" s="71">
        <v>0</v>
      </c>
      <c r="BO25" s="71">
        <v>0.35555555555555557</v>
      </c>
      <c r="BP25" s="71">
        <v>1</v>
      </c>
      <c r="BQ25" s="7">
        <f t="shared" si="0"/>
        <v>30</v>
      </c>
      <c r="BR25" s="53">
        <v>2</v>
      </c>
      <c r="BS25" s="33">
        <f t="shared" si="13"/>
        <v>27</v>
      </c>
      <c r="BT25" s="34">
        <f t="shared" si="26"/>
        <v>2</v>
      </c>
      <c r="BU25" s="34">
        <f t="shared" si="27"/>
        <v>0</v>
      </c>
      <c r="BV25" s="34">
        <f t="shared" si="28"/>
        <v>0</v>
      </c>
      <c r="BW25" s="34">
        <f t="shared" si="29"/>
        <v>0</v>
      </c>
      <c r="BX25" s="34">
        <f t="shared" si="30"/>
        <v>0</v>
      </c>
      <c r="BY25" s="34">
        <f t="shared" si="31"/>
        <v>1</v>
      </c>
      <c r="BZ25" s="34">
        <f t="shared" si="32"/>
        <v>0</v>
      </c>
      <c r="CA25" s="34">
        <f t="shared" si="33"/>
        <v>0</v>
      </c>
      <c r="CB25" s="34">
        <f t="shared" si="34"/>
        <v>0</v>
      </c>
      <c r="CC25" s="34">
        <f t="shared" si="35"/>
        <v>0</v>
      </c>
      <c r="CD25" s="34">
        <f t="shared" si="36"/>
        <v>0</v>
      </c>
      <c r="CE25" s="35"/>
      <c r="CH25" s="54">
        <v>0</v>
      </c>
      <c r="CI25" s="55">
        <v>0</v>
      </c>
      <c r="CJ25" s="55">
        <v>0</v>
      </c>
      <c r="CK25" s="55">
        <v>0</v>
      </c>
      <c r="CL25" s="55">
        <v>0</v>
      </c>
      <c r="CM25" s="55">
        <v>2</v>
      </c>
      <c r="CN25" s="55">
        <v>0</v>
      </c>
      <c r="CO25" s="55">
        <v>1</v>
      </c>
      <c r="CP25" s="55">
        <v>0</v>
      </c>
      <c r="CQ25" s="55">
        <v>0</v>
      </c>
      <c r="CR25" s="38">
        <f t="shared" si="12"/>
        <v>3</v>
      </c>
    </row>
    <row r="26" spans="1:96" s="27" customFormat="1" ht="24" customHeight="1" x14ac:dyDescent="0.25">
      <c r="A26" s="29">
        <v>21</v>
      </c>
      <c r="B26" s="37" t="s">
        <v>88</v>
      </c>
      <c r="C26" s="31" t="s">
        <v>89</v>
      </c>
      <c r="D26" s="87">
        <v>46157</v>
      </c>
      <c r="E26" s="71">
        <v>0</v>
      </c>
      <c r="F26" s="71">
        <v>46266.959143518521</v>
      </c>
      <c r="G26" s="101" t="s">
        <v>52</v>
      </c>
      <c r="H26" s="101" t="s">
        <v>52</v>
      </c>
      <c r="I26" s="71">
        <v>46268.34710648148</v>
      </c>
      <c r="J26" s="71">
        <v>46268.96733796296</v>
      </c>
      <c r="K26" s="71">
        <v>46269.5859375</v>
      </c>
      <c r="L26" s="71">
        <v>46269.948587962965</v>
      </c>
      <c r="M26" s="71">
        <v>0</v>
      </c>
      <c r="N26" s="71">
        <v>46270.971122685187</v>
      </c>
      <c r="O26" s="71">
        <v>0</v>
      </c>
      <c r="P26" s="71">
        <v>46271.950057870374</v>
      </c>
      <c r="Q26" s="71">
        <v>0</v>
      </c>
      <c r="R26" s="71">
        <v>46272.939421296294</v>
      </c>
      <c r="S26" s="101" t="s">
        <v>87</v>
      </c>
      <c r="T26" s="101" t="s">
        <v>87</v>
      </c>
      <c r="U26" s="71">
        <v>0</v>
      </c>
      <c r="V26" s="71">
        <v>46274.949479166666</v>
      </c>
      <c r="W26" s="71">
        <v>0</v>
      </c>
      <c r="X26" s="71">
        <v>46275.965868055559</v>
      </c>
      <c r="Y26" s="104" t="s">
        <v>51</v>
      </c>
      <c r="Z26" s="104" t="s">
        <v>51</v>
      </c>
      <c r="AA26" s="71">
        <v>0</v>
      </c>
      <c r="AB26" s="71">
        <v>46277.96770833333</v>
      </c>
      <c r="AC26" s="71">
        <v>0</v>
      </c>
      <c r="AD26" s="71">
        <v>0</v>
      </c>
      <c r="AE26" s="71">
        <v>0</v>
      </c>
      <c r="AF26" s="71">
        <v>46279.949004629627</v>
      </c>
      <c r="AG26" s="71">
        <v>0</v>
      </c>
      <c r="AH26" s="71">
        <v>46280.953969907408</v>
      </c>
      <c r="AI26" s="70"/>
      <c r="AJ26" s="29">
        <v>22</v>
      </c>
      <c r="AK26" s="71">
        <v>46281.353773148148</v>
      </c>
      <c r="AL26" s="71">
        <v>0</v>
      </c>
      <c r="AM26" s="92">
        <v>0</v>
      </c>
      <c r="AN26" s="71">
        <v>0</v>
      </c>
      <c r="AO26" s="71">
        <v>46283.580335648148</v>
      </c>
      <c r="AP26" s="71">
        <v>0</v>
      </c>
      <c r="AQ26" s="71">
        <v>0</v>
      </c>
      <c r="AR26" s="71">
        <v>0</v>
      </c>
      <c r="AS26" s="71">
        <v>0</v>
      </c>
      <c r="AT26" s="71">
        <v>46285.945497685185</v>
      </c>
      <c r="AU26" s="71">
        <v>0</v>
      </c>
      <c r="AV26" s="71">
        <v>46286.944861111115</v>
      </c>
      <c r="AW26" s="71">
        <v>0</v>
      </c>
      <c r="AX26" s="71">
        <v>46287.948321759257</v>
      </c>
      <c r="AY26" s="71">
        <v>0</v>
      </c>
      <c r="AZ26" s="71">
        <v>0</v>
      </c>
      <c r="BA26" s="71">
        <v>0</v>
      </c>
      <c r="BB26" s="71">
        <v>0</v>
      </c>
      <c r="BC26" s="63" t="s">
        <v>51</v>
      </c>
      <c r="BD26" s="63" t="s">
        <v>51</v>
      </c>
      <c r="BE26" s="71">
        <v>0</v>
      </c>
      <c r="BF26" s="71">
        <v>46291.971145833333</v>
      </c>
      <c r="BG26" s="71">
        <v>0</v>
      </c>
      <c r="BH26" s="71">
        <v>46292.947106481479</v>
      </c>
      <c r="BI26" s="71">
        <v>0</v>
      </c>
      <c r="BJ26" s="71">
        <v>46293.946076388886</v>
      </c>
      <c r="BK26" s="71">
        <v>0</v>
      </c>
      <c r="BL26" s="96">
        <v>46294.946053240739</v>
      </c>
      <c r="BM26" s="100">
        <v>0</v>
      </c>
      <c r="BN26" s="71">
        <v>0</v>
      </c>
      <c r="BO26" s="71">
        <v>0</v>
      </c>
      <c r="BP26" s="71">
        <v>0.95208333333333339</v>
      </c>
      <c r="BQ26" s="7">
        <f t="shared" si="0"/>
        <v>30</v>
      </c>
      <c r="BR26" s="53">
        <v>2</v>
      </c>
      <c r="BS26" s="33">
        <f t="shared" si="13"/>
        <v>26</v>
      </c>
      <c r="BT26" s="34">
        <f t="shared" si="26"/>
        <v>2</v>
      </c>
      <c r="BU26" s="34">
        <f t="shared" si="27"/>
        <v>1</v>
      </c>
      <c r="BV26" s="34">
        <f t="shared" si="28"/>
        <v>0</v>
      </c>
      <c r="BW26" s="34">
        <f t="shared" si="29"/>
        <v>0</v>
      </c>
      <c r="BX26" s="34">
        <f t="shared" si="30"/>
        <v>0</v>
      </c>
      <c r="BY26" s="34">
        <f t="shared" si="31"/>
        <v>0</v>
      </c>
      <c r="BZ26" s="34">
        <f t="shared" si="32"/>
        <v>1</v>
      </c>
      <c r="CA26" s="34">
        <f t="shared" si="33"/>
        <v>0</v>
      </c>
      <c r="CB26" s="34">
        <f t="shared" si="34"/>
        <v>0</v>
      </c>
      <c r="CC26" s="34">
        <f t="shared" si="35"/>
        <v>0</v>
      </c>
      <c r="CD26" s="34">
        <f t="shared" si="36"/>
        <v>0</v>
      </c>
      <c r="CE26" s="35"/>
      <c r="CH26" s="54">
        <v>0</v>
      </c>
      <c r="CI26" s="55">
        <v>0</v>
      </c>
      <c r="CJ26" s="55">
        <v>0</v>
      </c>
      <c r="CK26" s="55">
        <v>0</v>
      </c>
      <c r="CL26" s="55">
        <v>1</v>
      </c>
      <c r="CM26" s="55">
        <v>1</v>
      </c>
      <c r="CN26" s="55">
        <v>0</v>
      </c>
      <c r="CO26" s="55">
        <v>0</v>
      </c>
      <c r="CP26" s="55">
        <v>0</v>
      </c>
      <c r="CQ26" s="55">
        <v>0</v>
      </c>
      <c r="CR26" s="38">
        <f t="shared" ref="CR26:CR31" si="37">SUM(CH26:CQ26)</f>
        <v>2</v>
      </c>
    </row>
    <row r="27" spans="1:96" s="27" customFormat="1" ht="24" customHeight="1" x14ac:dyDescent="0.25">
      <c r="A27" s="29">
        <v>22</v>
      </c>
      <c r="B27" s="37" t="s">
        <v>93</v>
      </c>
      <c r="C27" s="31" t="s">
        <v>94</v>
      </c>
      <c r="D27" s="87">
        <v>46207</v>
      </c>
      <c r="E27" s="71">
        <v>46266.354050925926</v>
      </c>
      <c r="F27" s="71">
        <v>0</v>
      </c>
      <c r="G27" s="71">
        <v>46267.354710648149</v>
      </c>
      <c r="H27" s="71">
        <v>0</v>
      </c>
      <c r="I27" s="71">
        <v>46268.349560185183</v>
      </c>
      <c r="J27" s="71">
        <v>0</v>
      </c>
      <c r="K27" s="104" t="s">
        <v>51</v>
      </c>
      <c r="L27" s="104" t="s">
        <v>51</v>
      </c>
      <c r="M27" s="71">
        <v>46270.353726851848</v>
      </c>
      <c r="N27" s="71">
        <v>0</v>
      </c>
      <c r="O27" s="71">
        <v>46271.352986111109</v>
      </c>
      <c r="P27" s="71">
        <v>0</v>
      </c>
      <c r="Q27" s="71">
        <v>46272.354120370372</v>
      </c>
      <c r="R27" s="71">
        <v>0</v>
      </c>
      <c r="S27" s="71">
        <v>46273.354305555556</v>
      </c>
      <c r="T27" s="71">
        <v>0</v>
      </c>
      <c r="U27" s="71">
        <v>46274.354560185187</v>
      </c>
      <c r="V27" s="71">
        <v>0</v>
      </c>
      <c r="W27" s="71">
        <v>46275.359155092592</v>
      </c>
      <c r="X27" s="71">
        <v>0</v>
      </c>
      <c r="Y27" s="71">
        <v>46276.580474537041</v>
      </c>
      <c r="Z27" s="71">
        <v>46276.94798611111</v>
      </c>
      <c r="AA27" s="101" t="s">
        <v>87</v>
      </c>
      <c r="AB27" s="101" t="s">
        <v>87</v>
      </c>
      <c r="AC27" s="101" t="s">
        <v>87</v>
      </c>
      <c r="AD27" s="101" t="s">
        <v>87</v>
      </c>
      <c r="AE27" s="71">
        <v>46279.355034722219</v>
      </c>
      <c r="AF27" s="71">
        <v>0</v>
      </c>
      <c r="AG27" s="71">
        <v>46280.360497685186</v>
      </c>
      <c r="AH27" s="71">
        <v>0</v>
      </c>
      <c r="AI27" s="70"/>
      <c r="AJ27" s="29">
        <v>23</v>
      </c>
      <c r="AK27" s="71">
        <v>0</v>
      </c>
      <c r="AL27" s="71">
        <v>46281.952372685184</v>
      </c>
      <c r="AM27" s="71">
        <v>46282.354953703703</v>
      </c>
      <c r="AN27" s="71">
        <v>46281.952372685184</v>
      </c>
      <c r="AO27" s="71">
        <v>46283.583078703705</v>
      </c>
      <c r="AP27" s="71">
        <v>46283.947141203702</v>
      </c>
      <c r="AQ27" s="71">
        <v>0</v>
      </c>
      <c r="AR27" s="71">
        <v>0</v>
      </c>
      <c r="AS27" s="71">
        <v>46285.356689814813</v>
      </c>
      <c r="AT27" s="71">
        <v>0</v>
      </c>
      <c r="AU27" s="71">
        <v>46286.358414351853</v>
      </c>
      <c r="AV27" s="71">
        <v>0</v>
      </c>
      <c r="AW27" s="71">
        <v>46287.356990740744</v>
      </c>
      <c r="AX27" s="71">
        <v>0</v>
      </c>
      <c r="AY27" s="71">
        <v>46288.354398148149</v>
      </c>
      <c r="AZ27" s="71">
        <v>0</v>
      </c>
      <c r="BA27" s="71">
        <v>46289.353379629632</v>
      </c>
      <c r="BB27" s="71">
        <v>0</v>
      </c>
      <c r="BC27" s="63" t="s">
        <v>51</v>
      </c>
      <c r="BD27" s="63" t="s">
        <v>51</v>
      </c>
      <c r="BE27" s="71">
        <v>46291.355775462966</v>
      </c>
      <c r="BF27" s="71">
        <v>0</v>
      </c>
      <c r="BG27" s="71">
        <v>46292.35324074074</v>
      </c>
      <c r="BH27" s="71">
        <v>0</v>
      </c>
      <c r="BI27" s="71">
        <v>46293.355219907404</v>
      </c>
      <c r="BJ27" s="71">
        <v>0</v>
      </c>
      <c r="BK27" s="71">
        <v>46294.355567129627</v>
      </c>
      <c r="BL27" s="96">
        <v>0</v>
      </c>
      <c r="BM27" s="100">
        <v>46295.353495370371</v>
      </c>
      <c r="BN27" s="71">
        <v>0</v>
      </c>
      <c r="BO27" s="71">
        <v>0.35000000000000003</v>
      </c>
      <c r="BP27" s="71">
        <v>0</v>
      </c>
      <c r="BQ27" s="7">
        <f t="shared" si="0"/>
        <v>30</v>
      </c>
      <c r="BR27" s="53">
        <v>2</v>
      </c>
      <c r="BS27" s="33">
        <f t="shared" si="13"/>
        <v>26</v>
      </c>
      <c r="BT27" s="34">
        <f t="shared" si="26"/>
        <v>2</v>
      </c>
      <c r="BU27" s="34">
        <f t="shared" si="27"/>
        <v>0</v>
      </c>
      <c r="BV27" s="34">
        <f t="shared" si="28"/>
        <v>0</v>
      </c>
      <c r="BW27" s="34">
        <f t="shared" si="29"/>
        <v>0</v>
      </c>
      <c r="BX27" s="34">
        <f t="shared" si="30"/>
        <v>0</v>
      </c>
      <c r="BY27" s="34">
        <f t="shared" si="31"/>
        <v>0</v>
      </c>
      <c r="BZ27" s="34">
        <f t="shared" si="32"/>
        <v>2</v>
      </c>
      <c r="CA27" s="34">
        <f t="shared" si="33"/>
        <v>0</v>
      </c>
      <c r="CB27" s="34">
        <f t="shared" si="34"/>
        <v>0</v>
      </c>
      <c r="CC27" s="34">
        <f t="shared" si="35"/>
        <v>0</v>
      </c>
      <c r="CD27" s="34">
        <f t="shared" si="36"/>
        <v>0</v>
      </c>
      <c r="CE27" s="35"/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1</v>
      </c>
      <c r="CN27" s="54">
        <v>0</v>
      </c>
      <c r="CO27" s="54">
        <v>0</v>
      </c>
      <c r="CP27" s="54">
        <v>0</v>
      </c>
      <c r="CQ27" s="54">
        <v>0</v>
      </c>
      <c r="CR27" s="38">
        <f t="shared" si="37"/>
        <v>1</v>
      </c>
    </row>
    <row r="28" spans="1:96" s="27" customFormat="1" ht="24" customHeight="1" x14ac:dyDescent="0.25">
      <c r="A28" s="29">
        <v>23</v>
      </c>
      <c r="B28" s="37" t="s">
        <v>95</v>
      </c>
      <c r="C28" s="31" t="s">
        <v>96</v>
      </c>
      <c r="D28" s="87">
        <v>46211</v>
      </c>
      <c r="E28" s="71">
        <v>46266.343842592592</v>
      </c>
      <c r="F28" s="71">
        <v>46264.94803240741</v>
      </c>
      <c r="G28" s="71">
        <v>46267.349502314813</v>
      </c>
      <c r="H28" s="71">
        <v>46267.957499999997</v>
      </c>
      <c r="I28" s="71">
        <v>46268.346701388888</v>
      </c>
      <c r="J28" s="71">
        <v>46268.992222222223</v>
      </c>
      <c r="K28" s="104" t="s">
        <v>51</v>
      </c>
      <c r="L28" s="104" t="s">
        <v>51</v>
      </c>
      <c r="M28" s="71">
        <v>46270.34888888889</v>
      </c>
      <c r="N28" s="71">
        <v>46270.96707175926</v>
      </c>
      <c r="O28" s="71">
        <v>46271.35297453704</v>
      </c>
      <c r="P28" s="71">
        <v>46271.947569444441</v>
      </c>
      <c r="Q28" s="71">
        <v>46272.352314814816</v>
      </c>
      <c r="R28" s="71">
        <v>46272.975312499999</v>
      </c>
      <c r="S28" s="71">
        <v>46273.35224537037</v>
      </c>
      <c r="T28" s="71">
        <v>46273.959965277776</v>
      </c>
      <c r="U28" s="71">
        <v>46274.345706018517</v>
      </c>
      <c r="V28" s="71">
        <v>46274.953402777777</v>
      </c>
      <c r="W28" s="71">
        <v>46275.353136574071</v>
      </c>
      <c r="X28" s="71">
        <v>0</v>
      </c>
      <c r="Y28" s="104" t="s">
        <v>51</v>
      </c>
      <c r="Z28" s="104" t="s">
        <v>51</v>
      </c>
      <c r="AA28" s="71">
        <v>46277.352280092593</v>
      </c>
      <c r="AB28" s="71">
        <v>46277.999155092592</v>
      </c>
      <c r="AC28" s="71">
        <v>46278.348622685182</v>
      </c>
      <c r="AD28" s="71">
        <v>0</v>
      </c>
      <c r="AE28" s="71">
        <v>46279.340775462966</v>
      </c>
      <c r="AF28" s="71">
        <v>46279.962152777778</v>
      </c>
      <c r="AG28" s="71">
        <v>46280.360868055555</v>
      </c>
      <c r="AH28" s="71">
        <v>46280.984907407408</v>
      </c>
      <c r="AI28" s="70"/>
      <c r="AJ28" s="29">
        <v>24</v>
      </c>
      <c r="AK28" s="71">
        <v>46281.355451388888</v>
      </c>
      <c r="AL28" s="71">
        <v>46281.947870370372</v>
      </c>
      <c r="AM28" s="71">
        <v>46282.352222222224</v>
      </c>
      <c r="AN28" s="71">
        <v>46282.978506944448</v>
      </c>
      <c r="AO28" s="71">
        <v>46283.579432870371</v>
      </c>
      <c r="AP28" s="71">
        <v>0</v>
      </c>
      <c r="AQ28" s="71">
        <v>46284.358946759261</v>
      </c>
      <c r="AR28" s="71">
        <v>46284.968287037038</v>
      </c>
      <c r="AS28" s="71">
        <v>46285.344548611109</v>
      </c>
      <c r="AT28" s="71">
        <v>46285.946342592593</v>
      </c>
      <c r="AU28" s="71">
        <v>46286.361840277779</v>
      </c>
      <c r="AV28" s="71">
        <v>46286.945833333331</v>
      </c>
      <c r="AW28" s="71">
        <v>46287.34815972222</v>
      </c>
      <c r="AX28" s="71">
        <v>46287.946817129632</v>
      </c>
      <c r="AY28" s="71">
        <v>46288.366585648146</v>
      </c>
      <c r="AZ28" s="71">
        <v>46288.950636574074</v>
      </c>
      <c r="BA28" s="71">
        <v>46289.355578703704</v>
      </c>
      <c r="BB28" s="71">
        <v>46289.969837962963</v>
      </c>
      <c r="BC28" s="71">
        <v>46290.577881944446</v>
      </c>
      <c r="BD28" s="71">
        <v>46290.945833333331</v>
      </c>
      <c r="BE28" s="71">
        <v>46291.348969907405</v>
      </c>
      <c r="BF28" s="71">
        <v>46291.973946759259</v>
      </c>
      <c r="BG28" s="71">
        <v>46292.34820601852</v>
      </c>
      <c r="BH28" s="71">
        <v>46292.948055555556</v>
      </c>
      <c r="BI28" s="71">
        <v>46293.353587962964</v>
      </c>
      <c r="BJ28" s="71">
        <v>46293.969340277778</v>
      </c>
      <c r="BK28" s="71">
        <v>46294.350949074076</v>
      </c>
      <c r="BL28" s="96">
        <v>46294.94840277778</v>
      </c>
      <c r="BM28" s="93">
        <v>46295.350057870368</v>
      </c>
      <c r="BN28" s="71">
        <v>46295.931574074071</v>
      </c>
      <c r="BO28" s="71">
        <v>0.35069444444444442</v>
      </c>
      <c r="BP28" s="71">
        <v>0.9506944444444444</v>
      </c>
      <c r="BQ28" s="7">
        <f t="shared" si="0"/>
        <v>30</v>
      </c>
      <c r="BR28" s="53">
        <v>2</v>
      </c>
      <c r="BS28" s="33">
        <f t="shared" si="13"/>
        <v>28</v>
      </c>
      <c r="BT28" s="34">
        <f t="shared" si="26"/>
        <v>2</v>
      </c>
      <c r="BU28" s="34">
        <f t="shared" si="27"/>
        <v>0</v>
      </c>
      <c r="BV28" s="34">
        <f t="shared" si="28"/>
        <v>0</v>
      </c>
      <c r="BW28" s="34">
        <f t="shared" si="29"/>
        <v>0</v>
      </c>
      <c r="BX28" s="34">
        <f t="shared" si="30"/>
        <v>0</v>
      </c>
      <c r="BY28" s="34">
        <f t="shared" si="31"/>
        <v>0</v>
      </c>
      <c r="BZ28" s="34">
        <f t="shared" si="32"/>
        <v>0</v>
      </c>
      <c r="CA28" s="34">
        <f t="shared" si="33"/>
        <v>0</v>
      </c>
      <c r="CB28" s="34">
        <f t="shared" si="34"/>
        <v>0</v>
      </c>
      <c r="CC28" s="34">
        <f t="shared" si="35"/>
        <v>0</v>
      </c>
      <c r="CD28" s="34">
        <f t="shared" si="36"/>
        <v>0</v>
      </c>
      <c r="CE28" s="35"/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>
        <v>0</v>
      </c>
      <c r="CP28" s="54">
        <v>0</v>
      </c>
      <c r="CQ28" s="54">
        <v>0</v>
      </c>
      <c r="CR28" s="38">
        <f t="shared" si="37"/>
        <v>0</v>
      </c>
    </row>
    <row r="29" spans="1:96" ht="24" customHeight="1" x14ac:dyDescent="0.25">
      <c r="A29" s="29">
        <v>24</v>
      </c>
      <c r="B29" s="37" t="s">
        <v>97</v>
      </c>
      <c r="C29" s="89" t="s">
        <v>98</v>
      </c>
      <c r="D29" s="87">
        <v>46256</v>
      </c>
      <c r="E29" s="71">
        <v>46266.352650462963</v>
      </c>
      <c r="F29" s="71">
        <v>46266.737118055556</v>
      </c>
      <c r="G29" s="71">
        <v>46267.35359953704</v>
      </c>
      <c r="H29" s="71">
        <v>46267.742407407408</v>
      </c>
      <c r="I29" s="71">
        <v>46263.348865740743</v>
      </c>
      <c r="J29" s="71">
        <v>46268.730069444442</v>
      </c>
      <c r="K29" s="71">
        <v>46269.576458333337</v>
      </c>
      <c r="L29" s="71">
        <v>46269.714837962965</v>
      </c>
      <c r="M29" s="71">
        <v>46270.353587962964</v>
      </c>
      <c r="N29" s="71">
        <v>46270.721689814818</v>
      </c>
      <c r="O29" s="101" t="s">
        <v>87</v>
      </c>
      <c r="P29" s="101" t="s">
        <v>87</v>
      </c>
      <c r="Q29" s="71">
        <v>46272.347384259258</v>
      </c>
      <c r="R29" s="71">
        <v>46272.755659722221</v>
      </c>
      <c r="S29" s="71">
        <v>46273.351574074077</v>
      </c>
      <c r="T29" s="71">
        <v>46273.709027777775</v>
      </c>
      <c r="U29" s="71">
        <v>46274.35229166667</v>
      </c>
      <c r="V29" s="71">
        <v>46274.712650462963</v>
      </c>
      <c r="W29" s="71">
        <v>46275.363287037035</v>
      </c>
      <c r="X29" s="71">
        <v>46275.722384259258</v>
      </c>
      <c r="Y29" s="104" t="s">
        <v>51</v>
      </c>
      <c r="Z29" s="104" t="s">
        <v>51</v>
      </c>
      <c r="AA29" s="71">
        <v>46277.354687500003</v>
      </c>
      <c r="AB29" s="71">
        <v>46277.718900462962</v>
      </c>
      <c r="AC29" s="71">
        <v>46278.351377314815</v>
      </c>
      <c r="AD29" s="71">
        <v>46278.742442129631</v>
      </c>
      <c r="AE29" s="71">
        <v>46279.352256944447</v>
      </c>
      <c r="AF29" s="71">
        <v>0</v>
      </c>
      <c r="AG29" s="101" t="s">
        <v>87</v>
      </c>
      <c r="AH29" s="101" t="s">
        <v>87</v>
      </c>
      <c r="AI29" s="70"/>
      <c r="AJ29" s="29">
        <v>25</v>
      </c>
      <c r="AK29" s="71">
        <v>46281.353125000001</v>
      </c>
      <c r="AL29" s="71">
        <v>46281.713483796295</v>
      </c>
      <c r="AM29" s="71">
        <v>46282.353773148148</v>
      </c>
      <c r="AN29" s="71">
        <v>46282.708368055559</v>
      </c>
      <c r="AO29" s="71">
        <v>46283.582430555558</v>
      </c>
      <c r="AP29" s="71">
        <v>46283.709421296298</v>
      </c>
      <c r="AQ29" s="71">
        <v>46284.355208333334</v>
      </c>
      <c r="AR29" s="71">
        <v>46284.719363425924</v>
      </c>
      <c r="AS29" s="71">
        <v>46285.365023148152</v>
      </c>
      <c r="AT29" s="71">
        <v>46285.713078703702</v>
      </c>
      <c r="AU29" s="71">
        <v>46286.35328703704</v>
      </c>
      <c r="AV29" s="71">
        <v>46286.712604166663</v>
      </c>
      <c r="AW29" s="71">
        <v>46287.355497685188</v>
      </c>
      <c r="AX29" s="71">
        <v>46287.729907407411</v>
      </c>
      <c r="AY29" s="71">
        <v>46288.353414351855</v>
      </c>
      <c r="AZ29" s="71">
        <v>46288.715231481481</v>
      </c>
      <c r="BA29" s="71">
        <v>46289.354618055557</v>
      </c>
      <c r="BB29" s="71">
        <v>46289.734375</v>
      </c>
      <c r="BC29" s="63" t="s">
        <v>51</v>
      </c>
      <c r="BD29" s="63" t="s">
        <v>51</v>
      </c>
      <c r="BE29" s="71">
        <v>46291.354513888888</v>
      </c>
      <c r="BF29" s="71">
        <v>46291.712291666663</v>
      </c>
      <c r="BG29" s="71">
        <v>46292.354016203702</v>
      </c>
      <c r="BH29" s="71">
        <v>46292.731076388889</v>
      </c>
      <c r="BI29" s="71">
        <v>46293.354166666664</v>
      </c>
      <c r="BJ29" s="71">
        <v>0.70833333333333337</v>
      </c>
      <c r="BK29" s="71">
        <v>46294.353807870371</v>
      </c>
      <c r="BL29" s="71">
        <v>46294.741168981483</v>
      </c>
      <c r="BM29" s="101" t="s">
        <v>87</v>
      </c>
      <c r="BN29" s="101" t="s">
        <v>87</v>
      </c>
      <c r="BO29" s="71">
        <v>46294.353807870371</v>
      </c>
      <c r="BP29" s="71">
        <v>0.72291666666666676</v>
      </c>
      <c r="BQ29" s="7">
        <f t="shared" si="0"/>
        <v>30</v>
      </c>
      <c r="BR29" s="53">
        <v>2</v>
      </c>
      <c r="BS29" s="33">
        <f t="shared" si="13"/>
        <v>25</v>
      </c>
      <c r="BT29" s="34">
        <f t="shared" si="26"/>
        <v>2</v>
      </c>
      <c r="BU29" s="34">
        <f t="shared" si="27"/>
        <v>0</v>
      </c>
      <c r="BV29" s="34">
        <f t="shared" si="28"/>
        <v>0</v>
      </c>
      <c r="BW29" s="34">
        <f t="shared" si="29"/>
        <v>0</v>
      </c>
      <c r="BX29" s="34">
        <f t="shared" si="30"/>
        <v>0</v>
      </c>
      <c r="BY29" s="34">
        <f t="shared" si="31"/>
        <v>0</v>
      </c>
      <c r="BZ29" s="34">
        <f t="shared" si="32"/>
        <v>3</v>
      </c>
      <c r="CA29" s="34">
        <f t="shared" si="33"/>
        <v>0</v>
      </c>
      <c r="CB29" s="34">
        <f t="shared" si="34"/>
        <v>0</v>
      </c>
      <c r="CC29" s="34">
        <f t="shared" si="35"/>
        <v>0</v>
      </c>
      <c r="CD29" s="34">
        <f t="shared" si="36"/>
        <v>0</v>
      </c>
      <c r="CE29" s="35"/>
      <c r="CF29" s="27"/>
      <c r="CG29" s="27"/>
      <c r="CH29" s="54">
        <v>1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>
        <v>0</v>
      </c>
      <c r="CP29" s="54">
        <v>0</v>
      </c>
      <c r="CQ29" s="54">
        <v>0</v>
      </c>
      <c r="CR29" s="38">
        <f t="shared" si="37"/>
        <v>1</v>
      </c>
    </row>
    <row r="30" spans="1:96" ht="24" customHeight="1" x14ac:dyDescent="0.25">
      <c r="A30" s="29">
        <v>25</v>
      </c>
      <c r="B30" s="37" t="s">
        <v>103</v>
      </c>
      <c r="C30" s="89" t="s">
        <v>104</v>
      </c>
      <c r="D30" s="87">
        <v>46266</v>
      </c>
      <c r="E30" s="71">
        <v>0</v>
      </c>
      <c r="F30" s="71">
        <v>0</v>
      </c>
      <c r="G30" s="71">
        <v>46267.372916666667</v>
      </c>
      <c r="H30" s="71">
        <v>0.23958333333333334</v>
      </c>
      <c r="I30" s="71">
        <v>0.36805555555555558</v>
      </c>
      <c r="J30" s="71">
        <v>0.22916666666666666</v>
      </c>
      <c r="K30" s="104" t="s">
        <v>51</v>
      </c>
      <c r="L30" s="104" t="s">
        <v>51</v>
      </c>
      <c r="M30" s="105" t="s">
        <v>105</v>
      </c>
      <c r="N30" s="105" t="s">
        <v>105</v>
      </c>
      <c r="O30" s="102">
        <v>46271.369305555556</v>
      </c>
      <c r="P30" s="71">
        <v>0</v>
      </c>
      <c r="Q30" s="71">
        <v>46272.371608796297</v>
      </c>
      <c r="R30" s="71">
        <v>46272.732094907406</v>
      </c>
      <c r="S30" s="71">
        <v>46273.370011574072</v>
      </c>
      <c r="T30" s="71">
        <v>46273.737511574072</v>
      </c>
      <c r="U30" s="71">
        <v>46274.373981481483</v>
      </c>
      <c r="V30" s="71">
        <v>46274.734930555554</v>
      </c>
      <c r="W30" s="71">
        <v>46275.3750462963</v>
      </c>
      <c r="X30" s="71">
        <v>46275.726377314815</v>
      </c>
      <c r="Y30" s="104" t="s">
        <v>51</v>
      </c>
      <c r="Z30" s="104" t="s">
        <v>51</v>
      </c>
      <c r="AA30" s="71">
        <v>46277.419108796297</v>
      </c>
      <c r="AB30" s="71">
        <v>46277.773553240739</v>
      </c>
      <c r="AC30" s="110" t="s">
        <v>52</v>
      </c>
      <c r="AD30" s="110" t="s">
        <v>52</v>
      </c>
      <c r="AE30" s="110" t="s">
        <v>52</v>
      </c>
      <c r="AF30" s="110" t="s">
        <v>52</v>
      </c>
      <c r="AG30" s="71">
        <v>46280.373715277776</v>
      </c>
      <c r="AH30" s="71">
        <v>46280.729722222219</v>
      </c>
      <c r="AI30" s="70"/>
      <c r="AJ30" s="29">
        <v>26</v>
      </c>
      <c r="AK30" s="71">
        <v>46281.373344907406</v>
      </c>
      <c r="AL30" s="71">
        <v>46281.714212962965</v>
      </c>
      <c r="AM30" s="71">
        <v>46282.375057870369</v>
      </c>
      <c r="AN30" s="71">
        <v>46282.73233796296</v>
      </c>
      <c r="AO30" s="63" t="s">
        <v>51</v>
      </c>
      <c r="AP30" s="63" t="s">
        <v>51</v>
      </c>
      <c r="AQ30" s="71">
        <v>46284.416909722226</v>
      </c>
      <c r="AR30" s="71">
        <v>46284.728379629632</v>
      </c>
      <c r="AS30" s="107" t="s">
        <v>52</v>
      </c>
      <c r="AT30" s="107" t="s">
        <v>52</v>
      </c>
      <c r="AU30" s="71">
        <v>46286.372881944444</v>
      </c>
      <c r="AV30" s="71">
        <v>46286.725381944445</v>
      </c>
      <c r="AW30" s="71">
        <v>46287.376377314817</v>
      </c>
      <c r="AX30" s="71">
        <v>46287.728298611109</v>
      </c>
      <c r="AY30" s="71">
        <v>46288.374513888892</v>
      </c>
      <c r="AZ30" s="71">
        <v>46288.731504629628</v>
      </c>
      <c r="BA30" s="71">
        <v>46289.375659722224</v>
      </c>
      <c r="BB30" s="71">
        <v>46289.72216435185</v>
      </c>
      <c r="BC30" s="63" t="s">
        <v>51</v>
      </c>
      <c r="BD30" s="63" t="s">
        <v>51</v>
      </c>
      <c r="BE30" s="71">
        <v>46291.418402777781</v>
      </c>
      <c r="BF30" s="71">
        <v>46291.725659722222</v>
      </c>
      <c r="BG30" s="71">
        <v>46292.374965277777</v>
      </c>
      <c r="BH30" s="71">
        <v>46292.725729166668</v>
      </c>
      <c r="BI30" s="71">
        <v>46293.375462962962</v>
      </c>
      <c r="BJ30" s="71">
        <v>46293.74459490741</v>
      </c>
      <c r="BK30" s="71">
        <v>46294.375717592593</v>
      </c>
      <c r="BL30" s="96">
        <v>46294.754004629627</v>
      </c>
      <c r="BM30" s="93">
        <v>46295.375231481485</v>
      </c>
      <c r="BN30" s="71">
        <v>46295.733969907407</v>
      </c>
      <c r="BO30" s="71">
        <v>46294.375717592593</v>
      </c>
      <c r="BP30" s="71">
        <v>0.72291666666666676</v>
      </c>
      <c r="BQ30" s="7">
        <f t="shared" si="0"/>
        <v>29</v>
      </c>
      <c r="BR30" s="53">
        <v>0</v>
      </c>
      <c r="BS30" s="33">
        <f t="shared" si="13"/>
        <v>22</v>
      </c>
      <c r="BT30" s="34">
        <f t="shared" si="26"/>
        <v>4</v>
      </c>
      <c r="BU30" s="34">
        <f t="shared" si="27"/>
        <v>3</v>
      </c>
      <c r="BV30" s="34">
        <f t="shared" si="28"/>
        <v>0</v>
      </c>
      <c r="BW30" s="34">
        <f t="shared" si="29"/>
        <v>0</v>
      </c>
      <c r="BX30" s="34">
        <f t="shared" si="30"/>
        <v>0</v>
      </c>
      <c r="BY30" s="34">
        <f t="shared" si="31"/>
        <v>0</v>
      </c>
      <c r="BZ30" s="34">
        <f t="shared" si="32"/>
        <v>0</v>
      </c>
      <c r="CA30" s="34">
        <f t="shared" si="33"/>
        <v>0</v>
      </c>
      <c r="CB30" s="34">
        <v>1</v>
      </c>
      <c r="CC30" s="34">
        <f t="shared" si="35"/>
        <v>0</v>
      </c>
      <c r="CD30" s="34">
        <f t="shared" si="36"/>
        <v>0</v>
      </c>
      <c r="CE30" s="35"/>
      <c r="CF30" s="27"/>
      <c r="CG30" s="27"/>
      <c r="CH30" s="54">
        <v>1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  <c r="CP30" s="54">
        <v>0</v>
      </c>
      <c r="CQ30" s="54">
        <v>0</v>
      </c>
      <c r="CR30" s="38">
        <f t="shared" si="37"/>
        <v>1</v>
      </c>
    </row>
    <row r="31" spans="1:96" ht="22.5" customHeight="1" x14ac:dyDescent="0.25">
      <c r="A31" s="29">
        <v>26</v>
      </c>
      <c r="B31" s="37" t="s">
        <v>102</v>
      </c>
      <c r="C31" s="89" t="s">
        <v>101</v>
      </c>
      <c r="D31" s="87">
        <v>46271</v>
      </c>
      <c r="E31" s="208" t="s">
        <v>109</v>
      </c>
      <c r="F31" s="209"/>
      <c r="G31" s="209"/>
      <c r="H31" s="209"/>
      <c r="I31" s="209"/>
      <c r="J31" s="209"/>
      <c r="K31" s="209"/>
      <c r="L31" s="209"/>
      <c r="M31" s="209"/>
      <c r="N31" s="210"/>
      <c r="O31" s="71">
        <v>0</v>
      </c>
      <c r="P31" s="71">
        <v>0</v>
      </c>
      <c r="Q31" s="71">
        <v>46272.350856481484</v>
      </c>
      <c r="R31" s="71">
        <v>46272.916250000002</v>
      </c>
      <c r="S31" s="71">
        <v>46273.349652777775</v>
      </c>
      <c r="T31" s="71">
        <v>46273.917094907411</v>
      </c>
      <c r="U31" s="71">
        <v>46274.34684027778</v>
      </c>
      <c r="V31" s="71">
        <v>46274.926631944443</v>
      </c>
      <c r="W31" s="71">
        <v>46275.347280092596</v>
      </c>
      <c r="X31" s="71">
        <v>46275.907187500001</v>
      </c>
      <c r="Y31" s="71">
        <v>46276.582939814813</v>
      </c>
      <c r="Z31" s="71">
        <v>46276.925659722219</v>
      </c>
      <c r="AA31" s="71">
        <v>46277.35052083333</v>
      </c>
      <c r="AB31" s="71">
        <v>46277.915659722225</v>
      </c>
      <c r="AC31" s="71">
        <v>46278.351423611108</v>
      </c>
      <c r="AD31" s="71">
        <v>0</v>
      </c>
      <c r="AE31" s="71">
        <v>46279.340381944443</v>
      </c>
      <c r="AF31" s="71">
        <v>46279.961875000001</v>
      </c>
      <c r="AG31" s="71">
        <v>46280.352303240739</v>
      </c>
      <c r="AH31" s="71">
        <v>46280.874837962961</v>
      </c>
      <c r="AI31" s="70"/>
      <c r="AJ31" s="29">
        <v>26</v>
      </c>
      <c r="AK31" s="71">
        <v>46281.351400462961</v>
      </c>
      <c r="AL31" s="71">
        <v>46281.86577546296</v>
      </c>
      <c r="AM31" s="71">
        <v>46282.351736111108</v>
      </c>
      <c r="AN31" s="71">
        <v>46282.858541666668</v>
      </c>
      <c r="AO31" s="63" t="s">
        <v>51</v>
      </c>
      <c r="AP31" s="63" t="s">
        <v>51</v>
      </c>
      <c r="AQ31" s="71">
        <v>46284.335729166669</v>
      </c>
      <c r="AR31" s="71">
        <v>46284.919560185182</v>
      </c>
      <c r="AS31" s="71">
        <v>46285.330150462964</v>
      </c>
      <c r="AT31" s="71">
        <v>46285.868564814817</v>
      </c>
      <c r="AU31" s="71">
        <v>0</v>
      </c>
      <c r="AV31" s="71">
        <v>46286.933703703704</v>
      </c>
      <c r="AW31" s="71">
        <v>46287.339606481481</v>
      </c>
      <c r="AX31" s="71">
        <v>46287.943206018521</v>
      </c>
      <c r="AY31" s="71">
        <v>46288.332488425927</v>
      </c>
      <c r="AZ31" s="71">
        <v>46288.95071759259</v>
      </c>
      <c r="BA31" s="71">
        <v>46289.360763888886</v>
      </c>
      <c r="BB31" s="71">
        <v>0</v>
      </c>
      <c r="BC31" s="71">
        <v>46290.640104166669</v>
      </c>
      <c r="BD31" s="71">
        <v>46290.915335648147</v>
      </c>
      <c r="BE31" s="71">
        <v>46291.34611111111</v>
      </c>
      <c r="BF31" s="71">
        <v>0</v>
      </c>
      <c r="BG31" s="71">
        <v>46292.351550925923</v>
      </c>
      <c r="BH31" s="71">
        <v>46292.93109953704</v>
      </c>
      <c r="BI31" s="71">
        <v>46293.347222222219</v>
      </c>
      <c r="BJ31" s="71">
        <v>46293.942511574074</v>
      </c>
      <c r="BK31" s="71">
        <v>46294.346250000002</v>
      </c>
      <c r="BL31" s="96">
        <v>46294.954305555555</v>
      </c>
      <c r="BM31" s="93">
        <v>46295.332916666666</v>
      </c>
      <c r="BN31" s="71">
        <v>46295.939050925925</v>
      </c>
      <c r="BO31" s="71">
        <v>46294.346250000002</v>
      </c>
      <c r="BP31" s="71">
        <v>0.72291666666666676</v>
      </c>
      <c r="BQ31" s="7">
        <f t="shared" si="0"/>
        <v>25</v>
      </c>
      <c r="BR31" s="53">
        <v>2</v>
      </c>
      <c r="BS31" s="33">
        <f t="shared" si="13"/>
        <v>24</v>
      </c>
      <c r="BT31" s="34">
        <f t="shared" si="26"/>
        <v>1</v>
      </c>
      <c r="BU31" s="34">
        <f t="shared" si="27"/>
        <v>0</v>
      </c>
      <c r="BV31" s="34">
        <f t="shared" si="28"/>
        <v>0</v>
      </c>
      <c r="BW31" s="34">
        <f t="shared" si="29"/>
        <v>0</v>
      </c>
      <c r="BX31" s="34">
        <f t="shared" si="30"/>
        <v>0</v>
      </c>
      <c r="BY31" s="34">
        <f t="shared" si="31"/>
        <v>0</v>
      </c>
      <c r="BZ31" s="34">
        <f t="shared" si="32"/>
        <v>0</v>
      </c>
      <c r="CA31" s="34">
        <f t="shared" si="33"/>
        <v>0</v>
      </c>
      <c r="CB31" s="34">
        <f t="shared" si="34"/>
        <v>0</v>
      </c>
      <c r="CC31" s="34">
        <f t="shared" si="35"/>
        <v>0</v>
      </c>
      <c r="CD31" s="34">
        <f t="shared" si="36"/>
        <v>0</v>
      </c>
      <c r="CE31" s="35"/>
      <c r="CF31" s="27"/>
      <c r="CG31" s="27"/>
      <c r="CH31" s="54">
        <v>1</v>
      </c>
      <c r="CI31" s="54">
        <v>0</v>
      </c>
      <c r="CJ31" s="54">
        <v>0</v>
      </c>
      <c r="CK31" s="54">
        <v>0</v>
      </c>
      <c r="CL31" s="54">
        <v>0</v>
      </c>
      <c r="CM31" s="54">
        <v>0</v>
      </c>
      <c r="CN31" s="54">
        <v>0</v>
      </c>
      <c r="CO31" s="54">
        <v>0</v>
      </c>
      <c r="CP31" s="54">
        <v>0</v>
      </c>
      <c r="CQ31" s="54">
        <v>0</v>
      </c>
      <c r="CR31" s="38">
        <f t="shared" si="37"/>
        <v>1</v>
      </c>
    </row>
    <row r="32" spans="1:96" ht="22.5" customHeight="1" x14ac:dyDescent="0.25">
      <c r="A32" s="29">
        <v>27</v>
      </c>
      <c r="B32" s="37" t="s">
        <v>106</v>
      </c>
      <c r="C32" s="89" t="s">
        <v>107</v>
      </c>
      <c r="D32" s="87">
        <v>46291</v>
      </c>
      <c r="E32" s="208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10"/>
      <c r="AI32" s="70"/>
      <c r="AJ32" s="29">
        <v>27</v>
      </c>
      <c r="AK32" s="211" t="s">
        <v>108</v>
      </c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12"/>
      <c r="BB32" s="212"/>
      <c r="BC32" s="212"/>
      <c r="BD32" s="213"/>
      <c r="BE32" s="71">
        <v>0.375</v>
      </c>
      <c r="BF32" s="71">
        <v>46291.922256944446</v>
      </c>
      <c r="BG32" s="71">
        <v>46292.356724537036</v>
      </c>
      <c r="BH32" s="71">
        <v>46292.951354166667</v>
      </c>
      <c r="BI32" s="71">
        <v>46293.354004629633</v>
      </c>
      <c r="BJ32" s="71">
        <v>46293.946875000001</v>
      </c>
      <c r="BK32" s="71">
        <v>46294.355185185188</v>
      </c>
      <c r="BL32" s="96">
        <v>46294.954097222224</v>
      </c>
      <c r="BM32" s="93">
        <v>46295.344594907408</v>
      </c>
      <c r="BN32" s="71">
        <v>46295.944675925923</v>
      </c>
      <c r="BO32" s="71">
        <v>0.3527777777777778</v>
      </c>
      <c r="BP32" s="71">
        <v>0.72291666666666676</v>
      </c>
      <c r="BQ32" s="7">
        <f t="shared" ref="BQ32" si="38">BS32+BT32+BU32+BZ32+BW32+BY32+BX32</f>
        <v>5</v>
      </c>
      <c r="BR32" s="53">
        <v>0</v>
      </c>
      <c r="BS32" s="33">
        <f t="shared" ref="BS32" si="39">COUNT(E32:AH32)/2+COUNT(AK32:BN32)/2</f>
        <v>5</v>
      </c>
      <c r="BT32" s="34">
        <f t="shared" ref="BT32" si="40">COUNTIF(E32:BP32,"OFF")/2</f>
        <v>0</v>
      </c>
      <c r="BU32" s="34">
        <f t="shared" ref="BU32" si="41">COUNTIF(E32:BP32,"MC")/2</f>
        <v>0</v>
      </c>
      <c r="BV32" s="34">
        <f t="shared" ref="BV32" si="42">COUNTIF(E32:BP32,"EL")/2</f>
        <v>0</v>
      </c>
      <c r="BW32" s="34">
        <f t="shared" ref="BW32" si="43">COUNTIF(E32:BP32,"AL")/2</f>
        <v>0</v>
      </c>
      <c r="BX32" s="34">
        <f t="shared" ref="BX32" si="44">COUNTIF(E32:BN32,"SUS")/2</f>
        <v>0</v>
      </c>
      <c r="BY32" s="34">
        <f t="shared" ref="BY32" si="45">COUNTIF(E32:BN32,"FL")/2</f>
        <v>0</v>
      </c>
      <c r="BZ32" s="34">
        <f t="shared" ref="BZ32" si="46">COUNTIF(E32:BP32,"SICK")/2</f>
        <v>0</v>
      </c>
      <c r="CA32" s="34">
        <f t="shared" ref="CA32" si="47">COUNTIF(E32:BN32,"HD")/2</f>
        <v>0</v>
      </c>
      <c r="CB32" s="34">
        <f t="shared" ref="CB32" si="48">COUNTIF(E32:BN32,"AB")/2</f>
        <v>0</v>
      </c>
      <c r="CC32" s="34">
        <f t="shared" ref="CC32" si="49">COUNTIF(E32:BN32,"NL")/2</f>
        <v>0</v>
      </c>
      <c r="CD32" s="34">
        <f t="shared" ref="CD32" si="50">COUNTIF(E32:BN32,"SP")/2</f>
        <v>0</v>
      </c>
      <c r="CE32" s="35"/>
      <c r="CF32" s="27"/>
      <c r="CG32" s="27"/>
      <c r="CH32" s="54">
        <v>1</v>
      </c>
      <c r="CI32" s="54">
        <v>0</v>
      </c>
      <c r="CJ32" s="54">
        <v>0</v>
      </c>
      <c r="CK32" s="54">
        <v>0</v>
      </c>
      <c r="CL32" s="54">
        <v>0</v>
      </c>
      <c r="CM32" s="54">
        <v>0</v>
      </c>
      <c r="CN32" s="54">
        <v>0</v>
      </c>
      <c r="CO32" s="54">
        <v>0</v>
      </c>
      <c r="CP32" s="54">
        <v>0</v>
      </c>
      <c r="CQ32" s="54">
        <v>0</v>
      </c>
      <c r="CR32" s="38">
        <f t="shared" ref="CR32" si="51">SUM(CH32:CQ32)</f>
        <v>1</v>
      </c>
    </row>
    <row r="34" spans="1:98" x14ac:dyDescent="0.25"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8" t="s">
        <v>66</v>
      </c>
      <c r="BT34" s="79"/>
      <c r="BU34" s="18"/>
      <c r="BV34" s="18"/>
      <c r="BW34" s="19" t="s">
        <v>51</v>
      </c>
      <c r="BX34" s="20"/>
      <c r="BY34" s="80" t="s">
        <v>67</v>
      </c>
      <c r="BZ34" s="79"/>
      <c r="CA34" s="79"/>
      <c r="CB34" s="13"/>
      <c r="CC34" s="21" t="s">
        <v>57</v>
      </c>
      <c r="CF34" s="52"/>
      <c r="CG34" s="52"/>
    </row>
    <row r="35" spans="1:98" s="52" customFormat="1" ht="27.75" customHeight="1" x14ac:dyDescent="0.25">
      <c r="A35" s="48"/>
      <c r="B35" s="43"/>
      <c r="C35" s="44"/>
      <c r="D35" s="60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8"/>
      <c r="AB35" s="48"/>
      <c r="AC35" s="45"/>
      <c r="AD35" s="45"/>
      <c r="AE35" s="46"/>
      <c r="AF35" s="46"/>
      <c r="AG35" s="46"/>
      <c r="AH35" s="46"/>
      <c r="AI35" s="49"/>
      <c r="AJ35" s="48"/>
      <c r="AK35" s="47"/>
      <c r="AL35" s="47"/>
      <c r="AM35" s="47"/>
      <c r="AN35" s="47" t="s">
        <v>75</v>
      </c>
      <c r="AO35" s="47"/>
      <c r="AP35" s="47"/>
      <c r="AQ35" s="47"/>
      <c r="AR35" s="47"/>
      <c r="AS35" s="47"/>
      <c r="AT35" s="47"/>
      <c r="AU35"/>
      <c r="AV35" s="47"/>
      <c r="AW35" s="47"/>
      <c r="AX35" s="47"/>
      <c r="AY35" s="47"/>
      <c r="AZ35" s="47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50"/>
      <c r="BR35"/>
      <c r="BS35" s="78" t="s">
        <v>68</v>
      </c>
      <c r="BT35" s="79"/>
      <c r="BU35" s="18"/>
      <c r="BV35" s="18"/>
      <c r="BW35" s="19" t="s">
        <v>52</v>
      </c>
      <c r="BX35" s="20"/>
      <c r="BY35" s="81" t="s">
        <v>69</v>
      </c>
      <c r="BZ35" s="82"/>
      <c r="CA35" s="82"/>
      <c r="CB35" s="13"/>
      <c r="CC35" s="21" t="s">
        <v>58</v>
      </c>
      <c r="CD35"/>
      <c r="CE35" s="51"/>
      <c r="CF35"/>
      <c r="CG35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20"/>
      <c r="CS35"/>
      <c r="CT35"/>
    </row>
    <row r="36" spans="1:98" ht="17.25" x14ac:dyDescent="0.25">
      <c r="F36" s="13"/>
      <c r="G36" s="13"/>
      <c r="H36" s="14" t="s">
        <v>63</v>
      </c>
      <c r="I36" s="14"/>
      <c r="J36" s="14"/>
      <c r="K36" s="13"/>
      <c r="L36" s="13"/>
      <c r="M36" s="15"/>
      <c r="P36" s="16"/>
      <c r="Q36" s="14" t="s">
        <v>64</v>
      </c>
      <c r="R36" s="13"/>
      <c r="S36" s="13"/>
      <c r="T36" s="13"/>
      <c r="U36" s="13"/>
      <c r="X36" s="13"/>
      <c r="Y36" s="14" t="s">
        <v>65</v>
      </c>
      <c r="Z36" s="17"/>
      <c r="AA36" s="14"/>
      <c r="AB36" s="17"/>
      <c r="AC36" s="17"/>
      <c r="AD36" s="13"/>
      <c r="AE36" s="13"/>
      <c r="AF36" s="13"/>
      <c r="AG36" s="13"/>
      <c r="AP36" s="13"/>
      <c r="AQ36" s="14" t="s">
        <v>63</v>
      </c>
      <c r="AR36" s="14"/>
      <c r="AS36" s="14"/>
      <c r="AT36" s="13"/>
      <c r="AU36" s="13"/>
      <c r="AV36" s="15"/>
      <c r="AY36" s="16"/>
      <c r="AZ36" s="14" t="s">
        <v>64</v>
      </c>
      <c r="BA36" s="13"/>
      <c r="BB36" s="13"/>
      <c r="BC36" s="13"/>
      <c r="BD36" s="13"/>
      <c r="BG36" s="13"/>
      <c r="BH36" s="14" t="s">
        <v>65</v>
      </c>
      <c r="BI36" s="17"/>
      <c r="BS36" s="78" t="s">
        <v>70</v>
      </c>
      <c r="BT36" s="79"/>
      <c r="BU36" s="18"/>
      <c r="BV36" s="18"/>
      <c r="BW36" s="19" t="s">
        <v>53</v>
      </c>
      <c r="BX36" s="20"/>
      <c r="BY36" s="81" t="s">
        <v>71</v>
      </c>
      <c r="BZ36" s="82"/>
      <c r="CA36" s="82"/>
      <c r="CB36" s="13"/>
      <c r="CC36" s="21" t="s">
        <v>59</v>
      </c>
      <c r="CE36" t="s">
        <v>75</v>
      </c>
    </row>
    <row r="37" spans="1:98" ht="18.75" x14ac:dyDescent="0.25">
      <c r="F37" s="68"/>
      <c r="G37" s="13"/>
      <c r="H37" s="13"/>
      <c r="I37" s="13"/>
      <c r="J37" s="13"/>
      <c r="K37" s="13"/>
      <c r="L37" s="13"/>
      <c r="M37" s="13"/>
      <c r="P37" s="13"/>
      <c r="Q37" s="13"/>
      <c r="R37" s="13"/>
      <c r="S37" s="13"/>
      <c r="T37" s="13"/>
      <c r="U37" s="13"/>
      <c r="X37" s="13"/>
      <c r="Y37" s="13"/>
      <c r="Z37" s="13"/>
      <c r="AA37" s="68"/>
      <c r="AB37" s="68"/>
      <c r="AC37" s="13"/>
      <c r="AD37" s="13"/>
      <c r="AE37" s="13"/>
      <c r="AF37" s="13"/>
      <c r="AG37" s="13"/>
      <c r="AP37" s="13"/>
      <c r="AQ37" s="13"/>
      <c r="AR37" s="13"/>
      <c r="AS37" s="13"/>
      <c r="AT37" s="13"/>
      <c r="AU37" s="13"/>
      <c r="AV37" s="13"/>
      <c r="AY37" s="13"/>
      <c r="AZ37" s="13"/>
      <c r="BA37" s="13"/>
      <c r="BB37" s="13"/>
      <c r="BC37" s="13"/>
      <c r="BD37" s="13"/>
      <c r="BG37" s="13"/>
      <c r="BH37" s="13"/>
      <c r="BI37" s="13"/>
    </row>
    <row r="38" spans="1:98" ht="17.25" x14ac:dyDescent="0.25">
      <c r="F38" s="23"/>
      <c r="G38" s="13"/>
      <c r="H38" s="13"/>
      <c r="I38" s="13"/>
      <c r="J38" s="13"/>
      <c r="K38" s="13" t="s">
        <v>75</v>
      </c>
      <c r="L38" s="13"/>
      <c r="M38" s="13"/>
      <c r="P38" s="13"/>
      <c r="Q38" s="13"/>
      <c r="R38" s="13"/>
      <c r="S38" s="13"/>
      <c r="T38" s="13"/>
      <c r="U38" s="13"/>
      <c r="X38" s="13"/>
      <c r="Y38" s="13"/>
      <c r="Z38" s="13"/>
      <c r="AA38" s="13"/>
      <c r="AB38" s="13"/>
      <c r="AC38" s="13"/>
      <c r="AD38" s="20"/>
      <c r="AE38" s="20"/>
      <c r="AF38" s="20"/>
      <c r="AG38" s="20"/>
      <c r="AH38" s="20"/>
      <c r="AI38" s="20"/>
      <c r="AJ38" s="13"/>
      <c r="AK38" s="25"/>
      <c r="AL38" s="25"/>
      <c r="AM38" s="13"/>
      <c r="AN38" s="13"/>
      <c r="AO38" s="13"/>
      <c r="AP38" s="13"/>
      <c r="AQ38" s="13"/>
      <c r="AR38" s="13"/>
      <c r="AS38" s="13"/>
      <c r="AT38" s="13" t="s">
        <v>75</v>
      </c>
      <c r="AU38" s="13"/>
      <c r="AV38" s="13"/>
      <c r="AY38" s="13"/>
      <c r="AZ38" s="13"/>
      <c r="BA38" s="13"/>
      <c r="BB38" s="13"/>
      <c r="BC38" s="13"/>
      <c r="BD38" s="13"/>
      <c r="BG38" s="13"/>
      <c r="BH38" s="13"/>
      <c r="BI38" s="13"/>
    </row>
    <row r="39" spans="1:98" ht="17.25" x14ac:dyDescent="0.25">
      <c r="F39" s="13"/>
      <c r="G39" s="13"/>
      <c r="H39" s="22"/>
      <c r="I39" s="23"/>
      <c r="J39" s="22"/>
      <c r="K39" s="13"/>
      <c r="L39" s="13"/>
      <c r="M39" s="24"/>
      <c r="P39" s="16"/>
      <c r="Q39" s="13"/>
      <c r="R39" s="23"/>
      <c r="S39" s="13"/>
      <c r="T39" s="13"/>
      <c r="U39" s="13"/>
      <c r="X39" s="23"/>
      <c r="Y39" s="13"/>
      <c r="Z39" s="2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22"/>
      <c r="AR39" s="23"/>
      <c r="AS39" s="22"/>
      <c r="AT39" s="13"/>
      <c r="AU39" s="13"/>
      <c r="AV39" s="24"/>
      <c r="AY39" s="16"/>
      <c r="AZ39" s="13"/>
      <c r="BA39" s="23"/>
      <c r="BB39" s="13"/>
      <c r="BC39" s="13"/>
      <c r="BD39" s="13"/>
      <c r="BG39" s="23"/>
      <c r="BH39" s="13"/>
      <c r="BI39" s="23"/>
    </row>
    <row r="40" spans="1:98" ht="17.25" x14ac:dyDescent="0.25">
      <c r="F40" s="13"/>
      <c r="G40" s="185" t="s">
        <v>99</v>
      </c>
      <c r="H40" s="185"/>
      <c r="I40" s="185"/>
      <c r="J40" s="43"/>
      <c r="K40" s="43"/>
      <c r="L40" s="43"/>
      <c r="M40" s="43"/>
      <c r="N40" s="43"/>
      <c r="O40" s="43"/>
      <c r="P40" s="43"/>
      <c r="Q40" s="43" t="s">
        <v>48</v>
      </c>
      <c r="R40" s="43"/>
      <c r="S40" s="43"/>
      <c r="T40" s="43"/>
      <c r="U40" s="43"/>
      <c r="V40" s="43"/>
      <c r="W40" s="43"/>
      <c r="X40" s="43"/>
      <c r="Y40" s="43" t="s">
        <v>74</v>
      </c>
      <c r="Z40" s="4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85" t="s">
        <v>99</v>
      </c>
      <c r="AQ40" s="185"/>
      <c r="AR40" s="185"/>
      <c r="AS40" s="43"/>
      <c r="AT40" s="43"/>
      <c r="AU40" s="43"/>
      <c r="AV40" s="43"/>
      <c r="AW40" s="43"/>
      <c r="AX40" s="43"/>
      <c r="AY40" s="43"/>
      <c r="AZ40" s="43" t="s">
        <v>48</v>
      </c>
      <c r="BA40" s="43"/>
      <c r="BB40" s="43"/>
      <c r="BC40" s="43"/>
      <c r="BD40" s="43"/>
      <c r="BE40" s="43"/>
      <c r="BF40" s="43"/>
      <c r="BG40" s="43"/>
      <c r="BH40" s="43" t="s">
        <v>74</v>
      </c>
      <c r="BI40" s="43"/>
    </row>
    <row r="41" spans="1:98" ht="17.25" x14ac:dyDescent="0.25">
      <c r="G41" s="43"/>
      <c r="H41" s="43" t="s">
        <v>78</v>
      </c>
      <c r="I41" s="43"/>
      <c r="J41" s="43"/>
      <c r="K41" s="43"/>
      <c r="L41" s="43"/>
      <c r="M41" s="43"/>
      <c r="N41" s="43"/>
      <c r="O41" s="43"/>
      <c r="P41" s="43"/>
      <c r="Q41" s="43" t="s">
        <v>110</v>
      </c>
      <c r="R41" s="43"/>
      <c r="S41" s="43"/>
      <c r="T41" s="43"/>
      <c r="U41" s="43"/>
      <c r="V41" s="43"/>
      <c r="W41" s="43"/>
      <c r="X41" s="43"/>
      <c r="Y41" s="43" t="s">
        <v>80</v>
      </c>
      <c r="Z41" s="43"/>
      <c r="AP41" s="43"/>
      <c r="AQ41" s="43" t="s">
        <v>78</v>
      </c>
      <c r="AR41" s="43"/>
      <c r="AS41" s="43"/>
      <c r="AT41" s="43"/>
      <c r="AU41" s="43"/>
      <c r="AV41" s="43"/>
      <c r="AW41" s="43"/>
      <c r="AX41" s="43"/>
      <c r="AY41" s="43"/>
      <c r="AZ41" s="43" t="s">
        <v>110</v>
      </c>
      <c r="BA41" s="43"/>
      <c r="BB41" s="43"/>
      <c r="BC41" s="43"/>
      <c r="BD41" s="43"/>
      <c r="BE41" s="43"/>
      <c r="BF41" s="43"/>
      <c r="BG41" s="43"/>
      <c r="BH41" s="43" t="s">
        <v>80</v>
      </c>
      <c r="BI41" s="43"/>
    </row>
    <row r="43" spans="1:98" ht="21.75" customHeight="1" x14ac:dyDescent="0.25"/>
    <row r="46" spans="1:98" x14ac:dyDescent="0.25">
      <c r="CH46" s="32">
        <v>0</v>
      </c>
      <c r="CI46" s="29">
        <v>0</v>
      </c>
      <c r="CJ46" s="29">
        <v>0</v>
      </c>
      <c r="CK46" s="29">
        <v>0</v>
      </c>
      <c r="CL46" s="29">
        <v>0</v>
      </c>
      <c r="CM46" s="29">
        <v>1</v>
      </c>
      <c r="CN46" s="29">
        <v>0</v>
      </c>
      <c r="CO46" s="29">
        <v>1</v>
      </c>
      <c r="CP46" s="29">
        <v>0</v>
      </c>
      <c r="CQ46" s="29">
        <v>0</v>
      </c>
      <c r="CR46" s="38">
        <f>SUM(CH46:CQ46)</f>
        <v>2</v>
      </c>
    </row>
    <row r="47" spans="1:98" x14ac:dyDescent="0.25">
      <c r="CH47" s="32">
        <v>3</v>
      </c>
      <c r="CI47" s="29">
        <v>0</v>
      </c>
      <c r="CJ47" s="29">
        <v>19</v>
      </c>
      <c r="CK47" s="29">
        <v>0</v>
      </c>
      <c r="CL47" s="29">
        <v>4</v>
      </c>
      <c r="CM47" s="29">
        <v>4</v>
      </c>
      <c r="CN47" s="29">
        <v>0</v>
      </c>
      <c r="CO47" s="29">
        <v>4</v>
      </c>
      <c r="CP47" s="29">
        <v>0</v>
      </c>
      <c r="CQ47" s="29">
        <v>0</v>
      </c>
      <c r="CR47" s="38">
        <f t="shared" ref="CR47" si="52">SUM(CH47:CQ47)</f>
        <v>34</v>
      </c>
    </row>
    <row r="48" spans="1:98" x14ac:dyDescent="0.25">
      <c r="CS48" s="52"/>
      <c r="CT48" s="52"/>
    </row>
  </sheetData>
  <autoFilter ref="A1:CT28" xr:uid="{A5C8E4E3-8F50-4D39-A21D-03A339330479}"/>
  <mergeCells count="76">
    <mergeCell ref="E32:AH32"/>
    <mergeCell ref="AK32:BD32"/>
    <mergeCell ref="E31:N31"/>
    <mergeCell ref="G40:I40"/>
    <mergeCell ref="BO4:BP4"/>
    <mergeCell ref="AK4:AL4"/>
    <mergeCell ref="AC4:AD4"/>
    <mergeCell ref="AG4:AH4"/>
    <mergeCell ref="AE4:AF4"/>
    <mergeCell ref="AU4:AV4"/>
    <mergeCell ref="AW4:AX4"/>
    <mergeCell ref="AP40:AR40"/>
    <mergeCell ref="BO3:BP3"/>
    <mergeCell ref="BM3:BN3"/>
    <mergeCell ref="K4:L4"/>
    <mergeCell ref="M3:N3"/>
    <mergeCell ref="O3:P3"/>
    <mergeCell ref="Q3:R3"/>
    <mergeCell ref="K3:L3"/>
    <mergeCell ref="U4:V4"/>
    <mergeCell ref="M4:N4"/>
    <mergeCell ref="O4:P4"/>
    <mergeCell ref="Q4:R4"/>
    <mergeCell ref="AA3:AB3"/>
    <mergeCell ref="AC3:AD3"/>
    <mergeCell ref="AY3:AZ3"/>
    <mergeCell ref="AY4:AZ4"/>
    <mergeCell ref="AA4:AB4"/>
    <mergeCell ref="AW3:AX3"/>
    <mergeCell ref="I4:J4"/>
    <mergeCell ref="AE3:AF3"/>
    <mergeCell ref="W4:X4"/>
    <mergeCell ref="Y4:Z4"/>
    <mergeCell ref="AS3:AT3"/>
    <mergeCell ref="S4:T4"/>
    <mergeCell ref="A2:AH2"/>
    <mergeCell ref="E3:F3"/>
    <mergeCell ref="G3:H3"/>
    <mergeCell ref="S3:T3"/>
    <mergeCell ref="Y3:Z3"/>
    <mergeCell ref="W3:X3"/>
    <mergeCell ref="AG3:AH3"/>
    <mergeCell ref="I3:J3"/>
    <mergeCell ref="U3:V3"/>
    <mergeCell ref="AJ2:CE2"/>
    <mergeCell ref="AJ3:AJ5"/>
    <mergeCell ref="AO4:AP4"/>
    <mergeCell ref="AQ4:AR4"/>
    <mergeCell ref="AU3:AV3"/>
    <mergeCell ref="AK3:AL3"/>
    <mergeCell ref="BM4:BN4"/>
    <mergeCell ref="BC3:BD3"/>
    <mergeCell ref="BE3:BF3"/>
    <mergeCell ref="AM3:AN3"/>
    <mergeCell ref="AO3:AP3"/>
    <mergeCell ref="AQ3:AR3"/>
    <mergeCell ref="BA3:BB3"/>
    <mergeCell ref="BE4:BF4"/>
    <mergeCell ref="AS4:AT4"/>
    <mergeCell ref="BA4:BB4"/>
    <mergeCell ref="CH4:CR4"/>
    <mergeCell ref="A3:D4"/>
    <mergeCell ref="CH3:CQ3"/>
    <mergeCell ref="BG4:BH4"/>
    <mergeCell ref="BG3:BH3"/>
    <mergeCell ref="BR3:BR5"/>
    <mergeCell ref="BS3:CE3"/>
    <mergeCell ref="BK4:BL4"/>
    <mergeCell ref="BI4:BJ4"/>
    <mergeCell ref="BK3:BL3"/>
    <mergeCell ref="BI3:BJ3"/>
    <mergeCell ref="BQ3:BQ5"/>
    <mergeCell ref="BC4:BD4"/>
    <mergeCell ref="AM4:AN4"/>
    <mergeCell ref="E4:F4"/>
    <mergeCell ref="G4:H4"/>
  </mergeCells>
  <phoneticPr fontId="7" type="noConversion"/>
  <conditionalFormatting sqref="B5">
    <cfRule type="duplicateValues" dxfId="605" priority="15433"/>
  </conditionalFormatting>
  <conditionalFormatting sqref="B6">
    <cfRule type="duplicateValues" dxfId="604" priority="15415"/>
  </conditionalFormatting>
  <conditionalFormatting sqref="B8">
    <cfRule type="duplicateValues" dxfId="603" priority="15420"/>
  </conditionalFormatting>
  <conditionalFormatting sqref="B10 B13 B15:B19">
    <cfRule type="duplicateValues" dxfId="602" priority="18019"/>
  </conditionalFormatting>
  <conditionalFormatting sqref="B11">
    <cfRule type="duplicateValues" dxfId="601" priority="15422"/>
    <cfRule type="duplicateValues" dxfId="600" priority="15418"/>
  </conditionalFormatting>
  <conditionalFormatting sqref="B14 B7">
    <cfRule type="duplicateValues" dxfId="599" priority="17881"/>
  </conditionalFormatting>
  <conditionalFormatting sqref="B20">
    <cfRule type="duplicateValues" dxfId="598" priority="15423"/>
  </conditionalFormatting>
  <conditionalFormatting sqref="B20:B21">
    <cfRule type="duplicateValues" dxfId="597" priority="15416"/>
  </conditionalFormatting>
  <conditionalFormatting sqref="B6:D7 B14:D15">
    <cfRule type="containsText" dxfId="596" priority="15414" operator="containsText" text="AB">
      <formula>NOT(ISERROR(SEARCH("AB",B6)))</formula>
    </cfRule>
  </conditionalFormatting>
  <conditionalFormatting sqref="B8:D8 B10:C19 D10:D29 B20:B21 C20:C29 C30:D32 C35:D35">
    <cfRule type="containsText" dxfId="595" priority="15413" operator="containsText" text="ABST">
      <formula>NOT(ISERROR(SEARCH("ABST",B8)))</formula>
    </cfRule>
  </conditionalFormatting>
  <conditionalFormatting sqref="C1:C1048576">
    <cfRule type="duplicateValues" dxfId="594" priority="18026"/>
  </conditionalFormatting>
  <conditionalFormatting sqref="C12">
    <cfRule type="duplicateValues" dxfId="593" priority="1718"/>
  </conditionalFormatting>
  <conditionalFormatting sqref="C26">
    <cfRule type="duplicateValues" dxfId="592" priority="2920"/>
  </conditionalFormatting>
  <conditionalFormatting sqref="C27">
    <cfRule type="duplicateValues" dxfId="591" priority="18022"/>
  </conditionalFormatting>
  <conditionalFormatting sqref="C28:C32">
    <cfRule type="duplicateValues" dxfId="590" priority="18030"/>
  </conditionalFormatting>
  <conditionalFormatting sqref="C35:D35 C6:C11 C13:C25 D6:D32">
    <cfRule type="duplicateValues" dxfId="589" priority="18023"/>
  </conditionalFormatting>
  <conditionalFormatting sqref="D26:D32">
    <cfRule type="duplicateValues" dxfId="588" priority="18034"/>
  </conditionalFormatting>
  <conditionalFormatting sqref="E35 AK35:AT35 AV35:BP35">
    <cfRule type="containsText" dxfId="587" priority="14849" operator="containsText" text="NL">
      <formula>NOT(ISERROR(SEARCH("NL",E35)))</formula>
    </cfRule>
    <cfRule type="containsText" dxfId="586" priority="14848" operator="containsText" text="SICK">
      <formula>NOT(ISERROR(SEARCH("SICK",E35)))</formula>
    </cfRule>
    <cfRule type="containsText" dxfId="585" priority="14846" operator="containsText" text="AB">
      <formula>NOT(ISERROR(SEARCH("AB",E35)))</formula>
    </cfRule>
    <cfRule type="containsText" dxfId="584" priority="14847" operator="containsText" text="AL">
      <formula>NOT(ISERROR(SEARCH("AL",E35)))</formula>
    </cfRule>
  </conditionalFormatting>
  <conditionalFormatting sqref="E7:J9 K7:L12 E6:R6 V6:AB6 AA7 M7:R9 Y7:Z12">
    <cfRule type="containsText" dxfId="583" priority="1401" operator="containsText" text="AB">
      <formula>NOT(ISERROR(SEARCH("AB",E6)))</formula>
    </cfRule>
    <cfRule type="containsText" dxfId="582" priority="1400" operator="containsText" text="EL">
      <formula>NOT(ISERROR(SEARCH("EL",E6)))</formula>
    </cfRule>
  </conditionalFormatting>
  <conditionalFormatting sqref="E7:J9 K7:L12">
    <cfRule type="containsText" dxfId="581" priority="1399" operator="containsText" text="SUS">
      <formula>NOT(ISERROR(SEARCH("SUS",E7)))</formula>
    </cfRule>
    <cfRule type="containsText" dxfId="580" priority="1398" operator="containsText" text="FL">
      <formula>NOT(ISERROR(SEARCH("FL",E7)))</formula>
    </cfRule>
    <cfRule type="containsText" dxfId="579" priority="1397" operator="containsText" text="NL">
      <formula>NOT(ISERROR(SEARCH("NL",E7)))</formula>
    </cfRule>
    <cfRule type="containsText" dxfId="578" priority="1396" operator="containsText" text="SP">
      <formula>NOT(ISERROR(SEARCH("SP",E7)))</formula>
    </cfRule>
  </conditionalFormatting>
  <conditionalFormatting sqref="E6:R6 V6:AB6 S6:X7 AA7 E7:J9 M7:R9 K7:L12 Y7:Z12">
    <cfRule type="containsText" dxfId="577" priority="1404" operator="containsText" text="MC">
      <formula>NOT(ISERROR(SEARCH("MC",E6)))</formula>
    </cfRule>
    <cfRule type="containsText" dxfId="576" priority="1403" operator="containsText" text="AL">
      <formula>NOT(ISERROR(SEARCH("AL",E6)))</formula>
    </cfRule>
    <cfRule type="containsText" dxfId="575" priority="1402" operator="containsText" text="Sick">
      <formula>NOT(ISERROR(SEARCH("Sick",E6)))</formula>
    </cfRule>
    <cfRule type="containsText" dxfId="574" priority="1405" operator="containsText" text="OFF">
      <formula>NOT(ISERROR(SEARCH("OFF",E6)))</formula>
    </cfRule>
  </conditionalFormatting>
  <conditionalFormatting sqref="E5:AH5">
    <cfRule type="containsText" dxfId="573" priority="17880" operator="containsText" text="S">
      <formula>NOT(ISERROR(SEARCH("S",#REF!)))</formula>
    </cfRule>
    <cfRule type="containsText" dxfId="572" priority="17879" operator="containsText" text="HD">
      <formula>NOT(ISERROR(SEARCH("HD",#REF!)))</formula>
    </cfRule>
    <cfRule type="containsText" dxfId="571" priority="17878" operator="containsText" text="AB">
      <formula>NOT(ISERROR(SEARCH("AB",#REF!)))</formula>
    </cfRule>
    <cfRule type="dataBar" priority="17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expression" priority="17876">
      <formula>AND(ISNUMBER($Z3), ISNUMBER($AA3))</formula>
    </cfRule>
    <cfRule type="cellIs" dxfId="570" priority="17874" operator="equal">
      <formula>"AB"</formula>
    </cfRule>
    <cfRule type="cellIs" dxfId="569" priority="17873" operator="equal">
      <formula>"Sick"</formula>
    </cfRule>
    <cfRule type="cellIs" dxfId="568" priority="17875" operator="equal">
      <formula>"OFF"</formula>
    </cfRule>
  </conditionalFormatting>
  <conditionalFormatting sqref="E6:AH6 M7:X9 AA7:AH9 Y7:Z12">
    <cfRule type="containsText" dxfId="567" priority="1378" operator="containsText" text="FL">
      <formula>NOT(ISERROR(SEARCH("FL",E6)))</formula>
    </cfRule>
    <cfRule type="containsText" dxfId="566" priority="1379" operator="containsText" text="SUS">
      <formula>NOT(ISERROR(SEARCH("SUS",E6)))</formula>
    </cfRule>
    <cfRule type="containsText" dxfId="565" priority="1377" operator="containsText" text="NL">
      <formula>NOT(ISERROR(SEARCH("NL",E6)))</formula>
    </cfRule>
  </conditionalFormatting>
  <conditionalFormatting sqref="E6:AH6 Y7:Z12 M7:X9 AA7:AH9">
    <cfRule type="containsText" dxfId="564" priority="1376" operator="containsText" text="SP">
      <formula>NOT(ISERROR(SEARCH("SP",E6)))</formula>
    </cfRule>
  </conditionalFormatting>
  <conditionalFormatting sqref="I12:J12">
    <cfRule type="containsText" dxfId="563" priority="1477" operator="containsText" text="OFF">
      <formula>NOT(ISERROR(SEARCH("OFF",I12)))</formula>
    </cfRule>
    <cfRule type="containsText" dxfId="562" priority="1468" operator="containsText" text="SP">
      <formula>NOT(ISERROR(SEARCH("SP",I12)))</formula>
    </cfRule>
    <cfRule type="containsText" dxfId="561" priority="1469" operator="containsText" text="NL">
      <formula>NOT(ISERROR(SEARCH("NL",I12)))</formula>
    </cfRule>
    <cfRule type="containsText" dxfId="560" priority="1476" operator="containsText" text="MC">
      <formula>NOT(ISERROR(SEARCH("MC",I12)))</formula>
    </cfRule>
    <cfRule type="containsText" dxfId="559" priority="1475" operator="containsText" text="AL">
      <formula>NOT(ISERROR(SEARCH("AL",I12)))</formula>
    </cfRule>
    <cfRule type="containsText" dxfId="558" priority="1474" operator="containsText" text="Sick">
      <formula>NOT(ISERROR(SEARCH("Sick",I12)))</formula>
    </cfRule>
    <cfRule type="containsText" dxfId="557" priority="1473" operator="containsText" text="AB">
      <formula>NOT(ISERROR(SEARCH("AB",I12)))</formula>
    </cfRule>
    <cfRule type="containsText" dxfId="556" priority="1472" operator="containsText" text="EL">
      <formula>NOT(ISERROR(SEARCH("EL",I12)))</formula>
    </cfRule>
    <cfRule type="containsText" dxfId="555" priority="1471" operator="containsText" text="SUS">
      <formula>NOT(ISERROR(SEARCH("SUS",I12)))</formula>
    </cfRule>
    <cfRule type="containsText" dxfId="554" priority="1470" operator="containsText" text="FL">
      <formula>NOT(ISERROR(SEARCH("FL",I12)))</formula>
    </cfRule>
  </conditionalFormatting>
  <conditionalFormatting sqref="S6:X9 AG6:AH9 AA8:AF9">
    <cfRule type="containsText" dxfId="553" priority="1381" operator="containsText" text="AB">
      <formula>NOT(ISERROR(SEARCH("AB",S6)))</formula>
    </cfRule>
    <cfRule type="containsText" dxfId="552" priority="1380" operator="containsText" text="EL">
      <formula>NOT(ISERROR(SEARCH("EL",S6)))</formula>
    </cfRule>
  </conditionalFormatting>
  <conditionalFormatting sqref="S10:X12 E11:J12 M11:R12">
    <cfRule type="containsText" dxfId="551" priority="1448" operator="containsText" text="SP">
      <formula>NOT(ISERROR(SEARCH("SP",E10)))</formula>
    </cfRule>
    <cfRule type="containsText" dxfId="550" priority="1455" operator="containsText" text="AL">
      <formula>NOT(ISERROR(SEARCH("AL",E10)))</formula>
    </cfRule>
    <cfRule type="containsText" dxfId="549" priority="1449" operator="containsText" text="NL">
      <formula>NOT(ISERROR(SEARCH("NL",E10)))</formula>
    </cfRule>
    <cfRule type="containsText" dxfId="548" priority="1450" operator="containsText" text="FL">
      <formula>NOT(ISERROR(SEARCH("FL",E10)))</formula>
    </cfRule>
    <cfRule type="containsText" dxfId="547" priority="1457" operator="containsText" text="OFF">
      <formula>NOT(ISERROR(SEARCH("OFF",E10)))</formula>
    </cfRule>
    <cfRule type="containsText" dxfId="546" priority="1456" operator="containsText" text="MC">
      <formula>NOT(ISERROR(SEARCH("MC",E10)))</formula>
    </cfRule>
    <cfRule type="containsText" dxfId="545" priority="1454" operator="containsText" text="Sick">
      <formula>NOT(ISERROR(SEARCH("Sick",E10)))</formula>
    </cfRule>
    <cfRule type="containsText" dxfId="544" priority="1453" operator="containsText" text="AB">
      <formula>NOT(ISERROR(SEARCH("AB",E10)))</formula>
    </cfRule>
    <cfRule type="containsText" dxfId="543" priority="1452" operator="containsText" text="EL">
      <formula>NOT(ISERROR(SEARCH("EL",E10)))</formula>
    </cfRule>
    <cfRule type="containsText" dxfId="542" priority="1451" operator="containsText" text="SUS">
      <formula>NOT(ISERROR(SEARCH("SUS",E10)))</formula>
    </cfRule>
  </conditionalFormatting>
  <conditionalFormatting sqref="W12:X12">
    <cfRule type="containsText" dxfId="541" priority="1392" operator="containsText" text="Sick">
      <formula>NOT(ISERROR(SEARCH("Sick",W12)))</formula>
    </cfRule>
    <cfRule type="containsText" dxfId="540" priority="1388" operator="containsText" text="FL">
      <formula>NOT(ISERROR(SEARCH("FL",W12)))</formula>
    </cfRule>
    <cfRule type="containsText" dxfId="539" priority="1395" operator="containsText" text="OFF">
      <formula>NOT(ISERROR(SEARCH("OFF",W12)))</formula>
    </cfRule>
    <cfRule type="containsText" dxfId="538" priority="1394" operator="containsText" text="MC">
      <formula>NOT(ISERROR(SEARCH("MC",W12)))</formula>
    </cfRule>
    <cfRule type="containsText" dxfId="537" priority="1393" operator="containsText" text="AL">
      <formula>NOT(ISERROR(SEARCH("AL",W12)))</formula>
    </cfRule>
    <cfRule type="containsText" dxfId="536" priority="1387" operator="containsText" text="NL">
      <formula>NOT(ISERROR(SEARCH("NL",W12)))</formula>
    </cfRule>
    <cfRule type="containsText" dxfId="535" priority="1390" operator="containsText" text="EL">
      <formula>NOT(ISERROR(SEARCH("EL",W12)))</formula>
    </cfRule>
    <cfRule type="containsText" dxfId="534" priority="1389" operator="containsText" text="SUS">
      <formula>NOT(ISERROR(SEARCH("SUS",W12)))</formula>
    </cfRule>
    <cfRule type="containsText" dxfId="533" priority="1386" operator="containsText" text="SP">
      <formula>NOT(ISERROR(SEARCH("SP",W12)))</formula>
    </cfRule>
    <cfRule type="containsText" dxfId="532" priority="1391" operator="containsText" text="AB">
      <formula>NOT(ISERROR(SEARCH("AB",W12)))</formula>
    </cfRule>
  </conditionalFormatting>
  <conditionalFormatting sqref="W35:AH35">
    <cfRule type="containsText" dxfId="531" priority="14501" operator="containsText" text="AB">
      <formula>NOT(ISERROR(SEARCH("AB",W35)))</formula>
    </cfRule>
    <cfRule type="containsText" dxfId="530" priority="14502" operator="containsText" text="AL">
      <formula>NOT(ISERROR(SEARCH("AL",W35)))</formula>
    </cfRule>
    <cfRule type="containsText" dxfId="529" priority="14503" operator="containsText" text="SICK">
      <formula>NOT(ISERROR(SEARCH("SICK",W35)))</formula>
    </cfRule>
    <cfRule type="containsText" dxfId="528" priority="14504" operator="containsText" text="NL">
      <formula>NOT(ISERROR(SEARCH("NL",W35)))</formula>
    </cfRule>
  </conditionalFormatting>
  <conditionalFormatting sqref="Y6:Z12">
    <cfRule type="containsText" dxfId="527" priority="281" operator="containsText" text="SP">
      <formula>NOT(ISERROR(SEARCH("SP",Y6)))</formula>
    </cfRule>
    <cfRule type="containsText" dxfId="526" priority="284" operator="containsText" text="SUS">
      <formula>NOT(ISERROR(SEARCH("SUS",Y6)))</formula>
    </cfRule>
    <cfRule type="containsText" dxfId="525" priority="283" operator="containsText" text="FL">
      <formula>NOT(ISERROR(SEARCH("FL",Y6)))</formula>
    </cfRule>
    <cfRule type="containsText" dxfId="524" priority="282" operator="containsText" text="NL">
      <formula>NOT(ISERROR(SEARCH("NL",Y6)))</formula>
    </cfRule>
  </conditionalFormatting>
  <conditionalFormatting sqref="Y6:AH6 AA7:AH7 Y7:Z12">
    <cfRule type="containsText" dxfId="523" priority="2896" operator="containsText" text="AL">
      <formula>NOT(ISERROR(SEARCH("AL",Y6)))</formula>
    </cfRule>
    <cfRule type="containsText" dxfId="522" priority="2895" operator="containsText" text="Sick">
      <formula>NOT(ISERROR(SEARCH("Sick",Y6)))</formula>
    </cfRule>
    <cfRule type="containsText" dxfId="521" priority="2894" operator="containsText" text="AB">
      <formula>NOT(ISERROR(SEARCH("AB",Y6)))</formula>
    </cfRule>
    <cfRule type="containsText" dxfId="520" priority="2893" operator="containsText" text="EL">
      <formula>NOT(ISERROR(SEARCH("EL",Y6)))</formula>
    </cfRule>
    <cfRule type="containsText" dxfId="519" priority="2897" operator="containsText" text="MC">
      <formula>NOT(ISERROR(SEARCH("MC",Y6)))</formula>
    </cfRule>
    <cfRule type="containsText" dxfId="518" priority="2898" operator="containsText" text="OFF">
      <formula>NOT(ISERROR(SEARCH("OFF",Y6)))</formula>
    </cfRule>
  </conditionalFormatting>
  <conditionalFormatting sqref="AA35:AB35">
    <cfRule type="containsText" dxfId="517" priority="14543" stopIfTrue="1" operator="containsText" text="SICK">
      <formula>NOT(ISERROR(SEARCH("SICK",AA35)))</formula>
    </cfRule>
    <cfRule type="containsText" dxfId="516" priority="14542" stopIfTrue="1" operator="containsText" text="SP">
      <formula>NOT(ISERROR(SEARCH("SP",AA35)))</formula>
    </cfRule>
    <cfRule type="containsText" dxfId="515" priority="14541" stopIfTrue="1" operator="containsText" text="AL">
      <formula>NOT(ISERROR(SEARCH("AL",AA35)))</formula>
    </cfRule>
  </conditionalFormatting>
  <conditionalFormatting sqref="AA6:AF7">
    <cfRule type="containsText" dxfId="514" priority="2325" operator="containsText" text="Sick">
      <formula>NOT(ISERROR(SEARCH("Sick",AA6)))</formula>
    </cfRule>
    <cfRule type="containsText" dxfId="513" priority="2324" operator="containsText" text="AB">
      <formula>NOT(ISERROR(SEARCH("AB",AA6)))</formula>
    </cfRule>
    <cfRule type="containsText" dxfId="512" priority="2323" operator="containsText" text="EL">
      <formula>NOT(ISERROR(SEARCH("EL",AA6)))</formula>
    </cfRule>
    <cfRule type="containsText" dxfId="511" priority="2327" operator="containsText" text="MC">
      <formula>NOT(ISERROR(SEARCH("MC",AA6)))</formula>
    </cfRule>
    <cfRule type="containsText" dxfId="510" priority="2326" operator="containsText" text="AL">
      <formula>NOT(ISERROR(SEARCH("AL",AA6)))</formula>
    </cfRule>
    <cfRule type="containsText" dxfId="509" priority="2328" operator="containsText" text="OFF">
      <formula>NOT(ISERROR(SEARCH("OFF",AA6)))</formula>
    </cfRule>
  </conditionalFormatting>
  <conditionalFormatting sqref="AA11:AH12">
    <cfRule type="containsText" dxfId="508" priority="1332" operator="containsText" text="Sick">
      <formula>NOT(ISERROR(SEARCH("Sick",AA11)))</formula>
    </cfRule>
    <cfRule type="containsText" dxfId="507" priority="1333" operator="containsText" text="AL">
      <formula>NOT(ISERROR(SEARCH("AL",AA11)))</formula>
    </cfRule>
    <cfRule type="containsText" dxfId="506" priority="1335" operator="containsText" text="OFF">
      <formula>NOT(ISERROR(SEARCH("OFF",AA11)))</formula>
    </cfRule>
    <cfRule type="containsText" dxfId="505" priority="1331" operator="containsText" text="AB">
      <formula>NOT(ISERROR(SEARCH("AB",AA11)))</formula>
    </cfRule>
    <cfRule type="containsText" dxfId="504" priority="1330" operator="containsText" text="EL">
      <formula>NOT(ISERROR(SEARCH("EL",AA11)))</formula>
    </cfRule>
    <cfRule type="containsText" dxfId="503" priority="1329" operator="containsText" text="SUS">
      <formula>NOT(ISERROR(SEARCH("SUS",AA11)))</formula>
    </cfRule>
    <cfRule type="containsText" dxfId="502" priority="1328" operator="containsText" text="FL">
      <formula>NOT(ISERROR(SEARCH("FL",AA11)))</formula>
    </cfRule>
    <cfRule type="containsText" dxfId="501" priority="1327" operator="containsText" text="NL">
      <formula>NOT(ISERROR(SEARCH("NL",AA11)))</formula>
    </cfRule>
    <cfRule type="containsText" dxfId="500" priority="1326" operator="containsText" text="SP">
      <formula>NOT(ISERROR(SEARCH("SP",AA11)))</formula>
    </cfRule>
    <cfRule type="containsText" dxfId="499" priority="1334" operator="containsText" text="MC">
      <formula>NOT(ISERROR(SEARCH("MC",AA11)))</formula>
    </cfRule>
  </conditionalFormatting>
  <conditionalFormatting sqref="AG6:AH9 S8:X9 AA8:AF9">
    <cfRule type="containsText" dxfId="498" priority="1382" operator="containsText" text="Sick">
      <formula>NOT(ISERROR(SEARCH("Sick",S6)))</formula>
    </cfRule>
    <cfRule type="containsText" dxfId="497" priority="1383" operator="containsText" text="AL">
      <formula>NOT(ISERROR(SEARCH("AL",S6)))</formula>
    </cfRule>
    <cfRule type="containsText" dxfId="496" priority="1385" operator="containsText" text="OFF">
      <formula>NOT(ISERROR(SEARCH("OFF",S6)))</formula>
    </cfRule>
    <cfRule type="containsText" dxfId="495" priority="1384" operator="containsText" text="MC">
      <formula>NOT(ISERROR(SEARCH("MC",S6)))</formula>
    </cfRule>
  </conditionalFormatting>
  <conditionalFormatting sqref="AI6:AJ32 BE11:BF11">
    <cfRule type="containsText" dxfId="494" priority="1511" operator="containsText" text="SUS">
      <formula>NOT(ISERROR(SEARCH("SUS",AI6)))</formula>
    </cfRule>
    <cfRule type="containsText" dxfId="493" priority="1512" operator="containsText" text="EL">
      <formula>NOT(ISERROR(SEARCH("EL",AI6)))</formula>
    </cfRule>
    <cfRule type="containsText" dxfId="492" priority="1510" operator="containsText" text="FL">
      <formula>NOT(ISERROR(SEARCH("FL",AI6)))</formula>
    </cfRule>
    <cfRule type="containsText" dxfId="491" priority="1517" operator="containsText" text="OFF">
      <formula>NOT(ISERROR(SEARCH("OFF",AI6)))</formula>
    </cfRule>
    <cfRule type="containsText" dxfId="490" priority="1516" operator="containsText" text="MC">
      <formula>NOT(ISERROR(SEARCH("MC",AI6)))</formula>
    </cfRule>
    <cfRule type="containsText" dxfId="489" priority="1515" operator="containsText" text="AL">
      <formula>NOT(ISERROR(SEARCH("AL",AI6)))</formula>
    </cfRule>
    <cfRule type="containsText" dxfId="488" priority="1509" operator="containsText" text="NL">
      <formula>NOT(ISERROR(SEARCH("NL",AI6)))</formula>
    </cfRule>
    <cfRule type="containsText" dxfId="487" priority="1513" operator="containsText" text="AB">
      <formula>NOT(ISERROR(SEARCH("AB",AI6)))</formula>
    </cfRule>
    <cfRule type="containsText" dxfId="486" priority="1514" operator="containsText" text="Sick">
      <formula>NOT(ISERROR(SEARCH("Sick",AI6)))</formula>
    </cfRule>
  </conditionalFormatting>
  <conditionalFormatting sqref="AK5:AL5">
    <cfRule type="dataBar" priority="15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6:AP12">
    <cfRule type="containsText" dxfId="485" priority="267" operator="containsText" text="FL">
      <formula>NOT(ISERROR(SEARCH("FL",AK6)))</formula>
    </cfRule>
    <cfRule type="containsText" dxfId="484" priority="266" operator="containsText" text="NL">
      <formula>NOT(ISERROR(SEARCH("NL",AK6)))</formula>
    </cfRule>
    <cfRule type="containsText" dxfId="483" priority="265" operator="containsText" text="SP">
      <formula>NOT(ISERROR(SEARCH("SP",AK6)))</formula>
    </cfRule>
    <cfRule type="containsText" dxfId="482" priority="268" operator="containsText" text="SUS">
      <formula>NOT(ISERROR(SEARCH("SUS",AK6)))</formula>
    </cfRule>
    <cfRule type="containsText" dxfId="481" priority="277" operator="containsText" text="Sick">
      <formula>NOT(ISERROR(SEARCH("Sick",AK6)))</formula>
    </cfRule>
    <cfRule type="containsText" dxfId="480" priority="279" operator="containsText" text="MC">
      <formula>NOT(ISERROR(SEARCH("MC",AK6)))</formula>
    </cfRule>
    <cfRule type="containsText" dxfId="479" priority="280" operator="containsText" text="OFF">
      <formula>NOT(ISERROR(SEARCH("OFF",AK6)))</formula>
    </cfRule>
    <cfRule type="containsText" dxfId="478" priority="276" operator="containsText" text="AB">
      <formula>NOT(ISERROR(SEARCH("AB",AK6)))</formula>
    </cfRule>
    <cfRule type="containsText" dxfId="477" priority="275" operator="containsText" text="EL">
      <formula>NOT(ISERROR(SEARCH("EL",AK6)))</formula>
    </cfRule>
    <cfRule type="containsText" dxfId="476" priority="278" operator="containsText" text="AL">
      <formula>NOT(ISERROR(SEARCH("AL",AK6)))</formula>
    </cfRule>
  </conditionalFormatting>
  <conditionalFormatting sqref="AK5:BP5">
    <cfRule type="expression" priority="15390">
      <formula>AND(ISNUMBER($Z3), ISNUMBER($AA3))</formula>
    </cfRule>
    <cfRule type="cellIs" dxfId="475" priority="15393" operator="equal">
      <formula>"AB"</formula>
    </cfRule>
    <cfRule type="cellIs" dxfId="474" priority="15392" operator="equal">
      <formula>"Sick"</formula>
    </cfRule>
    <cfRule type="containsText" dxfId="473" priority="15395" operator="containsText" text="AB">
      <formula>NOT(ISERROR(SEARCH("AB",#REF!)))</formula>
    </cfRule>
    <cfRule type="containsText" dxfId="472" priority="15396" operator="containsText" text="HD">
      <formula>NOT(ISERROR(SEARCH("HD",#REF!)))</formula>
    </cfRule>
    <cfRule type="containsText" dxfId="471" priority="15397" operator="containsText" text="S">
      <formula>NOT(ISERROR(SEARCH("S",#REF!)))</formula>
    </cfRule>
    <cfRule type="cellIs" dxfId="470" priority="15394" operator="equal">
      <formula>"OFF"</formula>
    </cfRule>
  </conditionalFormatting>
  <conditionalFormatting sqref="AM5:AN5">
    <cfRule type="dataBar" priority="15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O5:AP5">
    <cfRule type="dataBar" priority="15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O6:AP12">
    <cfRule type="containsText" dxfId="469" priority="272" operator="containsText" text="AL">
      <formula>NOT(ISERROR(SEARCH("AL",AO6)))</formula>
    </cfRule>
    <cfRule type="containsText" dxfId="468" priority="271" operator="containsText" text="Sick">
      <formula>NOT(ISERROR(SEARCH("Sick",AO6)))</formula>
    </cfRule>
    <cfRule type="containsText" dxfId="467" priority="270" operator="containsText" text="AB">
      <formula>NOT(ISERROR(SEARCH("AB",AO6)))</formula>
    </cfRule>
    <cfRule type="containsText" dxfId="466" priority="264" operator="containsText" text="SUS">
      <formula>NOT(ISERROR(SEARCH("SUS",AO6)))</formula>
    </cfRule>
    <cfRule type="containsText" dxfId="465" priority="263" operator="containsText" text="FL">
      <formula>NOT(ISERROR(SEARCH("FL",AO6)))</formula>
    </cfRule>
    <cfRule type="containsText" dxfId="464" priority="262" operator="containsText" text="NL">
      <formula>NOT(ISERROR(SEARCH("NL",AO6)))</formula>
    </cfRule>
    <cfRule type="containsText" dxfId="463" priority="273" operator="containsText" text="MC">
      <formula>NOT(ISERROR(SEARCH("MC",AO6)))</formula>
    </cfRule>
    <cfRule type="containsText" dxfId="462" priority="261" operator="containsText" text="SP">
      <formula>NOT(ISERROR(SEARCH("SP",AO6)))</formula>
    </cfRule>
    <cfRule type="containsText" dxfId="461" priority="269" operator="containsText" text="EL">
      <formula>NOT(ISERROR(SEARCH("EL",AO6)))</formula>
    </cfRule>
    <cfRule type="containsText" dxfId="460" priority="274" operator="containsText" text="OFF">
      <formula>NOT(ISERROR(SEARCH("OFF",AO6)))</formula>
    </cfRule>
  </conditionalFormatting>
  <conditionalFormatting sqref="AO17:AP17">
    <cfRule type="containsText" dxfId="459" priority="229" operator="containsText" text="EL">
      <formula>NOT(ISERROR(SEARCH("EL",AO17)))</formula>
    </cfRule>
    <cfRule type="containsText" dxfId="458" priority="230" operator="containsText" text="AB">
      <formula>NOT(ISERROR(SEARCH("AB",AO17)))</formula>
    </cfRule>
    <cfRule type="containsText" dxfId="457" priority="231" operator="containsText" text="Sick">
      <formula>NOT(ISERROR(SEARCH("Sick",AO17)))</formula>
    </cfRule>
    <cfRule type="containsText" dxfId="456" priority="232" operator="containsText" text="AL">
      <formula>NOT(ISERROR(SEARCH("AL",AO17)))</formula>
    </cfRule>
    <cfRule type="containsText" dxfId="455" priority="233" operator="containsText" text="MC">
      <formula>NOT(ISERROR(SEARCH("MC",AO17)))</formula>
    </cfRule>
    <cfRule type="containsText" dxfId="454" priority="234" operator="containsText" text="OFF">
      <formula>NOT(ISERROR(SEARCH("OFF",AO17)))</formula>
    </cfRule>
    <cfRule type="containsText" dxfId="453" priority="235" operator="containsText" text="EL">
      <formula>NOT(ISERROR(SEARCH("EL",AO17)))</formula>
    </cfRule>
    <cfRule type="containsText" dxfId="452" priority="236" operator="containsText" text="AB">
      <formula>NOT(ISERROR(SEARCH("AB",AO17)))</formula>
    </cfRule>
    <cfRule type="containsText" dxfId="451" priority="237" operator="containsText" text="Sick">
      <formula>NOT(ISERROR(SEARCH("Sick",AO17)))</formula>
    </cfRule>
    <cfRule type="containsText" dxfId="450" priority="238" operator="containsText" text="AL">
      <formula>NOT(ISERROR(SEARCH("AL",AO17)))</formula>
    </cfRule>
    <cfRule type="containsText" dxfId="449" priority="239" operator="containsText" text="MC">
      <formula>NOT(ISERROR(SEARCH("MC",AO17)))</formula>
    </cfRule>
    <cfRule type="containsText" dxfId="448" priority="240" operator="containsText" text="OFF">
      <formula>NOT(ISERROR(SEARCH("OFF",AO17)))</formula>
    </cfRule>
    <cfRule type="containsText" dxfId="447" priority="226" operator="containsText" text="NL">
      <formula>NOT(ISERROR(SEARCH("NL",AO17)))</formula>
    </cfRule>
    <cfRule type="containsText" dxfId="446" priority="225" operator="containsText" text="SP">
      <formula>NOT(ISERROR(SEARCH("SP",AO17)))</formula>
    </cfRule>
    <cfRule type="containsText" dxfId="445" priority="227" operator="containsText" text="FL">
      <formula>NOT(ISERROR(SEARCH("FL",AO17)))</formula>
    </cfRule>
    <cfRule type="containsText" dxfId="444" priority="228" operator="containsText" text="SUS">
      <formula>NOT(ISERROR(SEARCH("SUS",AO17)))</formula>
    </cfRule>
  </conditionalFormatting>
  <conditionalFormatting sqref="AO17:AP18">
    <cfRule type="containsText" dxfId="443" priority="68" operator="containsText" text="SUS">
      <formula>NOT(ISERROR(SEARCH("SUS",AO17)))</formula>
    </cfRule>
    <cfRule type="containsText" dxfId="442" priority="67" operator="containsText" text="FL">
      <formula>NOT(ISERROR(SEARCH("FL",AO17)))</formula>
    </cfRule>
    <cfRule type="containsText" dxfId="441" priority="66" operator="containsText" text="NL">
      <formula>NOT(ISERROR(SEARCH("NL",AO17)))</formula>
    </cfRule>
    <cfRule type="containsText" dxfId="440" priority="65" operator="containsText" text="SP">
      <formula>NOT(ISERROR(SEARCH("SP",AO17)))</formula>
    </cfRule>
  </conditionalFormatting>
  <conditionalFormatting sqref="AO18:AP18">
    <cfRule type="containsText" dxfId="439" priority="71" operator="containsText" text="Sick">
      <formula>NOT(ISERROR(SEARCH("Sick",AO18)))</formula>
    </cfRule>
    <cfRule type="containsText" dxfId="438" priority="72" operator="containsText" text="AL">
      <formula>NOT(ISERROR(SEARCH("AL",AO18)))</formula>
    </cfRule>
    <cfRule type="containsText" dxfId="437" priority="73" operator="containsText" text="MC">
      <formula>NOT(ISERROR(SEARCH("MC",AO18)))</formula>
    </cfRule>
    <cfRule type="containsText" dxfId="436" priority="74" operator="containsText" text="OFF">
      <formula>NOT(ISERROR(SEARCH("OFF",AO18)))</formula>
    </cfRule>
    <cfRule type="containsText" dxfId="435" priority="75" operator="containsText" text="EL">
      <formula>NOT(ISERROR(SEARCH("EL",AO18)))</formula>
    </cfRule>
    <cfRule type="containsText" dxfId="434" priority="76" operator="containsText" text="AB">
      <formula>NOT(ISERROR(SEARCH("AB",AO18)))</formula>
    </cfRule>
    <cfRule type="containsText" dxfId="433" priority="77" operator="containsText" text="Sick">
      <formula>NOT(ISERROR(SEARCH("Sick",AO18)))</formula>
    </cfRule>
    <cfRule type="containsText" dxfId="432" priority="80" operator="containsText" text="OFF">
      <formula>NOT(ISERROR(SEARCH("OFF",AO18)))</formula>
    </cfRule>
    <cfRule type="containsText" dxfId="431" priority="78" operator="containsText" text="AL">
      <formula>NOT(ISERROR(SEARCH("AL",AO18)))</formula>
    </cfRule>
    <cfRule type="containsText" dxfId="430" priority="79" operator="containsText" text="MC">
      <formula>NOT(ISERROR(SEARCH("MC",AO18)))</formula>
    </cfRule>
    <cfRule type="containsText" dxfId="429" priority="69" operator="containsText" text="EL">
      <formula>NOT(ISERROR(SEARCH("EL",AO18)))</formula>
    </cfRule>
    <cfRule type="containsText" dxfId="428" priority="70" operator="containsText" text="AB">
      <formula>NOT(ISERROR(SEARCH("AB",AO18)))</formula>
    </cfRule>
  </conditionalFormatting>
  <conditionalFormatting sqref="AO18:AP19">
    <cfRule type="containsText" dxfId="427" priority="46" operator="containsText" text="NL">
      <formula>NOT(ISERROR(SEARCH("NL",AO18)))</formula>
    </cfRule>
    <cfRule type="containsText" dxfId="426" priority="45" operator="containsText" text="SP">
      <formula>NOT(ISERROR(SEARCH("SP",AO18)))</formula>
    </cfRule>
    <cfRule type="containsText" dxfId="425" priority="47" operator="containsText" text="FL">
      <formula>NOT(ISERROR(SEARCH("FL",AO18)))</formula>
    </cfRule>
    <cfRule type="containsText" dxfId="424" priority="48" operator="containsText" text="SUS">
      <formula>NOT(ISERROR(SEARCH("SUS",AO18)))</formula>
    </cfRule>
  </conditionalFormatting>
  <conditionalFormatting sqref="AO19:AP19">
    <cfRule type="containsText" dxfId="423" priority="50" operator="containsText" text="AB">
      <formula>NOT(ISERROR(SEARCH("AB",AO19)))</formula>
    </cfRule>
    <cfRule type="containsText" dxfId="422" priority="51" operator="containsText" text="Sick">
      <formula>NOT(ISERROR(SEARCH("Sick",AO19)))</formula>
    </cfRule>
    <cfRule type="containsText" dxfId="421" priority="52" operator="containsText" text="AL">
      <formula>NOT(ISERROR(SEARCH("AL",AO19)))</formula>
    </cfRule>
    <cfRule type="containsText" dxfId="420" priority="53" operator="containsText" text="MC">
      <formula>NOT(ISERROR(SEARCH("MC",AO19)))</formula>
    </cfRule>
    <cfRule type="containsText" dxfId="419" priority="54" operator="containsText" text="OFF">
      <formula>NOT(ISERROR(SEARCH("OFF",AO19)))</formula>
    </cfRule>
    <cfRule type="containsText" dxfId="418" priority="55" operator="containsText" text="EL">
      <formula>NOT(ISERROR(SEARCH("EL",AO19)))</formula>
    </cfRule>
    <cfRule type="containsText" dxfId="417" priority="56" operator="containsText" text="AB">
      <formula>NOT(ISERROR(SEARCH("AB",AO19)))</formula>
    </cfRule>
    <cfRule type="containsText" dxfId="416" priority="57" operator="containsText" text="Sick">
      <formula>NOT(ISERROR(SEARCH("Sick",AO19)))</formula>
    </cfRule>
    <cfRule type="containsText" dxfId="415" priority="58" operator="containsText" text="AL">
      <formula>NOT(ISERROR(SEARCH("AL",AO19)))</formula>
    </cfRule>
    <cfRule type="containsText" dxfId="414" priority="59" operator="containsText" text="MC">
      <formula>NOT(ISERROR(SEARCH("MC",AO19)))</formula>
    </cfRule>
    <cfRule type="containsText" dxfId="413" priority="60" operator="containsText" text="OFF">
      <formula>NOT(ISERROR(SEARCH("OFF",AO19)))</formula>
    </cfRule>
    <cfRule type="containsText" dxfId="412" priority="41" operator="containsText" text="SP">
      <formula>NOT(ISERROR(SEARCH("SP",AO19)))</formula>
    </cfRule>
    <cfRule type="containsText" dxfId="411" priority="42" operator="containsText" text="NL">
      <formula>NOT(ISERROR(SEARCH("NL",AO19)))</formula>
    </cfRule>
    <cfRule type="containsText" dxfId="410" priority="43" operator="containsText" text="FL">
      <formula>NOT(ISERROR(SEARCH("FL",AO19)))</formula>
    </cfRule>
    <cfRule type="containsText" dxfId="409" priority="44" operator="containsText" text="SUS">
      <formula>NOT(ISERROR(SEARCH("SUS",AO19)))</formula>
    </cfRule>
    <cfRule type="containsText" dxfId="408" priority="49" operator="containsText" text="EL">
      <formula>NOT(ISERROR(SEARCH("EL",AO19)))</formula>
    </cfRule>
  </conditionalFormatting>
  <conditionalFormatting sqref="AO30:AP30">
    <cfRule type="containsText" dxfId="407" priority="219" operator="containsText" text="MC">
      <formula>NOT(ISERROR(SEARCH("MC",AO30)))</formula>
    </cfRule>
    <cfRule type="containsText" dxfId="406" priority="220" operator="containsText" text="OFF">
      <formula>NOT(ISERROR(SEARCH("OFF",AO30)))</formula>
    </cfRule>
    <cfRule type="containsText" dxfId="405" priority="205" operator="containsText" text="SP">
      <formula>NOT(ISERROR(SEARCH("SP",AO30)))</formula>
    </cfRule>
    <cfRule type="containsText" dxfId="404" priority="206" operator="containsText" text="NL">
      <formula>NOT(ISERROR(SEARCH("NL",AO30)))</formula>
    </cfRule>
    <cfRule type="containsText" dxfId="403" priority="207" operator="containsText" text="FL">
      <formula>NOT(ISERROR(SEARCH("FL",AO30)))</formula>
    </cfRule>
    <cfRule type="containsText" dxfId="402" priority="208" operator="containsText" text="SUS">
      <formula>NOT(ISERROR(SEARCH("SUS",AO30)))</formula>
    </cfRule>
    <cfRule type="containsText" dxfId="401" priority="209" operator="containsText" text="EL">
      <formula>NOT(ISERROR(SEARCH("EL",AO30)))</formula>
    </cfRule>
    <cfRule type="containsText" dxfId="400" priority="210" operator="containsText" text="AB">
      <formula>NOT(ISERROR(SEARCH("AB",AO30)))</formula>
    </cfRule>
    <cfRule type="containsText" dxfId="399" priority="211" operator="containsText" text="Sick">
      <formula>NOT(ISERROR(SEARCH("Sick",AO30)))</formula>
    </cfRule>
    <cfRule type="containsText" dxfId="398" priority="212" operator="containsText" text="AL">
      <formula>NOT(ISERROR(SEARCH("AL",AO30)))</formula>
    </cfRule>
    <cfRule type="containsText" dxfId="397" priority="213" operator="containsText" text="MC">
      <formula>NOT(ISERROR(SEARCH("MC",AO30)))</formula>
    </cfRule>
    <cfRule type="containsText" dxfId="396" priority="214" operator="containsText" text="OFF">
      <formula>NOT(ISERROR(SEARCH("OFF",AO30)))</formula>
    </cfRule>
    <cfRule type="containsText" dxfId="395" priority="215" operator="containsText" text="EL">
      <formula>NOT(ISERROR(SEARCH("EL",AO30)))</formula>
    </cfRule>
    <cfRule type="containsText" dxfId="394" priority="216" operator="containsText" text="AB">
      <formula>NOT(ISERROR(SEARCH("AB",AO30)))</formula>
    </cfRule>
    <cfRule type="containsText" dxfId="393" priority="217" operator="containsText" text="Sick">
      <formula>NOT(ISERROR(SEARCH("Sick",AO30)))</formula>
    </cfRule>
    <cfRule type="containsText" dxfId="392" priority="218" operator="containsText" text="AL">
      <formula>NOT(ISERROR(SEARCH("AL",AO30)))</formula>
    </cfRule>
  </conditionalFormatting>
  <conditionalFormatting sqref="AO30:AP31">
    <cfRule type="containsText" dxfId="391" priority="188" operator="containsText" text="SUS">
      <formula>NOT(ISERROR(SEARCH("SUS",AO30)))</formula>
    </cfRule>
    <cfRule type="containsText" dxfId="390" priority="187" operator="containsText" text="FL">
      <formula>NOT(ISERROR(SEARCH("FL",AO30)))</formula>
    </cfRule>
    <cfRule type="containsText" dxfId="389" priority="186" operator="containsText" text="NL">
      <formula>NOT(ISERROR(SEARCH("NL",AO30)))</formula>
    </cfRule>
    <cfRule type="containsText" dxfId="388" priority="185" operator="containsText" text="SP">
      <formula>NOT(ISERROR(SEARCH("SP",AO30)))</formula>
    </cfRule>
  </conditionalFormatting>
  <conditionalFormatting sqref="AO31:AP31">
    <cfRule type="containsText" dxfId="387" priority="189" operator="containsText" text="EL">
      <formula>NOT(ISERROR(SEARCH("EL",AO31)))</formula>
    </cfRule>
    <cfRule type="containsText" dxfId="386" priority="190" operator="containsText" text="AB">
      <formula>NOT(ISERROR(SEARCH("AB",AO31)))</formula>
    </cfRule>
    <cfRule type="containsText" dxfId="385" priority="191" operator="containsText" text="Sick">
      <formula>NOT(ISERROR(SEARCH("Sick",AO31)))</formula>
    </cfRule>
    <cfRule type="containsText" dxfId="384" priority="192" operator="containsText" text="AL">
      <formula>NOT(ISERROR(SEARCH("AL",AO31)))</formula>
    </cfRule>
    <cfRule type="containsText" dxfId="383" priority="193" operator="containsText" text="MC">
      <formula>NOT(ISERROR(SEARCH("MC",AO31)))</formula>
    </cfRule>
    <cfRule type="containsText" dxfId="382" priority="194" operator="containsText" text="OFF">
      <formula>NOT(ISERROR(SEARCH("OFF",AO31)))</formula>
    </cfRule>
    <cfRule type="containsText" dxfId="381" priority="195" operator="containsText" text="EL">
      <formula>NOT(ISERROR(SEARCH("EL",AO31)))</formula>
    </cfRule>
    <cfRule type="containsText" dxfId="380" priority="196" operator="containsText" text="AB">
      <formula>NOT(ISERROR(SEARCH("AB",AO31)))</formula>
    </cfRule>
    <cfRule type="containsText" dxfId="379" priority="182" operator="containsText" text="NL">
      <formula>NOT(ISERROR(SEARCH("NL",AO31)))</formula>
    </cfRule>
    <cfRule type="containsText" dxfId="378" priority="184" operator="containsText" text="SUS">
      <formula>NOT(ISERROR(SEARCH("SUS",AO31)))</formula>
    </cfRule>
    <cfRule type="containsText" dxfId="377" priority="183" operator="containsText" text="FL">
      <formula>NOT(ISERROR(SEARCH("FL",AO31)))</formula>
    </cfRule>
    <cfRule type="containsText" dxfId="376" priority="197" operator="containsText" text="Sick">
      <formula>NOT(ISERROR(SEARCH("Sick",AO31)))</formula>
    </cfRule>
    <cfRule type="containsText" dxfId="375" priority="198" operator="containsText" text="AL">
      <formula>NOT(ISERROR(SEARCH("AL",AO31)))</formula>
    </cfRule>
    <cfRule type="containsText" dxfId="374" priority="199" operator="containsText" text="MC">
      <formula>NOT(ISERROR(SEARCH("MC",AO31)))</formula>
    </cfRule>
    <cfRule type="containsText" dxfId="373" priority="200" operator="containsText" text="OFF">
      <formula>NOT(ISERROR(SEARCH("OFF",AO31)))</formula>
    </cfRule>
    <cfRule type="containsText" dxfId="372" priority="181" operator="containsText" text="SP">
      <formula>NOT(ISERROR(SEARCH("SP",AO31)))</formula>
    </cfRule>
  </conditionalFormatting>
  <conditionalFormatting sqref="AQ5:AR5">
    <cfRule type="dataBar" priority="15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Q6:AV12">
    <cfRule type="containsText" dxfId="371" priority="1028" operator="containsText" text="FL">
      <formula>NOT(ISERROR(SEARCH("FL",AQ6)))</formula>
    </cfRule>
    <cfRule type="containsText" dxfId="370" priority="1030" operator="containsText" text="EL">
      <formula>NOT(ISERROR(SEARCH("EL",AQ6)))</formula>
    </cfRule>
    <cfRule type="containsText" dxfId="369" priority="1035" operator="containsText" text="OFF">
      <formula>NOT(ISERROR(SEARCH("OFF",AQ6)))</formula>
    </cfRule>
    <cfRule type="containsText" dxfId="368" priority="1034" operator="containsText" text="MC">
      <formula>NOT(ISERROR(SEARCH("MC",AQ6)))</formula>
    </cfRule>
    <cfRule type="containsText" dxfId="367" priority="1027" operator="containsText" text="NL">
      <formula>NOT(ISERROR(SEARCH("NL",AQ6)))</formula>
    </cfRule>
    <cfRule type="containsText" dxfId="366" priority="1026" operator="containsText" text="SP">
      <formula>NOT(ISERROR(SEARCH("SP",AQ6)))</formula>
    </cfRule>
    <cfRule type="containsText" dxfId="365" priority="1033" operator="containsText" text="AL">
      <formula>NOT(ISERROR(SEARCH("AL",AQ6)))</formula>
    </cfRule>
    <cfRule type="containsText" dxfId="364" priority="1032" operator="containsText" text="Sick">
      <formula>NOT(ISERROR(SEARCH("Sick",AQ6)))</formula>
    </cfRule>
    <cfRule type="containsText" dxfId="363" priority="1031" operator="containsText" text="AB">
      <formula>NOT(ISERROR(SEARCH("AB",AQ6)))</formula>
    </cfRule>
    <cfRule type="containsText" dxfId="362" priority="1029" operator="containsText" text="SUS">
      <formula>NOT(ISERROR(SEARCH("SUS",AQ6)))</formula>
    </cfRule>
  </conditionalFormatting>
  <conditionalFormatting sqref="AQ12:BB12">
    <cfRule type="containsText" dxfId="361" priority="935" operator="containsText" text="OFF">
      <formula>NOT(ISERROR(SEARCH("OFF",AQ12)))</formula>
    </cfRule>
    <cfRule type="containsText" dxfId="360" priority="926" operator="containsText" text="SP">
      <formula>NOT(ISERROR(SEARCH("SP",AQ12)))</formula>
    </cfRule>
    <cfRule type="containsText" dxfId="359" priority="927" operator="containsText" text="NL">
      <formula>NOT(ISERROR(SEARCH("NL",AQ12)))</formula>
    </cfRule>
    <cfRule type="containsText" dxfId="358" priority="928" operator="containsText" text="FL">
      <formula>NOT(ISERROR(SEARCH("FL",AQ12)))</formula>
    </cfRule>
    <cfRule type="containsText" dxfId="357" priority="929" operator="containsText" text="SUS">
      <formula>NOT(ISERROR(SEARCH("SUS",AQ12)))</formula>
    </cfRule>
    <cfRule type="containsText" dxfId="356" priority="930" operator="containsText" text="EL">
      <formula>NOT(ISERROR(SEARCH("EL",AQ12)))</formula>
    </cfRule>
    <cfRule type="containsText" dxfId="355" priority="931" operator="containsText" text="AB">
      <formula>NOT(ISERROR(SEARCH("AB",AQ12)))</formula>
    </cfRule>
    <cfRule type="containsText" dxfId="354" priority="932" operator="containsText" text="Sick">
      <formula>NOT(ISERROR(SEARCH("Sick",AQ12)))</formula>
    </cfRule>
    <cfRule type="containsText" dxfId="353" priority="933" operator="containsText" text="AL">
      <formula>NOT(ISERROR(SEARCH("AL",AQ12)))</formula>
    </cfRule>
    <cfRule type="containsText" dxfId="352" priority="934" operator="containsText" text="MC">
      <formula>NOT(ISERROR(SEARCH("MC",AQ12)))</formula>
    </cfRule>
  </conditionalFormatting>
  <conditionalFormatting sqref="AS5:AT5">
    <cfRule type="dataBar" priority="15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S18:BP18">
    <cfRule type="containsText" dxfId="351" priority="311" operator="containsText" text="Sick">
      <formula>NOT(ISERROR(SEARCH("Sick",AS18)))</formula>
    </cfRule>
    <cfRule type="containsText" dxfId="350" priority="310" operator="containsText" text="AB">
      <formula>NOT(ISERROR(SEARCH("AB",AS18)))</formula>
    </cfRule>
    <cfRule type="containsText" dxfId="349" priority="309" operator="containsText" text="EL">
      <formula>NOT(ISERROR(SEARCH("EL",AS18)))</formula>
    </cfRule>
    <cfRule type="containsText" dxfId="348" priority="312" operator="containsText" text="AL">
      <formula>NOT(ISERROR(SEARCH("AL",AS18)))</formula>
    </cfRule>
    <cfRule type="containsText" dxfId="347" priority="308" operator="containsText" text="SUS">
      <formula>NOT(ISERROR(SEARCH("SUS",AS18)))</formula>
    </cfRule>
    <cfRule type="containsText" dxfId="346" priority="307" operator="containsText" text="FL">
      <formula>NOT(ISERROR(SEARCH("FL",AS18)))</formula>
    </cfRule>
    <cfRule type="containsText" dxfId="345" priority="306" operator="containsText" text="NL">
      <formula>NOT(ISERROR(SEARCH("NL",AS18)))</formula>
    </cfRule>
    <cfRule type="containsText" dxfId="344" priority="314" operator="containsText" text="OFF">
      <formula>NOT(ISERROR(SEARCH("OFF",AS18)))</formula>
    </cfRule>
    <cfRule type="containsText" dxfId="343" priority="305" operator="containsText" text="SP">
      <formula>NOT(ISERROR(SEARCH("SP",AS18)))</formula>
    </cfRule>
    <cfRule type="containsText" dxfId="342" priority="313" operator="containsText" text="MC">
      <formula>NOT(ISERROR(SEARCH("MC",AS18)))</formula>
    </cfRule>
  </conditionalFormatting>
  <conditionalFormatting sqref="AU5:AV5">
    <cfRule type="dataBar" priority="15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W5:AX5">
    <cfRule type="dataBar" priority="15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W6:BP12">
    <cfRule type="containsText" dxfId="341" priority="260" operator="containsText" text="OFF">
      <formula>NOT(ISERROR(SEARCH("OFF",AW6)))</formula>
    </cfRule>
    <cfRule type="containsText" dxfId="340" priority="248" operator="containsText" text="SUS">
      <formula>NOT(ISERROR(SEARCH("SUS",AW6)))</formula>
    </cfRule>
    <cfRule type="containsText" dxfId="339" priority="247" operator="containsText" text="FL">
      <formula>NOT(ISERROR(SEARCH("FL",AW6)))</formula>
    </cfRule>
    <cfRule type="containsText" dxfId="338" priority="246" operator="containsText" text="NL">
      <formula>NOT(ISERROR(SEARCH("NL",AW6)))</formula>
    </cfRule>
    <cfRule type="containsText" dxfId="337" priority="245" operator="containsText" text="SP">
      <formula>NOT(ISERROR(SEARCH("SP",AW6)))</formula>
    </cfRule>
    <cfRule type="containsText" dxfId="336" priority="259" operator="containsText" text="MC">
      <formula>NOT(ISERROR(SEARCH("MC",AW6)))</formula>
    </cfRule>
    <cfRule type="containsText" dxfId="335" priority="258" operator="containsText" text="AL">
      <formula>NOT(ISERROR(SEARCH("AL",AW6)))</formula>
    </cfRule>
    <cfRule type="containsText" dxfId="334" priority="257" operator="containsText" text="Sick">
      <formula>NOT(ISERROR(SEARCH("Sick",AW6)))</formula>
    </cfRule>
    <cfRule type="containsText" dxfId="333" priority="256" operator="containsText" text="AB">
      <formula>NOT(ISERROR(SEARCH("AB",AW6)))</formula>
    </cfRule>
    <cfRule type="containsText" dxfId="332" priority="255" operator="containsText" text="EL">
      <formula>NOT(ISERROR(SEARCH("EL",AW6)))</formula>
    </cfRule>
  </conditionalFormatting>
  <conditionalFormatting sqref="AX20">
    <cfRule type="containsText" dxfId="331" priority="385" operator="containsText" text="AL">
      <formula>NOT(ISERROR(SEARCH("AL",AX20)))</formula>
    </cfRule>
  </conditionalFormatting>
  <conditionalFormatting sqref="AY5:AZ5">
    <cfRule type="dataBar" priority="15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BA5:BB5">
    <cfRule type="dataBar" priority="15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35:BP35">
    <cfRule type="containsText" dxfId="330" priority="15387" stopIfTrue="1" operator="containsText" text="SP">
      <formula>NOT(ISERROR(SEARCH("SP",BA35)))</formula>
    </cfRule>
    <cfRule type="containsText" dxfId="329" priority="15388" stopIfTrue="1" operator="containsText" text="SICK">
      <formula>NOT(ISERROR(SEARCH("SICK",BA35)))</formula>
    </cfRule>
    <cfRule type="containsText" dxfId="328" priority="15386" stopIfTrue="1" operator="containsText" text="AL">
      <formula>NOT(ISERROR(SEARCH("AL",BA35)))</formula>
    </cfRule>
  </conditionalFormatting>
  <conditionalFormatting sqref="BC5:BD5">
    <cfRule type="dataBar" priority="15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C6:BD12">
    <cfRule type="containsText" dxfId="327" priority="254" operator="containsText" text="OFF">
      <formula>NOT(ISERROR(SEARCH("OFF",BC6)))</formula>
    </cfRule>
    <cfRule type="containsText" dxfId="326" priority="244" operator="containsText" text="SUS">
      <formula>NOT(ISERROR(SEARCH("SUS",BC6)))</formula>
    </cfRule>
    <cfRule type="containsText" dxfId="325" priority="241" operator="containsText" text="SP">
      <formula>NOT(ISERROR(SEARCH("SP",BC6)))</formula>
    </cfRule>
    <cfRule type="containsText" dxfId="324" priority="253" operator="containsText" text="MC">
      <formula>NOT(ISERROR(SEARCH("MC",BC6)))</formula>
    </cfRule>
    <cfRule type="containsText" dxfId="323" priority="252" operator="containsText" text="AL">
      <formula>NOT(ISERROR(SEARCH("AL",BC6)))</formula>
    </cfRule>
    <cfRule type="containsText" dxfId="322" priority="250" operator="containsText" text="AB">
      <formula>NOT(ISERROR(SEARCH("AB",BC6)))</formula>
    </cfRule>
    <cfRule type="containsText" dxfId="321" priority="243" operator="containsText" text="FL">
      <formula>NOT(ISERROR(SEARCH("FL",BC6)))</formula>
    </cfRule>
    <cfRule type="containsText" dxfId="320" priority="242" operator="containsText" text="NL">
      <formula>NOT(ISERROR(SEARCH("NL",BC6)))</formula>
    </cfRule>
    <cfRule type="containsText" dxfId="319" priority="249" operator="containsText" text="EL">
      <formula>NOT(ISERROR(SEARCH("EL",BC6)))</formula>
    </cfRule>
    <cfRule type="containsText" dxfId="318" priority="251" operator="containsText" text="Sick">
      <formula>NOT(ISERROR(SEARCH("Sick",BC6)))</formula>
    </cfRule>
  </conditionalFormatting>
  <conditionalFormatting sqref="BC16:BD16">
    <cfRule type="containsText" dxfId="317" priority="32" operator="containsText" text="AL">
      <formula>NOT(ISERROR(SEARCH("AL",BC16)))</formula>
    </cfRule>
    <cfRule type="containsText" dxfId="316" priority="34" operator="containsText" text="OFF">
      <formula>NOT(ISERROR(SEARCH("OFF",BC16)))</formula>
    </cfRule>
    <cfRule type="containsText" dxfId="315" priority="35" operator="containsText" text="EL">
      <formula>NOT(ISERROR(SEARCH("EL",BC16)))</formula>
    </cfRule>
    <cfRule type="containsText" dxfId="314" priority="36" operator="containsText" text="AB">
      <formula>NOT(ISERROR(SEARCH("AB",BC16)))</formula>
    </cfRule>
    <cfRule type="containsText" dxfId="313" priority="33" operator="containsText" text="MC">
      <formula>NOT(ISERROR(SEARCH("MC",BC16)))</formula>
    </cfRule>
    <cfRule type="containsText" dxfId="312" priority="27" operator="containsText" text="FL">
      <formula>NOT(ISERROR(SEARCH("FL",BC16)))</formula>
    </cfRule>
    <cfRule type="containsText" dxfId="311" priority="21" operator="containsText" text="SP">
      <formula>NOT(ISERROR(SEARCH("SP",BC16)))</formula>
    </cfRule>
    <cfRule type="containsText" dxfId="310" priority="22" operator="containsText" text="NL">
      <formula>NOT(ISERROR(SEARCH("NL",BC16)))</formula>
    </cfRule>
    <cfRule type="containsText" dxfId="309" priority="23" operator="containsText" text="FL">
      <formula>NOT(ISERROR(SEARCH("FL",BC16)))</formula>
    </cfRule>
    <cfRule type="containsText" dxfId="308" priority="24" operator="containsText" text="SUS">
      <formula>NOT(ISERROR(SEARCH("SUS",BC16)))</formula>
    </cfRule>
    <cfRule type="containsText" dxfId="307" priority="25" operator="containsText" text="SP">
      <formula>NOT(ISERROR(SEARCH("SP",BC16)))</formula>
    </cfRule>
    <cfRule type="containsText" dxfId="306" priority="26" operator="containsText" text="NL">
      <formula>NOT(ISERROR(SEARCH("NL",BC16)))</formula>
    </cfRule>
    <cfRule type="containsText" dxfId="305" priority="28" operator="containsText" text="SUS">
      <formula>NOT(ISERROR(SEARCH("SUS",BC16)))</formula>
    </cfRule>
    <cfRule type="containsText" dxfId="304" priority="29" operator="containsText" text="EL">
      <formula>NOT(ISERROR(SEARCH("EL",BC16)))</formula>
    </cfRule>
    <cfRule type="containsText" dxfId="303" priority="30" operator="containsText" text="AB">
      <formula>NOT(ISERROR(SEARCH("AB",BC16)))</formula>
    </cfRule>
    <cfRule type="containsText" dxfId="302" priority="31" operator="containsText" text="Sick">
      <formula>NOT(ISERROR(SEARCH("Sick",BC16)))</formula>
    </cfRule>
    <cfRule type="containsText" dxfId="301" priority="40" operator="containsText" text="OFF">
      <formula>NOT(ISERROR(SEARCH("OFF",BC16)))</formula>
    </cfRule>
    <cfRule type="containsText" dxfId="300" priority="39" operator="containsText" text="MC">
      <formula>NOT(ISERROR(SEARCH("MC",BC16)))</formula>
    </cfRule>
    <cfRule type="containsText" dxfId="299" priority="38" operator="containsText" text="AL">
      <formula>NOT(ISERROR(SEARCH("AL",BC16)))</formula>
    </cfRule>
    <cfRule type="containsText" dxfId="298" priority="37" operator="containsText" text="Sick">
      <formula>NOT(ISERROR(SEARCH("Sick",BC16)))</formula>
    </cfRule>
  </conditionalFormatting>
  <conditionalFormatting sqref="BC22:BD23">
    <cfRule type="containsText" dxfId="297" priority="90" operator="containsText" text="AB">
      <formula>NOT(ISERROR(SEARCH("AB",BC22)))</formula>
    </cfRule>
    <cfRule type="containsText" dxfId="296" priority="95" operator="containsText" text="EL">
      <formula>NOT(ISERROR(SEARCH("EL",BC22)))</formula>
    </cfRule>
    <cfRule type="containsText" dxfId="295" priority="94" operator="containsText" text="OFF">
      <formula>NOT(ISERROR(SEARCH("OFF",BC22)))</formula>
    </cfRule>
    <cfRule type="containsText" dxfId="294" priority="93" operator="containsText" text="MC">
      <formula>NOT(ISERROR(SEARCH("MC",BC22)))</formula>
    </cfRule>
    <cfRule type="containsText" dxfId="293" priority="92" operator="containsText" text="AL">
      <formula>NOT(ISERROR(SEARCH("AL",BC22)))</formula>
    </cfRule>
    <cfRule type="containsText" dxfId="292" priority="87" operator="containsText" text="FL">
      <formula>NOT(ISERROR(SEARCH("FL",BC22)))</formula>
    </cfRule>
    <cfRule type="containsText" dxfId="291" priority="88" operator="containsText" text="SUS">
      <formula>NOT(ISERROR(SEARCH("SUS",BC22)))</formula>
    </cfRule>
    <cfRule type="containsText" dxfId="290" priority="85" operator="containsText" text="SP">
      <formula>NOT(ISERROR(SEARCH("SP",BC22)))</formula>
    </cfRule>
    <cfRule type="containsText" dxfId="289" priority="89" operator="containsText" text="EL">
      <formula>NOT(ISERROR(SEARCH("EL",BC22)))</formula>
    </cfRule>
    <cfRule type="containsText" dxfId="288" priority="91" operator="containsText" text="Sick">
      <formula>NOT(ISERROR(SEARCH("Sick",BC22)))</formula>
    </cfRule>
    <cfRule type="containsText" dxfId="287" priority="100" operator="containsText" text="OFF">
      <formula>NOT(ISERROR(SEARCH("OFF",BC22)))</formula>
    </cfRule>
    <cfRule type="containsText" dxfId="286" priority="99" operator="containsText" text="MC">
      <formula>NOT(ISERROR(SEARCH("MC",BC22)))</formula>
    </cfRule>
    <cfRule type="containsText" dxfId="285" priority="98" operator="containsText" text="AL">
      <formula>NOT(ISERROR(SEARCH("AL",BC22)))</formula>
    </cfRule>
    <cfRule type="containsText" dxfId="284" priority="97" operator="containsText" text="Sick">
      <formula>NOT(ISERROR(SEARCH("Sick",BC22)))</formula>
    </cfRule>
    <cfRule type="containsText" dxfId="283" priority="96" operator="containsText" text="AB">
      <formula>NOT(ISERROR(SEARCH("AB",BC22)))</formula>
    </cfRule>
    <cfRule type="containsText" dxfId="282" priority="86" operator="containsText" text="NL">
      <formula>NOT(ISERROR(SEARCH("NL",BC22)))</formula>
    </cfRule>
    <cfRule type="containsText" dxfId="281" priority="84" operator="containsText" text="SUS">
      <formula>NOT(ISERROR(SEARCH("SUS",BC22)))</formula>
    </cfRule>
    <cfRule type="containsText" dxfId="280" priority="83" operator="containsText" text="FL">
      <formula>NOT(ISERROR(SEARCH("FL",BC22)))</formula>
    </cfRule>
    <cfRule type="containsText" dxfId="279" priority="82" operator="containsText" text="NL">
      <formula>NOT(ISERROR(SEARCH("NL",BC22)))</formula>
    </cfRule>
    <cfRule type="containsText" dxfId="278" priority="81" operator="containsText" text="SP">
      <formula>NOT(ISERROR(SEARCH("SP",BC22)))</formula>
    </cfRule>
  </conditionalFormatting>
  <conditionalFormatting sqref="BC25:BD25">
    <cfRule type="containsText" dxfId="277" priority="116" operator="containsText" text="AB">
      <formula>NOT(ISERROR(SEARCH("AB",BC25)))</formula>
    </cfRule>
    <cfRule type="containsText" dxfId="276" priority="117" operator="containsText" text="Sick">
      <formula>NOT(ISERROR(SEARCH("Sick",BC25)))</formula>
    </cfRule>
    <cfRule type="containsText" dxfId="275" priority="106" operator="containsText" text="NL">
      <formula>NOT(ISERROR(SEARCH("NL",BC25)))</formula>
    </cfRule>
    <cfRule type="containsText" dxfId="274" priority="118" operator="containsText" text="AL">
      <formula>NOT(ISERROR(SEARCH("AL",BC25)))</formula>
    </cfRule>
    <cfRule type="containsText" dxfId="273" priority="119" operator="containsText" text="MC">
      <formula>NOT(ISERROR(SEARCH("MC",BC25)))</formula>
    </cfRule>
    <cfRule type="containsText" dxfId="272" priority="120" operator="containsText" text="OFF">
      <formula>NOT(ISERROR(SEARCH("OFF",BC25)))</formula>
    </cfRule>
    <cfRule type="containsText" dxfId="271" priority="105" operator="containsText" text="SP">
      <formula>NOT(ISERROR(SEARCH("SP",BC25)))</formula>
    </cfRule>
    <cfRule type="containsText" dxfId="270" priority="107" operator="containsText" text="FL">
      <formula>NOT(ISERROR(SEARCH("FL",BC25)))</formula>
    </cfRule>
    <cfRule type="containsText" dxfId="269" priority="108" operator="containsText" text="SUS">
      <formula>NOT(ISERROR(SEARCH("SUS",BC25)))</formula>
    </cfRule>
    <cfRule type="containsText" dxfId="268" priority="109" operator="containsText" text="EL">
      <formula>NOT(ISERROR(SEARCH("EL",BC25)))</formula>
    </cfRule>
    <cfRule type="containsText" dxfId="267" priority="110" operator="containsText" text="AB">
      <formula>NOT(ISERROR(SEARCH("AB",BC25)))</formula>
    </cfRule>
    <cfRule type="containsText" dxfId="266" priority="111" operator="containsText" text="Sick">
      <formula>NOT(ISERROR(SEARCH("Sick",BC25)))</formula>
    </cfRule>
    <cfRule type="containsText" dxfId="265" priority="112" operator="containsText" text="AL">
      <formula>NOT(ISERROR(SEARCH("AL",BC25)))</formula>
    </cfRule>
    <cfRule type="containsText" dxfId="264" priority="113" operator="containsText" text="MC">
      <formula>NOT(ISERROR(SEARCH("MC",BC25)))</formula>
    </cfRule>
    <cfRule type="containsText" dxfId="263" priority="114" operator="containsText" text="OFF">
      <formula>NOT(ISERROR(SEARCH("OFF",BC25)))</formula>
    </cfRule>
    <cfRule type="containsText" dxfId="262" priority="115" operator="containsText" text="EL">
      <formula>NOT(ISERROR(SEARCH("EL",BC25)))</formula>
    </cfRule>
  </conditionalFormatting>
  <conditionalFormatting sqref="BC25:BD27">
    <cfRule type="containsText" dxfId="261" priority="8" operator="containsText" text="SUS">
      <formula>NOT(ISERROR(SEARCH("SUS",BC25)))</formula>
    </cfRule>
    <cfRule type="containsText" dxfId="260" priority="5" operator="containsText" text="SP">
      <formula>NOT(ISERROR(SEARCH("SP",BC25)))</formula>
    </cfRule>
    <cfRule type="containsText" dxfId="259" priority="6" operator="containsText" text="NL">
      <formula>NOT(ISERROR(SEARCH("NL",BC25)))</formula>
    </cfRule>
    <cfRule type="containsText" dxfId="258" priority="7" operator="containsText" text="FL">
      <formula>NOT(ISERROR(SEARCH("FL",BC25)))</formula>
    </cfRule>
  </conditionalFormatting>
  <conditionalFormatting sqref="BC26:BD26">
    <cfRule type="containsText" dxfId="257" priority="18" operator="containsText" text="AL">
      <formula>NOT(ISERROR(SEARCH("AL",BC26)))</formula>
    </cfRule>
    <cfRule type="containsText" dxfId="256" priority="19" operator="containsText" text="MC">
      <formula>NOT(ISERROR(SEARCH("MC",BC26)))</formula>
    </cfRule>
    <cfRule type="containsText" dxfId="255" priority="20" operator="containsText" text="OFF">
      <formula>NOT(ISERROR(SEARCH("OFF",BC26)))</formula>
    </cfRule>
    <cfRule type="containsText" dxfId="254" priority="1" operator="containsText" text="SP">
      <formula>NOT(ISERROR(SEARCH("SP",BC26)))</formula>
    </cfRule>
    <cfRule type="containsText" dxfId="253" priority="2" operator="containsText" text="NL">
      <formula>NOT(ISERROR(SEARCH("NL",BC26)))</formula>
    </cfRule>
    <cfRule type="containsText" dxfId="252" priority="3" operator="containsText" text="FL">
      <formula>NOT(ISERROR(SEARCH("FL",BC26)))</formula>
    </cfRule>
    <cfRule type="containsText" dxfId="251" priority="4" operator="containsText" text="SUS">
      <formula>NOT(ISERROR(SEARCH("SUS",BC26)))</formula>
    </cfRule>
    <cfRule type="containsText" dxfId="250" priority="9" operator="containsText" text="EL">
      <formula>NOT(ISERROR(SEARCH("EL",BC26)))</formula>
    </cfRule>
    <cfRule type="containsText" dxfId="249" priority="10" operator="containsText" text="AB">
      <formula>NOT(ISERROR(SEARCH("AB",BC26)))</formula>
    </cfRule>
    <cfRule type="containsText" dxfId="248" priority="11" operator="containsText" text="Sick">
      <formula>NOT(ISERROR(SEARCH("Sick",BC26)))</formula>
    </cfRule>
    <cfRule type="containsText" dxfId="247" priority="12" operator="containsText" text="AL">
      <formula>NOT(ISERROR(SEARCH("AL",BC26)))</formula>
    </cfRule>
    <cfRule type="containsText" dxfId="246" priority="13" operator="containsText" text="MC">
      <formula>NOT(ISERROR(SEARCH("MC",BC26)))</formula>
    </cfRule>
    <cfRule type="containsText" dxfId="245" priority="14" operator="containsText" text="OFF">
      <formula>NOT(ISERROR(SEARCH("OFF",BC26)))</formula>
    </cfRule>
    <cfRule type="containsText" dxfId="244" priority="15" operator="containsText" text="EL">
      <formula>NOT(ISERROR(SEARCH("EL",BC26)))</formula>
    </cfRule>
    <cfRule type="containsText" dxfId="243" priority="16" operator="containsText" text="AB">
      <formula>NOT(ISERROR(SEARCH("AB",BC26)))</formula>
    </cfRule>
    <cfRule type="containsText" dxfId="242" priority="17" operator="containsText" text="Sick">
      <formula>NOT(ISERROR(SEARCH("Sick",BC26)))</formula>
    </cfRule>
  </conditionalFormatting>
  <conditionalFormatting sqref="BC27:BD27">
    <cfRule type="containsText" dxfId="241" priority="134" operator="containsText" text="OFF">
      <formula>NOT(ISERROR(SEARCH("OFF",BC27)))</formula>
    </cfRule>
    <cfRule type="containsText" dxfId="240" priority="132" operator="containsText" text="AL">
      <formula>NOT(ISERROR(SEARCH("AL",BC27)))</formula>
    </cfRule>
    <cfRule type="containsText" dxfId="239" priority="131" operator="containsText" text="Sick">
      <formula>NOT(ISERROR(SEARCH("Sick",BC27)))</formula>
    </cfRule>
    <cfRule type="containsText" dxfId="238" priority="130" operator="containsText" text="AB">
      <formula>NOT(ISERROR(SEARCH("AB",BC27)))</formula>
    </cfRule>
    <cfRule type="containsText" dxfId="237" priority="129" operator="containsText" text="EL">
      <formula>NOT(ISERROR(SEARCH("EL",BC27)))</formula>
    </cfRule>
    <cfRule type="containsText" dxfId="236" priority="128" operator="containsText" text="SUS">
      <formula>NOT(ISERROR(SEARCH("SUS",BC27)))</formula>
    </cfRule>
    <cfRule type="containsText" dxfId="235" priority="127" operator="containsText" text="FL">
      <formula>NOT(ISERROR(SEARCH("FL",BC27)))</formula>
    </cfRule>
    <cfRule type="containsText" dxfId="234" priority="126" operator="containsText" text="NL">
      <formula>NOT(ISERROR(SEARCH("NL",BC27)))</formula>
    </cfRule>
    <cfRule type="containsText" dxfId="233" priority="133" operator="containsText" text="MC">
      <formula>NOT(ISERROR(SEARCH("MC",BC27)))</formula>
    </cfRule>
    <cfRule type="containsText" dxfId="232" priority="125" operator="containsText" text="SP">
      <formula>NOT(ISERROR(SEARCH("SP",BC27)))</formula>
    </cfRule>
    <cfRule type="containsText" dxfId="231" priority="140" operator="containsText" text="OFF">
      <formula>NOT(ISERROR(SEARCH("OFF",BC27)))</formula>
    </cfRule>
    <cfRule type="containsText" dxfId="230" priority="139" operator="containsText" text="MC">
      <formula>NOT(ISERROR(SEARCH("MC",BC27)))</formula>
    </cfRule>
    <cfRule type="containsText" dxfId="229" priority="138" operator="containsText" text="AL">
      <formula>NOT(ISERROR(SEARCH("AL",BC27)))</formula>
    </cfRule>
    <cfRule type="containsText" dxfId="228" priority="137" operator="containsText" text="Sick">
      <formula>NOT(ISERROR(SEARCH("Sick",BC27)))</formula>
    </cfRule>
    <cfRule type="containsText" dxfId="227" priority="135" operator="containsText" text="EL">
      <formula>NOT(ISERROR(SEARCH("EL",BC27)))</formula>
    </cfRule>
    <cfRule type="containsText" dxfId="226" priority="136" operator="containsText" text="AB">
      <formula>NOT(ISERROR(SEARCH("AB",BC27)))</formula>
    </cfRule>
  </conditionalFormatting>
  <conditionalFormatting sqref="BC29:BD29">
    <cfRule type="containsText" dxfId="225" priority="176" operator="containsText" text="AB">
      <formula>NOT(ISERROR(SEARCH("AB",BC29)))</formula>
    </cfRule>
    <cfRule type="containsText" dxfId="224" priority="173" operator="containsText" text="MC">
      <formula>NOT(ISERROR(SEARCH("MC",BC29)))</formula>
    </cfRule>
    <cfRule type="containsText" dxfId="223" priority="166" operator="containsText" text="NL">
      <formula>NOT(ISERROR(SEARCH("NL",BC29)))</formula>
    </cfRule>
    <cfRule type="containsText" dxfId="222" priority="167" operator="containsText" text="FL">
      <formula>NOT(ISERROR(SEARCH("FL",BC29)))</formula>
    </cfRule>
    <cfRule type="containsText" dxfId="221" priority="180" operator="containsText" text="OFF">
      <formula>NOT(ISERROR(SEARCH("OFF",BC29)))</formula>
    </cfRule>
    <cfRule type="containsText" dxfId="220" priority="179" operator="containsText" text="MC">
      <formula>NOT(ISERROR(SEARCH("MC",BC29)))</formula>
    </cfRule>
    <cfRule type="containsText" dxfId="219" priority="178" operator="containsText" text="AL">
      <formula>NOT(ISERROR(SEARCH("AL",BC29)))</formula>
    </cfRule>
    <cfRule type="containsText" dxfId="218" priority="177" operator="containsText" text="Sick">
      <formula>NOT(ISERROR(SEARCH("Sick",BC29)))</formula>
    </cfRule>
    <cfRule type="containsText" dxfId="217" priority="175" operator="containsText" text="EL">
      <formula>NOT(ISERROR(SEARCH("EL",BC29)))</formula>
    </cfRule>
    <cfRule type="containsText" dxfId="216" priority="174" operator="containsText" text="OFF">
      <formula>NOT(ISERROR(SEARCH("OFF",BC29)))</formula>
    </cfRule>
    <cfRule type="containsText" dxfId="215" priority="172" operator="containsText" text="AL">
      <formula>NOT(ISERROR(SEARCH("AL",BC29)))</formula>
    </cfRule>
    <cfRule type="containsText" dxfId="214" priority="171" operator="containsText" text="Sick">
      <formula>NOT(ISERROR(SEARCH("Sick",BC29)))</formula>
    </cfRule>
    <cfRule type="containsText" dxfId="213" priority="170" operator="containsText" text="AB">
      <formula>NOT(ISERROR(SEARCH("AB",BC29)))</formula>
    </cfRule>
    <cfRule type="containsText" dxfId="212" priority="168" operator="containsText" text="SUS">
      <formula>NOT(ISERROR(SEARCH("SUS",BC29)))</formula>
    </cfRule>
    <cfRule type="containsText" dxfId="211" priority="169" operator="containsText" text="EL">
      <formula>NOT(ISERROR(SEARCH("EL",BC29)))</formula>
    </cfRule>
    <cfRule type="containsText" dxfId="210" priority="165" operator="containsText" text="SP">
      <formula>NOT(ISERROR(SEARCH("SP",BC29)))</formula>
    </cfRule>
  </conditionalFormatting>
  <conditionalFormatting sqref="BC29:BD30">
    <cfRule type="containsText" dxfId="209" priority="147" operator="containsText" text="FL">
      <formula>NOT(ISERROR(SEARCH("FL",BC29)))</formula>
    </cfRule>
    <cfRule type="containsText" dxfId="208" priority="148" operator="containsText" text="SUS">
      <formula>NOT(ISERROR(SEARCH("SUS",BC29)))</formula>
    </cfRule>
    <cfRule type="containsText" dxfId="207" priority="146" operator="containsText" text="NL">
      <formula>NOT(ISERROR(SEARCH("NL",BC29)))</formula>
    </cfRule>
    <cfRule type="containsText" dxfId="206" priority="145" operator="containsText" text="SP">
      <formula>NOT(ISERROR(SEARCH("SP",BC29)))</formula>
    </cfRule>
  </conditionalFormatting>
  <conditionalFormatting sqref="BC30:BD30">
    <cfRule type="containsText" dxfId="205" priority="142" operator="containsText" text="NL">
      <formula>NOT(ISERROR(SEARCH("NL",BC30)))</formula>
    </cfRule>
    <cfRule type="containsText" dxfId="204" priority="143" operator="containsText" text="FL">
      <formula>NOT(ISERROR(SEARCH("FL",BC30)))</formula>
    </cfRule>
    <cfRule type="containsText" dxfId="203" priority="144" operator="containsText" text="SUS">
      <formula>NOT(ISERROR(SEARCH("SUS",BC30)))</formula>
    </cfRule>
    <cfRule type="containsText" dxfId="202" priority="160" operator="containsText" text="OFF">
      <formula>NOT(ISERROR(SEARCH("OFF",BC30)))</formula>
    </cfRule>
    <cfRule type="containsText" dxfId="201" priority="159" operator="containsText" text="MC">
      <formula>NOT(ISERROR(SEARCH("MC",BC30)))</formula>
    </cfRule>
    <cfRule type="containsText" dxfId="200" priority="157" operator="containsText" text="Sick">
      <formula>NOT(ISERROR(SEARCH("Sick",BC30)))</formula>
    </cfRule>
    <cfRule type="containsText" dxfId="199" priority="149" operator="containsText" text="EL">
      <formula>NOT(ISERROR(SEARCH("EL",BC30)))</formula>
    </cfRule>
    <cfRule type="containsText" dxfId="198" priority="150" operator="containsText" text="AB">
      <formula>NOT(ISERROR(SEARCH("AB",BC30)))</formula>
    </cfRule>
    <cfRule type="containsText" dxfId="197" priority="151" operator="containsText" text="Sick">
      <formula>NOT(ISERROR(SEARCH("Sick",BC30)))</formula>
    </cfRule>
    <cfRule type="containsText" dxfId="196" priority="152" operator="containsText" text="AL">
      <formula>NOT(ISERROR(SEARCH("AL",BC30)))</formula>
    </cfRule>
    <cfRule type="containsText" dxfId="195" priority="153" operator="containsText" text="MC">
      <formula>NOT(ISERROR(SEARCH("MC",BC30)))</formula>
    </cfRule>
    <cfRule type="containsText" dxfId="194" priority="154" operator="containsText" text="OFF">
      <formula>NOT(ISERROR(SEARCH("OFF",BC30)))</formula>
    </cfRule>
    <cfRule type="containsText" dxfId="193" priority="155" operator="containsText" text="EL">
      <formula>NOT(ISERROR(SEARCH("EL",BC30)))</formula>
    </cfRule>
    <cfRule type="containsText" dxfId="192" priority="158" operator="containsText" text="AL">
      <formula>NOT(ISERROR(SEARCH("AL",BC30)))</formula>
    </cfRule>
    <cfRule type="containsText" dxfId="191" priority="156" operator="containsText" text="AB">
      <formula>NOT(ISERROR(SEARCH("AB",BC30)))</formula>
    </cfRule>
    <cfRule type="containsText" dxfId="190" priority="141" operator="containsText" text="SP">
      <formula>NOT(ISERROR(SEARCH("SP",BC30)))</formula>
    </cfRule>
  </conditionalFormatting>
  <conditionalFormatting sqref="BE5:BF5">
    <cfRule type="dataBar" priority="15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E11:BF11 AI6:AJ32">
    <cfRule type="containsText" dxfId="189" priority="1508" operator="containsText" text="SP">
      <formula>NOT(ISERROR(SEARCH("SP",AI6)))</formula>
    </cfRule>
  </conditionalFormatting>
  <conditionalFormatting sqref="BE12:BP12">
    <cfRule type="containsText" dxfId="188" priority="2010" operator="containsText" text="NL">
      <formula>NOT(ISERROR(SEARCH("NL",BE12)))</formula>
    </cfRule>
    <cfRule type="containsText" dxfId="187" priority="2015" operator="containsText" text="Sick">
      <formula>NOT(ISERROR(SEARCH("Sick",BE12)))</formula>
    </cfRule>
    <cfRule type="containsText" dxfId="186" priority="2018" operator="containsText" text="OFF">
      <formula>NOT(ISERROR(SEARCH("OFF",BE12)))</formula>
    </cfRule>
    <cfRule type="containsText" dxfId="185" priority="2017" operator="containsText" text="MC">
      <formula>NOT(ISERROR(SEARCH("MC",BE12)))</formula>
    </cfRule>
    <cfRule type="containsText" dxfId="184" priority="2016" operator="containsText" text="AL">
      <formula>NOT(ISERROR(SEARCH("AL",BE12)))</formula>
    </cfRule>
    <cfRule type="containsText" dxfId="183" priority="2009" operator="containsText" text="SP">
      <formula>NOT(ISERROR(SEARCH("SP",BE12)))</formula>
    </cfRule>
    <cfRule type="containsText" dxfId="182" priority="2011" operator="containsText" text="FL">
      <formula>NOT(ISERROR(SEARCH("FL",BE12)))</formula>
    </cfRule>
    <cfRule type="containsText" dxfId="181" priority="2012" operator="containsText" text="SUS">
      <formula>NOT(ISERROR(SEARCH("SUS",BE12)))</formula>
    </cfRule>
    <cfRule type="containsText" dxfId="180" priority="2013" operator="containsText" text="EL">
      <formula>NOT(ISERROR(SEARCH("EL",BE12)))</formula>
    </cfRule>
    <cfRule type="containsText" dxfId="179" priority="2014" operator="containsText" text="AB">
      <formula>NOT(ISERROR(SEARCH("AB",BE12)))</formula>
    </cfRule>
  </conditionalFormatting>
  <conditionalFormatting sqref="BG5:BP5">
    <cfRule type="dataBar" priority="17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L14:BL15">
    <cfRule type="containsText" dxfId="178" priority="1563" operator="containsText" text="AB">
      <formula>NOT(ISERROR(SEARCH("AB",BL14)))</formula>
    </cfRule>
    <cfRule type="containsText" dxfId="177" priority="1565" operator="containsText" text="AL">
      <formula>NOT(ISERROR(SEARCH("AL",BL14)))</formula>
    </cfRule>
    <cfRule type="containsText" dxfId="176" priority="1566" operator="containsText" text="MC">
      <formula>NOT(ISERROR(SEARCH("MC",BL14)))</formula>
    </cfRule>
    <cfRule type="containsText" dxfId="175" priority="1567" operator="containsText" text="OFF">
      <formula>NOT(ISERROR(SEARCH("OFF",BL14)))</formula>
    </cfRule>
    <cfRule type="containsText" dxfId="174" priority="1559" operator="containsText" text="NL">
      <formula>NOT(ISERROR(SEARCH("NL",BL14)))</formula>
    </cfRule>
    <cfRule type="containsText" dxfId="173" priority="1564" operator="containsText" text="Sick">
      <formula>NOT(ISERROR(SEARCH("Sick",BL14)))</formula>
    </cfRule>
    <cfRule type="containsText" dxfId="172" priority="1558" operator="containsText" text="SP">
      <formula>NOT(ISERROR(SEARCH("SP",BL14)))</formula>
    </cfRule>
    <cfRule type="containsText" dxfId="171" priority="1560" operator="containsText" text="FL">
      <formula>NOT(ISERROR(SEARCH("FL",BL14)))</formula>
    </cfRule>
    <cfRule type="containsText" dxfId="170" priority="1561" operator="containsText" text="SUS">
      <formula>NOT(ISERROR(SEARCH("SUS",BL14)))</formula>
    </cfRule>
    <cfRule type="containsText" dxfId="169" priority="1562" operator="containsText" text="EL">
      <formula>NOT(ISERROR(SEARCH("EL",BL14)))</formula>
    </cfRule>
  </conditionalFormatting>
  <conditionalFormatting sqref="BL15">
    <cfRule type="containsText" dxfId="168" priority="2008" operator="containsText" text="OFF">
      <formula>NOT(ISERROR(SEARCH("OFF",BL15)))</formula>
    </cfRule>
    <cfRule type="containsText" dxfId="167" priority="2007" operator="containsText" text="MC">
      <formula>NOT(ISERROR(SEARCH("MC",BL15)))</formula>
    </cfRule>
    <cfRule type="containsText" dxfId="166" priority="1999" operator="containsText" text="SP">
      <formula>NOT(ISERROR(SEARCH("SP",BL15)))</formula>
    </cfRule>
    <cfRule type="containsText" dxfId="165" priority="2006" operator="containsText" text="AL">
      <formula>NOT(ISERROR(SEARCH("AL",BL15)))</formula>
    </cfRule>
    <cfRule type="containsText" dxfId="164" priority="2005" operator="containsText" text="Sick">
      <formula>NOT(ISERROR(SEARCH("Sick",BL15)))</formula>
    </cfRule>
    <cfRule type="containsText" dxfId="163" priority="2004" operator="containsText" text="AB">
      <formula>NOT(ISERROR(SEARCH("AB",BL15)))</formula>
    </cfRule>
    <cfRule type="containsText" dxfId="162" priority="2003" operator="containsText" text="EL">
      <formula>NOT(ISERROR(SEARCH("EL",BL15)))</formula>
    </cfRule>
    <cfRule type="containsText" dxfId="161" priority="2002" operator="containsText" text="SUS">
      <formula>NOT(ISERROR(SEARCH("SUS",BL15)))</formula>
    </cfRule>
    <cfRule type="containsText" dxfId="160" priority="2001" operator="containsText" text="FL">
      <formula>NOT(ISERROR(SEARCH("FL",BL15)))</formula>
    </cfRule>
    <cfRule type="containsText" dxfId="159" priority="2000" operator="containsText" text="NL">
      <formula>NOT(ISERROR(SEARCH("NL",BL15)))</formula>
    </cfRule>
  </conditionalFormatting>
  <conditionalFormatting sqref="BL19:BL20">
    <cfRule type="containsText" dxfId="158" priority="1574" operator="containsText" text="Sick">
      <formula>NOT(ISERROR(SEARCH("Sick",BL19)))</formula>
    </cfRule>
    <cfRule type="containsText" dxfId="157" priority="1571" operator="containsText" text="SUS">
      <formula>NOT(ISERROR(SEARCH("SUS",BL19)))</formula>
    </cfRule>
    <cfRule type="containsText" dxfId="156" priority="1572" operator="containsText" text="EL">
      <formula>NOT(ISERROR(SEARCH("EL",BL19)))</formula>
    </cfRule>
    <cfRule type="containsText" dxfId="155" priority="1573" operator="containsText" text="AB">
      <formula>NOT(ISERROR(SEARCH("AB",BL19)))</formula>
    </cfRule>
    <cfRule type="containsText" dxfId="154" priority="1575" operator="containsText" text="AL">
      <formula>NOT(ISERROR(SEARCH("AL",BL19)))</formula>
    </cfRule>
    <cfRule type="containsText" dxfId="153" priority="1576" operator="containsText" text="MC">
      <formula>NOT(ISERROR(SEARCH("MC",BL19)))</formula>
    </cfRule>
    <cfRule type="containsText" dxfId="152" priority="1577" operator="containsText" text="OFF">
      <formula>NOT(ISERROR(SEARCH("OFF",BL19)))</formula>
    </cfRule>
    <cfRule type="containsText" dxfId="151" priority="1569" operator="containsText" text="NL">
      <formula>NOT(ISERROR(SEARCH("NL",BL19)))</formula>
    </cfRule>
    <cfRule type="containsText" dxfId="150" priority="1570" operator="containsText" text="FL">
      <formula>NOT(ISERROR(SEARCH("FL",BL19)))</formula>
    </cfRule>
    <cfRule type="containsText" dxfId="149" priority="1568" operator="containsText" text="SP">
      <formula>NOT(ISERROR(SEARCH("SP",BL19)))</formula>
    </cfRule>
  </conditionalFormatting>
  <conditionalFormatting sqref="BL23">
    <cfRule type="containsText" dxfId="148" priority="1586" operator="containsText" text="MC">
      <formula>NOT(ISERROR(SEARCH("MC",BL23)))</formula>
    </cfRule>
    <cfRule type="containsText" dxfId="147" priority="1587" operator="containsText" text="OFF">
      <formula>NOT(ISERROR(SEARCH("OFF",BL23)))</formula>
    </cfRule>
    <cfRule type="containsText" dxfId="146" priority="1581" operator="containsText" text="SUS">
      <formula>NOT(ISERROR(SEARCH("SUS",BL23)))</formula>
    </cfRule>
    <cfRule type="containsText" dxfId="145" priority="1578" operator="containsText" text="SP">
      <formula>NOT(ISERROR(SEARCH("SP",BL23)))</formula>
    </cfRule>
    <cfRule type="containsText" dxfId="144" priority="1582" operator="containsText" text="EL">
      <formula>NOT(ISERROR(SEARCH("EL",BL23)))</formula>
    </cfRule>
    <cfRule type="containsText" dxfId="143" priority="1583" operator="containsText" text="AB">
      <formula>NOT(ISERROR(SEARCH("AB",BL23)))</formula>
    </cfRule>
    <cfRule type="containsText" dxfId="142" priority="1584" operator="containsText" text="Sick">
      <formula>NOT(ISERROR(SEARCH("Sick",BL23)))</formula>
    </cfRule>
    <cfRule type="containsText" dxfId="141" priority="1585" operator="containsText" text="AL">
      <formula>NOT(ISERROR(SEARCH("AL",BL23)))</formula>
    </cfRule>
    <cfRule type="containsText" dxfId="140" priority="1579" operator="containsText" text="NL">
      <formula>NOT(ISERROR(SEARCH("NL",BL23)))</formula>
    </cfRule>
    <cfRule type="containsText" dxfId="139" priority="1580" operator="containsText" text="FL">
      <formula>NOT(ISERROR(SEARCH("FL",BL23)))</formula>
    </cfRule>
  </conditionalFormatting>
  <conditionalFormatting sqref="BN14:BP15">
    <cfRule type="containsText" dxfId="138" priority="1552" operator="containsText" text="EL">
      <formula>NOT(ISERROR(SEARCH("EL",BN14)))</formula>
    </cfRule>
    <cfRule type="containsText" dxfId="137" priority="1553" operator="containsText" text="AB">
      <formula>NOT(ISERROR(SEARCH("AB",BN14)))</formula>
    </cfRule>
    <cfRule type="containsText" dxfId="136" priority="1548" operator="containsText" text="SP">
      <formula>NOT(ISERROR(SEARCH("SP",BN14)))</formula>
    </cfRule>
    <cfRule type="containsText" dxfId="135" priority="1549" operator="containsText" text="NL">
      <formula>NOT(ISERROR(SEARCH("NL",BN14)))</formula>
    </cfRule>
    <cfRule type="containsText" dxfId="134" priority="1550" operator="containsText" text="FL">
      <formula>NOT(ISERROR(SEARCH("FL",BN14)))</formula>
    </cfRule>
    <cfRule type="containsText" dxfId="133" priority="1551" operator="containsText" text="SUS">
      <formula>NOT(ISERROR(SEARCH("SUS",BN14)))</formula>
    </cfRule>
    <cfRule type="containsText" dxfId="132" priority="1557" operator="containsText" text="OFF">
      <formula>NOT(ISERROR(SEARCH("OFF",BN14)))</formula>
    </cfRule>
    <cfRule type="containsText" dxfId="131" priority="1556" operator="containsText" text="MC">
      <formula>NOT(ISERROR(SEARCH("MC",BN14)))</formula>
    </cfRule>
    <cfRule type="containsText" dxfId="130" priority="1555" operator="containsText" text="AL">
      <formula>NOT(ISERROR(SEARCH("AL",BN14)))</formula>
    </cfRule>
    <cfRule type="containsText" dxfId="129" priority="1554" operator="containsText" text="Sick">
      <formula>NOT(ISERROR(SEARCH("Sick",BN14)))</formula>
    </cfRule>
  </conditionalFormatting>
  <conditionalFormatting sqref="BT5:BZ5">
    <cfRule type="containsText" dxfId="128" priority="4992" operator="containsText" text="AL">
      <formula>NOT(ISERROR(SEARCH("AL",BT5)))</formula>
    </cfRule>
    <cfRule type="containsText" dxfId="127" priority="4993" operator="containsText" text="MC">
      <formula>NOT(ISERROR(SEARCH("MC",BT5)))</formula>
    </cfRule>
    <cfRule type="containsText" dxfId="126" priority="4988" operator="containsText" text="SUS">
      <formula>NOT(ISERROR(SEARCH("SUS",BT5)))</formula>
    </cfRule>
    <cfRule type="containsText" dxfId="125" priority="4994" operator="containsText" text="OFF">
      <formula>NOT(ISERROR(SEARCH("OFF",BT5)))</formula>
    </cfRule>
    <cfRule type="containsText" dxfId="124" priority="4985" operator="containsText" text="SP">
      <formula>NOT(ISERROR(SEARCH("SP",BT5)))</formula>
    </cfRule>
    <cfRule type="containsText" dxfId="123" priority="4986" operator="containsText" text="NL">
      <formula>NOT(ISERROR(SEARCH("NL",BT5)))</formula>
    </cfRule>
    <cfRule type="containsText" dxfId="122" priority="4987" operator="containsText" text="FL">
      <formula>NOT(ISERROR(SEARCH("FL",BT5)))</formula>
    </cfRule>
    <cfRule type="containsText" dxfId="121" priority="4989" operator="containsText" text="EL">
      <formula>NOT(ISERROR(SEARCH("EL",BT5)))</formula>
    </cfRule>
    <cfRule type="containsText" dxfId="120" priority="4990" operator="containsText" text="AB">
      <formula>NOT(ISERROR(SEARCH("AB",BT5)))</formula>
    </cfRule>
    <cfRule type="containsText" dxfId="119" priority="4991" operator="containsText" text="Sick">
      <formula>NOT(ISERROR(SEARCH("Sick",BT5)))</formula>
    </cfRule>
  </conditionalFormatting>
  <conditionalFormatting sqref="CB5:CD5">
    <cfRule type="containsText" dxfId="118" priority="5009" operator="containsText" text="EL">
      <formula>NOT(ISERROR(SEARCH("EL",CB5)))</formula>
    </cfRule>
    <cfRule type="containsText" dxfId="117" priority="5014" operator="containsText" text="OFF">
      <formula>NOT(ISERROR(SEARCH("OFF",CB5)))</formula>
    </cfRule>
    <cfRule type="containsText" dxfId="116" priority="5013" operator="containsText" text="MC">
      <formula>NOT(ISERROR(SEARCH("MC",CB5)))</formula>
    </cfRule>
    <cfRule type="containsText" dxfId="115" priority="5012" operator="containsText" text="AL">
      <formula>NOT(ISERROR(SEARCH("AL",CB5)))</formula>
    </cfRule>
    <cfRule type="containsText" dxfId="114" priority="5010" operator="containsText" text="AB">
      <formula>NOT(ISERROR(SEARCH("AB",CB5)))</formula>
    </cfRule>
    <cfRule type="containsText" dxfId="113" priority="5011" operator="containsText" text="Sick">
      <formula>NOT(ISERROR(SEARCH("Sick",CB5)))</formula>
    </cfRule>
    <cfRule type="containsText" dxfId="112" priority="5008" operator="containsText" text="SUS">
      <formula>NOT(ISERROR(SEARCH("SUS",CB5)))</formula>
    </cfRule>
    <cfRule type="containsText" dxfId="111" priority="5007" operator="containsText" text="FL">
      <formula>NOT(ISERROR(SEARCH("FL",CB5)))</formula>
    </cfRule>
    <cfRule type="containsText" dxfId="110" priority="5006" operator="containsText" text="NL">
      <formula>NOT(ISERROR(SEARCH("NL",CB5)))</formula>
    </cfRule>
    <cfRule type="containsText" dxfId="109" priority="5005" operator="containsText" text="SP">
      <formula>NOT(ISERROR(SEARCH("SP",CB5)))</formula>
    </cfRule>
  </conditionalFormatting>
  <pageMargins left="0.25" right="0.25" top="0.75" bottom="0.75" header="0.3" footer="0.3"/>
  <pageSetup paperSize="9" scale="24" orientation="landscape" r:id="rId1"/>
  <ignoredErrors>
    <ignoredError sqref="BS32:CD32 BS14:CD15 BS28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E5:AH5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AK5:AL5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AM5:AN5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AO5:AP5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AQ5:AR5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AS5:AT5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AU5:AV5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AW5:AX5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AY5:AZ5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BA5:BB5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BC5:BD5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BE5:BF5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BG5:BP5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9DDA-85E7-4746-869F-998D83F9C782}">
  <sheetPr>
    <pageSetUpPr fitToPage="1"/>
  </sheetPr>
  <dimension ref="A1:AH29"/>
  <sheetViews>
    <sheetView workbookViewId="0">
      <selection sqref="A1:AH28"/>
    </sheetView>
  </sheetViews>
  <sheetFormatPr defaultRowHeight="15" x14ac:dyDescent="0.25"/>
  <cols>
    <col min="1" max="1" width="9.28515625" bestFit="1" customWidth="1"/>
    <col min="2" max="2" width="13.42578125" customWidth="1"/>
    <col min="3" max="3" width="32.140625" customWidth="1"/>
    <col min="4" max="4" width="10.5703125" hidden="1" customWidth="1"/>
    <col min="5" max="34" width="9.28515625" bestFit="1" customWidth="1"/>
  </cols>
  <sheetData>
    <row r="1" spans="1:34" ht="15.75" x14ac:dyDescent="0.25">
      <c r="A1" s="133"/>
      <c r="B1" s="134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</row>
    <row r="2" spans="1:34" ht="21" x14ac:dyDescent="0.25">
      <c r="A2" s="221" t="s">
        <v>120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</row>
    <row r="3" spans="1:34" ht="15.75" x14ac:dyDescent="0.25">
      <c r="A3" s="223" t="s">
        <v>119</v>
      </c>
      <c r="B3" s="224"/>
      <c r="C3" s="225"/>
      <c r="D3" s="135"/>
      <c r="E3" s="220" t="s">
        <v>1</v>
      </c>
      <c r="F3" s="220"/>
      <c r="G3" s="220" t="s">
        <v>2</v>
      </c>
      <c r="H3" s="220"/>
      <c r="I3" s="220" t="s">
        <v>3</v>
      </c>
      <c r="J3" s="220"/>
      <c r="K3" s="220" t="s">
        <v>4</v>
      </c>
      <c r="L3" s="220"/>
      <c r="M3" s="220" t="s">
        <v>5</v>
      </c>
      <c r="N3" s="220"/>
      <c r="O3" s="220" t="s">
        <v>6</v>
      </c>
      <c r="P3" s="220"/>
      <c r="Q3" s="220" t="s">
        <v>7</v>
      </c>
      <c r="R3" s="220"/>
      <c r="S3" s="220" t="s">
        <v>1</v>
      </c>
      <c r="T3" s="220"/>
      <c r="U3" s="220" t="s">
        <v>2</v>
      </c>
      <c r="V3" s="220"/>
      <c r="W3" s="220" t="s">
        <v>3</v>
      </c>
      <c r="X3" s="220"/>
      <c r="Y3" s="220" t="s">
        <v>4</v>
      </c>
      <c r="Z3" s="220"/>
      <c r="AA3" s="220" t="s">
        <v>5</v>
      </c>
      <c r="AB3" s="220"/>
      <c r="AC3" s="220" t="s">
        <v>6</v>
      </c>
      <c r="AD3" s="220"/>
      <c r="AE3" s="220" t="s">
        <v>7</v>
      </c>
      <c r="AF3" s="220"/>
      <c r="AG3" s="220" t="s">
        <v>1</v>
      </c>
      <c r="AH3" s="220"/>
    </row>
    <row r="4" spans="1:34" ht="15.75" x14ac:dyDescent="0.25">
      <c r="A4" s="226"/>
      <c r="B4" s="227"/>
      <c r="C4" s="228"/>
      <c r="D4" s="135"/>
      <c r="E4" s="219">
        <v>46281</v>
      </c>
      <c r="F4" s="219"/>
      <c r="G4" s="219">
        <v>46282</v>
      </c>
      <c r="H4" s="219"/>
      <c r="I4" s="219">
        <v>46283</v>
      </c>
      <c r="J4" s="219"/>
      <c r="K4" s="219">
        <v>46284</v>
      </c>
      <c r="L4" s="219"/>
      <c r="M4" s="219">
        <v>46285</v>
      </c>
      <c r="N4" s="219"/>
      <c r="O4" s="219">
        <v>46286</v>
      </c>
      <c r="P4" s="219"/>
      <c r="Q4" s="219">
        <v>46287</v>
      </c>
      <c r="R4" s="219"/>
      <c r="S4" s="219">
        <v>46288</v>
      </c>
      <c r="T4" s="219"/>
      <c r="U4" s="219">
        <v>46289</v>
      </c>
      <c r="V4" s="219"/>
      <c r="W4" s="219">
        <v>46290</v>
      </c>
      <c r="X4" s="219"/>
      <c r="Y4" s="219">
        <v>46291</v>
      </c>
      <c r="Z4" s="219"/>
      <c r="AA4" s="219">
        <v>46292</v>
      </c>
      <c r="AB4" s="219"/>
      <c r="AC4" s="219">
        <v>46293</v>
      </c>
      <c r="AD4" s="219"/>
      <c r="AE4" s="219">
        <v>46294</v>
      </c>
      <c r="AF4" s="219"/>
      <c r="AG4" s="219">
        <v>46295</v>
      </c>
      <c r="AH4" s="219"/>
    </row>
    <row r="5" spans="1:34" ht="15.75" x14ac:dyDescent="0.25">
      <c r="A5" s="112" t="s">
        <v>112</v>
      </c>
      <c r="B5" s="112" t="s">
        <v>9</v>
      </c>
      <c r="C5" s="112" t="s">
        <v>10</v>
      </c>
      <c r="D5" s="113"/>
      <c r="E5" s="157" t="s">
        <v>11</v>
      </c>
      <c r="F5" s="157" t="s">
        <v>12</v>
      </c>
      <c r="G5" s="157" t="s">
        <v>11</v>
      </c>
      <c r="H5" s="157" t="s">
        <v>12</v>
      </c>
      <c r="I5" s="157" t="s">
        <v>11</v>
      </c>
      <c r="J5" s="157" t="s">
        <v>12</v>
      </c>
      <c r="K5" s="157" t="s">
        <v>11</v>
      </c>
      <c r="L5" s="157" t="s">
        <v>12</v>
      </c>
      <c r="M5" s="157" t="s">
        <v>11</v>
      </c>
      <c r="N5" s="157" t="s">
        <v>12</v>
      </c>
      <c r="O5" s="157" t="s">
        <v>11</v>
      </c>
      <c r="P5" s="157" t="s">
        <v>12</v>
      </c>
      <c r="Q5" s="157" t="s">
        <v>11</v>
      </c>
      <c r="R5" s="157" t="s">
        <v>12</v>
      </c>
      <c r="S5" s="157" t="s">
        <v>11</v>
      </c>
      <c r="T5" s="157" t="s">
        <v>12</v>
      </c>
      <c r="U5" s="157" t="s">
        <v>11</v>
      </c>
      <c r="V5" s="157" t="s">
        <v>12</v>
      </c>
      <c r="W5" s="157" t="s">
        <v>11</v>
      </c>
      <c r="X5" s="157" t="s">
        <v>12</v>
      </c>
      <c r="Y5" s="156" t="s">
        <v>11</v>
      </c>
      <c r="Z5" s="156" t="s">
        <v>12</v>
      </c>
      <c r="AA5" s="156" t="s">
        <v>11</v>
      </c>
      <c r="AB5" s="156" t="s">
        <v>12</v>
      </c>
      <c r="AC5" s="156" t="s">
        <v>11</v>
      </c>
      <c r="AD5" s="156" t="s">
        <v>12</v>
      </c>
      <c r="AE5" s="156" t="s">
        <v>11</v>
      </c>
      <c r="AF5" s="156" t="s">
        <v>12</v>
      </c>
      <c r="AG5" s="156" t="s">
        <v>11</v>
      </c>
      <c r="AH5" s="156" t="s">
        <v>12</v>
      </c>
    </row>
    <row r="6" spans="1:34" ht="30.75" customHeight="1" x14ac:dyDescent="0.25">
      <c r="A6" s="159">
        <v>1</v>
      </c>
      <c r="B6" s="160" t="s">
        <v>29</v>
      </c>
      <c r="C6" s="161" t="s">
        <v>30</v>
      </c>
      <c r="D6" s="162">
        <v>38713</v>
      </c>
      <c r="E6" s="158">
        <v>46281.342627314814</v>
      </c>
      <c r="F6" s="158">
        <v>46281.954108796293</v>
      </c>
      <c r="G6" s="158">
        <v>46282.338888888888</v>
      </c>
      <c r="H6" s="158">
        <v>46282.973773148151</v>
      </c>
      <c r="I6" s="158">
        <v>46283.575300925928</v>
      </c>
      <c r="J6" s="158">
        <v>46283.957442129627</v>
      </c>
      <c r="K6" s="158">
        <v>46284.344768518517</v>
      </c>
      <c r="L6" s="158">
        <v>46284.970231481479</v>
      </c>
      <c r="M6" s="158">
        <v>46285.340451388889</v>
      </c>
      <c r="N6" s="158">
        <v>46285.958101851851</v>
      </c>
      <c r="O6" s="158">
        <v>46286.343738425923</v>
      </c>
      <c r="P6" s="158">
        <v>46286.956909722219</v>
      </c>
      <c r="Q6" s="158">
        <v>46287.341157407405</v>
      </c>
      <c r="R6" s="158">
        <v>46287.956944444442</v>
      </c>
      <c r="S6" s="158">
        <v>46288.339814814812</v>
      </c>
      <c r="T6" s="158">
        <v>46288.962557870371</v>
      </c>
      <c r="U6" s="158">
        <v>46289.335694444446</v>
      </c>
      <c r="V6" s="158">
        <v>46289.978912037041</v>
      </c>
      <c r="W6" s="163" t="s">
        <v>51</v>
      </c>
      <c r="X6" s="163" t="s">
        <v>51</v>
      </c>
      <c r="Y6" s="164" t="s">
        <v>87</v>
      </c>
      <c r="Z6" s="164" t="s">
        <v>87</v>
      </c>
      <c r="AA6" s="164" t="s">
        <v>87</v>
      </c>
      <c r="AB6" s="164" t="s">
        <v>87</v>
      </c>
      <c r="AC6" s="158">
        <v>46293.3440162037</v>
      </c>
      <c r="AD6" s="158">
        <v>0</v>
      </c>
      <c r="AE6" s="158">
        <v>46294.343009259261</v>
      </c>
      <c r="AF6" s="158">
        <v>46294.963935185187</v>
      </c>
      <c r="AG6" s="158">
        <v>46295.346400462964</v>
      </c>
      <c r="AH6" s="158">
        <v>46295.964212962965</v>
      </c>
    </row>
    <row r="7" spans="1:34" ht="15.75" x14ac:dyDescent="0.25">
      <c r="A7" s="114"/>
      <c r="B7" s="115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</row>
    <row r="8" spans="1:34" ht="15.75" x14ac:dyDescent="0.25">
      <c r="A8" s="114"/>
      <c r="B8" s="115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</row>
    <row r="9" spans="1:34" ht="39.75" customHeight="1" x14ac:dyDescent="0.25">
      <c r="A9" s="114"/>
      <c r="B9" s="115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215" t="s">
        <v>49</v>
      </c>
      <c r="T9" s="217" t="s">
        <v>50</v>
      </c>
      <c r="U9" s="136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16"/>
    </row>
    <row r="10" spans="1:34" ht="18.75" x14ac:dyDescent="0.3">
      <c r="A10" s="114"/>
      <c r="B10" s="115"/>
      <c r="C10" s="116"/>
      <c r="D10" s="117" t="s">
        <v>114</v>
      </c>
      <c r="E10" s="168" t="s">
        <v>113</v>
      </c>
      <c r="F10" s="168" t="s">
        <v>121</v>
      </c>
      <c r="G10" s="168"/>
      <c r="H10" s="168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215"/>
      <c r="T10" s="218"/>
      <c r="U10" s="137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16"/>
    </row>
    <row r="11" spans="1:34" ht="15.75" x14ac:dyDescent="0.25">
      <c r="A11" s="114"/>
      <c r="B11" s="115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216"/>
      <c r="T11" s="125"/>
      <c r="U11" s="139"/>
      <c r="V11" s="140" t="s">
        <v>51</v>
      </c>
      <c r="W11" s="141" t="s">
        <v>52</v>
      </c>
      <c r="X11" s="141" t="s">
        <v>53</v>
      </c>
      <c r="Y11" s="142" t="s">
        <v>54</v>
      </c>
      <c r="Z11" s="141" t="s">
        <v>55</v>
      </c>
      <c r="AA11" s="141" t="s">
        <v>56</v>
      </c>
      <c r="AB11" s="143" t="s">
        <v>87</v>
      </c>
      <c r="AC11" s="144" t="s">
        <v>58</v>
      </c>
      <c r="AD11" s="145" t="s">
        <v>59</v>
      </c>
      <c r="AE11" s="145" t="s">
        <v>60</v>
      </c>
      <c r="AF11" s="145" t="s">
        <v>61</v>
      </c>
      <c r="AG11" s="146" t="s">
        <v>62</v>
      </c>
    </row>
    <row r="12" spans="1:34" ht="29.25" customHeight="1" x14ac:dyDescent="0.25">
      <c r="A12" s="114"/>
      <c r="B12" s="115"/>
      <c r="C12" s="116"/>
      <c r="D12" s="116"/>
      <c r="E12" s="118"/>
      <c r="F12" s="119"/>
      <c r="G12" s="119"/>
      <c r="H12" s="119"/>
      <c r="I12" s="119"/>
      <c r="J12" s="118"/>
      <c r="K12" s="120"/>
      <c r="L12" s="120"/>
      <c r="M12" s="116"/>
      <c r="N12" s="116"/>
      <c r="O12" s="116"/>
      <c r="P12" s="116"/>
      <c r="Q12" s="116"/>
      <c r="R12" s="116"/>
      <c r="S12" s="165">
        <v>15</v>
      </c>
      <c r="T12" s="159">
        <v>1</v>
      </c>
      <c r="U12" s="166">
        <v>15</v>
      </c>
      <c r="V12" s="160">
        <v>1</v>
      </c>
      <c r="W12" s="160">
        <f>COUNTIF(E6:BN6,"MC")/2</f>
        <v>0</v>
      </c>
      <c r="X12" s="160">
        <f>COUNTIF(E6:BN6,"EL")/2</f>
        <v>0</v>
      </c>
      <c r="Y12" s="160">
        <f>COUNTIF(E6:BN6,"AL")/2</f>
        <v>0</v>
      </c>
      <c r="Z12" s="160">
        <f>COUNTIF(E6:BN6,"SUS")/2</f>
        <v>0</v>
      </c>
      <c r="AA12" s="160">
        <f>COUNTIF(E6:BN6,"FL")/2</f>
        <v>0</v>
      </c>
      <c r="AB12" s="160">
        <f>COUNTIF(E6:BN6,"SICK")/2</f>
        <v>2</v>
      </c>
      <c r="AC12" s="160">
        <f>COUNTIF(E6:BN6,"HD")/2</f>
        <v>0</v>
      </c>
      <c r="AD12" s="160">
        <f>COUNTIF(E6:BN6,"AB")/2</f>
        <v>0</v>
      </c>
      <c r="AE12" s="160">
        <f>COUNTIF(E6:BN6,"NL")/2</f>
        <v>0</v>
      </c>
      <c r="AF12" s="160">
        <f>COUNTIF(E6:BN6,"SP")/2</f>
        <v>0</v>
      </c>
      <c r="AG12" s="167"/>
    </row>
    <row r="13" spans="1:34" ht="18.75" x14ac:dyDescent="0.3">
      <c r="A13" s="114"/>
      <c r="B13" s="115"/>
      <c r="C13" s="116"/>
      <c r="D13" s="116"/>
      <c r="E13" s="121"/>
      <c r="F13" s="122"/>
      <c r="G13" s="122"/>
      <c r="H13" s="122"/>
      <c r="I13" s="122"/>
      <c r="J13" s="122"/>
      <c r="K13" s="116"/>
      <c r="L13" s="116"/>
      <c r="M13" s="116"/>
      <c r="N13" s="116"/>
      <c r="O13" s="116"/>
      <c r="P13" s="116"/>
      <c r="Q13" s="116"/>
      <c r="R13" s="116"/>
      <c r="AB13" s="147"/>
      <c r="AC13" s="147"/>
      <c r="AD13" s="147"/>
      <c r="AE13" s="147"/>
      <c r="AF13" s="147"/>
      <c r="AG13" s="147"/>
    </row>
    <row r="14" spans="1:34" ht="31.5" customHeight="1" x14ac:dyDescent="0.3">
      <c r="A14" s="114"/>
      <c r="B14" s="115"/>
      <c r="C14" s="116"/>
      <c r="D14" s="116"/>
      <c r="E14" s="123"/>
      <c r="F14" s="124"/>
      <c r="G14" s="124"/>
      <c r="H14" s="124"/>
      <c r="I14" s="121"/>
      <c r="J14" s="121"/>
      <c r="K14" s="116"/>
      <c r="L14" s="116"/>
      <c r="M14" s="116"/>
      <c r="N14" s="116"/>
      <c r="O14" s="116"/>
      <c r="P14" s="116"/>
      <c r="Q14" s="116"/>
      <c r="R14" s="116"/>
      <c r="X14" s="148" t="s">
        <v>68</v>
      </c>
      <c r="Y14" s="149"/>
      <c r="Z14" s="150"/>
      <c r="AA14" s="126" t="s">
        <v>52</v>
      </c>
      <c r="AB14" s="151"/>
      <c r="AC14" s="152" t="s">
        <v>69</v>
      </c>
      <c r="AD14" s="149"/>
      <c r="AE14" s="127"/>
      <c r="AF14" s="149"/>
      <c r="AG14" s="128" t="s">
        <v>58</v>
      </c>
    </row>
    <row r="15" spans="1:34" ht="15.75" x14ac:dyDescent="0.25">
      <c r="A15" s="114"/>
      <c r="B15" s="115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V15" s="153"/>
      <c r="W15" s="153"/>
      <c r="X15" s="148" t="s">
        <v>70</v>
      </c>
      <c r="Y15" s="151"/>
      <c r="Z15" s="151"/>
      <c r="AA15" s="126" t="s">
        <v>53</v>
      </c>
      <c r="AB15" s="127"/>
      <c r="AC15" s="152" t="s">
        <v>71</v>
      </c>
      <c r="AD15" s="154"/>
      <c r="AE15" s="154"/>
      <c r="AF15" s="129"/>
      <c r="AG15" s="128" t="s">
        <v>59</v>
      </c>
    </row>
    <row r="16" spans="1:34" x14ac:dyDescent="0.25">
      <c r="A16" s="133"/>
      <c r="B16" s="134"/>
      <c r="V16" s="153"/>
      <c r="W16" s="153"/>
      <c r="X16" s="148" t="s">
        <v>72</v>
      </c>
      <c r="Y16" s="151"/>
      <c r="Z16" s="151"/>
      <c r="AA16" s="126" t="s">
        <v>54</v>
      </c>
      <c r="AB16" s="127"/>
      <c r="AC16" s="148" t="s">
        <v>73</v>
      </c>
      <c r="AD16" s="155"/>
      <c r="AE16" s="155"/>
      <c r="AF16" s="129"/>
      <c r="AG16" s="128" t="s">
        <v>60</v>
      </c>
    </row>
    <row r="17" spans="1:33" x14ac:dyDescent="0.25">
      <c r="A17" s="133"/>
      <c r="B17" s="134"/>
      <c r="X17" s="148" t="s">
        <v>76</v>
      </c>
      <c r="Y17" s="151"/>
      <c r="Z17" s="151"/>
      <c r="AA17" s="126" t="s">
        <v>55</v>
      </c>
      <c r="AB17" s="127"/>
      <c r="AC17" s="148" t="s">
        <v>77</v>
      </c>
      <c r="AD17" s="155"/>
      <c r="AE17" s="155"/>
      <c r="AF17" s="129"/>
      <c r="AG17" s="128" t="s">
        <v>61</v>
      </c>
    </row>
    <row r="18" spans="1:33" x14ac:dyDescent="0.25">
      <c r="A18" s="133"/>
      <c r="B18" s="134"/>
      <c r="X18" s="148" t="s">
        <v>81</v>
      </c>
      <c r="Y18" s="151"/>
      <c r="Z18" s="151"/>
      <c r="AA18" s="126" t="s">
        <v>56</v>
      </c>
      <c r="AB18" s="127"/>
      <c r="AC18" s="127"/>
      <c r="AD18" s="127"/>
      <c r="AE18" s="127"/>
      <c r="AF18" s="127"/>
      <c r="AG18" s="127"/>
    </row>
    <row r="19" spans="1:33" x14ac:dyDescent="0.25">
      <c r="A19" s="133"/>
      <c r="B19" s="134"/>
      <c r="F19" s="130"/>
      <c r="G19" s="130"/>
      <c r="H19" s="130"/>
      <c r="I19" s="130"/>
      <c r="J19" s="130"/>
      <c r="K19" s="130"/>
      <c r="L19" s="130"/>
    </row>
    <row r="20" spans="1:33" x14ac:dyDescent="0.25">
      <c r="A20" s="133"/>
      <c r="B20" s="134"/>
      <c r="F20" s="130"/>
      <c r="G20" s="130"/>
      <c r="H20" s="130"/>
      <c r="I20" s="130"/>
      <c r="J20" s="130"/>
      <c r="K20" s="130"/>
      <c r="L20" s="130"/>
    </row>
    <row r="21" spans="1:33" x14ac:dyDescent="0.25">
      <c r="A21" s="133"/>
      <c r="B21" s="134"/>
      <c r="F21" s="130"/>
      <c r="G21" s="130"/>
      <c r="H21" s="130"/>
      <c r="I21" s="130"/>
      <c r="J21" s="130"/>
      <c r="K21" s="130"/>
      <c r="L21" s="130"/>
    </row>
    <row r="22" spans="1:33" x14ac:dyDescent="0.25">
      <c r="A22" s="133"/>
      <c r="B22" s="134"/>
      <c r="F22" s="130"/>
      <c r="G22" s="130"/>
      <c r="H22" s="130"/>
      <c r="I22" s="130"/>
      <c r="J22" s="130"/>
      <c r="K22" s="130"/>
      <c r="L22" s="130"/>
    </row>
    <row r="23" spans="1:33" ht="18.75" x14ac:dyDescent="0.3">
      <c r="A23" s="133"/>
      <c r="B23" s="134"/>
      <c r="F23" s="130"/>
      <c r="G23" s="169" t="s">
        <v>115</v>
      </c>
      <c r="H23" s="170"/>
      <c r="I23" s="169"/>
      <c r="J23" s="171"/>
      <c r="K23" s="168"/>
      <c r="L23" s="168"/>
      <c r="M23" s="171"/>
      <c r="N23" s="172"/>
      <c r="O23" s="173"/>
      <c r="P23" s="173"/>
      <c r="Q23" s="174" t="s">
        <v>116</v>
      </c>
      <c r="R23" s="174"/>
      <c r="S23" s="172"/>
      <c r="T23" s="172"/>
      <c r="U23" s="172"/>
      <c r="V23" s="172"/>
      <c r="W23" s="172" t="s">
        <v>75</v>
      </c>
      <c r="X23" s="172"/>
      <c r="Y23" s="172"/>
      <c r="Z23" s="172"/>
      <c r="AA23" s="174" t="s">
        <v>117</v>
      </c>
      <c r="AB23" s="172"/>
    </row>
    <row r="24" spans="1:33" ht="18.75" x14ac:dyDescent="0.3">
      <c r="A24" s="133"/>
      <c r="B24" s="134"/>
      <c r="F24" s="130"/>
      <c r="G24" s="171"/>
      <c r="H24" s="171"/>
      <c r="I24" s="171"/>
      <c r="J24" s="171"/>
      <c r="K24" s="168"/>
      <c r="L24" s="168"/>
      <c r="M24" s="171"/>
      <c r="N24" s="171"/>
      <c r="O24" s="175"/>
      <c r="P24" s="175"/>
      <c r="Q24" s="175"/>
      <c r="R24" s="171"/>
      <c r="S24" s="171"/>
      <c r="T24" s="171"/>
      <c r="U24" s="176"/>
      <c r="V24" s="176"/>
      <c r="W24" s="176"/>
      <c r="X24" s="176"/>
      <c r="Y24" s="176"/>
      <c r="Z24" s="176"/>
      <c r="AA24" s="176"/>
      <c r="AB24" s="176"/>
    </row>
    <row r="25" spans="1:33" ht="18.75" x14ac:dyDescent="0.3">
      <c r="A25" s="133"/>
      <c r="B25" s="134"/>
      <c r="F25" s="130"/>
      <c r="G25" s="177"/>
      <c r="H25" s="171"/>
      <c r="I25" s="177"/>
      <c r="J25" s="171"/>
      <c r="K25" s="168"/>
      <c r="L25" s="168"/>
      <c r="M25" s="171"/>
      <c r="N25" s="177" t="s">
        <v>75</v>
      </c>
      <c r="O25" s="178"/>
      <c r="P25" s="178"/>
      <c r="Q25" s="175"/>
      <c r="R25" s="171"/>
      <c r="S25" s="177"/>
      <c r="T25" s="177"/>
      <c r="U25" s="172"/>
      <c r="V25" s="171"/>
      <c r="W25" s="171"/>
      <c r="X25" s="171"/>
      <c r="Y25" s="171"/>
      <c r="Z25" s="171"/>
      <c r="AA25" s="171"/>
      <c r="AB25" s="171"/>
    </row>
    <row r="26" spans="1:33" ht="18.75" x14ac:dyDescent="0.3">
      <c r="A26" s="133"/>
      <c r="B26" s="134"/>
      <c r="G26" s="177"/>
      <c r="H26" s="171"/>
      <c r="I26" s="177"/>
      <c r="J26" s="171"/>
      <c r="K26" s="168"/>
      <c r="L26" s="168"/>
      <c r="M26" s="171"/>
      <c r="N26" s="177"/>
      <c r="O26" s="178"/>
      <c r="P26" s="178"/>
      <c r="Q26" s="175"/>
      <c r="R26" s="172"/>
      <c r="S26" s="177"/>
      <c r="T26" s="177"/>
      <c r="U26" s="172"/>
      <c r="V26" s="171"/>
      <c r="W26" s="171"/>
      <c r="X26" s="171"/>
      <c r="Y26" s="171"/>
      <c r="Z26" s="171"/>
      <c r="AA26" s="171"/>
      <c r="AB26" s="171"/>
    </row>
    <row r="27" spans="1:33" ht="18.75" x14ac:dyDescent="0.3">
      <c r="A27" s="133"/>
      <c r="B27" s="134"/>
      <c r="G27" s="214" t="s">
        <v>99</v>
      </c>
      <c r="H27" s="214"/>
      <c r="I27" s="171"/>
      <c r="J27" s="171"/>
      <c r="K27" s="168"/>
      <c r="L27" s="168"/>
      <c r="M27" s="171"/>
      <c r="N27" s="177"/>
      <c r="O27" s="175"/>
      <c r="P27" s="178"/>
      <c r="Q27" s="170" t="s">
        <v>26</v>
      </c>
      <c r="R27" s="171"/>
      <c r="S27" s="177"/>
      <c r="T27" s="172"/>
      <c r="U27" s="171"/>
      <c r="V27" s="171"/>
      <c r="W27" s="171"/>
      <c r="X27" s="171"/>
      <c r="Y27" s="171"/>
      <c r="Z27" s="171"/>
      <c r="AA27" s="170" t="s">
        <v>118</v>
      </c>
      <c r="AB27" s="171"/>
    </row>
    <row r="28" spans="1:33" ht="18.75" x14ac:dyDescent="0.3">
      <c r="A28" s="133"/>
      <c r="B28" s="134"/>
      <c r="F28" s="132"/>
      <c r="G28" s="179" t="s">
        <v>78</v>
      </c>
      <c r="H28" s="124"/>
      <c r="I28" s="124"/>
      <c r="J28" s="171"/>
      <c r="K28" s="168"/>
      <c r="L28" s="168"/>
      <c r="M28" s="171"/>
      <c r="N28" s="170"/>
      <c r="O28" s="180"/>
      <c r="P28" s="180"/>
      <c r="Q28" s="170" t="s">
        <v>79</v>
      </c>
      <c r="R28" s="170"/>
      <c r="S28" s="170"/>
      <c r="T28" s="172"/>
      <c r="U28" s="170"/>
      <c r="V28" s="171"/>
      <c r="W28" s="171"/>
      <c r="X28" s="171"/>
      <c r="Y28" s="171"/>
      <c r="Z28" s="171"/>
      <c r="AA28" s="170" t="s">
        <v>80</v>
      </c>
      <c r="AB28" s="171"/>
    </row>
    <row r="29" spans="1:33" ht="18.75" x14ac:dyDescent="0.3"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</row>
  </sheetData>
  <mergeCells count="35"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E4:F4"/>
    <mergeCell ref="G4:H4"/>
    <mergeCell ref="I4:J4"/>
    <mergeCell ref="K4:L4"/>
    <mergeCell ref="M4:N4"/>
    <mergeCell ref="AA4:AB4"/>
    <mergeCell ref="AC4:AD4"/>
    <mergeCell ref="AE4:AF4"/>
    <mergeCell ref="AG4:AH4"/>
    <mergeCell ref="AG3:AH3"/>
    <mergeCell ref="AE3:AF3"/>
    <mergeCell ref="G27:H27"/>
    <mergeCell ref="S9:S11"/>
    <mergeCell ref="T9:T10"/>
    <mergeCell ref="W4:X4"/>
    <mergeCell ref="Y4:Z4"/>
    <mergeCell ref="O4:P4"/>
    <mergeCell ref="Q4:R4"/>
    <mergeCell ref="S4:T4"/>
    <mergeCell ref="U4:V4"/>
  </mergeCells>
  <phoneticPr fontId="7" type="noConversion"/>
  <conditionalFormatting sqref="A3:D5 A6 S9 S12">
    <cfRule type="containsText" dxfId="108" priority="42" stopIfTrue="1" operator="containsText" text="SICK">
      <formula>NOT(ISERROR(SEARCH("SICK",A3)))</formula>
    </cfRule>
    <cfRule type="containsText" dxfId="107" priority="37" stopIfTrue="1" operator="containsText" text="SP">
      <formula>NOT(ISERROR(SEARCH("SP",A3)))</formula>
    </cfRule>
    <cfRule type="containsText" dxfId="106" priority="38" stopIfTrue="1" operator="containsText" text="AL">
      <formula>NOT(ISERROR(SEARCH("AL",A3)))</formula>
    </cfRule>
    <cfRule type="containsText" dxfId="105" priority="39" stopIfTrue="1" operator="containsText" text="EL">
      <formula>NOT(ISERROR(SEARCH("EL",A3)))</formula>
    </cfRule>
    <cfRule type="containsText" dxfId="104" priority="40" stopIfTrue="1" operator="containsText" text="AB">
      <formula>NOT(ISERROR(SEARCH("AB",A3)))</formula>
    </cfRule>
    <cfRule type="containsText" dxfId="103" priority="41" stopIfTrue="1" operator="containsText" text="FL">
      <formula>NOT(ISERROR(SEARCH("FL",A3)))</formula>
    </cfRule>
  </conditionalFormatting>
  <conditionalFormatting sqref="A1:AH1 A2">
    <cfRule type="containsText" dxfId="102" priority="114" stopIfTrue="1" operator="containsText" text="SICK">
      <formula>NOT(ISERROR(SEARCH("SICK",A1)))</formula>
    </cfRule>
    <cfRule type="containsText" dxfId="101" priority="112" stopIfTrue="1" operator="containsText" text="AB">
      <formula>NOT(ISERROR(SEARCH("AB",A1)))</formula>
    </cfRule>
    <cfRule type="containsText" dxfId="100" priority="111" stopIfTrue="1" operator="containsText" text="EL">
      <formula>NOT(ISERROR(SEARCH("EL",A1)))</formula>
    </cfRule>
    <cfRule type="containsText" dxfId="99" priority="110" stopIfTrue="1" operator="containsText" text="AL">
      <formula>NOT(ISERROR(SEARCH("AL",A1)))</formula>
    </cfRule>
    <cfRule type="containsText" dxfId="98" priority="109" stopIfTrue="1" operator="containsText" text="SP">
      <formula>NOT(ISERROR(SEARCH("SP",A1)))</formula>
    </cfRule>
    <cfRule type="containsText" dxfId="97" priority="113" stopIfTrue="1" operator="containsText" text="FL">
      <formula>NOT(ISERROR(SEARCH("FL",A1)))</formula>
    </cfRule>
  </conditionalFormatting>
  <conditionalFormatting sqref="C6">
    <cfRule type="duplicateValues" dxfId="96" priority="11"/>
    <cfRule type="duplicateValues" dxfId="95" priority="12"/>
    <cfRule type="duplicateValues" dxfId="94" priority="13"/>
    <cfRule type="duplicateValues" dxfId="93" priority="10"/>
  </conditionalFormatting>
  <conditionalFormatting sqref="C27:C28 C1 C3:C5">
    <cfRule type="duplicateValues" dxfId="92" priority="124"/>
  </conditionalFormatting>
  <conditionalFormatting sqref="C27:C28 C1 C7:C10 C3:C5">
    <cfRule type="duplicateValues" dxfId="91" priority="125"/>
  </conditionalFormatting>
  <conditionalFormatting sqref="C27:C28">
    <cfRule type="duplicateValues" dxfId="90" priority="123"/>
    <cfRule type="duplicateValues" dxfId="89" priority="122"/>
  </conditionalFormatting>
  <conditionalFormatting sqref="C27:D28 C1:D1 C7:D8 C9:C10 C3:D5">
    <cfRule type="duplicateValues" dxfId="88" priority="126"/>
  </conditionalFormatting>
  <conditionalFormatting sqref="D6">
    <cfRule type="timePeriod" priority="35" timePeriod="nextWeek">
      <formula>AND(ROUNDDOWN(D6,0)-TODAY()&gt;(7-WEEKDAY(TODAY())),ROUNDDOWN(D6,0)-TODAY()&lt;(15-WEEKDAY(TODAY())))</formula>
    </cfRule>
    <cfRule type="timePeriod" dxfId="87" priority="36" timePeriod="nextWeek">
      <formula>AND(ROUNDDOWN(D6,0)-TODAY()&gt;(7-WEEKDAY(TODAY())),ROUNDDOWN(D6,0)-TODAY()&lt;(15-WEEKDAY(TODAY())))</formula>
    </cfRule>
    <cfRule type="duplicateValues" dxfId="86" priority="43"/>
  </conditionalFormatting>
  <conditionalFormatting sqref="E5:AH5">
    <cfRule type="containsText" dxfId="85" priority="32" stopIfTrue="1" operator="containsText" text="AB">
      <formula>NOT(ISERROR(SEARCH("AB",E5)))</formula>
    </cfRule>
    <cfRule type="containsText" dxfId="84" priority="30" stopIfTrue="1" operator="containsText" text="AL">
      <formula>NOT(ISERROR(SEARCH("AL",E5)))</formula>
    </cfRule>
    <cfRule type="containsText" dxfId="83" priority="31" stopIfTrue="1" operator="containsText" text="EL">
      <formula>NOT(ISERROR(SEARCH("EL",E5)))</formula>
    </cfRule>
    <cfRule type="containsText" dxfId="82" priority="33" stopIfTrue="1" operator="containsText" text="FL">
      <formula>NOT(ISERROR(SEARCH("FL",E5)))</formula>
    </cfRule>
    <cfRule type="containsText" dxfId="81" priority="34" stopIfTrue="1" operator="containsText" text="SICK">
      <formula>NOT(ISERROR(SEARCH("SICK",E5)))</formula>
    </cfRule>
    <cfRule type="containsText" dxfId="80" priority="29" stopIfTrue="1" operator="containsText" text="SP">
      <formula>NOT(ISERROR(SEARCH("SP",E5)))</formula>
    </cfRule>
  </conditionalFormatting>
  <conditionalFormatting sqref="K6:L6">
    <cfRule type="containsText" dxfId="79" priority="21" operator="containsText" text="AB">
      <formula>NOT(ISERROR(SEARCH("AB",K6)))</formula>
    </cfRule>
    <cfRule type="containsText" dxfId="78" priority="22" operator="containsText" text="SUS">
      <formula>NOT(ISERROR(SEARCH("SUS",K6)))</formula>
    </cfRule>
    <cfRule type="containsText" dxfId="77" priority="23" operator="containsText" text="FL">
      <formula>NOT(ISERROR(SEARCH("FL",K6)))</formula>
    </cfRule>
    <cfRule type="containsText" dxfId="76" priority="24" operator="containsText" text="MC">
      <formula>NOT(ISERROR(SEARCH("MC",K6)))</formula>
    </cfRule>
    <cfRule type="containsText" dxfId="75" priority="25" operator="containsText" text="AB">
      <formula>NOT(ISERROR(SEARCH("AB",K6)))</formula>
    </cfRule>
    <cfRule type="containsText" dxfId="74" priority="26" operator="containsText" text="Sick">
      <formula>NOT(ISERROR(SEARCH("Sick",K6)))</formula>
    </cfRule>
    <cfRule type="containsText" dxfId="73" priority="27" operator="containsText" text="OFF">
      <formula>NOT(ISERROR(SEARCH("OFF",K6)))</formula>
    </cfRule>
    <cfRule type="containsText" dxfId="72" priority="28" operator="containsText" text="AL">
      <formula>NOT(ISERROR(SEARCH("AL",K6)))</formula>
    </cfRule>
    <cfRule type="containsText" dxfId="71" priority="20" operator="containsText" text="EL">
      <formula>NOT(ISERROR(SEARCH("EL",K6)))</formula>
    </cfRule>
  </conditionalFormatting>
  <conditionalFormatting sqref="M23:AB26">
    <cfRule type="containsText" dxfId="70" priority="119" stopIfTrue="1" operator="containsText" text="SICK">
      <formula>NOT(ISERROR(SEARCH("SICK",M23)))</formula>
    </cfRule>
    <cfRule type="containsText" priority="118" stopIfTrue="1" operator="containsText" text="SP">
      <formula>NOT(ISERROR(SEARCH("SP",M23)))</formula>
    </cfRule>
    <cfRule type="containsText" dxfId="69" priority="117" stopIfTrue="1" operator="containsText" text="SP">
      <formula>NOT(ISERROR(SEARCH("SP",M23)))</formula>
    </cfRule>
    <cfRule type="containsText" dxfId="68" priority="116" stopIfTrue="1" operator="containsText" text="SICK">
      <formula>NOT(ISERROR(SEARCH("SICK",M23)))</formula>
    </cfRule>
    <cfRule type="containsText" dxfId="67" priority="115" stopIfTrue="1" operator="containsText" text="AB">
      <formula>NOT(ISERROR(SEARCH("AB",M23)))</formula>
    </cfRule>
  </conditionalFormatting>
  <conditionalFormatting sqref="T9">
    <cfRule type="cellIs" dxfId="66" priority="120" operator="equal">
      <formula>";"</formula>
    </cfRule>
  </conditionalFormatting>
  <conditionalFormatting sqref="T12">
    <cfRule type="cellIs" dxfId="65" priority="121" stopIfTrue="1" operator="equal">
      <formula>";"</formula>
    </cfRule>
  </conditionalFormatting>
  <conditionalFormatting sqref="V11">
    <cfRule type="containsText" dxfId="64" priority="95" operator="containsText" text="SUS">
      <formula>NOT(ISERROR(SEARCH("SUS",V11)))</formula>
    </cfRule>
    <cfRule type="containsText" dxfId="63" priority="96" operator="containsText" text="FL">
      <formula>NOT(ISERROR(SEARCH("FL",V11)))</formula>
    </cfRule>
    <cfRule type="containsText" dxfId="62" priority="97" operator="containsText" text="MC">
      <formula>NOT(ISERROR(SEARCH("MC",V11)))</formula>
    </cfRule>
    <cfRule type="containsText" dxfId="61" priority="98" operator="containsText" text="AB">
      <formula>NOT(ISERROR(SEARCH("AB",V11)))</formula>
    </cfRule>
    <cfRule type="containsText" dxfId="60" priority="99" operator="containsText" text="Sick">
      <formula>NOT(ISERROR(SEARCH("Sick",V11)))</formula>
    </cfRule>
    <cfRule type="containsText" dxfId="59" priority="101" operator="containsText" text="AL">
      <formula>NOT(ISERROR(SEARCH("AL",V11)))</formula>
    </cfRule>
    <cfRule type="containsText" dxfId="58" priority="100" operator="containsText" text="OFF">
      <formula>NOT(ISERROR(SEARCH("OFF",V11)))</formula>
    </cfRule>
  </conditionalFormatting>
  <conditionalFormatting sqref="V11:W11">
    <cfRule type="containsText" dxfId="57" priority="56" operator="containsText" text="AB">
      <formula>NOT(ISERROR(SEARCH("AB",V11)))</formula>
    </cfRule>
  </conditionalFormatting>
  <conditionalFormatting sqref="V11:AA11">
    <cfRule type="containsText" dxfId="56" priority="44" operator="containsText" text="EL">
      <formula>NOT(ISERROR(SEARCH("EL",V11)))</formula>
    </cfRule>
  </conditionalFormatting>
  <conditionalFormatting sqref="W11">
    <cfRule type="containsText" dxfId="55" priority="58" operator="containsText" text="OFF">
      <formula>NOT(ISERROR(SEARCH("OFF",W11)))</formula>
    </cfRule>
    <cfRule type="containsText" dxfId="54" priority="53" operator="containsText" text="SUS">
      <formula>NOT(ISERROR(SEARCH("SUS",W11)))</formula>
    </cfRule>
    <cfRule type="containsText" dxfId="53" priority="54" operator="containsText" text="FL">
      <formula>NOT(ISERROR(SEARCH("FL",W11)))</formula>
    </cfRule>
    <cfRule type="containsText" dxfId="52" priority="55" operator="containsText" text="MC">
      <formula>NOT(ISERROR(SEARCH("MC",W11)))</formula>
    </cfRule>
    <cfRule type="containsText" dxfId="51" priority="57" operator="containsText" text="Sick">
      <formula>NOT(ISERROR(SEARCH("Sick",W11)))</formula>
    </cfRule>
    <cfRule type="containsText" dxfId="50" priority="59" operator="containsText" text="AL">
      <formula>NOT(ISERROR(SEARCH("AL",W11)))</formula>
    </cfRule>
  </conditionalFormatting>
  <conditionalFormatting sqref="W11:X11">
    <cfRule type="containsText" dxfId="49" priority="49" operator="containsText" text="AB">
      <formula>NOT(ISERROR(SEARCH("AB",W11)))</formula>
    </cfRule>
  </conditionalFormatting>
  <conditionalFormatting sqref="X11">
    <cfRule type="containsText" dxfId="48" priority="45" operator="containsText" text="AB">
      <formula>NOT(ISERROR(SEARCH("AB",X11)))</formula>
    </cfRule>
    <cfRule type="containsText" dxfId="47" priority="46" operator="containsText" text="SUS">
      <formula>NOT(ISERROR(SEARCH("SUS",X11)))</formula>
    </cfRule>
    <cfRule type="containsText" dxfId="46" priority="47" operator="containsText" text="FL">
      <formula>NOT(ISERROR(SEARCH("FL",X11)))</formula>
    </cfRule>
    <cfRule type="containsText" dxfId="45" priority="48" operator="containsText" text="MC">
      <formula>NOT(ISERROR(SEARCH("MC",X11)))</formula>
    </cfRule>
    <cfRule type="containsText" dxfId="44" priority="50" operator="containsText" text="Sick">
      <formula>NOT(ISERROR(SEARCH("Sick",X11)))</formula>
    </cfRule>
    <cfRule type="containsText" dxfId="43" priority="52" operator="containsText" text="AL">
      <formula>NOT(ISERROR(SEARCH("AL",X11)))</formula>
    </cfRule>
    <cfRule type="containsText" dxfId="42" priority="51" operator="containsText" text="OFF">
      <formula>NOT(ISERROR(SEARCH("OFF",X11)))</formula>
    </cfRule>
  </conditionalFormatting>
  <conditionalFormatting sqref="Y11">
    <cfRule type="containsText" dxfId="41" priority="108" operator="containsText" text="AL">
      <formula>NOT(ISERROR(SEARCH("AL",Y11)))</formula>
    </cfRule>
    <cfRule type="containsText" dxfId="40" priority="107" operator="containsText" text="OFF">
      <formula>NOT(ISERROR(SEARCH("OFF",Y11)))</formula>
    </cfRule>
    <cfRule type="containsText" dxfId="39" priority="106" operator="containsText" text="Sick">
      <formula>NOT(ISERROR(SEARCH("Sick",Y11)))</formula>
    </cfRule>
    <cfRule type="containsText" dxfId="38" priority="103" operator="containsText" text="FL">
      <formula>NOT(ISERROR(SEARCH("FL",Y11)))</formula>
    </cfRule>
    <cfRule type="containsText" dxfId="37" priority="102" operator="containsText" text="SUS">
      <formula>NOT(ISERROR(SEARCH("SUS",Y11)))</formula>
    </cfRule>
    <cfRule type="containsText" dxfId="36" priority="105" operator="containsText" text="AB">
      <formula>NOT(ISERROR(SEARCH("AB",Y11)))</formula>
    </cfRule>
    <cfRule type="containsText" dxfId="35" priority="104" operator="containsText" text="MC">
      <formula>NOT(ISERROR(SEARCH("MC",Y11)))</formula>
    </cfRule>
  </conditionalFormatting>
  <conditionalFormatting sqref="Y11:AA11">
    <cfRule type="containsText" dxfId="34" priority="64" operator="containsText" text="AB">
      <formula>NOT(ISERROR(SEARCH("AB",Y11)))</formula>
    </cfRule>
  </conditionalFormatting>
  <conditionalFormatting sqref="Z11">
    <cfRule type="containsText" dxfId="33" priority="60" operator="containsText" text="AB">
      <formula>NOT(ISERROR(SEARCH("AB",Z11)))</formula>
    </cfRule>
    <cfRule type="containsText" dxfId="32" priority="65" operator="containsText" text="Sick">
      <formula>NOT(ISERROR(SEARCH("Sick",Z11)))</formula>
    </cfRule>
    <cfRule type="containsText" dxfId="31" priority="63" operator="containsText" text="MC">
      <formula>NOT(ISERROR(SEARCH("MC",Z11)))</formula>
    </cfRule>
    <cfRule type="containsText" dxfId="30" priority="62" operator="containsText" text="FL">
      <formula>NOT(ISERROR(SEARCH("FL",Z11)))</formula>
    </cfRule>
    <cfRule type="containsText" dxfId="29" priority="61" operator="containsText" text="SUS">
      <formula>NOT(ISERROR(SEARCH("SUS",Z11)))</formula>
    </cfRule>
    <cfRule type="containsText" dxfId="28" priority="66" operator="containsText" text="OFF">
      <formula>NOT(ISERROR(SEARCH("OFF",Z11)))</formula>
    </cfRule>
    <cfRule type="containsText" dxfId="27" priority="67" operator="containsText" text="AL">
      <formula>NOT(ISERROR(SEARCH("AL",Z11)))</formula>
    </cfRule>
  </conditionalFormatting>
  <conditionalFormatting sqref="AA11">
    <cfRule type="containsText" dxfId="26" priority="72" operator="containsText" text="Sick">
      <formula>NOT(ISERROR(SEARCH("Sick",AA11)))</formula>
    </cfRule>
    <cfRule type="containsText" dxfId="25" priority="73" operator="containsText" text="OFF">
      <formula>NOT(ISERROR(SEARCH("OFF",AA11)))</formula>
    </cfRule>
    <cfRule type="containsText" dxfId="24" priority="74" operator="containsText" text="AL">
      <formula>NOT(ISERROR(SEARCH("AL",AA11)))</formula>
    </cfRule>
    <cfRule type="containsText" dxfId="23" priority="69" operator="containsText" text="FL">
      <formula>NOT(ISERROR(SEARCH("FL",AA11)))</formula>
    </cfRule>
    <cfRule type="containsText" dxfId="22" priority="68" operator="containsText" text="SUS">
      <formula>NOT(ISERROR(SEARCH("SUS",AA11)))</formula>
    </cfRule>
    <cfRule type="containsText" dxfId="21" priority="71" operator="containsText" text="AB">
      <formula>NOT(ISERROR(SEARCH("AB",AA11)))</formula>
    </cfRule>
    <cfRule type="containsText" dxfId="20" priority="70" operator="containsText" text="MC">
      <formula>NOT(ISERROR(SEARCH("MC",AA11)))</formula>
    </cfRule>
  </conditionalFormatting>
  <conditionalFormatting sqref="AB11">
    <cfRule type="containsText" dxfId="19" priority="89" operator="containsText" text="EL">
      <formula>NOT(ISERROR(SEARCH("EL",AB11)))</formula>
    </cfRule>
    <cfRule type="containsText" dxfId="18" priority="86" operator="containsText" text="NL">
      <formula>NOT(ISERROR(SEARCH("NL",AB11)))</formula>
    </cfRule>
    <cfRule type="containsText" dxfId="17" priority="94" operator="containsText" text="AL">
      <formula>NOT(ISERROR(SEARCH("AL",AB11)))</formula>
    </cfRule>
    <cfRule type="containsText" dxfId="16" priority="87" operator="containsText" text="SUS">
      <formula>NOT(ISERROR(SEARCH("SUS",AB11)))</formula>
    </cfRule>
    <cfRule type="containsText" dxfId="15" priority="92" operator="containsText" text="AB">
      <formula>NOT(ISERROR(SEARCH("AB",AB11)))</formula>
    </cfRule>
    <cfRule type="containsText" dxfId="14" priority="93" operator="containsText" text="SICK">
      <formula>NOT(ISERROR(SEARCH("SICK",AB11)))</formula>
    </cfRule>
    <cfRule type="containsText" dxfId="13" priority="91" operator="containsText" text="OFF">
      <formula>NOT(ISERROR(SEARCH("OFF",AB11)))</formula>
    </cfRule>
    <cfRule type="containsText" dxfId="12" priority="90" operator="containsText" text="MC">
      <formula>NOT(ISERROR(SEARCH("MC",AB11)))</formula>
    </cfRule>
    <cfRule type="containsText" dxfId="11" priority="88" operator="containsText" text="FL">
      <formula>NOT(ISERROR(SEARCH("FL",AB11)))</formula>
    </cfRule>
    <cfRule type="containsText" dxfId="10" priority="85" operator="containsText" text="SP">
      <formula>NOT(ISERROR(SEARCH("SP",AB11)))</formula>
    </cfRule>
  </conditionalFormatting>
  <conditionalFormatting sqref="AD11:AF11">
    <cfRule type="containsText" dxfId="9" priority="81" operator="containsText" text="OFF">
      <formula>NOT(ISERROR(SEARCH("OFF",AD11)))</formula>
    </cfRule>
    <cfRule type="containsText" dxfId="8" priority="83" operator="containsText" text="SICK">
      <formula>NOT(ISERROR(SEARCH("SICK",AD11)))</formula>
    </cfRule>
    <cfRule type="containsText" dxfId="7" priority="82" operator="containsText" text="AB">
      <formula>NOT(ISERROR(SEARCH("AB",AD11)))</formula>
    </cfRule>
    <cfRule type="containsText" dxfId="6" priority="80" operator="containsText" text="MC">
      <formula>NOT(ISERROR(SEARCH("MC",AD11)))</formula>
    </cfRule>
    <cfRule type="containsText" dxfId="5" priority="79" operator="containsText" text="EL">
      <formula>NOT(ISERROR(SEARCH("EL",AD11)))</formula>
    </cfRule>
    <cfRule type="containsText" dxfId="4" priority="78" operator="containsText" text="FL">
      <formula>NOT(ISERROR(SEARCH("FL",AD11)))</formula>
    </cfRule>
    <cfRule type="containsText" dxfId="3" priority="76" operator="containsText" text="NL">
      <formula>NOT(ISERROR(SEARCH("NL",AD11)))</formula>
    </cfRule>
    <cfRule type="containsText" dxfId="2" priority="75" operator="containsText" text="SP">
      <formula>NOT(ISERROR(SEARCH("SP",AD11)))</formula>
    </cfRule>
    <cfRule type="containsText" dxfId="1" priority="84" operator="containsText" text="AL">
      <formula>NOT(ISERROR(SEARCH("AL",AD11)))</formula>
    </cfRule>
    <cfRule type="containsText" dxfId="0" priority="77" operator="containsText" text="SUS">
      <formula>NOT(ISERROR(SEARCH("SUS",AD11)))</formula>
    </cfRule>
  </conditionalFormatting>
  <pageMargins left="0.7" right="0.7" top="0.75" bottom="0.75" header="0.3" footer="0.3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</vt:lpstr>
      <vt:lpstr>Abdulla Aboobakuru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2026-10-15T06:33:52Z</cp:lastPrinted>
  <dcterms:created xsi:type="dcterms:W3CDTF">2025-11-01T09:49:58Z</dcterms:created>
  <dcterms:modified xsi:type="dcterms:W3CDTF">2026-10-30T10:01:18Z</dcterms:modified>
</cp:coreProperties>
</file>