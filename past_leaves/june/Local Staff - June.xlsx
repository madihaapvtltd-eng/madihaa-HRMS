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june\"/>
    </mc:Choice>
  </mc:AlternateContent>
  <xr:revisionPtr revIDLastSave="0" documentId="13_ncr:1_{B79F5FE3-81A4-4FEB-A5EF-19092EE027BD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MASTER!$A$1:$CC$38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9" i="1" l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8" i="1"/>
  <c r="BQ11" i="1"/>
  <c r="BQ12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P10" i="1" l="1"/>
  <c r="CP28" i="1"/>
  <c r="CP25" i="1"/>
  <c r="CP26" i="1"/>
  <c r="CP27" i="1"/>
  <c r="CP29" i="1"/>
  <c r="BQ7" i="1"/>
  <c r="BQ28" i="1"/>
  <c r="BQ29" i="1"/>
  <c r="BQ6" i="1"/>
  <c r="BQ8" i="1"/>
  <c r="BQ9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R13" i="1"/>
  <c r="BS13" i="1"/>
  <c r="BT13" i="1"/>
  <c r="BU13" i="1"/>
  <c r="BV13" i="1"/>
  <c r="BW13" i="1"/>
  <c r="BX13" i="1"/>
  <c r="BY13" i="1"/>
  <c r="BZ13" i="1"/>
  <c r="CA13" i="1"/>
  <c r="CB13" i="1"/>
  <c r="BR14" i="1"/>
  <c r="BS14" i="1"/>
  <c r="BT14" i="1"/>
  <c r="BU14" i="1"/>
  <c r="BV14" i="1"/>
  <c r="BW14" i="1"/>
  <c r="BX14" i="1"/>
  <c r="BY14" i="1"/>
  <c r="BZ14" i="1"/>
  <c r="CA14" i="1"/>
  <c r="CB14" i="1"/>
  <c r="BR15" i="1"/>
  <c r="BS15" i="1"/>
  <c r="BT15" i="1"/>
  <c r="BU15" i="1"/>
  <c r="BV15" i="1"/>
  <c r="BW15" i="1"/>
  <c r="BX15" i="1"/>
  <c r="BY15" i="1"/>
  <c r="BZ15" i="1"/>
  <c r="CA15" i="1"/>
  <c r="CB15" i="1"/>
  <c r="BR16" i="1"/>
  <c r="BS16" i="1"/>
  <c r="BT16" i="1"/>
  <c r="BU16" i="1"/>
  <c r="BV16" i="1"/>
  <c r="BW16" i="1"/>
  <c r="BX16" i="1"/>
  <c r="BY16" i="1"/>
  <c r="BZ16" i="1"/>
  <c r="CA16" i="1"/>
  <c r="CB16" i="1"/>
  <c r="BR17" i="1"/>
  <c r="BS17" i="1"/>
  <c r="BT17" i="1"/>
  <c r="BU17" i="1"/>
  <c r="BV17" i="1"/>
  <c r="BW17" i="1"/>
  <c r="BX17" i="1"/>
  <c r="BY17" i="1"/>
  <c r="BZ17" i="1"/>
  <c r="CA17" i="1"/>
  <c r="CB17" i="1"/>
  <c r="BR18" i="1"/>
  <c r="BS18" i="1"/>
  <c r="BT18" i="1"/>
  <c r="BU18" i="1"/>
  <c r="BV18" i="1"/>
  <c r="BW18" i="1"/>
  <c r="BX18" i="1"/>
  <c r="BY18" i="1"/>
  <c r="BZ18" i="1"/>
  <c r="CA18" i="1"/>
  <c r="CB18" i="1"/>
  <c r="BR19" i="1"/>
  <c r="BS19" i="1"/>
  <c r="BT19" i="1"/>
  <c r="BU19" i="1"/>
  <c r="BV19" i="1"/>
  <c r="BW19" i="1"/>
  <c r="BX19" i="1"/>
  <c r="BY19" i="1"/>
  <c r="BZ19" i="1"/>
  <c r="CA19" i="1"/>
  <c r="CB19" i="1"/>
  <c r="BR20" i="1"/>
  <c r="BS20" i="1"/>
  <c r="BT20" i="1"/>
  <c r="BU20" i="1"/>
  <c r="BV20" i="1"/>
  <c r="BW20" i="1"/>
  <c r="BX20" i="1"/>
  <c r="BY20" i="1"/>
  <c r="BZ20" i="1"/>
  <c r="CA20" i="1"/>
  <c r="CB20" i="1"/>
  <c r="BR21" i="1"/>
  <c r="BS21" i="1"/>
  <c r="BT21" i="1"/>
  <c r="BU21" i="1"/>
  <c r="BV21" i="1"/>
  <c r="BW21" i="1"/>
  <c r="BX21" i="1"/>
  <c r="BY21" i="1"/>
  <c r="BZ21" i="1"/>
  <c r="CA21" i="1"/>
  <c r="CB21" i="1"/>
  <c r="BR22" i="1"/>
  <c r="BS22" i="1"/>
  <c r="BT22" i="1"/>
  <c r="BU22" i="1"/>
  <c r="BV22" i="1"/>
  <c r="BW22" i="1"/>
  <c r="BX22" i="1"/>
  <c r="BY22" i="1"/>
  <c r="BZ22" i="1"/>
  <c r="CA22" i="1"/>
  <c r="CB22" i="1"/>
  <c r="BR23" i="1"/>
  <c r="BS23" i="1"/>
  <c r="BT23" i="1"/>
  <c r="BU23" i="1"/>
  <c r="BV23" i="1"/>
  <c r="BW23" i="1"/>
  <c r="BX23" i="1"/>
  <c r="BY23" i="1"/>
  <c r="BZ23" i="1"/>
  <c r="CA23" i="1"/>
  <c r="CB23" i="1"/>
  <c r="BR24" i="1"/>
  <c r="BS24" i="1"/>
  <c r="BT24" i="1"/>
  <c r="BU24" i="1"/>
  <c r="BV24" i="1"/>
  <c r="BW24" i="1"/>
  <c r="BX24" i="1"/>
  <c r="BY24" i="1"/>
  <c r="BZ24" i="1"/>
  <c r="CA24" i="1"/>
  <c r="CB24" i="1"/>
  <c r="BR25" i="1"/>
  <c r="BS25" i="1"/>
  <c r="BT25" i="1"/>
  <c r="BU25" i="1"/>
  <c r="BV25" i="1"/>
  <c r="BW25" i="1"/>
  <c r="BX25" i="1"/>
  <c r="BY25" i="1"/>
  <c r="BZ25" i="1"/>
  <c r="CA25" i="1"/>
  <c r="CB25" i="1"/>
  <c r="BR26" i="1"/>
  <c r="BS26" i="1"/>
  <c r="BT26" i="1"/>
  <c r="BU26" i="1"/>
  <c r="BV26" i="1"/>
  <c r="BW26" i="1"/>
  <c r="BX26" i="1"/>
  <c r="BY26" i="1"/>
  <c r="BZ26" i="1"/>
  <c r="CA26" i="1"/>
  <c r="CB26" i="1"/>
  <c r="BR27" i="1"/>
  <c r="BS27" i="1"/>
  <c r="BT27" i="1"/>
  <c r="BU27" i="1"/>
  <c r="BV27" i="1"/>
  <c r="BW27" i="1"/>
  <c r="BX27" i="1"/>
  <c r="BY27" i="1"/>
  <c r="BZ27" i="1"/>
  <c r="CA27" i="1"/>
  <c r="CB27" i="1"/>
  <c r="BR28" i="1"/>
  <c r="BS28" i="1"/>
  <c r="BT28" i="1"/>
  <c r="BU28" i="1"/>
  <c r="BV28" i="1"/>
  <c r="BW28" i="1"/>
  <c r="BX28" i="1"/>
  <c r="BY28" i="1"/>
  <c r="BZ28" i="1"/>
  <c r="CA28" i="1"/>
  <c r="CB28" i="1"/>
  <c r="BR29" i="1"/>
  <c r="BS29" i="1"/>
  <c r="BT29" i="1"/>
  <c r="BU29" i="1"/>
  <c r="BV29" i="1"/>
  <c r="BW29" i="1"/>
  <c r="BX29" i="1"/>
  <c r="BY29" i="1"/>
  <c r="BZ29" i="1"/>
  <c r="CA29" i="1"/>
  <c r="CB29" i="1"/>
  <c r="BQ5" i="1"/>
  <c r="BR6" i="1"/>
  <c r="BS6" i="1"/>
  <c r="BT6" i="1"/>
  <c r="BU6" i="1"/>
  <c r="BV6" i="1"/>
  <c r="BW6" i="1"/>
  <c r="BX6" i="1"/>
  <c r="BY6" i="1"/>
  <c r="BZ6" i="1"/>
  <c r="CA6" i="1"/>
  <c r="CB6" i="1"/>
  <c r="BR7" i="1"/>
  <c r="BS7" i="1"/>
  <c r="BT7" i="1"/>
  <c r="BU7" i="1"/>
  <c r="BV7" i="1"/>
  <c r="BW7" i="1"/>
  <c r="BX7" i="1"/>
  <c r="BY7" i="1"/>
  <c r="BZ7" i="1"/>
  <c r="CA7" i="1"/>
  <c r="CB7" i="1"/>
  <c r="BR8" i="1"/>
  <c r="BS8" i="1"/>
  <c r="BT8" i="1"/>
  <c r="BU8" i="1"/>
  <c r="BV8" i="1"/>
  <c r="BW8" i="1"/>
  <c r="BX8" i="1"/>
  <c r="BY8" i="1"/>
  <c r="BZ8" i="1"/>
  <c r="CA8" i="1"/>
  <c r="CB8" i="1"/>
  <c r="BR9" i="1"/>
  <c r="BS9" i="1"/>
  <c r="BT9" i="1"/>
  <c r="BU9" i="1"/>
  <c r="BV9" i="1"/>
  <c r="BW9" i="1"/>
  <c r="BX9" i="1"/>
  <c r="BY9" i="1"/>
  <c r="BZ9" i="1"/>
  <c r="CA9" i="1"/>
  <c r="CB9" i="1"/>
  <c r="BR11" i="1"/>
  <c r="BS11" i="1"/>
  <c r="BT11" i="1"/>
  <c r="BU11" i="1"/>
  <c r="BV11" i="1"/>
  <c r="BW11" i="1"/>
  <c r="BX11" i="1"/>
  <c r="BY11" i="1"/>
  <c r="BZ11" i="1"/>
  <c r="CA11" i="1"/>
  <c r="CB11" i="1"/>
  <c r="BR12" i="1"/>
  <c r="BS12" i="1"/>
  <c r="BT12" i="1"/>
  <c r="BU12" i="1"/>
  <c r="BV12" i="1"/>
  <c r="BW12" i="1"/>
  <c r="BX12" i="1"/>
  <c r="BY12" i="1"/>
  <c r="BZ12" i="1"/>
  <c r="CA12" i="1"/>
  <c r="CB12" i="1"/>
  <c r="CP53" i="1" l="1"/>
  <c r="BO6" i="1" l="1"/>
  <c r="BO7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P9" i="1"/>
  <c r="CP8" i="1"/>
  <c r="CP7" i="1"/>
  <c r="CP6" i="1"/>
  <c r="CP5" i="1"/>
  <c r="CB5" i="1" l="1"/>
  <c r="CA5" i="1"/>
  <c r="BZ5" i="1"/>
  <c r="BY5" i="1"/>
  <c r="BX5" i="1"/>
  <c r="BW5" i="1"/>
  <c r="BV5" i="1"/>
  <c r="BU5" i="1"/>
  <c r="BT5" i="1"/>
  <c r="BS5" i="1"/>
  <c r="BR5" i="1"/>
  <c r="BO5" i="1" l="1"/>
  <c r="CP52" i="1" l="1"/>
</calcChain>
</file>

<file path=xl/sharedStrings.xml><?xml version="1.0" encoding="utf-8"?>
<sst xmlns="http://schemas.openxmlformats.org/spreadsheetml/2006/main" count="386" uniqueCount="106">
  <si>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</si>
  <si>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</si>
  <si>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</si>
  <si>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</si>
  <si>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</si>
  <si>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</si>
  <si>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</si>
  <si>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</si>
  <si>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</si>
  <si>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</si>
  <si>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</si>
  <si>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</si>
  <si>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</si>
  <si>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</si>
  <si>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</si>
  <si>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</si>
  <si>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</si>
  <si>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</si>
  <si>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</si>
  <si>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</si>
  <si>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</si>
  <si>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</si>
  <si>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</si>
  <si>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</si>
  <si>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</si>
  <si>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</si>
  <si>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</si>
  <si>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</si>
  <si>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</si>
  <si>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</si>
  <si>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</si>
  <si>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</si>
  <si>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</si>
  <si>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</si>
  <si>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</si>
  <si>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</si>
  <si>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</si>
  <si>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</si>
  <si>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</si>
  <si>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</si>
  <si>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</si>
  <si>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</si>
  <si>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</si>
  <si>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</si>
  <si>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</si>
  <si>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</si>
  <si>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</si>
  <si>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</si>
  <si>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</si>
  <si>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</si>
  <si>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</si>
  <si>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</si>
  <si>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</si>
  <si>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</si>
  <si>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</si>
  <si>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</si>
  <si>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</si>
  <si>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</si>
  <si>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</si>
  <si>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</si>
  <si>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</si>
  <si>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</si>
  <si>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</si>
  <si>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</si>
  <si>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</si>
  <si>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</si>
  <si>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</si>
  <si>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</si>
  <si>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</si>
  <si>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</si>
  <si>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</si>
  <si>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</si>
  <si>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</si>
  <si>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</si>
  <si>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</si>
  <si>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</si>
  <si>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</si>
  <si>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</si>
  <si>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</si>
  <si>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</si>
  <si>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</si>
  <si>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</si>
  <si>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</si>
  <si>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</si>
  <si>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</si>
  <si>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MAD0730</t>
  </si>
  <si>
    <t>Shezaa Ahmed Quraish</t>
  </si>
  <si>
    <t>Pls don’t Remove below data</t>
  </si>
  <si>
    <t>Total</t>
  </si>
  <si>
    <t>MAD0732</t>
  </si>
  <si>
    <t>Fathmath Nuha</t>
  </si>
  <si>
    <t>MAD0753</t>
  </si>
  <si>
    <t>Ziyad Moosa</t>
  </si>
  <si>
    <t>DOJ</t>
  </si>
  <si>
    <t>SICK</t>
  </si>
  <si>
    <t>MAD0764</t>
  </si>
  <si>
    <t>Ismail Ahmed</t>
  </si>
  <si>
    <t>Attendance  -  JUNE 2026 -Male Local Staffs</t>
  </si>
  <si>
    <t>MAD0768</t>
  </si>
  <si>
    <t>Aishath Suhama</t>
  </si>
  <si>
    <t>JOINING ON 4TH JUNE 2026</t>
  </si>
  <si>
    <t>MAD0770</t>
  </si>
  <si>
    <t>Zainab Ahmed Marzoog</t>
  </si>
  <si>
    <t>JOINING ON 22ND JUNE 2026</t>
  </si>
  <si>
    <t>Suspended days Salary given</t>
  </si>
  <si>
    <t xml:space="preserve">Used Leave Totals (Running Year, up to end of this month -JUNE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</si>
</sst>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sz val="10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sz val="9.9"/>
      <name val="Arial"/>
      <family val="2"/>
    </font>
    <font>
      <b/>
      <sz val="9.9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1" fontId="9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49" fontId="11" fillId="8" borderId="0" xfId="0" applyNumberFormat="1" applyFont="1" applyFill="1" applyAlignment="1">
      <alignment vertical="center"/>
    </xf>
    <xf numFmtId="49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8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0" fontId="12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1" fontId="18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0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20" fontId="24" fillId="6" borderId="8" xfId="0" applyNumberFormat="1" applyFont="1" applyFill="1" applyBorder="1" applyAlignment="1">
      <alignment horizontal="center" vertical="center" wrapText="1"/>
    </xf>
    <xf numFmtId="166" fontId="9" fillId="4" borderId="12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26" fillId="0" borderId="9" xfId="0" applyNumberFormat="1" applyFont="1" applyBorder="1" applyAlignment="1">
      <alignment horizontal="center" vertical="center"/>
    </xf>
    <xf numFmtId="166" fontId="26" fillId="0" borderId="4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26" fillId="0" borderId="1" xfId="0" applyNumberFormat="1" applyFont="1" applyBorder="1" applyAlignment="1">
      <alignment horizontal="center" vertical="center"/>
    </xf>
    <xf numFmtId="0" fontId="0" fillId="0" borderId="14" xfId="0" applyBorder="1"/>
    <xf numFmtId="1" fontId="20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20" fontId="23" fillId="0" borderId="8" xfId="0" applyNumberFormat="1" applyFont="1" applyBorder="1" applyAlignment="1">
      <alignment horizontal="center" vertical="center" wrapText="1"/>
    </xf>
    <xf numFmtId="20" fontId="28" fillId="0" borderId="8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20" fontId="25" fillId="6" borderId="8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left" vertical="center"/>
    </xf>
    <xf numFmtId="0" fontId="15" fillId="6" borderId="9" xfId="0" applyFont="1" applyFill="1" applyBorder="1" applyAlignment="1">
      <alignment horizontal="left" vertical="center" wrapText="1"/>
    </xf>
    <xf numFmtId="1" fontId="32" fillId="6" borderId="8" xfId="0" applyNumberFormat="1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 wrapText="1"/>
    </xf>
    <xf numFmtId="1" fontId="31" fillId="6" borderId="8" xfId="0" applyNumberFormat="1" applyFont="1" applyFill="1" applyBorder="1" applyAlignment="1">
      <alignment horizontal="center" vertical="center"/>
    </xf>
    <xf numFmtId="0" fontId="25" fillId="6" borderId="8" xfId="0" applyFont="1" applyFill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1" fontId="31" fillId="6" borderId="9" xfId="0" applyNumberFormat="1" applyFont="1" applyFill="1" applyBorder="1" applyAlignment="1">
      <alignment horizontal="center" vertical="center"/>
    </xf>
    <xf numFmtId="1" fontId="31" fillId="6" borderId="12" xfId="0" applyNumberFormat="1" applyFont="1" applyFill="1" applyBorder="1" applyAlignment="1">
      <alignment horizontal="center" vertical="center"/>
    </xf>
    <xf numFmtId="1" fontId="31" fillId="6" borderId="1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229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F4:CP29" totalsRowShown="0" headerRowDxfId="1228" dataDxfId="1226" headerRowBorderDxfId="1227" tableBorderDxfId="1225" totalsRowBorderDxfId="1224">
  <autoFilter ref="CF4:CP29" xr:uid="{A80F6E8B-7E5C-428F-AAF0-8F10E6713D94}"/>
  <tableColumns count="11">
    <tableColumn id="1" xr3:uid="{6586E15F-C2DD-4486-A747-E3871445E7D8}" name="MC" dataDxfId="1223"/>
    <tableColumn id="2" xr3:uid="{6119AEBA-2882-4A29-8B65-3CE5F50E5A35}" name="EL" dataDxfId="1222"/>
    <tableColumn id="3" xr3:uid="{A4B933EF-91BB-467A-B3E2-F8748BFB0C0C}" name="AL" dataDxfId="1221"/>
    <tableColumn id="4" xr3:uid="{7D2607E7-643A-4BE8-8DCF-5C28EB77BB0E}" name="SUS" dataDxfId="1220"/>
    <tableColumn id="5" xr3:uid="{E23768CA-A8DD-45F9-ACBE-0E9686100AD3}" name="FL" dataDxfId="1219"/>
    <tableColumn id="6" xr3:uid="{D5503395-DEA9-41D3-9732-722A5784A8F4}" name="S" dataDxfId="1218"/>
    <tableColumn id="7" xr3:uid="{A9413DCE-6612-4B99-93F6-5211956ECD22}" name="HD" dataDxfId="1217"/>
    <tableColumn id="8" xr3:uid="{2FC526AB-6D64-4BCF-B522-816D2118C5C0}" name="AB" dataDxfId="1216"/>
    <tableColumn id="9" xr3:uid="{FF68A61F-F40D-49D4-927C-F64709C8B027}" name="NL" dataDxfId="1215"/>
    <tableColumn id="10" xr3:uid="{93843698-215B-41CD-BE9E-5B86DD643899}" name="SP" dataDxfId="1214"/>
    <tableColumn id="11" xr3:uid="{556FE1F1-725C-4D3F-887C-F87A4339643C}" name="Total" dataDxfId="1213">
      <calculatedColumnFormula>SUM(CF5:CO5)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R53"/>
  <sheetViews>
    <sheetView tabSelected="1" zoomScale="80" zoomScaleNormal="80" workbookViewId="0">
      <pane xSplit="3" ySplit="4" topLeftCell="BO5" activePane="bottomRight" state="frozen"/>
      <selection pane="topRight" activeCell="D1" sqref="D1"/>
      <selection pane="bottomLeft" activeCell="A5" sqref="A5"/>
      <selection pane="bottomRight" activeCell="CE16" sqref="CE16"/>
    </sheetView>
  </sheetViews>
  <sheetFormatPr defaultRowHeight="15.75" x14ac:dyDescent="0.25"/>
  <cols>
    <col min="1" max="1" width="5.5703125" customWidth="1"/>
    <col min="2" max="2" width="13.85546875" customWidth="1"/>
    <col min="3" max="3" width="28.7109375" customWidth="1"/>
    <col min="4" max="4" width="0.140625" style="67" customWidth="1"/>
    <col min="5" max="34" width="7.42578125" customWidth="1"/>
    <col min="35" max="35" width="4.28515625" customWidth="1"/>
    <col min="36" max="36" width="5.5703125" customWidth="1"/>
    <col min="37" max="66" width="6.85546875" customWidth="1"/>
    <col min="67" max="68" width="5.140625" customWidth="1"/>
    <col min="69" max="75" width="5.28515625" customWidth="1"/>
    <col min="76" max="76" width="5.7109375" customWidth="1"/>
    <col min="77" max="80" width="5.28515625" customWidth="1"/>
    <col min="81" max="81" width="31.28515625" customWidth="1"/>
    <col min="84" max="93" width="7.5703125" style="13" customWidth="1"/>
    <col min="94" max="94" width="7.5703125" style="20" customWidth="1"/>
  </cols>
  <sheetData>
    <row r="1" spans="1:94" ht="30.75" customHeight="1" thickBot="1" x14ac:dyDescent="0.3">
      <c r="A1" s="98" t="s">
        <v>97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9"/>
      <c r="AI1" s="73"/>
      <c r="AJ1" s="100" t="s">
        <v>97</v>
      </c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</row>
    <row r="2" spans="1:94" ht="21.75" customHeight="1" thickBot="1" x14ac:dyDescent="0.3">
      <c r="A2" s="107" t="s">
        <v>0</v>
      </c>
      <c r="B2" s="108"/>
      <c r="C2" s="108"/>
      <c r="D2" s="109"/>
      <c r="E2" s="92" t="s">
        <v>6</v>
      </c>
      <c r="F2" s="93"/>
      <c r="G2" s="92" t="s">
        <v>7</v>
      </c>
      <c r="H2" s="93"/>
      <c r="I2" s="92" t="s">
        <v>1</v>
      </c>
      <c r="J2" s="93"/>
      <c r="K2" s="92" t="s">
        <v>2</v>
      </c>
      <c r="L2" s="93"/>
      <c r="M2" s="92" t="s">
        <v>3</v>
      </c>
      <c r="N2" s="93"/>
      <c r="O2" s="92" t="s">
        <v>4</v>
      </c>
      <c r="P2" s="93"/>
      <c r="Q2" s="92" t="s">
        <v>5</v>
      </c>
      <c r="R2" s="93"/>
      <c r="S2" s="92" t="s">
        <v>6</v>
      </c>
      <c r="T2" s="93"/>
      <c r="U2" s="92" t="s">
        <v>7</v>
      </c>
      <c r="V2" s="93"/>
      <c r="W2" s="92" t="s">
        <v>1</v>
      </c>
      <c r="X2" s="93"/>
      <c r="Y2" s="92" t="s">
        <v>2</v>
      </c>
      <c r="Z2" s="93"/>
      <c r="AA2" s="92" t="s">
        <v>3</v>
      </c>
      <c r="AB2" s="93"/>
      <c r="AC2" s="92" t="s">
        <v>4</v>
      </c>
      <c r="AD2" s="93"/>
      <c r="AE2" s="92" t="s">
        <v>5</v>
      </c>
      <c r="AF2" s="93"/>
      <c r="AG2" s="92" t="s">
        <v>6</v>
      </c>
      <c r="AH2" s="93"/>
      <c r="AI2" s="73"/>
      <c r="AJ2" s="101" t="s">
        <v>8</v>
      </c>
      <c r="AK2" s="92" t="s">
        <v>7</v>
      </c>
      <c r="AL2" s="93"/>
      <c r="AM2" s="92" t="s">
        <v>1</v>
      </c>
      <c r="AN2" s="93"/>
      <c r="AO2" s="92" t="s">
        <v>2</v>
      </c>
      <c r="AP2" s="93"/>
      <c r="AQ2" s="92" t="s">
        <v>3</v>
      </c>
      <c r="AR2" s="93"/>
      <c r="AS2" s="92" t="s">
        <v>4</v>
      </c>
      <c r="AT2" s="93"/>
      <c r="AU2" s="92" t="s">
        <v>5</v>
      </c>
      <c r="AV2" s="93"/>
      <c r="AW2" s="92" t="s">
        <v>6</v>
      </c>
      <c r="AX2" s="93"/>
      <c r="AY2" s="92" t="s">
        <v>7</v>
      </c>
      <c r="AZ2" s="93"/>
      <c r="BA2" s="92" t="s">
        <v>1</v>
      </c>
      <c r="BB2" s="93"/>
      <c r="BC2" s="92" t="s">
        <v>2</v>
      </c>
      <c r="BD2" s="93"/>
      <c r="BE2" s="92" t="s">
        <v>3</v>
      </c>
      <c r="BF2" s="93"/>
      <c r="BG2" s="92" t="s">
        <v>4</v>
      </c>
      <c r="BH2" s="93"/>
      <c r="BI2" s="92" t="s">
        <v>5</v>
      </c>
      <c r="BJ2" s="93"/>
      <c r="BK2" s="92" t="s">
        <v>6</v>
      </c>
      <c r="BL2" s="93"/>
      <c r="BM2" s="92" t="s">
        <v>7</v>
      </c>
      <c r="BN2" s="93"/>
      <c r="BO2" s="119" t="s">
        <v>51</v>
      </c>
      <c r="BP2" s="114" t="s">
        <v>52</v>
      </c>
      <c r="BQ2" s="116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8"/>
      <c r="CF2" s="113" t="s">
        <v>87</v>
      </c>
      <c r="CG2" s="113"/>
      <c r="CH2" s="113"/>
      <c r="CI2" s="113"/>
      <c r="CJ2" s="113"/>
      <c r="CK2" s="113"/>
      <c r="CL2" s="113"/>
      <c r="CM2" s="113"/>
      <c r="CN2" s="113"/>
      <c r="CO2" s="113"/>
    </row>
    <row r="3" spans="1:94" ht="21.75" customHeight="1" x14ac:dyDescent="0.25">
      <c r="A3" s="110"/>
      <c r="B3" s="111"/>
      <c r="C3" s="111"/>
      <c r="D3" s="112"/>
      <c r="E3" s="94">
        <v>46174</v>
      </c>
      <c r="F3" s="95"/>
      <c r="G3" s="94">
        <v>46175</v>
      </c>
      <c r="H3" s="95"/>
      <c r="I3" s="94">
        <v>46176</v>
      </c>
      <c r="J3" s="95"/>
      <c r="K3" s="94">
        <v>46177</v>
      </c>
      <c r="L3" s="95"/>
      <c r="M3" s="94">
        <v>46178</v>
      </c>
      <c r="N3" s="95"/>
      <c r="O3" s="94">
        <v>46179</v>
      </c>
      <c r="P3" s="95"/>
      <c r="Q3" s="94">
        <v>46180</v>
      </c>
      <c r="R3" s="95"/>
      <c r="S3" s="94">
        <v>46181</v>
      </c>
      <c r="T3" s="95"/>
      <c r="U3" s="94">
        <v>46182</v>
      </c>
      <c r="V3" s="95"/>
      <c r="W3" s="94">
        <v>46183</v>
      </c>
      <c r="X3" s="95"/>
      <c r="Y3" s="94">
        <v>46184</v>
      </c>
      <c r="Z3" s="95"/>
      <c r="AA3" s="94">
        <v>46185</v>
      </c>
      <c r="AB3" s="95"/>
      <c r="AC3" s="94">
        <v>46186</v>
      </c>
      <c r="AD3" s="95"/>
      <c r="AE3" s="94">
        <v>46187</v>
      </c>
      <c r="AF3" s="95"/>
      <c r="AG3" s="94">
        <v>46188</v>
      </c>
      <c r="AH3" s="95"/>
      <c r="AI3" s="73"/>
      <c r="AJ3" s="102"/>
      <c r="AK3" s="96">
        <v>46189</v>
      </c>
      <c r="AL3" s="97"/>
      <c r="AM3" s="96">
        <v>46190</v>
      </c>
      <c r="AN3" s="97"/>
      <c r="AO3" s="96">
        <v>46191</v>
      </c>
      <c r="AP3" s="97"/>
      <c r="AQ3" s="96">
        <v>46192</v>
      </c>
      <c r="AR3" s="97"/>
      <c r="AS3" s="96">
        <v>46193</v>
      </c>
      <c r="AT3" s="97"/>
      <c r="AU3" s="96">
        <v>46194</v>
      </c>
      <c r="AV3" s="97"/>
      <c r="AW3" s="96">
        <v>46195</v>
      </c>
      <c r="AX3" s="97"/>
      <c r="AY3" s="96">
        <v>46196</v>
      </c>
      <c r="AZ3" s="97"/>
      <c r="BA3" s="96">
        <v>46197</v>
      </c>
      <c r="BB3" s="97"/>
      <c r="BC3" s="96">
        <v>46198</v>
      </c>
      <c r="BD3" s="97"/>
      <c r="BE3" s="96">
        <v>46199</v>
      </c>
      <c r="BF3" s="97"/>
      <c r="BG3" s="96">
        <v>46200</v>
      </c>
      <c r="BH3" s="97"/>
      <c r="BI3" s="96">
        <v>46201</v>
      </c>
      <c r="BJ3" s="97"/>
      <c r="BK3" s="96">
        <v>46202</v>
      </c>
      <c r="BL3" s="97"/>
      <c r="BM3" s="96">
        <v>46203</v>
      </c>
      <c r="BN3" s="97"/>
      <c r="BO3" s="120"/>
      <c r="BP3" s="115"/>
      <c r="BQ3" s="4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5"/>
      <c r="CF3" s="106" t="s">
        <v>105</v>
      </c>
      <c r="CG3" s="106"/>
      <c r="CH3" s="106"/>
      <c r="CI3" s="106"/>
      <c r="CJ3" s="106"/>
      <c r="CK3" s="106"/>
      <c r="CL3" s="106"/>
      <c r="CM3" s="106"/>
      <c r="CN3" s="106"/>
      <c r="CO3" s="106"/>
      <c r="CP3" s="106"/>
    </row>
    <row r="4" spans="1:94" ht="25.5" customHeight="1" x14ac:dyDescent="0.25">
      <c r="A4" s="6" t="s">
        <v>8</v>
      </c>
      <c r="B4" s="6" t="s">
        <v>9</v>
      </c>
      <c r="C4" s="32" t="s">
        <v>10</v>
      </c>
      <c r="D4" s="64" t="s">
        <v>93</v>
      </c>
      <c r="E4" s="1" t="s">
        <v>11</v>
      </c>
      <c r="F4" s="2" t="s">
        <v>12</v>
      </c>
      <c r="G4" s="1" t="s">
        <v>11</v>
      </c>
      <c r="H4" s="2" t="s">
        <v>12</v>
      </c>
      <c r="I4" s="1" t="s">
        <v>11</v>
      </c>
      <c r="J4" s="2" t="s">
        <v>12</v>
      </c>
      <c r="K4" s="1" t="s">
        <v>11</v>
      </c>
      <c r="L4" s="2" t="s">
        <v>12</v>
      </c>
      <c r="M4" s="1" t="s">
        <v>11</v>
      </c>
      <c r="N4" s="2" t="s">
        <v>12</v>
      </c>
      <c r="O4" s="1" t="s">
        <v>11</v>
      </c>
      <c r="P4" s="2" t="s">
        <v>12</v>
      </c>
      <c r="Q4" s="1" t="s">
        <v>11</v>
      </c>
      <c r="R4" s="2" t="s">
        <v>12</v>
      </c>
      <c r="S4" s="1" t="s">
        <v>11</v>
      </c>
      <c r="T4" s="2" t="s">
        <v>12</v>
      </c>
      <c r="U4" s="1" t="s">
        <v>11</v>
      </c>
      <c r="V4" s="2" t="s">
        <v>12</v>
      </c>
      <c r="W4" s="1" t="s">
        <v>11</v>
      </c>
      <c r="X4" s="2" t="s">
        <v>12</v>
      </c>
      <c r="Y4" s="1" t="s">
        <v>11</v>
      </c>
      <c r="Z4" s="2" t="s">
        <v>12</v>
      </c>
      <c r="AA4" s="1" t="s">
        <v>11</v>
      </c>
      <c r="AB4" s="2" t="s">
        <v>12</v>
      </c>
      <c r="AC4" s="1" t="s">
        <v>11</v>
      </c>
      <c r="AD4" s="2" t="s">
        <v>12</v>
      </c>
      <c r="AE4" s="8" t="s">
        <v>11</v>
      </c>
      <c r="AF4" s="9" t="s">
        <v>12</v>
      </c>
      <c r="AG4" s="8" t="s">
        <v>11</v>
      </c>
      <c r="AH4" s="31" t="s">
        <v>12</v>
      </c>
      <c r="AI4" s="73"/>
      <c r="AJ4" s="102"/>
      <c r="AK4" s="8" t="s">
        <v>11</v>
      </c>
      <c r="AL4" s="9" t="s">
        <v>12</v>
      </c>
      <c r="AM4" s="8" t="s">
        <v>11</v>
      </c>
      <c r="AN4" s="9" t="s">
        <v>12</v>
      </c>
      <c r="AO4" s="8" t="s">
        <v>11</v>
      </c>
      <c r="AP4" s="9" t="s">
        <v>12</v>
      </c>
      <c r="AQ4" s="8" t="s">
        <v>11</v>
      </c>
      <c r="AR4" s="9" t="s">
        <v>12</v>
      </c>
      <c r="AS4" s="8" t="s">
        <v>11</v>
      </c>
      <c r="AT4" s="9" t="s">
        <v>12</v>
      </c>
      <c r="AU4" s="8" t="s">
        <v>11</v>
      </c>
      <c r="AV4" s="9" t="s">
        <v>12</v>
      </c>
      <c r="AW4" s="8" t="s">
        <v>11</v>
      </c>
      <c r="AX4" s="9" t="s">
        <v>12</v>
      </c>
      <c r="AY4" s="8" t="s">
        <v>11</v>
      </c>
      <c r="AZ4" s="9" t="s">
        <v>12</v>
      </c>
      <c r="BA4" s="8" t="s">
        <v>11</v>
      </c>
      <c r="BB4" s="9" t="s">
        <v>12</v>
      </c>
      <c r="BC4" s="8" t="s">
        <v>11</v>
      </c>
      <c r="BD4" s="9" t="s">
        <v>12</v>
      </c>
      <c r="BE4" s="8" t="s">
        <v>11</v>
      </c>
      <c r="BF4" s="9" t="s">
        <v>12</v>
      </c>
      <c r="BG4" s="8" t="s">
        <v>11</v>
      </c>
      <c r="BH4" s="9" t="s">
        <v>12</v>
      </c>
      <c r="BI4" s="8" t="s">
        <v>11</v>
      </c>
      <c r="BJ4" s="9" t="s">
        <v>12</v>
      </c>
      <c r="BK4" s="8" t="s">
        <v>11</v>
      </c>
      <c r="BL4" s="9" t="s">
        <v>12</v>
      </c>
      <c r="BM4" s="8" t="s">
        <v>11</v>
      </c>
      <c r="BN4" s="9" t="s">
        <v>12</v>
      </c>
      <c r="BO4" s="120"/>
      <c r="BP4" s="115"/>
      <c r="BQ4" s="10"/>
      <c r="BR4" s="75" t="s">
        <v>53</v>
      </c>
      <c r="BS4" s="76" t="s">
        <v>54</v>
      </c>
      <c r="BT4" s="74" t="s">
        <v>55</v>
      </c>
      <c r="BU4" s="76" t="s">
        <v>56</v>
      </c>
      <c r="BV4" s="74" t="s">
        <v>57</v>
      </c>
      <c r="BW4" s="76" t="s">
        <v>58</v>
      </c>
      <c r="BX4" s="77" t="s">
        <v>94</v>
      </c>
      <c r="BY4" s="11" t="s">
        <v>60</v>
      </c>
      <c r="BZ4" s="74" t="s">
        <v>61</v>
      </c>
      <c r="CA4" s="74" t="s">
        <v>62</v>
      </c>
      <c r="CB4" s="74" t="s">
        <v>63</v>
      </c>
      <c r="CC4" s="12" t="s">
        <v>64</v>
      </c>
      <c r="CF4" s="44" t="s">
        <v>54</v>
      </c>
      <c r="CG4" s="45" t="s">
        <v>55</v>
      </c>
      <c r="CH4" s="45" t="s">
        <v>56</v>
      </c>
      <c r="CI4" s="45" t="s">
        <v>57</v>
      </c>
      <c r="CJ4" s="45" t="s">
        <v>58</v>
      </c>
      <c r="CK4" s="45" t="s">
        <v>59</v>
      </c>
      <c r="CL4" s="45" t="s">
        <v>60</v>
      </c>
      <c r="CM4" s="45" t="s">
        <v>61</v>
      </c>
      <c r="CN4" s="45" t="s">
        <v>62</v>
      </c>
      <c r="CO4" s="45" t="s">
        <v>63</v>
      </c>
      <c r="CP4" s="46" t="s">
        <v>88</v>
      </c>
    </row>
    <row r="5" spans="1:94" ht="24" customHeight="1" x14ac:dyDescent="0.25">
      <c r="A5" s="33">
        <v>1</v>
      </c>
      <c r="B5" s="34" t="s">
        <v>13</v>
      </c>
      <c r="C5" s="35" t="s">
        <v>14</v>
      </c>
      <c r="D5" s="65"/>
      <c r="E5" s="75">
        <v>1</v>
      </c>
      <c r="F5" s="75">
        <v>1</v>
      </c>
      <c r="G5" s="75">
        <v>1</v>
      </c>
      <c r="H5" s="75">
        <v>1</v>
      </c>
      <c r="I5" s="75">
        <v>1</v>
      </c>
      <c r="J5" s="75">
        <v>1</v>
      </c>
      <c r="K5" s="75">
        <v>1</v>
      </c>
      <c r="L5" s="75">
        <v>1</v>
      </c>
      <c r="M5" s="75" t="s">
        <v>53</v>
      </c>
      <c r="N5" s="75" t="s">
        <v>53</v>
      </c>
      <c r="O5" s="75">
        <v>1</v>
      </c>
      <c r="P5" s="75">
        <v>1</v>
      </c>
      <c r="Q5" s="75">
        <v>1</v>
      </c>
      <c r="R5" s="75">
        <v>1</v>
      </c>
      <c r="S5" s="75">
        <v>1</v>
      </c>
      <c r="T5" s="75">
        <v>1</v>
      </c>
      <c r="U5" s="75">
        <v>1</v>
      </c>
      <c r="V5" s="75">
        <v>1</v>
      </c>
      <c r="W5" s="75">
        <v>1</v>
      </c>
      <c r="X5" s="75">
        <v>1</v>
      </c>
      <c r="Y5" s="75">
        <v>1</v>
      </c>
      <c r="Z5" s="75">
        <v>1</v>
      </c>
      <c r="AA5" s="75" t="s">
        <v>53</v>
      </c>
      <c r="AB5" s="75" t="s">
        <v>53</v>
      </c>
      <c r="AC5" s="75">
        <v>1</v>
      </c>
      <c r="AD5" s="75">
        <v>1</v>
      </c>
      <c r="AE5" s="75">
        <v>1</v>
      </c>
      <c r="AF5" s="75">
        <v>1</v>
      </c>
      <c r="AG5" s="75">
        <v>1</v>
      </c>
      <c r="AH5" s="75">
        <v>1</v>
      </c>
      <c r="AI5" s="73"/>
      <c r="AJ5" s="33">
        <v>1</v>
      </c>
      <c r="AK5" s="75">
        <v>1</v>
      </c>
      <c r="AL5" s="75">
        <v>1</v>
      </c>
      <c r="AM5" s="75">
        <v>1</v>
      </c>
      <c r="AN5" s="75">
        <v>1</v>
      </c>
      <c r="AO5" s="75">
        <v>1</v>
      </c>
      <c r="AP5" s="75">
        <v>1</v>
      </c>
      <c r="AQ5" s="78" t="s">
        <v>53</v>
      </c>
      <c r="AR5" s="78" t="s">
        <v>53</v>
      </c>
      <c r="AS5" s="75">
        <v>1</v>
      </c>
      <c r="AT5" s="75">
        <v>1</v>
      </c>
      <c r="AU5" s="75">
        <v>1</v>
      </c>
      <c r="AV5" s="75">
        <v>1</v>
      </c>
      <c r="AW5" s="75">
        <v>1</v>
      </c>
      <c r="AX5" s="75">
        <v>1</v>
      </c>
      <c r="AY5" s="75">
        <v>1</v>
      </c>
      <c r="AZ5" s="75">
        <v>1</v>
      </c>
      <c r="BA5" s="75">
        <v>1</v>
      </c>
      <c r="BB5" s="75">
        <v>1</v>
      </c>
      <c r="BC5" s="75">
        <v>1</v>
      </c>
      <c r="BD5" s="75">
        <v>1</v>
      </c>
      <c r="BE5" s="78" t="s">
        <v>53</v>
      </c>
      <c r="BF5" s="78" t="s">
        <v>53</v>
      </c>
      <c r="BG5" s="75">
        <v>1</v>
      </c>
      <c r="BH5" s="75">
        <v>1</v>
      </c>
      <c r="BI5" s="75">
        <v>1</v>
      </c>
      <c r="BJ5" s="75">
        <v>1</v>
      </c>
      <c r="BK5" s="75">
        <v>1</v>
      </c>
      <c r="BL5" s="75">
        <v>1</v>
      </c>
      <c r="BM5" s="75">
        <v>1</v>
      </c>
      <c r="BN5" s="75">
        <v>1</v>
      </c>
      <c r="BO5" s="7">
        <f>BQ5+BR5+BS5+BX5+BV5+CA5+BU5</f>
        <v>30</v>
      </c>
      <c r="BP5" s="58">
        <v>0</v>
      </c>
      <c r="BQ5" s="37">
        <f t="shared" ref="BQ5:BQ29" si="0">COUNT(E5:AH5)/2+COUNT(AK5:BN5)/2</f>
        <v>26</v>
      </c>
      <c r="BR5" s="38">
        <f t="shared" ref="BR5:BR20" si="1">COUNTIF(E5:BN5,"OFF")/2</f>
        <v>4</v>
      </c>
      <c r="BS5" s="38">
        <f t="shared" ref="BS5:BS20" si="2">COUNTIF(E5:BN5,"MC")/2</f>
        <v>0</v>
      </c>
      <c r="BT5" s="38">
        <f t="shared" ref="BT5:BT20" si="3">COUNTIF(E5:BN5,"EL")/2</f>
        <v>0</v>
      </c>
      <c r="BU5" s="38">
        <f t="shared" ref="BU5:BU20" si="4">COUNTIF(E5:BN5,"AL")/2</f>
        <v>0</v>
      </c>
      <c r="BV5" s="38">
        <f t="shared" ref="BV5:BV20" si="5">COUNTIF(E5:BN5,"SUS")/2</f>
        <v>0</v>
      </c>
      <c r="BW5" s="38">
        <f t="shared" ref="BW5:BW20" si="6">COUNTIF(E5:BN5,"FL")/2</f>
        <v>0</v>
      </c>
      <c r="BX5" s="38">
        <f t="shared" ref="BX5:BX20" si="7">COUNTIF(E5:BN5,"SICK")/2</f>
        <v>0</v>
      </c>
      <c r="BY5" s="38">
        <f t="shared" ref="BY5:BY20" si="8">COUNTIF(E5:BN5,"HD")/2</f>
        <v>0</v>
      </c>
      <c r="BZ5" s="38">
        <f t="shared" ref="BZ5:BZ20" si="9">COUNTIF(E5:BN5,"AB")/2</f>
        <v>0</v>
      </c>
      <c r="CA5" s="38">
        <f t="shared" ref="CA5:CA20" si="10">COUNTIF(E5:BN5,"NL")/2</f>
        <v>0</v>
      </c>
      <c r="CB5" s="38">
        <f t="shared" ref="CB5:CB20" si="11">COUNTIF(E5:BN5,"SP")/2</f>
        <v>0</v>
      </c>
      <c r="CC5" s="39"/>
      <c r="CF5" s="36">
        <v>0</v>
      </c>
      <c r="CG5" s="33">
        <v>0</v>
      </c>
      <c r="CH5" s="33">
        <v>0</v>
      </c>
      <c r="CI5" s="33">
        <v>0</v>
      </c>
      <c r="CJ5" s="33">
        <v>0</v>
      </c>
      <c r="CK5" s="33">
        <v>0</v>
      </c>
      <c r="CL5" s="33">
        <v>0</v>
      </c>
      <c r="CM5" s="33">
        <v>0</v>
      </c>
      <c r="CN5" s="33">
        <v>0</v>
      </c>
      <c r="CO5" s="33">
        <v>0</v>
      </c>
      <c r="CP5" s="43">
        <f t="shared" ref="CP5:CP29" si="12">SUM(CF5:CO5)</f>
        <v>0</v>
      </c>
    </row>
    <row r="6" spans="1:94" ht="24" customHeight="1" x14ac:dyDescent="0.25">
      <c r="A6" s="33">
        <v>2</v>
      </c>
      <c r="B6" s="34" t="s">
        <v>15</v>
      </c>
      <c r="C6" s="35" t="s">
        <v>16</v>
      </c>
      <c r="D6" s="66"/>
      <c r="E6" s="78">
        <v>1</v>
      </c>
      <c r="F6" s="78">
        <v>1</v>
      </c>
      <c r="G6" s="78">
        <v>1</v>
      </c>
      <c r="H6" s="78">
        <v>1</v>
      </c>
      <c r="I6" s="78">
        <v>1</v>
      </c>
      <c r="J6" s="78">
        <v>1</v>
      </c>
      <c r="K6" s="78">
        <v>1</v>
      </c>
      <c r="L6" s="78">
        <v>1</v>
      </c>
      <c r="M6" s="78" t="s">
        <v>53</v>
      </c>
      <c r="N6" s="78" t="s">
        <v>53</v>
      </c>
      <c r="O6" s="78">
        <v>1</v>
      </c>
      <c r="P6" s="78">
        <v>1</v>
      </c>
      <c r="Q6" s="78">
        <v>1</v>
      </c>
      <c r="R6" s="78">
        <v>1</v>
      </c>
      <c r="S6" s="78">
        <v>1</v>
      </c>
      <c r="T6" s="78">
        <v>1</v>
      </c>
      <c r="U6" s="78">
        <v>1</v>
      </c>
      <c r="V6" s="78">
        <v>1</v>
      </c>
      <c r="W6" s="78">
        <v>1</v>
      </c>
      <c r="X6" s="78">
        <v>1</v>
      </c>
      <c r="Y6" s="78">
        <v>1</v>
      </c>
      <c r="Z6" s="78">
        <v>1</v>
      </c>
      <c r="AA6" s="78" t="s">
        <v>53</v>
      </c>
      <c r="AB6" s="78" t="s">
        <v>53</v>
      </c>
      <c r="AC6" s="78">
        <v>1</v>
      </c>
      <c r="AD6" s="78">
        <v>1</v>
      </c>
      <c r="AE6" s="78">
        <v>1</v>
      </c>
      <c r="AF6" s="78">
        <v>1</v>
      </c>
      <c r="AG6" s="78">
        <v>1</v>
      </c>
      <c r="AH6" s="78">
        <v>1</v>
      </c>
      <c r="AI6" s="73"/>
      <c r="AJ6" s="33">
        <v>2</v>
      </c>
      <c r="AK6" s="78">
        <v>1</v>
      </c>
      <c r="AL6" s="78">
        <v>1</v>
      </c>
      <c r="AM6" s="78">
        <v>1</v>
      </c>
      <c r="AN6" s="78">
        <v>1</v>
      </c>
      <c r="AO6" s="78">
        <v>1</v>
      </c>
      <c r="AP6" s="78">
        <v>1</v>
      </c>
      <c r="AQ6" s="78" t="s">
        <v>53</v>
      </c>
      <c r="AR6" s="78" t="s">
        <v>53</v>
      </c>
      <c r="AS6" s="78">
        <v>1</v>
      </c>
      <c r="AT6" s="78">
        <v>1</v>
      </c>
      <c r="AU6" s="78">
        <v>1</v>
      </c>
      <c r="AV6" s="78">
        <v>1</v>
      </c>
      <c r="AW6" s="78">
        <v>1</v>
      </c>
      <c r="AX6" s="78">
        <v>1</v>
      </c>
      <c r="AY6" s="78">
        <v>1</v>
      </c>
      <c r="AZ6" s="78">
        <v>1</v>
      </c>
      <c r="BA6" s="78">
        <v>1</v>
      </c>
      <c r="BB6" s="78">
        <v>1</v>
      </c>
      <c r="BC6" s="78">
        <v>1</v>
      </c>
      <c r="BD6" s="78">
        <v>1</v>
      </c>
      <c r="BE6" s="78" t="s">
        <v>53</v>
      </c>
      <c r="BF6" s="78" t="s">
        <v>53</v>
      </c>
      <c r="BG6" s="78">
        <v>1</v>
      </c>
      <c r="BH6" s="78">
        <v>1</v>
      </c>
      <c r="BI6" s="78">
        <v>1</v>
      </c>
      <c r="BJ6" s="78">
        <v>1</v>
      </c>
      <c r="BK6" s="78">
        <v>1</v>
      </c>
      <c r="BL6" s="78">
        <v>1</v>
      </c>
      <c r="BM6" s="78">
        <v>1</v>
      </c>
      <c r="BN6" s="78">
        <v>1</v>
      </c>
      <c r="BO6" s="7">
        <f t="shared" ref="BO6:BO7" si="13">BQ6+BR6+BS6+BX6+BV6+CA6+BU6</f>
        <v>30</v>
      </c>
      <c r="BP6" s="58">
        <v>0</v>
      </c>
      <c r="BQ6" s="37">
        <f t="shared" si="0"/>
        <v>26</v>
      </c>
      <c r="BR6" s="38">
        <f t="shared" si="1"/>
        <v>4</v>
      </c>
      <c r="BS6" s="38">
        <f t="shared" si="2"/>
        <v>0</v>
      </c>
      <c r="BT6" s="38">
        <f t="shared" si="3"/>
        <v>0</v>
      </c>
      <c r="BU6" s="38">
        <f t="shared" si="4"/>
        <v>0</v>
      </c>
      <c r="BV6" s="38">
        <f t="shared" si="5"/>
        <v>0</v>
      </c>
      <c r="BW6" s="38">
        <f t="shared" si="6"/>
        <v>0</v>
      </c>
      <c r="BX6" s="38">
        <f t="shared" si="7"/>
        <v>0</v>
      </c>
      <c r="BY6" s="38">
        <f t="shared" si="8"/>
        <v>0</v>
      </c>
      <c r="BZ6" s="38">
        <f t="shared" si="9"/>
        <v>0</v>
      </c>
      <c r="CA6" s="38">
        <f t="shared" si="10"/>
        <v>0</v>
      </c>
      <c r="CB6" s="38">
        <f t="shared" si="11"/>
        <v>0</v>
      </c>
      <c r="CC6" s="39"/>
      <c r="CF6" s="36">
        <v>0</v>
      </c>
      <c r="CG6" s="33">
        <v>0</v>
      </c>
      <c r="CH6" s="33">
        <v>0</v>
      </c>
      <c r="CI6" s="33">
        <v>0</v>
      </c>
      <c r="CJ6" s="33">
        <v>0</v>
      </c>
      <c r="CK6" s="33">
        <v>0</v>
      </c>
      <c r="CL6" s="33">
        <v>0</v>
      </c>
      <c r="CM6" s="33">
        <v>0</v>
      </c>
      <c r="CN6" s="33">
        <v>0</v>
      </c>
      <c r="CO6" s="33">
        <v>0</v>
      </c>
      <c r="CP6" s="43">
        <f t="shared" si="12"/>
        <v>0</v>
      </c>
    </row>
    <row r="7" spans="1:94" ht="24" customHeight="1" x14ac:dyDescent="0.25">
      <c r="A7" s="33">
        <v>3</v>
      </c>
      <c r="B7" s="38" t="s">
        <v>17</v>
      </c>
      <c r="C7" s="35" t="s">
        <v>18</v>
      </c>
      <c r="D7" s="69">
        <v>35548</v>
      </c>
      <c r="E7" s="63">
        <v>0.33124999999999999</v>
      </c>
      <c r="F7" s="63">
        <v>0.7055555555555556</v>
      </c>
      <c r="G7" s="63">
        <v>0.33402777777777781</v>
      </c>
      <c r="H7" s="86">
        <v>1</v>
      </c>
      <c r="I7" s="63">
        <v>0.32847222222222222</v>
      </c>
      <c r="J7" s="86">
        <v>1</v>
      </c>
      <c r="K7" s="63">
        <v>0.3298611111111111</v>
      </c>
      <c r="L7" s="63">
        <v>0.71250000000000002</v>
      </c>
      <c r="M7" s="80">
        <v>0.55555555555555558</v>
      </c>
      <c r="N7" s="87">
        <v>1</v>
      </c>
      <c r="O7" s="63">
        <v>0.32361111111111113</v>
      </c>
      <c r="P7" s="85">
        <v>1</v>
      </c>
      <c r="Q7" s="63">
        <v>0.32222222222222224</v>
      </c>
      <c r="R7" s="85">
        <v>1</v>
      </c>
      <c r="S7" s="63">
        <v>0.32777777777777778</v>
      </c>
      <c r="T7" s="85">
        <v>1</v>
      </c>
      <c r="U7" s="63">
        <v>0.32569444444444445</v>
      </c>
      <c r="V7" s="85">
        <v>1</v>
      </c>
      <c r="W7" s="85">
        <v>1</v>
      </c>
      <c r="X7" s="85">
        <v>1</v>
      </c>
      <c r="Y7" s="63">
        <v>0.3215277777777778</v>
      </c>
      <c r="Z7" s="85">
        <v>1</v>
      </c>
      <c r="AA7" s="87">
        <v>1</v>
      </c>
      <c r="AB7" s="87">
        <v>1</v>
      </c>
      <c r="AC7" s="63">
        <v>0.3125</v>
      </c>
      <c r="AD7" s="63">
        <v>0.71805555555555556</v>
      </c>
      <c r="AE7" s="63">
        <v>0.32361111111111113</v>
      </c>
      <c r="AF7" s="85">
        <v>1</v>
      </c>
      <c r="AG7" s="63">
        <v>0.32569444444444445</v>
      </c>
      <c r="AH7" s="85">
        <v>1</v>
      </c>
      <c r="AI7" s="73"/>
      <c r="AJ7" s="33">
        <v>3</v>
      </c>
      <c r="AK7" s="63">
        <v>0.32430555555555557</v>
      </c>
      <c r="AL7" s="85">
        <v>1</v>
      </c>
      <c r="AM7" s="63">
        <v>0.32083333333333336</v>
      </c>
      <c r="AN7" s="85">
        <v>1</v>
      </c>
      <c r="AO7" s="63">
        <v>0.32777777777777778</v>
      </c>
      <c r="AP7" s="85">
        <v>1</v>
      </c>
      <c r="AQ7" s="80">
        <v>0.55833333333333335</v>
      </c>
      <c r="AR7" s="87">
        <v>1</v>
      </c>
      <c r="AS7" s="63">
        <v>0.32222222222222224</v>
      </c>
      <c r="AT7" s="85">
        <v>1</v>
      </c>
      <c r="AU7" s="63">
        <v>0.31944444444444448</v>
      </c>
      <c r="AV7" s="63"/>
      <c r="AW7" s="63">
        <v>0.32083333333333336</v>
      </c>
      <c r="AX7" s="86">
        <v>1</v>
      </c>
      <c r="AY7" s="63">
        <v>0.32430555555555557</v>
      </c>
      <c r="AZ7" s="86">
        <v>1</v>
      </c>
      <c r="BA7" s="63">
        <v>0.32013888888888892</v>
      </c>
      <c r="BB7" s="86">
        <v>1</v>
      </c>
      <c r="BC7" s="63">
        <v>0.32222222222222224</v>
      </c>
      <c r="BD7" s="86">
        <v>1</v>
      </c>
      <c r="BE7" s="80">
        <v>0.55694444444444446</v>
      </c>
      <c r="BF7" s="88">
        <v>1</v>
      </c>
      <c r="BG7" s="63">
        <v>0.32500000000000001</v>
      </c>
      <c r="BH7" s="86">
        <v>1</v>
      </c>
      <c r="BI7" s="63">
        <v>0.31666666666666665</v>
      </c>
      <c r="BJ7" s="86">
        <v>1</v>
      </c>
      <c r="BK7" s="63">
        <v>0.32500000000000001</v>
      </c>
      <c r="BL7" s="85">
        <v>1</v>
      </c>
      <c r="BM7" s="63">
        <v>0.32500000000000001</v>
      </c>
      <c r="BN7" s="85">
        <v>1</v>
      </c>
      <c r="BO7" s="7">
        <f t="shared" si="13"/>
        <v>29.5</v>
      </c>
      <c r="BP7" s="58">
        <v>4</v>
      </c>
      <c r="BQ7" s="37">
        <f t="shared" si="0"/>
        <v>29.5</v>
      </c>
      <c r="BR7" s="38">
        <f t="shared" si="1"/>
        <v>0</v>
      </c>
      <c r="BS7" s="38">
        <f t="shared" si="2"/>
        <v>0</v>
      </c>
      <c r="BT7" s="38">
        <f t="shared" si="3"/>
        <v>0</v>
      </c>
      <c r="BU7" s="38">
        <f t="shared" si="4"/>
        <v>0</v>
      </c>
      <c r="BV7" s="38">
        <f t="shared" si="5"/>
        <v>0</v>
      </c>
      <c r="BW7" s="38">
        <f t="shared" si="6"/>
        <v>0</v>
      </c>
      <c r="BX7" s="38">
        <f t="shared" si="7"/>
        <v>0</v>
      </c>
      <c r="BY7" s="38">
        <f t="shared" si="8"/>
        <v>0</v>
      </c>
      <c r="BZ7" s="38">
        <f t="shared" si="9"/>
        <v>0</v>
      </c>
      <c r="CA7" s="38">
        <f t="shared" si="10"/>
        <v>0</v>
      </c>
      <c r="CB7" s="38">
        <f t="shared" si="11"/>
        <v>0</v>
      </c>
      <c r="CC7" s="39"/>
      <c r="CF7" s="36">
        <v>0</v>
      </c>
      <c r="CG7" s="33">
        <v>0</v>
      </c>
      <c r="CH7" s="33">
        <v>13</v>
      </c>
      <c r="CI7" s="33">
        <v>0</v>
      </c>
      <c r="CJ7" s="33">
        <v>0</v>
      </c>
      <c r="CK7" s="33">
        <v>0</v>
      </c>
      <c r="CL7" s="33">
        <v>0</v>
      </c>
      <c r="CM7" s="33">
        <v>0</v>
      </c>
      <c r="CN7" s="33">
        <v>0</v>
      </c>
      <c r="CO7" s="33">
        <v>0</v>
      </c>
      <c r="CP7" s="42">
        <f t="shared" si="12"/>
        <v>13</v>
      </c>
    </row>
    <row r="8" spans="1:94" ht="24" customHeight="1" x14ac:dyDescent="0.25">
      <c r="A8" s="33">
        <v>4</v>
      </c>
      <c r="B8" s="38" t="s">
        <v>19</v>
      </c>
      <c r="C8" s="83" t="s">
        <v>20</v>
      </c>
      <c r="D8" s="70">
        <v>43952</v>
      </c>
      <c r="E8" s="79">
        <v>1</v>
      </c>
      <c r="F8" s="79">
        <v>1</v>
      </c>
      <c r="G8" s="79">
        <v>1</v>
      </c>
      <c r="H8" s="79">
        <v>1</v>
      </c>
      <c r="I8" s="79">
        <v>1</v>
      </c>
      <c r="J8" s="79">
        <v>1</v>
      </c>
      <c r="K8" s="79">
        <v>1</v>
      </c>
      <c r="L8" s="79">
        <v>1</v>
      </c>
      <c r="M8" s="79" t="s">
        <v>53</v>
      </c>
      <c r="N8" s="79" t="s">
        <v>53</v>
      </c>
      <c r="O8" s="75">
        <v>1</v>
      </c>
      <c r="P8" s="75">
        <v>1</v>
      </c>
      <c r="Q8" s="75">
        <v>1</v>
      </c>
      <c r="R8" s="75">
        <v>1</v>
      </c>
      <c r="S8" s="75">
        <v>1</v>
      </c>
      <c r="T8" s="75">
        <v>1</v>
      </c>
      <c r="U8" s="75">
        <v>1</v>
      </c>
      <c r="V8" s="75">
        <v>1</v>
      </c>
      <c r="W8" s="75">
        <v>1</v>
      </c>
      <c r="X8" s="75">
        <v>1</v>
      </c>
      <c r="Y8" s="75">
        <v>1</v>
      </c>
      <c r="Z8" s="75">
        <v>1</v>
      </c>
      <c r="AA8" s="75" t="s">
        <v>53</v>
      </c>
      <c r="AB8" s="75" t="s">
        <v>53</v>
      </c>
      <c r="AC8" s="75">
        <v>1</v>
      </c>
      <c r="AD8" s="75">
        <v>1</v>
      </c>
      <c r="AE8" s="75">
        <v>1</v>
      </c>
      <c r="AF8" s="75">
        <v>1</v>
      </c>
      <c r="AG8" s="75">
        <v>1</v>
      </c>
      <c r="AH8" s="75">
        <v>1</v>
      </c>
      <c r="AI8" s="73"/>
      <c r="AJ8" s="33">
        <v>4</v>
      </c>
      <c r="AK8" s="75">
        <v>1</v>
      </c>
      <c r="AL8" s="75">
        <v>1</v>
      </c>
      <c r="AM8" s="75">
        <v>1</v>
      </c>
      <c r="AN8" s="75">
        <v>1</v>
      </c>
      <c r="AO8" s="75">
        <v>1</v>
      </c>
      <c r="AP8" s="75">
        <v>1</v>
      </c>
      <c r="AQ8" s="78" t="s">
        <v>53</v>
      </c>
      <c r="AR8" s="78" t="s">
        <v>53</v>
      </c>
      <c r="AS8" s="75">
        <v>1</v>
      </c>
      <c r="AT8" s="75">
        <v>1</v>
      </c>
      <c r="AU8" s="75">
        <v>1</v>
      </c>
      <c r="AV8" s="75">
        <v>1</v>
      </c>
      <c r="AW8" s="75">
        <v>1</v>
      </c>
      <c r="AX8" s="75">
        <v>1</v>
      </c>
      <c r="AY8" s="75">
        <v>1</v>
      </c>
      <c r="AZ8" s="75">
        <v>1</v>
      </c>
      <c r="BA8" s="75">
        <v>1</v>
      </c>
      <c r="BB8" s="75">
        <v>1</v>
      </c>
      <c r="BC8" s="75">
        <v>1</v>
      </c>
      <c r="BD8" s="75">
        <v>1</v>
      </c>
      <c r="BE8" s="78" t="s">
        <v>53</v>
      </c>
      <c r="BF8" s="78" t="s">
        <v>53</v>
      </c>
      <c r="BG8" s="75">
        <v>1</v>
      </c>
      <c r="BH8" s="75">
        <v>1</v>
      </c>
      <c r="BI8" s="75">
        <v>1</v>
      </c>
      <c r="BJ8" s="75">
        <v>1</v>
      </c>
      <c r="BK8" s="75">
        <v>1</v>
      </c>
      <c r="BL8" s="75">
        <v>1</v>
      </c>
      <c r="BM8" s="75">
        <v>1</v>
      </c>
      <c r="BN8" s="75">
        <v>1</v>
      </c>
      <c r="BO8" s="7">
        <f>BQ8+BR8+BS8+BX8+BU8+BW8+BV8</f>
        <v>30</v>
      </c>
      <c r="BP8" s="58">
        <v>0</v>
      </c>
      <c r="BQ8" s="37">
        <f t="shared" si="0"/>
        <v>26</v>
      </c>
      <c r="BR8" s="38">
        <f t="shared" si="1"/>
        <v>4</v>
      </c>
      <c r="BS8" s="38">
        <f t="shared" si="2"/>
        <v>0</v>
      </c>
      <c r="BT8" s="38">
        <f t="shared" si="3"/>
        <v>0</v>
      </c>
      <c r="BU8" s="38">
        <f t="shared" si="4"/>
        <v>0</v>
      </c>
      <c r="BV8" s="38">
        <f t="shared" si="5"/>
        <v>0</v>
      </c>
      <c r="BW8" s="38">
        <f t="shared" si="6"/>
        <v>0</v>
      </c>
      <c r="BX8" s="38">
        <f t="shared" si="7"/>
        <v>0</v>
      </c>
      <c r="BY8" s="38">
        <f t="shared" si="8"/>
        <v>0</v>
      </c>
      <c r="BZ8" s="38">
        <f t="shared" si="9"/>
        <v>0</v>
      </c>
      <c r="CA8" s="38">
        <f t="shared" si="10"/>
        <v>0</v>
      </c>
      <c r="CB8" s="38">
        <f t="shared" si="11"/>
        <v>0</v>
      </c>
      <c r="CC8" s="39"/>
      <c r="CF8" s="36">
        <v>0</v>
      </c>
      <c r="CG8" s="33">
        <v>0</v>
      </c>
      <c r="CH8" s="33">
        <v>33</v>
      </c>
      <c r="CI8" s="33">
        <v>0</v>
      </c>
      <c r="CJ8" s="33">
        <v>0</v>
      </c>
      <c r="CK8" s="33">
        <v>0</v>
      </c>
      <c r="CL8" s="33">
        <v>0</v>
      </c>
      <c r="CM8" s="33">
        <v>0</v>
      </c>
      <c r="CN8" s="33">
        <v>0</v>
      </c>
      <c r="CO8" s="33">
        <v>0</v>
      </c>
      <c r="CP8" s="42">
        <f t="shared" si="12"/>
        <v>33</v>
      </c>
    </row>
    <row r="9" spans="1:94" ht="24" customHeight="1" x14ac:dyDescent="0.25">
      <c r="A9" s="33">
        <v>5</v>
      </c>
      <c r="B9" s="40" t="s">
        <v>21</v>
      </c>
      <c r="C9" s="84" t="s">
        <v>22</v>
      </c>
      <c r="D9" s="71">
        <v>45600</v>
      </c>
      <c r="E9" s="78">
        <v>1</v>
      </c>
      <c r="F9" s="78">
        <v>1</v>
      </c>
      <c r="G9" s="78">
        <v>1</v>
      </c>
      <c r="H9" s="78">
        <v>1</v>
      </c>
      <c r="I9" s="78">
        <v>1</v>
      </c>
      <c r="J9" s="78">
        <v>1</v>
      </c>
      <c r="K9" s="78">
        <v>1</v>
      </c>
      <c r="L9" s="78">
        <v>1</v>
      </c>
      <c r="M9" s="78" t="s">
        <v>53</v>
      </c>
      <c r="N9" s="78" t="s">
        <v>53</v>
      </c>
      <c r="O9" s="78">
        <v>1</v>
      </c>
      <c r="P9" s="78">
        <v>1</v>
      </c>
      <c r="Q9" s="78">
        <v>1</v>
      </c>
      <c r="R9" s="78">
        <v>1</v>
      </c>
      <c r="S9" s="78">
        <v>1</v>
      </c>
      <c r="T9" s="78">
        <v>1</v>
      </c>
      <c r="U9" s="78">
        <v>1</v>
      </c>
      <c r="V9" s="78">
        <v>1</v>
      </c>
      <c r="W9" s="78">
        <v>1</v>
      </c>
      <c r="X9" s="78">
        <v>1</v>
      </c>
      <c r="Y9" s="78">
        <v>1</v>
      </c>
      <c r="Z9" s="78">
        <v>1</v>
      </c>
      <c r="AA9" s="78" t="s">
        <v>53</v>
      </c>
      <c r="AB9" s="78" t="s">
        <v>53</v>
      </c>
      <c r="AC9" s="78">
        <v>1</v>
      </c>
      <c r="AD9" s="78">
        <v>1</v>
      </c>
      <c r="AE9" s="78">
        <v>1</v>
      </c>
      <c r="AF9" s="78">
        <v>1</v>
      </c>
      <c r="AG9" s="78">
        <v>1</v>
      </c>
      <c r="AH9" s="78">
        <v>1</v>
      </c>
      <c r="AI9" s="73"/>
      <c r="AJ9" s="33">
        <v>5</v>
      </c>
      <c r="AK9" s="78">
        <v>1</v>
      </c>
      <c r="AL9" s="78">
        <v>1</v>
      </c>
      <c r="AM9" s="78">
        <v>1</v>
      </c>
      <c r="AN9" s="78">
        <v>1</v>
      </c>
      <c r="AO9" s="78">
        <v>1</v>
      </c>
      <c r="AP9" s="78">
        <v>1</v>
      </c>
      <c r="AQ9" s="78" t="s">
        <v>53</v>
      </c>
      <c r="AR9" s="78" t="s">
        <v>53</v>
      </c>
      <c r="AS9" s="78">
        <v>1</v>
      </c>
      <c r="AT9" s="78">
        <v>1</v>
      </c>
      <c r="AU9" s="78">
        <v>1</v>
      </c>
      <c r="AV9" s="78">
        <v>1</v>
      </c>
      <c r="AW9" s="78">
        <v>1</v>
      </c>
      <c r="AX9" s="78">
        <v>1</v>
      </c>
      <c r="AY9" s="78">
        <v>1</v>
      </c>
      <c r="AZ9" s="78">
        <v>1</v>
      </c>
      <c r="BA9" s="78">
        <v>1</v>
      </c>
      <c r="BB9" s="78">
        <v>1</v>
      </c>
      <c r="BC9" s="78">
        <v>1</v>
      </c>
      <c r="BD9" s="78">
        <v>1</v>
      </c>
      <c r="BE9" s="78" t="s">
        <v>53</v>
      </c>
      <c r="BF9" s="78" t="s">
        <v>53</v>
      </c>
      <c r="BG9" s="78">
        <v>1</v>
      </c>
      <c r="BH9" s="78">
        <v>1</v>
      </c>
      <c r="BI9" s="78">
        <v>1</v>
      </c>
      <c r="BJ9" s="78">
        <v>1</v>
      </c>
      <c r="BK9" s="78">
        <v>1</v>
      </c>
      <c r="BL9" s="78">
        <v>1</v>
      </c>
      <c r="BM9" s="78">
        <v>1</v>
      </c>
      <c r="BN9" s="78">
        <v>1</v>
      </c>
      <c r="BO9" s="7">
        <f t="shared" ref="BO9:BO29" si="14">BQ9+BR9+BS9+BX9+BU9+BW9+BV9</f>
        <v>30</v>
      </c>
      <c r="BP9" s="58">
        <v>0</v>
      </c>
      <c r="BQ9" s="37">
        <f t="shared" si="0"/>
        <v>26</v>
      </c>
      <c r="BR9" s="38">
        <f t="shared" si="1"/>
        <v>4</v>
      </c>
      <c r="BS9" s="38">
        <f t="shared" si="2"/>
        <v>0</v>
      </c>
      <c r="BT9" s="38">
        <f t="shared" si="3"/>
        <v>0</v>
      </c>
      <c r="BU9" s="38">
        <f t="shared" si="4"/>
        <v>0</v>
      </c>
      <c r="BV9" s="38">
        <f t="shared" si="5"/>
        <v>0</v>
      </c>
      <c r="BW9" s="38">
        <f t="shared" si="6"/>
        <v>0</v>
      </c>
      <c r="BX9" s="38">
        <f t="shared" si="7"/>
        <v>0</v>
      </c>
      <c r="BY9" s="38">
        <f t="shared" si="8"/>
        <v>0</v>
      </c>
      <c r="BZ9" s="38">
        <f t="shared" si="9"/>
        <v>0</v>
      </c>
      <c r="CA9" s="38">
        <f t="shared" si="10"/>
        <v>0</v>
      </c>
      <c r="CB9" s="38">
        <f t="shared" si="11"/>
        <v>0</v>
      </c>
      <c r="CC9" s="39" t="s">
        <v>78</v>
      </c>
      <c r="CF9" s="36">
        <v>0</v>
      </c>
      <c r="CG9" s="33">
        <v>0</v>
      </c>
      <c r="CH9" s="33">
        <v>0</v>
      </c>
      <c r="CI9" s="33">
        <v>0</v>
      </c>
      <c r="CJ9" s="33">
        <v>0</v>
      </c>
      <c r="CK9" s="33">
        <v>0</v>
      </c>
      <c r="CL9" s="33">
        <v>0</v>
      </c>
      <c r="CM9" s="33">
        <v>0</v>
      </c>
      <c r="CN9" s="33">
        <v>0</v>
      </c>
      <c r="CO9" s="33">
        <v>0</v>
      </c>
      <c r="CP9" s="42">
        <f t="shared" si="12"/>
        <v>0</v>
      </c>
    </row>
    <row r="10" spans="1:94" ht="24" customHeight="1" x14ac:dyDescent="0.25">
      <c r="A10" s="33">
        <v>6</v>
      </c>
      <c r="B10" s="40" t="s">
        <v>101</v>
      </c>
      <c r="C10" s="84" t="s">
        <v>102</v>
      </c>
      <c r="D10" s="71"/>
      <c r="E10" s="89" t="s">
        <v>103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1"/>
      <c r="AI10" s="73"/>
      <c r="AJ10" s="33"/>
      <c r="AK10" s="89" t="s">
        <v>103</v>
      </c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78">
        <v>1</v>
      </c>
      <c r="AX10" s="78">
        <v>1</v>
      </c>
      <c r="AY10" s="78">
        <v>1</v>
      </c>
      <c r="AZ10" s="78">
        <v>1</v>
      </c>
      <c r="BA10" s="78">
        <v>1</v>
      </c>
      <c r="BB10" s="78">
        <v>1</v>
      </c>
      <c r="BC10" s="78">
        <v>1</v>
      </c>
      <c r="BD10" s="78">
        <v>1</v>
      </c>
      <c r="BE10" s="78" t="s">
        <v>53</v>
      </c>
      <c r="BF10" s="78" t="s">
        <v>53</v>
      </c>
      <c r="BG10" s="63">
        <v>0.38194444444444442</v>
      </c>
      <c r="BH10" s="63">
        <v>0.68611111111111101</v>
      </c>
      <c r="BI10" s="63">
        <v>0.38472222222222219</v>
      </c>
      <c r="BJ10" s="63">
        <v>0.96250000000000002</v>
      </c>
      <c r="BK10" s="63">
        <v>0.38680555555555557</v>
      </c>
      <c r="BL10" s="63">
        <v>0.6777777777777777</v>
      </c>
      <c r="BM10" s="63">
        <v>0.39097222222222222</v>
      </c>
      <c r="BN10" s="86">
        <v>1</v>
      </c>
      <c r="BO10" s="7">
        <f t="shared" si="14"/>
        <v>9</v>
      </c>
      <c r="BP10" s="58">
        <v>0</v>
      </c>
      <c r="BQ10" s="37">
        <f t="shared" si="0"/>
        <v>8</v>
      </c>
      <c r="BR10" s="38">
        <f t="shared" si="1"/>
        <v>1</v>
      </c>
      <c r="BS10" s="38">
        <f t="shared" si="2"/>
        <v>0</v>
      </c>
      <c r="BT10" s="38">
        <f t="shared" si="3"/>
        <v>0</v>
      </c>
      <c r="BU10" s="38">
        <f t="shared" si="4"/>
        <v>0</v>
      </c>
      <c r="BV10" s="38">
        <f t="shared" si="5"/>
        <v>0</v>
      </c>
      <c r="BW10" s="38">
        <f t="shared" si="6"/>
        <v>0</v>
      </c>
      <c r="BX10" s="38">
        <f t="shared" si="7"/>
        <v>0</v>
      </c>
      <c r="BY10" s="38">
        <f t="shared" si="8"/>
        <v>0</v>
      </c>
      <c r="BZ10" s="38">
        <f t="shared" si="9"/>
        <v>0</v>
      </c>
      <c r="CA10" s="38">
        <f t="shared" si="10"/>
        <v>0</v>
      </c>
      <c r="CB10" s="38">
        <f t="shared" si="11"/>
        <v>0</v>
      </c>
      <c r="CC10" s="39"/>
      <c r="CF10" s="36">
        <v>0</v>
      </c>
      <c r="CG10" s="36">
        <v>0</v>
      </c>
      <c r="CH10" s="36">
        <v>0</v>
      </c>
      <c r="CI10" s="36">
        <v>0</v>
      </c>
      <c r="CJ10" s="36">
        <v>0</v>
      </c>
      <c r="CK10" s="36">
        <v>0</v>
      </c>
      <c r="CL10" s="36">
        <v>0</v>
      </c>
      <c r="CM10" s="36">
        <v>0</v>
      </c>
      <c r="CN10" s="36">
        <v>0</v>
      </c>
      <c r="CO10" s="36">
        <v>0</v>
      </c>
      <c r="CP10" s="42">
        <f>SUM(CF10:CO10)</f>
        <v>0</v>
      </c>
    </row>
    <row r="11" spans="1:94" ht="24" customHeight="1" x14ac:dyDescent="0.25">
      <c r="A11" s="33">
        <v>7</v>
      </c>
      <c r="B11" s="38" t="s">
        <v>23</v>
      </c>
      <c r="C11" s="35" t="s">
        <v>24</v>
      </c>
      <c r="D11" s="69">
        <v>41326</v>
      </c>
      <c r="E11" s="63">
        <v>0.4055555555555555</v>
      </c>
      <c r="F11" s="63">
        <v>0.7104166666666667</v>
      </c>
      <c r="G11" s="63">
        <v>0.39305555555555555</v>
      </c>
      <c r="H11" s="63">
        <v>0.74791666666666667</v>
      </c>
      <c r="I11" s="63">
        <v>0.38611111111111113</v>
      </c>
      <c r="J11" s="63">
        <v>0.74236111111111114</v>
      </c>
      <c r="K11" s="63">
        <v>0.38958333333333334</v>
      </c>
      <c r="L11" s="63">
        <v>0.73055555555555562</v>
      </c>
      <c r="M11" s="78" t="s">
        <v>53</v>
      </c>
      <c r="N11" s="78" t="s">
        <v>53</v>
      </c>
      <c r="O11" s="63">
        <v>0.45902777777777781</v>
      </c>
      <c r="P11" s="63">
        <v>0.70833333333333337</v>
      </c>
      <c r="Q11" s="63">
        <v>0.39513888888888887</v>
      </c>
      <c r="R11" s="63">
        <v>0.44305555555555554</v>
      </c>
      <c r="S11" s="63">
        <v>0.40347222222222223</v>
      </c>
      <c r="T11" s="63">
        <v>0.72499999999999998</v>
      </c>
      <c r="U11" s="63">
        <v>0.39513888888888887</v>
      </c>
      <c r="V11" s="85">
        <v>1</v>
      </c>
      <c r="W11" s="85">
        <v>1</v>
      </c>
      <c r="X11" s="85">
        <v>1</v>
      </c>
      <c r="Y11" s="63">
        <v>0.40833333333333338</v>
      </c>
      <c r="Z11" s="63">
        <v>0.71944444444444444</v>
      </c>
      <c r="AA11" s="78" t="s">
        <v>53</v>
      </c>
      <c r="AB11" s="78" t="s">
        <v>53</v>
      </c>
      <c r="AC11" s="63">
        <v>0.4201388888888889</v>
      </c>
      <c r="AD11" s="63">
        <v>0.7368055555555556</v>
      </c>
      <c r="AE11" s="63">
        <v>0.39861111111111108</v>
      </c>
      <c r="AF11" s="85">
        <v>1</v>
      </c>
      <c r="AG11" s="63">
        <v>0.40347222222222223</v>
      </c>
      <c r="AH11" s="63">
        <v>0.72499999999999998</v>
      </c>
      <c r="AI11" s="73"/>
      <c r="AJ11" s="33">
        <v>6</v>
      </c>
      <c r="AK11" s="63">
        <v>0.40972222222222227</v>
      </c>
      <c r="AL11" s="63">
        <v>0.71458333333333324</v>
      </c>
      <c r="AM11" s="63">
        <v>0.39305555555555555</v>
      </c>
      <c r="AN11" s="63">
        <v>0.7270833333333333</v>
      </c>
      <c r="AO11" s="63">
        <v>0.40138888888888885</v>
      </c>
      <c r="AP11" s="63">
        <v>0.73125000000000007</v>
      </c>
      <c r="AQ11" s="78" t="s">
        <v>53</v>
      </c>
      <c r="AR11" s="78" t="s">
        <v>53</v>
      </c>
      <c r="AS11" s="63">
        <v>0.45833333333333331</v>
      </c>
      <c r="AT11" s="63">
        <v>0.71111111111111114</v>
      </c>
      <c r="AU11" s="63">
        <v>0.37986111111111115</v>
      </c>
      <c r="AV11" s="63">
        <v>0.73472222222222217</v>
      </c>
      <c r="AW11" s="63">
        <v>0.41388888888888892</v>
      </c>
      <c r="AX11" s="63">
        <v>0.73333333333333339</v>
      </c>
      <c r="AY11" s="63">
        <v>0.4055555555555555</v>
      </c>
      <c r="AZ11" s="63">
        <v>0.72638888888888886</v>
      </c>
      <c r="BA11" s="63">
        <v>0.39166666666666666</v>
      </c>
      <c r="BB11" s="63">
        <v>0.72013888888888899</v>
      </c>
      <c r="BC11" s="63">
        <v>0.39444444444444443</v>
      </c>
      <c r="BD11" s="63">
        <v>0.72430555555555554</v>
      </c>
      <c r="BE11" s="78" t="s">
        <v>53</v>
      </c>
      <c r="BF11" s="78" t="s">
        <v>53</v>
      </c>
      <c r="BG11" s="63">
        <v>0.46249999999999997</v>
      </c>
      <c r="BH11" s="63">
        <v>0.71388888888888891</v>
      </c>
      <c r="BI11" s="63">
        <v>0.4145833333333333</v>
      </c>
      <c r="BJ11" s="63">
        <v>0.70000000000000007</v>
      </c>
      <c r="BK11" s="63">
        <v>0.40069444444444446</v>
      </c>
      <c r="BL11" s="63">
        <v>0.71388888888888891</v>
      </c>
      <c r="BM11" s="63">
        <v>0.40763888888888888</v>
      </c>
      <c r="BN11" s="63">
        <v>0.75069444444444444</v>
      </c>
      <c r="BO11" s="7">
        <f t="shared" si="14"/>
        <v>30</v>
      </c>
      <c r="BP11" s="58">
        <v>0</v>
      </c>
      <c r="BQ11" s="37">
        <f t="shared" si="0"/>
        <v>26</v>
      </c>
      <c r="BR11" s="38">
        <f t="shared" si="1"/>
        <v>4</v>
      </c>
      <c r="BS11" s="38">
        <f t="shared" si="2"/>
        <v>0</v>
      </c>
      <c r="BT11" s="38">
        <f t="shared" si="3"/>
        <v>0</v>
      </c>
      <c r="BU11" s="38">
        <f t="shared" si="4"/>
        <v>0</v>
      </c>
      <c r="BV11" s="38">
        <f t="shared" si="5"/>
        <v>0</v>
      </c>
      <c r="BW11" s="38">
        <f t="shared" si="6"/>
        <v>0</v>
      </c>
      <c r="BX11" s="38">
        <f t="shared" si="7"/>
        <v>0</v>
      </c>
      <c r="BY11" s="38">
        <f t="shared" si="8"/>
        <v>0</v>
      </c>
      <c r="BZ11" s="38">
        <f t="shared" si="9"/>
        <v>0</v>
      </c>
      <c r="CA11" s="38">
        <f t="shared" si="10"/>
        <v>0</v>
      </c>
      <c r="CB11" s="38">
        <f t="shared" si="11"/>
        <v>0</v>
      </c>
      <c r="CC11" s="39"/>
      <c r="CF11" s="36">
        <v>0</v>
      </c>
      <c r="CG11" s="33">
        <v>0</v>
      </c>
      <c r="CH11" s="33">
        <v>18</v>
      </c>
      <c r="CI11" s="33">
        <v>0</v>
      </c>
      <c r="CJ11" s="33">
        <v>0</v>
      </c>
      <c r="CK11" s="33">
        <v>8</v>
      </c>
      <c r="CL11" s="33">
        <v>0</v>
      </c>
      <c r="CM11" s="33">
        <v>0</v>
      </c>
      <c r="CN11" s="33">
        <v>0</v>
      </c>
      <c r="CO11" s="33">
        <v>6</v>
      </c>
      <c r="CP11" s="42">
        <f t="shared" si="12"/>
        <v>32</v>
      </c>
    </row>
    <row r="12" spans="1:94" ht="24" customHeight="1" x14ac:dyDescent="0.25">
      <c r="A12" s="33">
        <v>8</v>
      </c>
      <c r="B12" s="38" t="s">
        <v>25</v>
      </c>
      <c r="C12" s="35" t="s">
        <v>26</v>
      </c>
      <c r="D12" s="69">
        <v>43591</v>
      </c>
      <c r="E12" s="63">
        <v>0.40902777777777777</v>
      </c>
      <c r="F12" s="63">
        <v>0.63680555555555551</v>
      </c>
      <c r="G12" s="63">
        <v>0.37847222222222227</v>
      </c>
      <c r="H12" s="63">
        <v>1.1111111111111112E-2</v>
      </c>
      <c r="I12" s="63">
        <v>0.37916666666666665</v>
      </c>
      <c r="J12" s="63">
        <v>4.1666666666666666E-3</v>
      </c>
      <c r="K12" s="63">
        <v>0.37847222222222227</v>
      </c>
      <c r="L12" s="63">
        <v>1.3888888888888888E-2</v>
      </c>
      <c r="M12" s="80">
        <v>0.58333333333333337</v>
      </c>
      <c r="N12" s="80">
        <v>0.98749999999999993</v>
      </c>
      <c r="O12" s="63">
        <v>0.40416666666666662</v>
      </c>
      <c r="P12" s="63">
        <v>5.5555555555555558E-3</v>
      </c>
      <c r="Q12" s="63">
        <v>0.38055555555555554</v>
      </c>
      <c r="R12" s="63">
        <v>0.98749999999999993</v>
      </c>
      <c r="S12" s="63">
        <v>0.37361111111111112</v>
      </c>
      <c r="T12" s="63">
        <v>0.98472222222222217</v>
      </c>
      <c r="U12" s="63">
        <v>0.38263888888888892</v>
      </c>
      <c r="V12" s="85">
        <v>1</v>
      </c>
      <c r="W12" s="85">
        <v>1</v>
      </c>
      <c r="X12" s="85">
        <v>1</v>
      </c>
      <c r="Y12" s="63">
        <v>0.37708333333333338</v>
      </c>
      <c r="Z12" s="63">
        <v>1.1111111111111112E-2</v>
      </c>
      <c r="AA12" s="78" t="s">
        <v>53</v>
      </c>
      <c r="AB12" s="78" t="s">
        <v>53</v>
      </c>
      <c r="AC12" s="63">
        <v>0.38194444444444442</v>
      </c>
      <c r="AD12" s="63">
        <v>2.0833333333333332E-2</v>
      </c>
      <c r="AE12" s="63">
        <v>0.38125000000000003</v>
      </c>
      <c r="AF12" s="85">
        <v>1</v>
      </c>
      <c r="AG12" s="63">
        <v>0.38055555555555554</v>
      </c>
      <c r="AH12" s="63">
        <v>0.98749999999999993</v>
      </c>
      <c r="AI12" s="73"/>
      <c r="AJ12" s="33">
        <v>7</v>
      </c>
      <c r="AK12" s="63">
        <v>0.45277777777777778</v>
      </c>
      <c r="AL12" s="63">
        <v>0.99375000000000002</v>
      </c>
      <c r="AM12" s="63">
        <v>0.42083333333333334</v>
      </c>
      <c r="AN12" s="63">
        <v>0.67499999999999993</v>
      </c>
      <c r="AO12" s="63">
        <v>0.38611111111111113</v>
      </c>
      <c r="AP12" s="63">
        <v>4.027777777777778E-2</v>
      </c>
      <c r="AQ12" s="80">
        <v>0.59583333333333333</v>
      </c>
      <c r="AR12" s="80">
        <v>0.99305555555555547</v>
      </c>
      <c r="AS12" s="77" t="s">
        <v>94</v>
      </c>
      <c r="AT12" s="77" t="s">
        <v>94</v>
      </c>
      <c r="AU12" s="63">
        <v>0.3756944444444445</v>
      </c>
      <c r="AV12" s="63">
        <v>0.98888888888888893</v>
      </c>
      <c r="AW12" s="63">
        <v>0.40625</v>
      </c>
      <c r="AX12" s="63">
        <v>0.98888888888888893</v>
      </c>
      <c r="AY12" s="63">
        <v>0.39513888888888887</v>
      </c>
      <c r="AZ12" s="63">
        <v>0.7631944444444444</v>
      </c>
      <c r="BA12" s="63">
        <v>0.37777777777777777</v>
      </c>
      <c r="BB12" s="63">
        <v>0.98749999999999993</v>
      </c>
      <c r="BC12" s="63">
        <v>0.39930555555555558</v>
      </c>
      <c r="BD12" s="63">
        <v>3.8194444444444441E-2</v>
      </c>
      <c r="BE12" s="80">
        <v>0.58958333333333335</v>
      </c>
      <c r="BF12" s="88">
        <v>1</v>
      </c>
      <c r="BG12" s="63">
        <v>0.38055555555555554</v>
      </c>
      <c r="BH12" s="63">
        <v>4.8611111111111112E-3</v>
      </c>
      <c r="BI12" s="63">
        <v>0.37152777777777773</v>
      </c>
      <c r="BJ12" s="63">
        <v>0.67638888888888893</v>
      </c>
      <c r="BK12" s="63">
        <v>0.44513888888888892</v>
      </c>
      <c r="BL12" s="63">
        <v>0.97152777777777777</v>
      </c>
      <c r="BM12" s="63">
        <v>0.43194444444444446</v>
      </c>
      <c r="BN12" s="63">
        <v>0.57708333333333328</v>
      </c>
      <c r="BO12" s="7">
        <f t="shared" si="14"/>
        <v>30</v>
      </c>
      <c r="BP12" s="58">
        <v>3</v>
      </c>
      <c r="BQ12" s="37">
        <f t="shared" si="0"/>
        <v>28</v>
      </c>
      <c r="BR12" s="38">
        <f t="shared" si="1"/>
        <v>1</v>
      </c>
      <c r="BS12" s="38">
        <f t="shared" si="2"/>
        <v>0</v>
      </c>
      <c r="BT12" s="38">
        <f t="shared" si="3"/>
        <v>0</v>
      </c>
      <c r="BU12" s="38">
        <f t="shared" si="4"/>
        <v>0</v>
      </c>
      <c r="BV12" s="38">
        <f t="shared" si="5"/>
        <v>0</v>
      </c>
      <c r="BW12" s="38">
        <f t="shared" si="6"/>
        <v>0</v>
      </c>
      <c r="BX12" s="38">
        <f t="shared" si="7"/>
        <v>1</v>
      </c>
      <c r="BY12" s="38">
        <f t="shared" si="8"/>
        <v>0</v>
      </c>
      <c r="BZ12" s="38">
        <f t="shared" si="9"/>
        <v>0</v>
      </c>
      <c r="CA12" s="38">
        <f t="shared" si="10"/>
        <v>0</v>
      </c>
      <c r="CB12" s="38">
        <f t="shared" si="11"/>
        <v>0</v>
      </c>
      <c r="CC12" s="39" t="s">
        <v>78</v>
      </c>
      <c r="CF12" s="36">
        <v>0</v>
      </c>
      <c r="CG12" s="33">
        <v>0</v>
      </c>
      <c r="CH12" s="33">
        <v>27</v>
      </c>
      <c r="CI12" s="33">
        <v>0</v>
      </c>
      <c r="CJ12" s="33">
        <v>0</v>
      </c>
      <c r="CK12" s="33">
        <v>8</v>
      </c>
      <c r="CL12" s="33">
        <v>0</v>
      </c>
      <c r="CM12" s="33">
        <v>0</v>
      </c>
      <c r="CN12" s="33">
        <v>0</v>
      </c>
      <c r="CO12" s="33">
        <v>0</v>
      </c>
      <c r="CP12" s="42">
        <f t="shared" si="12"/>
        <v>35</v>
      </c>
    </row>
    <row r="13" spans="1:94" ht="24" customHeight="1" x14ac:dyDescent="0.25">
      <c r="A13" s="33">
        <v>9</v>
      </c>
      <c r="B13" s="38" t="s">
        <v>27</v>
      </c>
      <c r="C13" s="83" t="s">
        <v>28</v>
      </c>
      <c r="D13" s="69">
        <v>44531</v>
      </c>
      <c r="E13" s="63">
        <v>0.25069444444444444</v>
      </c>
      <c r="F13" s="86">
        <v>1</v>
      </c>
      <c r="G13" s="63">
        <v>0.25486111111111109</v>
      </c>
      <c r="H13" s="86">
        <v>1</v>
      </c>
      <c r="I13" s="63">
        <v>0.41319444444444442</v>
      </c>
      <c r="J13" s="63">
        <v>0.84444444444444444</v>
      </c>
      <c r="K13" s="63">
        <v>0.39583333333333331</v>
      </c>
      <c r="L13" s="86">
        <v>1</v>
      </c>
      <c r="M13" s="78" t="s">
        <v>53</v>
      </c>
      <c r="N13" s="78" t="s">
        <v>53</v>
      </c>
      <c r="O13" s="63">
        <v>0.77986111111111101</v>
      </c>
      <c r="P13" s="86">
        <v>1</v>
      </c>
      <c r="Q13" s="63">
        <v>0.4152777777777778</v>
      </c>
      <c r="R13" s="86">
        <v>1</v>
      </c>
      <c r="S13" s="63">
        <v>0.3756944444444445</v>
      </c>
      <c r="T13" s="86">
        <v>1</v>
      </c>
      <c r="U13" s="63">
        <v>0.4291666666666667</v>
      </c>
      <c r="V13" s="86">
        <v>1</v>
      </c>
      <c r="W13" s="63">
        <v>0.73402777777777783</v>
      </c>
      <c r="X13" s="86">
        <v>1</v>
      </c>
      <c r="Y13" s="86">
        <v>1</v>
      </c>
      <c r="Z13" s="86">
        <v>1</v>
      </c>
      <c r="AA13" s="78" t="s">
        <v>53</v>
      </c>
      <c r="AB13" s="78" t="s">
        <v>53</v>
      </c>
      <c r="AC13" s="86">
        <v>1</v>
      </c>
      <c r="AD13" s="86">
        <v>1</v>
      </c>
      <c r="AE13" s="86">
        <v>1</v>
      </c>
      <c r="AF13" s="86">
        <v>1</v>
      </c>
      <c r="AG13" s="86">
        <v>1</v>
      </c>
      <c r="AH13" s="86">
        <v>1</v>
      </c>
      <c r="AI13" s="73"/>
      <c r="AJ13" s="33">
        <v>8</v>
      </c>
      <c r="AK13" s="86">
        <v>1</v>
      </c>
      <c r="AL13" s="86">
        <v>1</v>
      </c>
      <c r="AM13" s="86">
        <v>1</v>
      </c>
      <c r="AN13" s="86">
        <v>1</v>
      </c>
      <c r="AO13" s="86">
        <v>1</v>
      </c>
      <c r="AP13" s="86">
        <v>1</v>
      </c>
      <c r="AQ13" s="78" t="s">
        <v>53</v>
      </c>
      <c r="AR13" s="78" t="s">
        <v>53</v>
      </c>
      <c r="AS13" s="86">
        <v>1</v>
      </c>
      <c r="AT13" s="86">
        <v>1</v>
      </c>
      <c r="AU13" s="86">
        <v>1</v>
      </c>
      <c r="AV13" s="86">
        <v>1</v>
      </c>
      <c r="AW13" s="63">
        <v>0.55486111111111114</v>
      </c>
      <c r="AX13" s="86">
        <v>1</v>
      </c>
      <c r="AY13" s="63">
        <v>0.40486111111111112</v>
      </c>
      <c r="AZ13" s="86">
        <v>1</v>
      </c>
      <c r="BA13" s="63">
        <v>0.3743055555555555</v>
      </c>
      <c r="BB13" s="86">
        <v>1</v>
      </c>
      <c r="BC13" s="63">
        <v>0.2673611111111111</v>
      </c>
      <c r="BD13" s="86">
        <v>1</v>
      </c>
      <c r="BE13" s="78" t="s">
        <v>53</v>
      </c>
      <c r="BF13" s="78" t="s">
        <v>53</v>
      </c>
      <c r="BG13" s="63">
        <v>0.45069444444444445</v>
      </c>
      <c r="BH13" s="86">
        <v>1</v>
      </c>
      <c r="BI13" s="86">
        <v>1</v>
      </c>
      <c r="BJ13" s="86">
        <v>1</v>
      </c>
      <c r="BK13" s="86">
        <v>1</v>
      </c>
      <c r="BL13" s="86">
        <v>1</v>
      </c>
      <c r="BM13" s="86">
        <v>1</v>
      </c>
      <c r="BN13" s="86">
        <v>1</v>
      </c>
      <c r="BO13" s="7">
        <f t="shared" si="14"/>
        <v>30</v>
      </c>
      <c r="BP13" s="58">
        <v>0</v>
      </c>
      <c r="BQ13" s="37">
        <f t="shared" si="0"/>
        <v>26</v>
      </c>
      <c r="BR13" s="38">
        <f t="shared" si="1"/>
        <v>4</v>
      </c>
      <c r="BS13" s="38">
        <f t="shared" si="2"/>
        <v>0</v>
      </c>
      <c r="BT13" s="38">
        <f t="shared" si="3"/>
        <v>0</v>
      </c>
      <c r="BU13" s="38">
        <f t="shared" si="4"/>
        <v>0</v>
      </c>
      <c r="BV13" s="38">
        <f t="shared" si="5"/>
        <v>0</v>
      </c>
      <c r="BW13" s="38">
        <f t="shared" si="6"/>
        <v>0</v>
      </c>
      <c r="BX13" s="38">
        <f t="shared" si="7"/>
        <v>0</v>
      </c>
      <c r="BY13" s="38">
        <f t="shared" si="8"/>
        <v>0</v>
      </c>
      <c r="BZ13" s="38">
        <f t="shared" si="9"/>
        <v>0</v>
      </c>
      <c r="CA13" s="38">
        <f t="shared" si="10"/>
        <v>0</v>
      </c>
      <c r="CB13" s="38">
        <f t="shared" si="11"/>
        <v>0</v>
      </c>
      <c r="CC13" s="39"/>
      <c r="CF13" s="36">
        <v>0</v>
      </c>
      <c r="CG13" s="33">
        <v>0</v>
      </c>
      <c r="CH13" s="33">
        <v>17</v>
      </c>
      <c r="CI13" s="33">
        <v>0</v>
      </c>
      <c r="CJ13" s="33">
        <v>0</v>
      </c>
      <c r="CK13" s="33">
        <v>0</v>
      </c>
      <c r="CL13" s="33">
        <v>0</v>
      </c>
      <c r="CM13" s="33">
        <v>0</v>
      </c>
      <c r="CN13" s="33">
        <v>0</v>
      </c>
      <c r="CO13" s="33">
        <v>0</v>
      </c>
      <c r="CP13" s="42">
        <f t="shared" si="12"/>
        <v>17</v>
      </c>
    </row>
    <row r="14" spans="1:94" ht="24" customHeight="1" x14ac:dyDescent="0.25">
      <c r="A14" s="33">
        <v>10</v>
      </c>
      <c r="B14" s="38" t="s">
        <v>29</v>
      </c>
      <c r="C14" s="35" t="s">
        <v>30</v>
      </c>
      <c r="D14" s="69">
        <v>43542</v>
      </c>
      <c r="E14" s="63">
        <v>0.3444444444444445</v>
      </c>
      <c r="F14" s="63">
        <v>0.96111111111111114</v>
      </c>
      <c r="G14" s="63">
        <v>0.34652777777777777</v>
      </c>
      <c r="H14" s="63">
        <v>0.95624999999999993</v>
      </c>
      <c r="I14" s="63">
        <v>0.34513888888888888</v>
      </c>
      <c r="J14" s="63">
        <v>0.95486111111111116</v>
      </c>
      <c r="K14" s="63">
        <v>0.3444444444444445</v>
      </c>
      <c r="L14" s="63">
        <v>0.6166666666666667</v>
      </c>
      <c r="M14" s="78" t="s">
        <v>53</v>
      </c>
      <c r="N14" s="78" t="s">
        <v>53</v>
      </c>
      <c r="O14" s="63">
        <v>0.34652777777777777</v>
      </c>
      <c r="P14" s="63">
        <v>0.97152777777777777</v>
      </c>
      <c r="Q14" s="63">
        <v>0.34236111111111112</v>
      </c>
      <c r="R14" s="63">
        <v>0.9555555555555556</v>
      </c>
      <c r="S14" s="63">
        <v>0.34513888888888888</v>
      </c>
      <c r="T14" s="63">
        <v>0.94930555555555562</v>
      </c>
      <c r="U14" s="63">
        <v>0.3430555555555555</v>
      </c>
      <c r="V14" s="63">
        <v>0.95347222222222217</v>
      </c>
      <c r="W14" s="63">
        <v>0.34583333333333338</v>
      </c>
      <c r="X14" s="63">
        <v>0.95694444444444438</v>
      </c>
      <c r="Y14" s="63">
        <v>0.34513888888888888</v>
      </c>
      <c r="Z14" s="63">
        <v>0.97777777777777775</v>
      </c>
      <c r="AA14" s="80">
        <v>0.57916666666666672</v>
      </c>
      <c r="AB14" s="80">
        <v>0.95416666666666661</v>
      </c>
      <c r="AC14" s="63">
        <v>0.34236111111111112</v>
      </c>
      <c r="AD14" s="63">
        <v>0.97013888888888899</v>
      </c>
      <c r="AE14" s="63">
        <v>0.34375</v>
      </c>
      <c r="AF14" s="63">
        <v>0.9770833333333333</v>
      </c>
      <c r="AG14" s="63">
        <v>0.34583333333333338</v>
      </c>
      <c r="AH14" s="63">
        <v>0.95624999999999993</v>
      </c>
      <c r="AI14" s="73"/>
      <c r="AJ14" s="33">
        <v>9</v>
      </c>
      <c r="AK14" s="63">
        <v>0.34513888888888888</v>
      </c>
      <c r="AL14" s="63">
        <v>0.95208333333333339</v>
      </c>
      <c r="AM14" s="63">
        <v>0.34375</v>
      </c>
      <c r="AN14" s="63">
        <v>0.95347222222222217</v>
      </c>
      <c r="AO14" s="63">
        <v>0.34166666666666662</v>
      </c>
      <c r="AP14" s="63">
        <v>0.97361111111111109</v>
      </c>
      <c r="AQ14" s="78" t="s">
        <v>53</v>
      </c>
      <c r="AR14" s="78" t="s">
        <v>53</v>
      </c>
      <c r="AS14" s="63">
        <v>0.34097222222222223</v>
      </c>
      <c r="AT14" s="63">
        <v>0.97430555555555554</v>
      </c>
      <c r="AU14" s="63">
        <v>0.3430555555555555</v>
      </c>
      <c r="AV14" s="63">
        <v>0.95277777777777783</v>
      </c>
      <c r="AW14" s="63">
        <v>0.34375</v>
      </c>
      <c r="AX14" s="63">
        <v>0.94930555555555562</v>
      </c>
      <c r="AY14" s="63">
        <v>0.34722222222222227</v>
      </c>
      <c r="AZ14" s="63">
        <v>0.95347222222222217</v>
      </c>
      <c r="BA14" s="63">
        <v>0.3444444444444445</v>
      </c>
      <c r="BB14" s="63">
        <v>0.95416666666666661</v>
      </c>
      <c r="BC14" s="63">
        <v>0.34097222222222223</v>
      </c>
      <c r="BD14" s="63">
        <v>0.97430555555555554</v>
      </c>
      <c r="BE14" s="80">
        <v>0.57708333333333328</v>
      </c>
      <c r="BF14" s="80">
        <v>0.95277777777777783</v>
      </c>
      <c r="BG14" s="63">
        <v>0.34583333333333338</v>
      </c>
      <c r="BH14" s="63">
        <v>0.96527777777777779</v>
      </c>
      <c r="BI14" s="63">
        <v>0.3430555555555555</v>
      </c>
      <c r="BJ14" s="63">
        <v>0.98125000000000007</v>
      </c>
      <c r="BK14" s="63">
        <v>0.34236111111111112</v>
      </c>
      <c r="BL14" s="63">
        <v>0.95694444444444438</v>
      </c>
      <c r="BM14" s="63">
        <v>0.34513888888888888</v>
      </c>
      <c r="BN14" s="63">
        <v>0.96111111111111114</v>
      </c>
      <c r="BO14" s="7">
        <f t="shared" si="14"/>
        <v>30</v>
      </c>
      <c r="BP14" s="58">
        <v>2</v>
      </c>
      <c r="BQ14" s="37">
        <f t="shared" si="0"/>
        <v>28</v>
      </c>
      <c r="BR14" s="38">
        <f t="shared" si="1"/>
        <v>2</v>
      </c>
      <c r="BS14" s="38">
        <f t="shared" si="2"/>
        <v>0</v>
      </c>
      <c r="BT14" s="38">
        <f t="shared" si="3"/>
        <v>0</v>
      </c>
      <c r="BU14" s="38">
        <f t="shared" si="4"/>
        <v>0</v>
      </c>
      <c r="BV14" s="38">
        <f t="shared" si="5"/>
        <v>0</v>
      </c>
      <c r="BW14" s="38">
        <f t="shared" si="6"/>
        <v>0</v>
      </c>
      <c r="BX14" s="38">
        <f t="shared" si="7"/>
        <v>0</v>
      </c>
      <c r="BY14" s="38">
        <f t="shared" si="8"/>
        <v>0</v>
      </c>
      <c r="BZ14" s="38">
        <f t="shared" si="9"/>
        <v>0</v>
      </c>
      <c r="CA14" s="38">
        <f t="shared" si="10"/>
        <v>0</v>
      </c>
      <c r="CB14" s="38">
        <f t="shared" si="11"/>
        <v>0</v>
      </c>
      <c r="CC14" s="39" t="s">
        <v>78</v>
      </c>
      <c r="CF14" s="36">
        <v>0</v>
      </c>
      <c r="CG14" s="33">
        <v>0</v>
      </c>
      <c r="CH14" s="33">
        <v>20</v>
      </c>
      <c r="CI14" s="33">
        <v>0</v>
      </c>
      <c r="CJ14" s="33">
        <v>0</v>
      </c>
      <c r="CK14" s="33">
        <v>2</v>
      </c>
      <c r="CL14" s="33">
        <v>0</v>
      </c>
      <c r="CM14" s="33">
        <v>0</v>
      </c>
      <c r="CN14" s="33">
        <v>0</v>
      </c>
      <c r="CO14" s="33">
        <v>0</v>
      </c>
      <c r="CP14" s="42">
        <f t="shared" si="12"/>
        <v>22</v>
      </c>
    </row>
    <row r="15" spans="1:94" ht="24" customHeight="1" x14ac:dyDescent="0.25">
      <c r="A15" s="33">
        <v>11</v>
      </c>
      <c r="B15" s="38" t="s">
        <v>31</v>
      </c>
      <c r="C15" s="35" t="s">
        <v>32</v>
      </c>
      <c r="D15" s="69">
        <v>41888</v>
      </c>
      <c r="E15" s="63">
        <v>0.6479166666666667</v>
      </c>
      <c r="F15" s="63">
        <v>0.95208333333333339</v>
      </c>
      <c r="G15" s="63">
        <v>0.64722222222222225</v>
      </c>
      <c r="H15" s="63">
        <v>0.95416666666666661</v>
      </c>
      <c r="I15" s="63">
        <v>0.65069444444444446</v>
      </c>
      <c r="J15" s="63">
        <v>0.9555555555555556</v>
      </c>
      <c r="K15" s="63">
        <v>0.64722222222222225</v>
      </c>
      <c r="L15" s="63">
        <v>0.97430555555555554</v>
      </c>
      <c r="M15" s="80">
        <v>0.58194444444444449</v>
      </c>
      <c r="N15" s="80">
        <v>0.95000000000000007</v>
      </c>
      <c r="O15" s="77" t="s">
        <v>94</v>
      </c>
      <c r="P15" s="77" t="s">
        <v>94</v>
      </c>
      <c r="Q15" s="63">
        <v>0.35416666666666669</v>
      </c>
      <c r="R15" s="63">
        <v>0.64722222222222225</v>
      </c>
      <c r="S15" s="63">
        <v>0.35625000000000001</v>
      </c>
      <c r="T15" s="63">
        <v>0.64652777777777781</v>
      </c>
      <c r="U15" s="63">
        <v>0.64652777777777781</v>
      </c>
      <c r="V15" s="63">
        <v>0.95000000000000007</v>
      </c>
      <c r="W15" s="63">
        <v>0.35625000000000001</v>
      </c>
      <c r="X15" s="63">
        <v>0.64861111111111114</v>
      </c>
      <c r="Y15" s="63">
        <v>0.64583333333333337</v>
      </c>
      <c r="Z15" s="63">
        <v>0.97361111111111109</v>
      </c>
      <c r="AA15" s="78" t="s">
        <v>53</v>
      </c>
      <c r="AB15" s="78" t="s">
        <v>53</v>
      </c>
      <c r="AC15" s="63">
        <v>0.64513888888888882</v>
      </c>
      <c r="AD15" s="63">
        <v>0.97083333333333333</v>
      </c>
      <c r="AE15" s="63">
        <v>0.65347222222222223</v>
      </c>
      <c r="AF15" s="63">
        <v>0.95000000000000007</v>
      </c>
      <c r="AG15" s="63">
        <v>0.64930555555555558</v>
      </c>
      <c r="AH15" s="63">
        <v>0.92986111111111114</v>
      </c>
      <c r="AI15" s="73"/>
      <c r="AJ15" s="33">
        <v>10</v>
      </c>
      <c r="AK15" s="77" t="s">
        <v>94</v>
      </c>
      <c r="AL15" s="77" t="s">
        <v>94</v>
      </c>
      <c r="AM15" s="63">
        <v>0.64722222222222225</v>
      </c>
      <c r="AN15" s="63">
        <v>0.95416666666666661</v>
      </c>
      <c r="AO15" s="63">
        <v>0.65</v>
      </c>
      <c r="AP15" s="63">
        <v>0.97222222222222221</v>
      </c>
      <c r="AQ15" s="80">
        <v>0.80625000000000002</v>
      </c>
      <c r="AR15" s="80">
        <v>0.95416666666666661</v>
      </c>
      <c r="AS15" s="63">
        <v>0.35347222222222219</v>
      </c>
      <c r="AT15" s="63">
        <v>0.64722222222222225</v>
      </c>
      <c r="AU15" s="63">
        <v>0.35625000000000001</v>
      </c>
      <c r="AV15" s="63">
        <v>0.64722222222222225</v>
      </c>
      <c r="AW15" s="63">
        <v>0.35902777777777778</v>
      </c>
      <c r="AX15" s="63">
        <v>0.64652777777777781</v>
      </c>
      <c r="AY15" s="63">
        <v>0.35625000000000001</v>
      </c>
      <c r="AZ15" s="63">
        <v>0.55277777777777781</v>
      </c>
      <c r="BA15" s="63">
        <v>0.35902777777777778</v>
      </c>
      <c r="BB15" s="63">
        <v>0.65555555555555556</v>
      </c>
      <c r="BC15" s="63">
        <v>0.35902777777777778</v>
      </c>
      <c r="BD15" s="63">
        <v>0.65833333333333333</v>
      </c>
      <c r="BE15" s="78" t="s">
        <v>53</v>
      </c>
      <c r="BF15" s="78" t="s">
        <v>53</v>
      </c>
      <c r="BG15" s="63">
        <v>0.64930555555555558</v>
      </c>
      <c r="BH15" s="63">
        <v>0.96388888888888891</v>
      </c>
      <c r="BI15" s="77" t="s">
        <v>94</v>
      </c>
      <c r="BJ15" s="77" t="s">
        <v>94</v>
      </c>
      <c r="BK15" s="63">
        <v>0.6479166666666667</v>
      </c>
      <c r="BL15" s="63">
        <v>0.95138888888888884</v>
      </c>
      <c r="BM15" s="63">
        <v>0.66111111111111109</v>
      </c>
      <c r="BN15" s="63">
        <v>0.93055555555555547</v>
      </c>
      <c r="BO15" s="7">
        <f t="shared" si="14"/>
        <v>30</v>
      </c>
      <c r="BP15" s="58">
        <v>2</v>
      </c>
      <c r="BQ15" s="37">
        <f t="shared" si="0"/>
        <v>25</v>
      </c>
      <c r="BR15" s="38">
        <f t="shared" si="1"/>
        <v>2</v>
      </c>
      <c r="BS15" s="38">
        <f t="shared" si="2"/>
        <v>0</v>
      </c>
      <c r="BT15" s="38">
        <f t="shared" si="3"/>
        <v>0</v>
      </c>
      <c r="BU15" s="38">
        <f t="shared" si="4"/>
        <v>0</v>
      </c>
      <c r="BV15" s="38">
        <f t="shared" si="5"/>
        <v>0</v>
      </c>
      <c r="BW15" s="38">
        <f t="shared" si="6"/>
        <v>0</v>
      </c>
      <c r="BX15" s="38">
        <f t="shared" si="7"/>
        <v>3</v>
      </c>
      <c r="BY15" s="38">
        <f t="shared" si="8"/>
        <v>0</v>
      </c>
      <c r="BZ15" s="38">
        <f t="shared" si="9"/>
        <v>0</v>
      </c>
      <c r="CA15" s="38">
        <f t="shared" si="10"/>
        <v>0</v>
      </c>
      <c r="CB15" s="38">
        <f t="shared" si="11"/>
        <v>0</v>
      </c>
      <c r="CC15" s="39"/>
      <c r="CF15" s="36">
        <v>4</v>
      </c>
      <c r="CG15" s="33">
        <v>1</v>
      </c>
      <c r="CH15" s="59">
        <v>30</v>
      </c>
      <c r="CI15" s="33">
        <v>0</v>
      </c>
      <c r="CJ15" s="33">
        <v>0</v>
      </c>
      <c r="CK15" s="33">
        <v>15</v>
      </c>
      <c r="CL15" s="33">
        <v>0</v>
      </c>
      <c r="CM15" s="33">
        <v>2</v>
      </c>
      <c r="CN15" s="33">
        <v>30</v>
      </c>
      <c r="CO15" s="33">
        <v>0</v>
      </c>
      <c r="CP15" s="42">
        <f t="shared" si="12"/>
        <v>82</v>
      </c>
    </row>
    <row r="16" spans="1:94" ht="24" customHeight="1" x14ac:dyDescent="0.25">
      <c r="A16" s="33">
        <v>12</v>
      </c>
      <c r="B16" s="38" t="s">
        <v>33</v>
      </c>
      <c r="C16" s="35" t="s">
        <v>34</v>
      </c>
      <c r="D16" s="69">
        <v>44513</v>
      </c>
      <c r="E16" s="63">
        <v>0.34722222222222227</v>
      </c>
      <c r="F16" s="63">
        <v>0.94930555555555562</v>
      </c>
      <c r="G16" s="63">
        <v>0.34722222222222227</v>
      </c>
      <c r="H16" s="63">
        <v>0.95138888888888884</v>
      </c>
      <c r="I16" s="63">
        <v>0.35069444444444442</v>
      </c>
      <c r="J16" s="63">
        <v>0.95763888888888893</v>
      </c>
      <c r="K16" s="63">
        <v>0.34027777777777773</v>
      </c>
      <c r="L16" s="63">
        <v>0.98541666666666661</v>
      </c>
      <c r="M16" s="80">
        <v>0.58263888888888882</v>
      </c>
      <c r="N16" s="80">
        <v>0.96180555555555547</v>
      </c>
      <c r="O16" s="63">
        <v>0.34722222222222227</v>
      </c>
      <c r="P16" s="63">
        <v>0.96736111111111101</v>
      </c>
      <c r="Q16" s="63">
        <v>0.3444444444444445</v>
      </c>
      <c r="R16" s="63">
        <v>0.96458333333333324</v>
      </c>
      <c r="S16" s="63">
        <v>0.3444444444444445</v>
      </c>
      <c r="T16" s="63">
        <v>0.94652777777777775</v>
      </c>
      <c r="U16" s="63">
        <v>0.3430555555555555</v>
      </c>
      <c r="V16" s="63">
        <v>0.95138888888888884</v>
      </c>
      <c r="W16" s="63">
        <v>0.34583333333333338</v>
      </c>
      <c r="X16" s="63">
        <v>0.93888888888888899</v>
      </c>
      <c r="Y16" s="63">
        <v>0.3430555555555555</v>
      </c>
      <c r="Z16" s="63">
        <v>0.98472222222222217</v>
      </c>
      <c r="AA16" s="78" t="s">
        <v>53</v>
      </c>
      <c r="AB16" s="78" t="s">
        <v>53</v>
      </c>
      <c r="AC16" s="63">
        <v>0.34513888888888888</v>
      </c>
      <c r="AD16" s="63">
        <v>0.96250000000000002</v>
      </c>
      <c r="AE16" s="63">
        <v>0.34791666666666665</v>
      </c>
      <c r="AF16" s="63">
        <v>0.61527777777777781</v>
      </c>
      <c r="AG16" s="63">
        <v>0.33958333333333335</v>
      </c>
      <c r="AH16" s="63">
        <v>0.94861111111111107</v>
      </c>
      <c r="AI16" s="73"/>
      <c r="AJ16" s="33">
        <v>11</v>
      </c>
      <c r="AK16" s="63">
        <v>0.34375</v>
      </c>
      <c r="AL16" s="63">
        <v>0.93819444444444444</v>
      </c>
      <c r="AM16" s="63">
        <v>0.34583333333333338</v>
      </c>
      <c r="AN16" s="63">
        <v>0.94791666666666663</v>
      </c>
      <c r="AO16" s="63">
        <v>0.34513888888888888</v>
      </c>
      <c r="AP16" s="63">
        <v>0.97916666666666663</v>
      </c>
      <c r="AQ16" s="80">
        <v>0.58263888888888882</v>
      </c>
      <c r="AR16" s="80">
        <v>0.94930555555555562</v>
      </c>
      <c r="AS16" s="63">
        <v>0.3444444444444445</v>
      </c>
      <c r="AT16" s="63">
        <v>0.95624999999999993</v>
      </c>
      <c r="AU16" s="63">
        <v>0.34375</v>
      </c>
      <c r="AV16" s="63">
        <v>0.93472222222222223</v>
      </c>
      <c r="AW16" s="63">
        <v>0.3444444444444445</v>
      </c>
      <c r="AX16" s="63">
        <v>0.9277777777777777</v>
      </c>
      <c r="AY16" s="63">
        <v>0.34513888888888888</v>
      </c>
      <c r="AZ16" s="63">
        <v>0.93958333333333333</v>
      </c>
      <c r="BA16" s="63">
        <v>0.34583333333333338</v>
      </c>
      <c r="BB16" s="63">
        <v>0.94791666666666663</v>
      </c>
      <c r="BC16" s="63">
        <v>0.34652777777777777</v>
      </c>
      <c r="BD16" s="63">
        <v>0.96666666666666667</v>
      </c>
      <c r="BE16" s="78" t="s">
        <v>53</v>
      </c>
      <c r="BF16" s="78" t="s">
        <v>53</v>
      </c>
      <c r="BG16" s="63">
        <v>0.3444444444444445</v>
      </c>
      <c r="BH16" s="63">
        <v>0.95624999999999993</v>
      </c>
      <c r="BI16" s="63">
        <v>0.34513888888888888</v>
      </c>
      <c r="BJ16" s="63">
        <v>0.94930555555555562</v>
      </c>
      <c r="BK16" s="63">
        <v>0.34513888888888888</v>
      </c>
      <c r="BL16" s="63">
        <v>0.93194444444444446</v>
      </c>
      <c r="BM16" s="63">
        <v>0.32847222222222222</v>
      </c>
      <c r="BN16" s="63">
        <v>0.9604166666666667</v>
      </c>
      <c r="BO16" s="7">
        <f t="shared" si="14"/>
        <v>30</v>
      </c>
      <c r="BP16" s="58">
        <v>2</v>
      </c>
      <c r="BQ16" s="37">
        <f t="shared" si="0"/>
        <v>28</v>
      </c>
      <c r="BR16" s="38">
        <f t="shared" si="1"/>
        <v>2</v>
      </c>
      <c r="BS16" s="38">
        <f t="shared" si="2"/>
        <v>0</v>
      </c>
      <c r="BT16" s="38">
        <f t="shared" si="3"/>
        <v>0</v>
      </c>
      <c r="BU16" s="38">
        <f t="shared" si="4"/>
        <v>0</v>
      </c>
      <c r="BV16" s="38">
        <f t="shared" si="5"/>
        <v>0</v>
      </c>
      <c r="BW16" s="38">
        <f t="shared" si="6"/>
        <v>0</v>
      </c>
      <c r="BX16" s="38">
        <f t="shared" si="7"/>
        <v>0</v>
      </c>
      <c r="BY16" s="38">
        <f t="shared" si="8"/>
        <v>0</v>
      </c>
      <c r="BZ16" s="38">
        <f t="shared" si="9"/>
        <v>0</v>
      </c>
      <c r="CA16" s="38">
        <f t="shared" si="10"/>
        <v>0</v>
      </c>
      <c r="CB16" s="38">
        <f t="shared" si="11"/>
        <v>0</v>
      </c>
      <c r="CC16" s="39" t="s">
        <v>78</v>
      </c>
      <c r="CF16" s="36">
        <v>3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0</v>
      </c>
      <c r="CP16" s="42">
        <f t="shared" si="12"/>
        <v>3</v>
      </c>
    </row>
    <row r="17" spans="1:96" ht="24" customHeight="1" x14ac:dyDescent="0.25">
      <c r="A17" s="33">
        <v>13</v>
      </c>
      <c r="B17" s="38" t="s">
        <v>35</v>
      </c>
      <c r="C17" s="35" t="s">
        <v>36</v>
      </c>
      <c r="D17" s="69"/>
      <c r="E17" s="63">
        <v>0.64027777777777783</v>
      </c>
      <c r="F17" s="63">
        <v>0.94513888888888886</v>
      </c>
      <c r="G17" s="63">
        <v>0.35694444444444445</v>
      </c>
      <c r="H17" s="63">
        <v>0.64930555555555558</v>
      </c>
      <c r="I17" s="63">
        <v>0.63055555555555554</v>
      </c>
      <c r="J17" s="63">
        <v>0.94791666666666663</v>
      </c>
      <c r="K17" s="63">
        <v>0.63124999999999998</v>
      </c>
      <c r="L17" s="63">
        <v>0.96250000000000002</v>
      </c>
      <c r="M17" s="80">
        <v>0.57986111111111105</v>
      </c>
      <c r="N17" s="80">
        <v>0.9555555555555556</v>
      </c>
      <c r="O17" s="63">
        <v>0.35347222222222219</v>
      </c>
      <c r="P17" s="63">
        <v>0.65694444444444444</v>
      </c>
      <c r="Q17" s="63">
        <v>0.62569444444444444</v>
      </c>
      <c r="R17" s="63">
        <v>0.94791666666666663</v>
      </c>
      <c r="S17" s="63">
        <v>0.62986111111111109</v>
      </c>
      <c r="T17" s="63">
        <v>0.95416666666666661</v>
      </c>
      <c r="U17" s="63">
        <v>0.63263888888888886</v>
      </c>
      <c r="V17" s="63">
        <v>0.9458333333333333</v>
      </c>
      <c r="W17" s="63">
        <v>0.6333333333333333</v>
      </c>
      <c r="X17" s="63">
        <v>0.94861111111111107</v>
      </c>
      <c r="Y17" s="63">
        <v>0.62708333333333333</v>
      </c>
      <c r="Z17" s="63">
        <v>0.96388888888888891</v>
      </c>
      <c r="AA17" s="78" t="s">
        <v>53</v>
      </c>
      <c r="AB17" s="78" t="s">
        <v>53</v>
      </c>
      <c r="AC17" s="63">
        <v>0.34930555555555554</v>
      </c>
      <c r="AD17" s="63">
        <v>0.66111111111111109</v>
      </c>
      <c r="AE17" s="63">
        <v>0.63124999999999998</v>
      </c>
      <c r="AF17" s="63">
        <v>0.94861111111111107</v>
      </c>
      <c r="AG17" s="63">
        <v>0.63124999999999998</v>
      </c>
      <c r="AH17" s="63">
        <v>0.91666666666666663</v>
      </c>
      <c r="AI17" s="73"/>
      <c r="AJ17" s="33">
        <v>12</v>
      </c>
      <c r="AK17" s="63">
        <v>0.61249999999999993</v>
      </c>
      <c r="AL17" s="63">
        <v>0.94444444444444453</v>
      </c>
      <c r="AM17" s="63">
        <v>0.63194444444444442</v>
      </c>
      <c r="AN17" s="85">
        <v>1</v>
      </c>
      <c r="AO17" s="63">
        <v>0.63194444444444442</v>
      </c>
      <c r="AP17" s="63">
        <v>0.96388888888888891</v>
      </c>
      <c r="AQ17" s="80">
        <v>0.57708333333333328</v>
      </c>
      <c r="AR17" s="80">
        <v>0.94930555555555562</v>
      </c>
      <c r="AS17" s="63">
        <v>0.64166666666666672</v>
      </c>
      <c r="AT17" s="63">
        <v>0.96458333333333324</v>
      </c>
      <c r="AU17" s="63">
        <v>0.63055555555555554</v>
      </c>
      <c r="AV17" s="63">
        <v>0.9458333333333333</v>
      </c>
      <c r="AW17" s="63">
        <v>0.64236111111111105</v>
      </c>
      <c r="AX17" s="63">
        <v>0.94444444444444453</v>
      </c>
      <c r="AY17" s="63">
        <v>0.63402777777777775</v>
      </c>
      <c r="AZ17" s="63">
        <v>0.94374999999999998</v>
      </c>
      <c r="BA17" s="63">
        <v>0.63263888888888886</v>
      </c>
      <c r="BB17" s="63">
        <v>0.94791666666666663</v>
      </c>
      <c r="BC17" s="77" t="s">
        <v>94</v>
      </c>
      <c r="BD17" s="77" t="s">
        <v>94</v>
      </c>
      <c r="BE17" s="78" t="s">
        <v>53</v>
      </c>
      <c r="BF17" s="78" t="s">
        <v>53</v>
      </c>
      <c r="BG17" s="63">
        <v>0.3520833333333333</v>
      </c>
      <c r="BH17" s="63">
        <v>0.6479166666666667</v>
      </c>
      <c r="BI17" s="63">
        <v>0.64097222222222217</v>
      </c>
      <c r="BJ17" s="85">
        <v>1</v>
      </c>
      <c r="BK17" s="63">
        <v>0.63124999999999998</v>
      </c>
      <c r="BL17" s="63">
        <v>0.92499999999999993</v>
      </c>
      <c r="BM17" s="63">
        <v>0.63124999999999998</v>
      </c>
      <c r="BN17" s="63">
        <v>0.94930555555555562</v>
      </c>
      <c r="BO17" s="7">
        <f t="shared" si="14"/>
        <v>30</v>
      </c>
      <c r="BP17" s="58">
        <v>2</v>
      </c>
      <c r="BQ17" s="37">
        <f t="shared" si="0"/>
        <v>27</v>
      </c>
      <c r="BR17" s="38">
        <f t="shared" si="1"/>
        <v>2</v>
      </c>
      <c r="BS17" s="38">
        <f t="shared" si="2"/>
        <v>0</v>
      </c>
      <c r="BT17" s="38">
        <f t="shared" si="3"/>
        <v>0</v>
      </c>
      <c r="BU17" s="38">
        <f t="shared" si="4"/>
        <v>0</v>
      </c>
      <c r="BV17" s="38">
        <f t="shared" si="5"/>
        <v>0</v>
      </c>
      <c r="BW17" s="38">
        <f t="shared" si="6"/>
        <v>0</v>
      </c>
      <c r="BX17" s="38">
        <f t="shared" si="7"/>
        <v>1</v>
      </c>
      <c r="BY17" s="38">
        <f t="shared" si="8"/>
        <v>0</v>
      </c>
      <c r="BZ17" s="38">
        <f t="shared" si="9"/>
        <v>0</v>
      </c>
      <c r="CA17" s="38">
        <f t="shared" si="10"/>
        <v>0</v>
      </c>
      <c r="CB17" s="38">
        <f t="shared" si="11"/>
        <v>0</v>
      </c>
      <c r="CC17" s="39"/>
      <c r="CF17" s="36">
        <v>0</v>
      </c>
      <c r="CG17" s="33">
        <v>0</v>
      </c>
      <c r="CH17" s="33">
        <v>0</v>
      </c>
      <c r="CI17" s="33">
        <v>0</v>
      </c>
      <c r="CJ17" s="33">
        <v>1</v>
      </c>
      <c r="CK17" s="33">
        <v>4</v>
      </c>
      <c r="CL17" s="33">
        <v>0</v>
      </c>
      <c r="CM17" s="33">
        <v>3</v>
      </c>
      <c r="CN17" s="33">
        <v>0</v>
      </c>
      <c r="CO17" s="33">
        <v>0</v>
      </c>
      <c r="CP17" s="42">
        <f t="shared" si="12"/>
        <v>8</v>
      </c>
    </row>
    <row r="18" spans="1:96" ht="24" customHeight="1" x14ac:dyDescent="0.25">
      <c r="A18" s="33">
        <v>14</v>
      </c>
      <c r="B18" s="38" t="s">
        <v>37</v>
      </c>
      <c r="C18" s="35" t="s">
        <v>38</v>
      </c>
      <c r="D18" s="69">
        <v>44791</v>
      </c>
      <c r="E18" s="74" t="s">
        <v>57</v>
      </c>
      <c r="F18" s="74" t="s">
        <v>57</v>
      </c>
      <c r="G18" s="74" t="s">
        <v>57</v>
      </c>
      <c r="H18" s="74" t="s">
        <v>57</v>
      </c>
      <c r="I18" s="74" t="s">
        <v>57</v>
      </c>
      <c r="J18" s="74" t="s">
        <v>57</v>
      </c>
      <c r="K18" s="74" t="s">
        <v>57</v>
      </c>
      <c r="L18" s="74" t="s">
        <v>57</v>
      </c>
      <c r="M18" s="74" t="s">
        <v>57</v>
      </c>
      <c r="N18" s="74" t="s">
        <v>57</v>
      </c>
      <c r="O18" s="74" t="s">
        <v>57</v>
      </c>
      <c r="P18" s="74" t="s">
        <v>57</v>
      </c>
      <c r="Q18" s="74" t="s">
        <v>57</v>
      </c>
      <c r="R18" s="74" t="s">
        <v>57</v>
      </c>
      <c r="S18" s="74" t="s">
        <v>57</v>
      </c>
      <c r="T18" s="74" t="s">
        <v>57</v>
      </c>
      <c r="U18" s="74" t="s">
        <v>57</v>
      </c>
      <c r="V18" s="74" t="s">
        <v>57</v>
      </c>
      <c r="W18" s="74" t="s">
        <v>57</v>
      </c>
      <c r="X18" s="74" t="s">
        <v>57</v>
      </c>
      <c r="Y18" s="74" t="s">
        <v>57</v>
      </c>
      <c r="Z18" s="74" t="s">
        <v>57</v>
      </c>
      <c r="AA18" s="75" t="s">
        <v>57</v>
      </c>
      <c r="AB18" s="75" t="s">
        <v>57</v>
      </c>
      <c r="AC18" s="63">
        <v>0.57222222222222219</v>
      </c>
      <c r="AD18" s="86">
        <v>1</v>
      </c>
      <c r="AE18" s="63">
        <v>0.34375</v>
      </c>
      <c r="AF18" s="86">
        <v>1</v>
      </c>
      <c r="AG18" s="86">
        <v>1</v>
      </c>
      <c r="AH18" s="86">
        <v>1</v>
      </c>
      <c r="AI18" s="73"/>
      <c r="AJ18" s="33">
        <v>13</v>
      </c>
      <c r="AK18" s="63">
        <v>0.34722222222222227</v>
      </c>
      <c r="AL18" s="86">
        <v>1</v>
      </c>
      <c r="AM18" s="63">
        <v>0.34722222222222227</v>
      </c>
      <c r="AN18" s="63">
        <v>0.91736111111111107</v>
      </c>
      <c r="AO18" s="63">
        <v>0.35069444444444442</v>
      </c>
      <c r="AP18" s="63">
        <v>0.8666666666666667</v>
      </c>
      <c r="AQ18" s="78" t="s">
        <v>53</v>
      </c>
      <c r="AR18" s="78" t="s">
        <v>53</v>
      </c>
      <c r="AS18" s="63">
        <v>0.34791666666666665</v>
      </c>
      <c r="AT18" s="85">
        <v>1</v>
      </c>
      <c r="AU18" s="63">
        <v>0.34930555555555554</v>
      </c>
      <c r="AV18" s="63">
        <v>0.87152777777777779</v>
      </c>
      <c r="AW18" s="63">
        <v>0.3520833333333333</v>
      </c>
      <c r="AX18" s="63">
        <v>0.86875000000000002</v>
      </c>
      <c r="AY18" s="63">
        <v>0.35138888888888892</v>
      </c>
      <c r="AZ18" s="86">
        <v>1</v>
      </c>
      <c r="BA18" s="63">
        <v>0.34861111111111115</v>
      </c>
      <c r="BB18" s="86">
        <v>1</v>
      </c>
      <c r="BC18" s="63">
        <v>0.33888888888888885</v>
      </c>
      <c r="BD18" s="86">
        <v>1</v>
      </c>
      <c r="BE18" s="78" t="s">
        <v>53</v>
      </c>
      <c r="BF18" s="78" t="s">
        <v>53</v>
      </c>
      <c r="BG18" s="63">
        <v>0.34375</v>
      </c>
      <c r="BH18" s="85">
        <v>1</v>
      </c>
      <c r="BI18" s="63">
        <v>0.35069444444444442</v>
      </c>
      <c r="BJ18" s="85">
        <v>1</v>
      </c>
      <c r="BK18" s="63">
        <v>0.35486111111111113</v>
      </c>
      <c r="BL18" s="85">
        <v>1</v>
      </c>
      <c r="BM18" s="63">
        <v>0.33958333333333335</v>
      </c>
      <c r="BN18" s="85">
        <v>1</v>
      </c>
      <c r="BO18" s="7">
        <f t="shared" si="14"/>
        <v>30</v>
      </c>
      <c r="BP18" s="58">
        <v>2</v>
      </c>
      <c r="BQ18" s="37">
        <f t="shared" si="0"/>
        <v>16</v>
      </c>
      <c r="BR18" s="38">
        <f t="shared" si="1"/>
        <v>2</v>
      </c>
      <c r="BS18" s="38">
        <f t="shared" si="2"/>
        <v>0</v>
      </c>
      <c r="BT18" s="38">
        <f t="shared" si="3"/>
        <v>0</v>
      </c>
      <c r="BU18" s="38">
        <f t="shared" si="4"/>
        <v>0</v>
      </c>
      <c r="BV18" s="38">
        <f t="shared" si="5"/>
        <v>12</v>
      </c>
      <c r="BW18" s="38">
        <f t="shared" si="6"/>
        <v>0</v>
      </c>
      <c r="BX18" s="38">
        <f t="shared" si="7"/>
        <v>0</v>
      </c>
      <c r="BY18" s="38">
        <f t="shared" si="8"/>
        <v>0</v>
      </c>
      <c r="BZ18" s="38">
        <f t="shared" si="9"/>
        <v>0</v>
      </c>
      <c r="CA18" s="38">
        <f t="shared" si="10"/>
        <v>0</v>
      </c>
      <c r="CB18" s="38">
        <f t="shared" si="11"/>
        <v>0</v>
      </c>
      <c r="CC18" s="5" t="s">
        <v>104</v>
      </c>
      <c r="CF18" s="36">
        <v>0</v>
      </c>
      <c r="CG18" s="33">
        <v>0</v>
      </c>
      <c r="CH18" s="33">
        <v>0</v>
      </c>
      <c r="CI18" s="33">
        <v>24</v>
      </c>
      <c r="CJ18" s="33">
        <v>0</v>
      </c>
      <c r="CK18" s="33">
        <v>0</v>
      </c>
      <c r="CL18" s="33">
        <v>0</v>
      </c>
      <c r="CM18" s="33">
        <v>0</v>
      </c>
      <c r="CN18" s="33">
        <v>0</v>
      </c>
      <c r="CO18" s="33">
        <v>0</v>
      </c>
      <c r="CP18" s="42">
        <f t="shared" si="12"/>
        <v>24</v>
      </c>
    </row>
    <row r="19" spans="1:96" ht="24" customHeight="1" x14ac:dyDescent="0.25">
      <c r="A19" s="33">
        <v>15</v>
      </c>
      <c r="B19" s="38" t="s">
        <v>39</v>
      </c>
      <c r="C19" s="35" t="s">
        <v>40</v>
      </c>
      <c r="D19" s="72">
        <v>45292</v>
      </c>
      <c r="E19" s="78">
        <v>1</v>
      </c>
      <c r="F19" s="78">
        <v>1</v>
      </c>
      <c r="G19" s="78">
        <v>1</v>
      </c>
      <c r="H19" s="78">
        <v>1</v>
      </c>
      <c r="I19" s="78">
        <v>1</v>
      </c>
      <c r="J19" s="78">
        <v>1</v>
      </c>
      <c r="K19" s="78">
        <v>1</v>
      </c>
      <c r="L19" s="78">
        <v>1</v>
      </c>
      <c r="M19" s="78" t="s">
        <v>53</v>
      </c>
      <c r="N19" s="78" t="s">
        <v>53</v>
      </c>
      <c r="O19" s="75">
        <v>1</v>
      </c>
      <c r="P19" s="75">
        <v>1</v>
      </c>
      <c r="Q19" s="75">
        <v>1</v>
      </c>
      <c r="R19" s="75">
        <v>1</v>
      </c>
      <c r="S19" s="75">
        <v>1</v>
      </c>
      <c r="T19" s="75">
        <v>1</v>
      </c>
      <c r="U19" s="75">
        <v>1</v>
      </c>
      <c r="V19" s="75">
        <v>1</v>
      </c>
      <c r="W19" s="75">
        <v>1</v>
      </c>
      <c r="X19" s="75">
        <v>1</v>
      </c>
      <c r="Y19" s="75">
        <v>1</v>
      </c>
      <c r="Z19" s="75">
        <v>1</v>
      </c>
      <c r="AA19" s="78" t="s">
        <v>53</v>
      </c>
      <c r="AB19" s="78" t="s">
        <v>53</v>
      </c>
      <c r="AC19" s="75">
        <v>1</v>
      </c>
      <c r="AD19" s="75">
        <v>1</v>
      </c>
      <c r="AE19" s="75">
        <v>1</v>
      </c>
      <c r="AF19" s="75">
        <v>1</v>
      </c>
      <c r="AG19" s="75">
        <v>1</v>
      </c>
      <c r="AH19" s="75">
        <v>1</v>
      </c>
      <c r="AI19" s="73"/>
      <c r="AJ19" s="33">
        <v>14</v>
      </c>
      <c r="AK19" s="75">
        <v>1</v>
      </c>
      <c r="AL19" s="75">
        <v>1</v>
      </c>
      <c r="AM19" s="75">
        <v>1</v>
      </c>
      <c r="AN19" s="75">
        <v>1</v>
      </c>
      <c r="AO19" s="75">
        <v>1</v>
      </c>
      <c r="AP19" s="75">
        <v>1</v>
      </c>
      <c r="AQ19" s="78" t="s">
        <v>53</v>
      </c>
      <c r="AR19" s="78" t="s">
        <v>53</v>
      </c>
      <c r="AS19" s="75">
        <v>1</v>
      </c>
      <c r="AT19" s="75">
        <v>1</v>
      </c>
      <c r="AU19" s="75">
        <v>1</v>
      </c>
      <c r="AV19" s="75">
        <v>1</v>
      </c>
      <c r="AW19" s="75">
        <v>1</v>
      </c>
      <c r="AX19" s="75">
        <v>1</v>
      </c>
      <c r="AY19" s="75">
        <v>1</v>
      </c>
      <c r="AZ19" s="75">
        <v>1</v>
      </c>
      <c r="BA19" s="75">
        <v>1</v>
      </c>
      <c r="BB19" s="75">
        <v>1</v>
      </c>
      <c r="BC19" s="75">
        <v>1</v>
      </c>
      <c r="BD19" s="75">
        <v>1</v>
      </c>
      <c r="BE19" s="78" t="s">
        <v>53</v>
      </c>
      <c r="BF19" s="78" t="s">
        <v>53</v>
      </c>
      <c r="BG19" s="75">
        <v>1</v>
      </c>
      <c r="BH19" s="75">
        <v>1</v>
      </c>
      <c r="BI19" s="75">
        <v>1</v>
      </c>
      <c r="BJ19" s="75">
        <v>1</v>
      </c>
      <c r="BK19" s="75">
        <v>1</v>
      </c>
      <c r="BL19" s="75">
        <v>1</v>
      </c>
      <c r="BM19" s="75">
        <v>1</v>
      </c>
      <c r="BN19" s="75">
        <v>1</v>
      </c>
      <c r="BO19" s="7">
        <f t="shared" si="14"/>
        <v>30</v>
      </c>
      <c r="BP19" s="58">
        <v>0</v>
      </c>
      <c r="BQ19" s="37">
        <f t="shared" si="0"/>
        <v>26</v>
      </c>
      <c r="BR19" s="38">
        <f t="shared" si="1"/>
        <v>4</v>
      </c>
      <c r="BS19" s="38">
        <f t="shared" si="2"/>
        <v>0</v>
      </c>
      <c r="BT19" s="38">
        <f t="shared" si="3"/>
        <v>0</v>
      </c>
      <c r="BU19" s="38">
        <f t="shared" si="4"/>
        <v>0</v>
      </c>
      <c r="BV19" s="38">
        <f t="shared" si="5"/>
        <v>0</v>
      </c>
      <c r="BW19" s="38">
        <f t="shared" si="6"/>
        <v>0</v>
      </c>
      <c r="BX19" s="38">
        <f t="shared" si="7"/>
        <v>0</v>
      </c>
      <c r="BY19" s="38">
        <f t="shared" si="8"/>
        <v>0</v>
      </c>
      <c r="BZ19" s="38">
        <f t="shared" si="9"/>
        <v>0</v>
      </c>
      <c r="CA19" s="38">
        <f t="shared" si="10"/>
        <v>0</v>
      </c>
      <c r="CB19" s="38">
        <f t="shared" si="11"/>
        <v>0</v>
      </c>
      <c r="CC19" s="39"/>
      <c r="CF19" s="36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42">
        <f t="shared" si="12"/>
        <v>0</v>
      </c>
    </row>
    <row r="20" spans="1:96" ht="24" customHeight="1" x14ac:dyDescent="0.25">
      <c r="A20" s="33">
        <v>16</v>
      </c>
      <c r="B20" s="38" t="s">
        <v>41</v>
      </c>
      <c r="C20" s="35" t="s">
        <v>42</v>
      </c>
      <c r="D20" s="69">
        <v>45491</v>
      </c>
      <c r="E20" s="63">
        <v>0.35486111111111113</v>
      </c>
      <c r="F20" s="86">
        <v>1</v>
      </c>
      <c r="G20" s="63">
        <v>0.64930555555555558</v>
      </c>
      <c r="H20" s="86">
        <v>1</v>
      </c>
      <c r="I20" s="63">
        <v>0.35416666666666669</v>
      </c>
      <c r="J20" s="86">
        <v>1</v>
      </c>
      <c r="K20" s="63">
        <v>0.35486111111111113</v>
      </c>
      <c r="L20" s="85">
        <v>1</v>
      </c>
      <c r="M20" s="78" t="s">
        <v>53</v>
      </c>
      <c r="N20" s="78" t="s">
        <v>53</v>
      </c>
      <c r="O20" s="63">
        <v>0.64513888888888882</v>
      </c>
      <c r="P20" s="85">
        <v>1</v>
      </c>
      <c r="Q20" s="63">
        <v>0.35416666666666669</v>
      </c>
      <c r="R20" s="85">
        <v>1</v>
      </c>
      <c r="S20" s="63">
        <v>0.35416666666666669</v>
      </c>
      <c r="T20" s="85">
        <v>1</v>
      </c>
      <c r="U20" s="63">
        <v>0.3527777777777778</v>
      </c>
      <c r="V20" s="85">
        <v>1</v>
      </c>
      <c r="W20" s="63">
        <v>0.35416666666666669</v>
      </c>
      <c r="X20" s="85">
        <v>1</v>
      </c>
      <c r="Y20" s="63">
        <v>0.35416666666666669</v>
      </c>
      <c r="Z20" s="85">
        <v>1</v>
      </c>
      <c r="AA20" s="80">
        <v>0.58124999999999993</v>
      </c>
      <c r="AB20" s="87">
        <v>1</v>
      </c>
      <c r="AC20" s="63">
        <v>0.66805555555555562</v>
      </c>
      <c r="AD20" s="85">
        <v>1</v>
      </c>
      <c r="AE20" s="63">
        <v>0.35347222222222219</v>
      </c>
      <c r="AF20" s="85">
        <v>1</v>
      </c>
      <c r="AG20" s="76" t="s">
        <v>58</v>
      </c>
      <c r="AH20" s="76" t="s">
        <v>58</v>
      </c>
      <c r="AI20" s="73"/>
      <c r="AJ20" s="33">
        <v>15</v>
      </c>
      <c r="AK20" s="76" t="s">
        <v>58</v>
      </c>
      <c r="AL20" s="76" t="s">
        <v>58</v>
      </c>
      <c r="AM20" s="74" t="s">
        <v>61</v>
      </c>
      <c r="AN20" s="74" t="s">
        <v>61</v>
      </c>
      <c r="AO20" s="74" t="s">
        <v>61</v>
      </c>
      <c r="AP20" s="74" t="s">
        <v>61</v>
      </c>
      <c r="AQ20" s="78" t="s">
        <v>53</v>
      </c>
      <c r="AR20" s="78" t="s">
        <v>53</v>
      </c>
      <c r="AS20" s="63">
        <v>0.35416666666666669</v>
      </c>
      <c r="AT20" s="85">
        <v>1</v>
      </c>
      <c r="AU20" s="63">
        <v>0.3527777777777778</v>
      </c>
      <c r="AV20" s="63">
        <v>0.67708333333333337</v>
      </c>
      <c r="AW20" s="63">
        <v>0.35416666666666669</v>
      </c>
      <c r="AX20" s="85">
        <v>1</v>
      </c>
      <c r="AY20" s="63">
        <v>0.35555555555555557</v>
      </c>
      <c r="AZ20" s="85">
        <v>1</v>
      </c>
      <c r="BA20" s="63">
        <v>0.35416666666666669</v>
      </c>
      <c r="BB20" s="85">
        <v>1</v>
      </c>
      <c r="BC20" s="63">
        <v>0.35486111111111113</v>
      </c>
      <c r="BD20" s="85">
        <v>1</v>
      </c>
      <c r="BE20" s="85">
        <v>1</v>
      </c>
      <c r="BF20" s="85">
        <v>1</v>
      </c>
      <c r="BG20" s="63">
        <v>0.64513888888888882</v>
      </c>
      <c r="BH20" s="85">
        <v>1</v>
      </c>
      <c r="BI20" s="63">
        <v>0.35555555555555557</v>
      </c>
      <c r="BJ20" s="85">
        <v>1</v>
      </c>
      <c r="BK20" s="63">
        <v>0.3527777777777778</v>
      </c>
      <c r="BL20" s="63">
        <v>0.69652777777777775</v>
      </c>
      <c r="BM20" s="63">
        <v>0.3527777777777778</v>
      </c>
      <c r="BN20" s="85">
        <v>1</v>
      </c>
      <c r="BO20" s="7">
        <f t="shared" si="14"/>
        <v>28</v>
      </c>
      <c r="BP20" s="58">
        <v>2</v>
      </c>
      <c r="BQ20" s="37">
        <f t="shared" si="0"/>
        <v>24</v>
      </c>
      <c r="BR20" s="38">
        <f t="shared" si="1"/>
        <v>2</v>
      </c>
      <c r="BS20" s="38">
        <f t="shared" si="2"/>
        <v>0</v>
      </c>
      <c r="BT20" s="38">
        <f t="shared" si="3"/>
        <v>0</v>
      </c>
      <c r="BU20" s="38">
        <f t="shared" si="4"/>
        <v>0</v>
      </c>
      <c r="BV20" s="38">
        <f t="shared" si="5"/>
        <v>0</v>
      </c>
      <c r="BW20" s="38">
        <f t="shared" si="6"/>
        <v>2</v>
      </c>
      <c r="BX20" s="38">
        <f t="shared" si="7"/>
        <v>0</v>
      </c>
      <c r="BY20" s="38">
        <f t="shared" si="8"/>
        <v>0</v>
      </c>
      <c r="BZ20" s="38">
        <f t="shared" si="9"/>
        <v>2</v>
      </c>
      <c r="CA20" s="38">
        <f t="shared" si="10"/>
        <v>0</v>
      </c>
      <c r="CB20" s="38">
        <f t="shared" si="11"/>
        <v>0</v>
      </c>
      <c r="CC20" s="39"/>
      <c r="CF20" s="36">
        <v>0</v>
      </c>
      <c r="CG20" s="33">
        <v>11</v>
      </c>
      <c r="CH20" s="33">
        <v>18</v>
      </c>
      <c r="CI20" s="33">
        <v>0</v>
      </c>
      <c r="CJ20" s="33">
        <v>4</v>
      </c>
      <c r="CK20" s="33">
        <v>7</v>
      </c>
      <c r="CL20" s="33">
        <v>0</v>
      </c>
      <c r="CM20" s="33">
        <v>4</v>
      </c>
      <c r="CN20" s="33">
        <v>0</v>
      </c>
      <c r="CO20" s="33">
        <v>0</v>
      </c>
      <c r="CP20" s="42">
        <f t="shared" si="12"/>
        <v>44</v>
      </c>
    </row>
    <row r="21" spans="1:96" ht="24" customHeight="1" x14ac:dyDescent="0.25">
      <c r="A21" s="33">
        <v>17</v>
      </c>
      <c r="B21" s="38" t="s">
        <v>43</v>
      </c>
      <c r="C21" s="35" t="s">
        <v>44</v>
      </c>
      <c r="D21" s="69">
        <v>45509</v>
      </c>
      <c r="E21" s="63">
        <v>0.35555555555555557</v>
      </c>
      <c r="F21" s="63">
        <v>0.65</v>
      </c>
      <c r="G21" s="63">
        <v>0.35972222222222222</v>
      </c>
      <c r="H21" s="63">
        <v>0.66319444444444442</v>
      </c>
      <c r="I21" s="63">
        <v>0.35486111111111113</v>
      </c>
      <c r="J21" s="63">
        <v>0.64722222222222225</v>
      </c>
      <c r="K21" s="63">
        <v>0.35694444444444445</v>
      </c>
      <c r="L21" s="63">
        <v>0.64722222222222225</v>
      </c>
      <c r="M21" s="78" t="s">
        <v>53</v>
      </c>
      <c r="N21" s="78" t="s">
        <v>53</v>
      </c>
      <c r="O21" s="63">
        <v>0.64374999999999993</v>
      </c>
      <c r="P21" s="63">
        <v>0.96944444444444444</v>
      </c>
      <c r="Q21" s="63">
        <v>0.64444444444444449</v>
      </c>
      <c r="R21" s="63">
        <v>0.9506944444444444</v>
      </c>
      <c r="S21" s="63">
        <v>0.64444444444444449</v>
      </c>
      <c r="T21" s="63">
        <v>0.9506944444444444</v>
      </c>
      <c r="U21" s="63">
        <v>0.35486111111111113</v>
      </c>
      <c r="V21" s="63">
        <v>0.65138888888888891</v>
      </c>
      <c r="W21" s="63">
        <v>0.6479166666666667</v>
      </c>
      <c r="X21" s="63">
        <v>0.95208333333333339</v>
      </c>
      <c r="Y21" s="63">
        <v>0.35555555555555557</v>
      </c>
      <c r="Z21" s="63">
        <v>0.64930555555555558</v>
      </c>
      <c r="AA21" s="80">
        <v>0.58680555555555558</v>
      </c>
      <c r="AB21" s="80">
        <v>0.94652777777777775</v>
      </c>
      <c r="AC21" s="63">
        <v>0.35416666666666669</v>
      </c>
      <c r="AD21" s="63">
        <v>0.64930555555555558</v>
      </c>
      <c r="AE21" s="63">
        <v>0.35625000000000001</v>
      </c>
      <c r="AF21" s="63">
        <v>0.64722222222222225</v>
      </c>
      <c r="AG21" s="63">
        <v>0.35694444444444445</v>
      </c>
      <c r="AH21" s="63">
        <v>0.64652777777777781</v>
      </c>
      <c r="AI21" s="73"/>
      <c r="AJ21" s="33">
        <v>16</v>
      </c>
      <c r="AK21" s="77" t="s">
        <v>94</v>
      </c>
      <c r="AL21" s="77" t="s">
        <v>94</v>
      </c>
      <c r="AM21" s="63">
        <v>0.35625000000000001</v>
      </c>
      <c r="AN21" s="63">
        <v>0.6479166666666667</v>
      </c>
      <c r="AO21" s="63">
        <v>0.35833333333333334</v>
      </c>
      <c r="AP21" s="63">
        <v>0.64861111111111114</v>
      </c>
      <c r="AQ21" s="78" t="s">
        <v>53</v>
      </c>
      <c r="AR21" s="78" t="s">
        <v>53</v>
      </c>
      <c r="AS21" s="63">
        <v>0.64652777777777781</v>
      </c>
      <c r="AT21" s="63">
        <v>0.97361111111111109</v>
      </c>
      <c r="AU21" s="63">
        <v>0.64444444444444449</v>
      </c>
      <c r="AV21" s="63">
        <v>0.9506944444444444</v>
      </c>
      <c r="AW21" s="63">
        <v>0.64513888888888882</v>
      </c>
      <c r="AX21" s="63">
        <v>0.94791666666666663</v>
      </c>
      <c r="AY21" s="63">
        <v>0.64583333333333337</v>
      </c>
      <c r="AZ21" s="63">
        <v>0.94791666666666663</v>
      </c>
      <c r="BA21" s="63">
        <v>0.64652777777777781</v>
      </c>
      <c r="BB21" s="63">
        <v>0.95347222222222217</v>
      </c>
      <c r="BC21" s="63">
        <v>0.64652777777777781</v>
      </c>
      <c r="BD21" s="63">
        <v>0.97430555555555554</v>
      </c>
      <c r="BE21" s="80">
        <v>0.58124999999999993</v>
      </c>
      <c r="BF21" s="80">
        <v>0.9472222222222223</v>
      </c>
      <c r="BG21" s="63">
        <v>0.35555555555555557</v>
      </c>
      <c r="BH21" s="63">
        <v>0.65625</v>
      </c>
      <c r="BI21" s="63">
        <v>0.35486111111111113</v>
      </c>
      <c r="BJ21" s="63">
        <v>0.65972222222222221</v>
      </c>
      <c r="BK21" s="63">
        <v>0.35625000000000001</v>
      </c>
      <c r="BL21" s="63">
        <v>0.64652777777777781</v>
      </c>
      <c r="BM21" s="63">
        <v>0.35416666666666669</v>
      </c>
      <c r="BN21" s="63">
        <v>0.64861111111111114</v>
      </c>
      <c r="BO21" s="7">
        <f t="shared" si="14"/>
        <v>30</v>
      </c>
      <c r="BP21" s="58">
        <v>2</v>
      </c>
      <c r="BQ21" s="37">
        <f t="shared" si="0"/>
        <v>27</v>
      </c>
      <c r="BR21" s="38">
        <f>COUNTIF(E21:BL21,"OFF")/2</f>
        <v>2</v>
      </c>
      <c r="BS21" s="38">
        <f>COUNTIF(E21:BL21,"MC")/2</f>
        <v>0</v>
      </c>
      <c r="BT21" s="38">
        <f>COUNTIF(E21:BL21,"EL")/2</f>
        <v>0</v>
      </c>
      <c r="BU21" s="38">
        <f>COUNTIF(E21:BL21,"AL")/2</f>
        <v>0</v>
      </c>
      <c r="BV21" s="38">
        <f>COUNTIF(E21:BL21,"SUS")/2</f>
        <v>0</v>
      </c>
      <c r="BW21" s="38">
        <f>COUNTIF(E21:BL21,"FL")/2</f>
        <v>0</v>
      </c>
      <c r="BX21" s="38">
        <f>COUNTIF(E21:BL21,"SICK")/2</f>
        <v>1</v>
      </c>
      <c r="BY21" s="38">
        <f>COUNTIF(E21:BL21,"HD")/2</f>
        <v>0</v>
      </c>
      <c r="BZ21" s="38">
        <f>COUNTIF(E21:BL21,"AB")/2</f>
        <v>0</v>
      </c>
      <c r="CA21" s="38">
        <f>COUNTIF(E21:BL21,"NL")/2</f>
        <v>0</v>
      </c>
      <c r="CB21" s="38">
        <f>COUNTIF(E21:BL21,"SP")/2</f>
        <v>0</v>
      </c>
      <c r="CC21" s="39"/>
      <c r="CF21" s="36">
        <v>1</v>
      </c>
      <c r="CG21" s="33">
        <v>0</v>
      </c>
      <c r="CH21" s="33">
        <v>0</v>
      </c>
      <c r="CI21" s="33">
        <v>0</v>
      </c>
      <c r="CJ21" s="33">
        <v>0</v>
      </c>
      <c r="CK21" s="33">
        <v>14</v>
      </c>
      <c r="CL21" s="33">
        <v>0</v>
      </c>
      <c r="CM21" s="33">
        <v>3</v>
      </c>
      <c r="CN21" s="33">
        <v>0</v>
      </c>
      <c r="CO21" s="33">
        <v>0</v>
      </c>
      <c r="CP21" s="42">
        <f t="shared" si="12"/>
        <v>18</v>
      </c>
    </row>
    <row r="22" spans="1:96" ht="24" customHeight="1" x14ac:dyDescent="0.25">
      <c r="A22" s="33">
        <v>18</v>
      </c>
      <c r="B22" s="41" t="s">
        <v>45</v>
      </c>
      <c r="C22" s="35" t="s">
        <v>46</v>
      </c>
      <c r="D22" s="69">
        <v>45566</v>
      </c>
      <c r="E22" s="63">
        <v>0.38611111111111113</v>
      </c>
      <c r="F22" s="63">
        <v>0.72499999999999998</v>
      </c>
      <c r="G22" s="63">
        <v>0.37152777777777773</v>
      </c>
      <c r="H22" s="63">
        <v>0.80138888888888893</v>
      </c>
      <c r="I22" s="63">
        <v>0.37291666666666662</v>
      </c>
      <c r="J22" s="63">
        <v>0.72777777777777775</v>
      </c>
      <c r="K22" s="63">
        <v>0.39374999999999999</v>
      </c>
      <c r="L22" s="63">
        <v>0.79652777777777783</v>
      </c>
      <c r="M22" s="78" t="s">
        <v>53</v>
      </c>
      <c r="N22" s="78" t="s">
        <v>53</v>
      </c>
      <c r="O22" s="63">
        <v>0.39930555555555558</v>
      </c>
      <c r="P22" s="63">
        <v>0.7104166666666667</v>
      </c>
      <c r="Q22" s="63">
        <v>0.43402777777777773</v>
      </c>
      <c r="R22" s="63">
        <v>0.78611111111111109</v>
      </c>
      <c r="S22" s="63">
        <v>0.3756944444444445</v>
      </c>
      <c r="T22" s="63">
        <v>0.77986111111111101</v>
      </c>
      <c r="U22" s="63">
        <v>0.39374999999999999</v>
      </c>
      <c r="V22" s="85">
        <v>1</v>
      </c>
      <c r="W22" s="85">
        <v>1</v>
      </c>
      <c r="X22" s="85">
        <v>1</v>
      </c>
      <c r="Y22" s="63">
        <v>0.39097222222222222</v>
      </c>
      <c r="Z22" s="85">
        <v>1</v>
      </c>
      <c r="AA22" s="80">
        <v>0.59166666666666667</v>
      </c>
      <c r="AB22" s="80">
        <v>0.72499999999999998</v>
      </c>
      <c r="AC22" s="63">
        <v>0.37777777777777777</v>
      </c>
      <c r="AD22" s="63">
        <v>0.74305555555555547</v>
      </c>
      <c r="AE22" s="63">
        <v>0.37777777777777777</v>
      </c>
      <c r="AF22" s="85">
        <v>1</v>
      </c>
      <c r="AG22" s="63">
        <v>0.39930555555555558</v>
      </c>
      <c r="AH22" s="63">
        <v>0.7104166666666667</v>
      </c>
      <c r="AI22" s="73"/>
      <c r="AJ22" s="33">
        <v>17</v>
      </c>
      <c r="AK22" s="63">
        <v>0.37152777777777773</v>
      </c>
      <c r="AL22" s="63">
        <v>0.89097222222222217</v>
      </c>
      <c r="AM22" s="63">
        <v>0.37638888888888888</v>
      </c>
      <c r="AN22" s="85">
        <v>1</v>
      </c>
      <c r="AO22" s="63">
        <v>0.42986111111111108</v>
      </c>
      <c r="AP22" s="85">
        <v>1</v>
      </c>
      <c r="AQ22" s="78" t="s">
        <v>53</v>
      </c>
      <c r="AR22" s="78" t="s">
        <v>53</v>
      </c>
      <c r="AS22" s="63">
        <v>0.5180555555555556</v>
      </c>
      <c r="AT22" s="63">
        <v>0.71736111111111101</v>
      </c>
      <c r="AU22" s="63">
        <v>0.36736111111111108</v>
      </c>
      <c r="AV22" s="63">
        <v>0.93472222222222223</v>
      </c>
      <c r="AW22" s="63">
        <v>0.37361111111111112</v>
      </c>
      <c r="AX22" s="63">
        <v>0.72430555555555554</v>
      </c>
      <c r="AY22" s="63">
        <v>0.36805555555555558</v>
      </c>
      <c r="AZ22" s="63">
        <v>0.9194444444444444</v>
      </c>
      <c r="BA22" s="63">
        <v>0.38611111111111113</v>
      </c>
      <c r="BB22" s="63">
        <v>0.65486111111111112</v>
      </c>
      <c r="BC22" s="63">
        <v>0.47083333333333338</v>
      </c>
      <c r="BD22" s="63">
        <v>0.72916666666666663</v>
      </c>
      <c r="BE22" s="80">
        <v>0.58819444444444446</v>
      </c>
      <c r="BF22" s="80">
        <v>0.72777777777777775</v>
      </c>
      <c r="BG22" s="63">
        <v>0.37291666666666662</v>
      </c>
      <c r="BH22" s="63">
        <v>0.89583333333333337</v>
      </c>
      <c r="BI22" s="63">
        <v>0.36180555555555555</v>
      </c>
      <c r="BJ22" s="85">
        <v>1</v>
      </c>
      <c r="BK22" s="63">
        <v>0.45277777777777778</v>
      </c>
      <c r="BL22" s="63">
        <v>0.73819444444444438</v>
      </c>
      <c r="BM22" s="63">
        <v>0.36527777777777781</v>
      </c>
      <c r="BN22" s="63">
        <v>0.74791666666666667</v>
      </c>
      <c r="BO22" s="7">
        <f t="shared" si="14"/>
        <v>30</v>
      </c>
      <c r="BP22" s="58">
        <v>2</v>
      </c>
      <c r="BQ22" s="37">
        <f t="shared" si="0"/>
        <v>28</v>
      </c>
      <c r="BR22" s="38">
        <f t="shared" ref="BR22:BR29" si="15">COUNTIF(E22:BN22,"OFF")/2</f>
        <v>2</v>
      </c>
      <c r="BS22" s="38">
        <f t="shared" ref="BS22:BS29" si="16">COUNTIF(E22:BN22,"MC")/2</f>
        <v>0</v>
      </c>
      <c r="BT22" s="38">
        <f t="shared" ref="BT22:BT29" si="17">COUNTIF(E22:BN22,"EL")/2</f>
        <v>0</v>
      </c>
      <c r="BU22" s="38">
        <f t="shared" ref="BU22:BU29" si="18">COUNTIF(E22:BN22,"AL")/2</f>
        <v>0</v>
      </c>
      <c r="BV22" s="38">
        <f t="shared" ref="BV22:BV29" si="19">COUNTIF(E22:BN22,"SUS")/2</f>
        <v>0</v>
      </c>
      <c r="BW22" s="38">
        <f t="shared" ref="BW22:BW29" si="20">COUNTIF(E22:BN22,"FL")/2</f>
        <v>0</v>
      </c>
      <c r="BX22" s="38">
        <f t="shared" ref="BX22:BX29" si="21">COUNTIF(E22:BN22,"SICK")/2</f>
        <v>0</v>
      </c>
      <c r="BY22" s="38">
        <f t="shared" ref="BY22:BY29" si="22">COUNTIF(E22:BN22,"HD")/2</f>
        <v>0</v>
      </c>
      <c r="BZ22" s="38">
        <f t="shared" ref="BZ22:BZ29" si="23">COUNTIF(E22:BN22,"AB")/2</f>
        <v>0</v>
      </c>
      <c r="CA22" s="38">
        <f t="shared" ref="CA22:CA29" si="24">COUNTIF(E22:BN22,"NL")/2</f>
        <v>0</v>
      </c>
      <c r="CB22" s="38">
        <f t="shared" ref="CB22:CB29" si="25">COUNTIF(E22:BN22,"SP")/2</f>
        <v>0</v>
      </c>
      <c r="CC22" s="39"/>
      <c r="CF22" s="36">
        <v>0</v>
      </c>
      <c r="CG22" s="33">
        <v>0</v>
      </c>
      <c r="CH22" s="33">
        <v>30</v>
      </c>
      <c r="CI22" s="33">
        <v>0</v>
      </c>
      <c r="CJ22" s="33">
        <v>0</v>
      </c>
      <c r="CK22" s="33">
        <v>5</v>
      </c>
      <c r="CL22" s="33">
        <v>0</v>
      </c>
      <c r="CM22" s="33">
        <v>0</v>
      </c>
      <c r="CN22" s="33">
        <v>0</v>
      </c>
      <c r="CO22" s="33">
        <v>0</v>
      </c>
      <c r="CP22" s="42">
        <f t="shared" si="12"/>
        <v>35</v>
      </c>
    </row>
    <row r="23" spans="1:96" ht="24" customHeight="1" x14ac:dyDescent="0.25">
      <c r="A23" s="33">
        <v>19</v>
      </c>
      <c r="B23" s="41" t="s">
        <v>47</v>
      </c>
      <c r="C23" s="35" t="s">
        <v>48</v>
      </c>
      <c r="D23" s="69">
        <v>45785</v>
      </c>
      <c r="E23" s="63">
        <v>0.37361111111111112</v>
      </c>
      <c r="F23" s="86">
        <v>1</v>
      </c>
      <c r="G23" s="63">
        <v>0.38263888888888892</v>
      </c>
      <c r="H23" s="86">
        <v>1</v>
      </c>
      <c r="I23" s="63">
        <v>0.34722222222222227</v>
      </c>
      <c r="J23" s="86">
        <v>1</v>
      </c>
      <c r="K23" s="63">
        <v>0.37638888888888888</v>
      </c>
      <c r="L23" s="86">
        <v>1</v>
      </c>
      <c r="M23" s="78" t="s">
        <v>53</v>
      </c>
      <c r="N23" s="78" t="s">
        <v>53</v>
      </c>
      <c r="O23" s="63">
        <v>0.3756944444444445</v>
      </c>
      <c r="P23" s="85">
        <v>1</v>
      </c>
      <c r="Q23" s="63">
        <v>0.37083333333333335</v>
      </c>
      <c r="R23" s="85">
        <v>1</v>
      </c>
      <c r="S23" s="63">
        <v>0.36041666666666666</v>
      </c>
      <c r="T23" s="85">
        <v>1</v>
      </c>
      <c r="U23" s="63">
        <v>0.36388888888888887</v>
      </c>
      <c r="V23" s="85">
        <v>1</v>
      </c>
      <c r="W23" s="63">
        <v>0.3743055555555555</v>
      </c>
      <c r="X23" s="85">
        <v>1</v>
      </c>
      <c r="Y23" s="63">
        <v>0.37013888888888885</v>
      </c>
      <c r="Z23" s="85">
        <v>1</v>
      </c>
      <c r="AA23" s="85">
        <v>1</v>
      </c>
      <c r="AB23" s="85">
        <v>1</v>
      </c>
      <c r="AC23" s="63">
        <v>0.37083333333333335</v>
      </c>
      <c r="AD23" s="85">
        <v>1</v>
      </c>
      <c r="AE23" s="63">
        <v>0.35972222222222222</v>
      </c>
      <c r="AG23" s="63">
        <v>0.36944444444444446</v>
      </c>
      <c r="AH23" s="85">
        <v>1</v>
      </c>
      <c r="AI23" s="73"/>
      <c r="AJ23" s="33">
        <v>18</v>
      </c>
      <c r="AK23" s="63">
        <v>0.36458333333333331</v>
      </c>
      <c r="AL23" s="85">
        <v>1</v>
      </c>
      <c r="AM23" s="63">
        <v>0.35694444444444445</v>
      </c>
      <c r="AN23" s="85">
        <v>1</v>
      </c>
      <c r="AO23" s="63">
        <v>0.36249999999999999</v>
      </c>
      <c r="AP23" s="85">
        <v>1</v>
      </c>
      <c r="AQ23" s="78" t="s">
        <v>53</v>
      </c>
      <c r="AR23" s="78" t="s">
        <v>53</v>
      </c>
      <c r="AS23" s="63">
        <v>0.37013888888888885</v>
      </c>
      <c r="AT23" s="85">
        <v>1</v>
      </c>
      <c r="AU23" s="63">
        <v>0.36041666666666666</v>
      </c>
      <c r="AV23" s="85">
        <v>1</v>
      </c>
      <c r="AW23" s="63">
        <v>0.35555555555555557</v>
      </c>
      <c r="AX23" s="85">
        <v>1</v>
      </c>
      <c r="AY23" s="63">
        <v>0.36319444444444443</v>
      </c>
      <c r="AZ23" s="85">
        <v>1</v>
      </c>
      <c r="BA23" s="63">
        <v>0.36249999999999999</v>
      </c>
      <c r="BB23" s="85">
        <v>1</v>
      </c>
      <c r="BC23" s="63">
        <v>0.37916666666666665</v>
      </c>
      <c r="BD23" s="85">
        <v>1</v>
      </c>
      <c r="BE23" s="80">
        <v>0.63541666666666663</v>
      </c>
      <c r="BF23" s="87">
        <v>1</v>
      </c>
      <c r="BG23" s="63">
        <v>0.36736111111111108</v>
      </c>
      <c r="BH23" s="85">
        <v>1</v>
      </c>
      <c r="BI23" s="63">
        <v>0.35555555555555557</v>
      </c>
      <c r="BJ23" s="85">
        <v>1</v>
      </c>
      <c r="BK23" s="63">
        <v>0.36388888888888887</v>
      </c>
      <c r="BL23" s="85">
        <v>1</v>
      </c>
      <c r="BM23" s="63">
        <v>0.35833333333333334</v>
      </c>
      <c r="BN23" s="85">
        <v>1</v>
      </c>
      <c r="BO23" s="7">
        <f t="shared" si="14"/>
        <v>29.5</v>
      </c>
      <c r="BP23" s="58">
        <v>2</v>
      </c>
      <c r="BQ23" s="37">
        <f t="shared" si="0"/>
        <v>27.5</v>
      </c>
      <c r="BR23" s="38">
        <f t="shared" si="15"/>
        <v>2</v>
      </c>
      <c r="BS23" s="38">
        <f t="shared" si="16"/>
        <v>0</v>
      </c>
      <c r="BT23" s="38">
        <f t="shared" si="17"/>
        <v>0</v>
      </c>
      <c r="BU23" s="38">
        <f t="shared" si="18"/>
        <v>0</v>
      </c>
      <c r="BV23" s="38">
        <f t="shared" si="19"/>
        <v>0</v>
      </c>
      <c r="BW23" s="38">
        <f t="shared" si="20"/>
        <v>0</v>
      </c>
      <c r="BX23" s="38">
        <f t="shared" si="21"/>
        <v>0</v>
      </c>
      <c r="BY23" s="38">
        <f t="shared" si="22"/>
        <v>0</v>
      </c>
      <c r="BZ23" s="38">
        <f t="shared" si="23"/>
        <v>0</v>
      </c>
      <c r="CA23" s="38">
        <f t="shared" si="24"/>
        <v>0</v>
      </c>
      <c r="CB23" s="38">
        <f t="shared" si="25"/>
        <v>0</v>
      </c>
      <c r="CC23" s="39"/>
      <c r="CF23" s="36">
        <v>0</v>
      </c>
      <c r="CG23" s="33">
        <v>0</v>
      </c>
      <c r="CH23" s="33">
        <v>0</v>
      </c>
      <c r="CI23" s="33">
        <v>0</v>
      </c>
      <c r="CJ23" s="33">
        <v>0</v>
      </c>
      <c r="CK23" s="33">
        <v>0</v>
      </c>
      <c r="CL23" s="33">
        <v>0</v>
      </c>
      <c r="CM23" s="33">
        <v>0</v>
      </c>
      <c r="CN23" s="33">
        <v>0</v>
      </c>
      <c r="CO23" s="33">
        <v>0</v>
      </c>
      <c r="CP23" s="42">
        <f t="shared" si="12"/>
        <v>0</v>
      </c>
    </row>
    <row r="24" spans="1:96" ht="24" customHeight="1" x14ac:dyDescent="0.25">
      <c r="A24" s="33">
        <v>20</v>
      </c>
      <c r="B24" s="41" t="s">
        <v>49</v>
      </c>
      <c r="C24" s="35" t="s">
        <v>50</v>
      </c>
      <c r="D24" s="69">
        <v>45826</v>
      </c>
      <c r="E24" s="63">
        <v>0.36458333333333331</v>
      </c>
      <c r="F24" s="63">
        <v>1.3888888888888889E-3</v>
      </c>
      <c r="G24" s="63">
        <v>0.2986111111111111</v>
      </c>
      <c r="H24" s="63">
        <v>1.0416666666666666E-2</v>
      </c>
      <c r="I24" s="63">
        <v>0.34027777777777773</v>
      </c>
      <c r="J24" s="63">
        <v>4.8611111111111112E-3</v>
      </c>
      <c r="K24" s="63">
        <v>0.31805555555555554</v>
      </c>
      <c r="L24" s="86">
        <v>1</v>
      </c>
      <c r="M24" s="80">
        <v>0.59375</v>
      </c>
      <c r="N24" s="80">
        <v>0.98749999999999993</v>
      </c>
      <c r="O24" s="63">
        <v>0.3430555555555555</v>
      </c>
      <c r="P24" s="63">
        <v>5.5555555555555558E-3</v>
      </c>
      <c r="Q24" s="63">
        <v>0.34166666666666662</v>
      </c>
      <c r="R24" s="63">
        <v>0.98888888888888893</v>
      </c>
      <c r="S24" s="63">
        <v>0.33888888888888885</v>
      </c>
      <c r="T24" s="63">
        <v>8.3333333333333332E-3</v>
      </c>
      <c r="U24" s="63">
        <v>0.34930555555555554</v>
      </c>
      <c r="V24" s="85">
        <v>1</v>
      </c>
      <c r="W24" s="85">
        <v>1</v>
      </c>
      <c r="X24" s="85">
        <v>1</v>
      </c>
      <c r="Y24" s="63">
        <v>0.34375</v>
      </c>
      <c r="Z24" s="85">
        <v>1</v>
      </c>
      <c r="AA24" s="80">
        <v>0.58888888888888891</v>
      </c>
      <c r="AB24" s="80">
        <v>0.99791666666666667</v>
      </c>
      <c r="AC24" s="63">
        <v>0.32291666666666669</v>
      </c>
      <c r="AD24" s="63">
        <v>2.0833333333333332E-2</v>
      </c>
      <c r="AE24" s="63">
        <v>0.34583333333333338</v>
      </c>
      <c r="AF24" s="85">
        <v>1</v>
      </c>
      <c r="AG24" s="63">
        <v>0.3430555555555555</v>
      </c>
      <c r="AH24" s="63">
        <v>5.5555555555555558E-3</v>
      </c>
      <c r="AI24" s="73"/>
      <c r="AJ24" s="33">
        <v>19</v>
      </c>
      <c r="AK24" s="63">
        <v>0.35138888888888892</v>
      </c>
      <c r="AL24" s="63">
        <v>0.99305555555555547</v>
      </c>
      <c r="AM24" s="63">
        <v>0.34861111111111115</v>
      </c>
      <c r="AN24" s="63">
        <v>0.99861111111111101</v>
      </c>
      <c r="AO24" s="63">
        <v>0.34722222222222227</v>
      </c>
      <c r="AP24" s="63">
        <v>4.027777777777778E-2</v>
      </c>
      <c r="AQ24" s="80">
        <v>0.57361111111111118</v>
      </c>
      <c r="AR24" s="80">
        <v>0.99583333333333324</v>
      </c>
      <c r="AS24" s="63">
        <v>0.36805555555555558</v>
      </c>
      <c r="AT24" s="85">
        <v>1</v>
      </c>
      <c r="AU24" s="63">
        <v>0.98888888888888893</v>
      </c>
      <c r="AV24" s="85">
        <v>1</v>
      </c>
      <c r="AW24" s="63">
        <v>0.35347222222222219</v>
      </c>
      <c r="AX24" s="63">
        <v>0.98888888888888893</v>
      </c>
      <c r="AY24" s="63">
        <v>0.3527777777777778</v>
      </c>
      <c r="AZ24" s="63">
        <v>0</v>
      </c>
      <c r="BA24" s="63">
        <v>0.35347222222222219</v>
      </c>
      <c r="BB24" s="85">
        <v>1</v>
      </c>
      <c r="BC24" s="63">
        <v>0.35069444444444442</v>
      </c>
      <c r="BD24" s="85">
        <v>1</v>
      </c>
      <c r="BE24" s="80">
        <v>0.58611111111111114</v>
      </c>
      <c r="BF24" s="80">
        <v>0.98472222222222217</v>
      </c>
      <c r="BG24" s="63">
        <v>0.35694444444444445</v>
      </c>
      <c r="BH24" s="63">
        <v>5.7638888888888885E-2</v>
      </c>
      <c r="BI24" s="63">
        <v>0.3576388888888889</v>
      </c>
      <c r="BJ24" s="85">
        <v>1</v>
      </c>
      <c r="BK24" s="63">
        <v>0.34583333333333338</v>
      </c>
      <c r="BL24" s="63">
        <v>0.99791666666666667</v>
      </c>
      <c r="BM24" s="63">
        <v>0.35347222222222219</v>
      </c>
      <c r="BN24" s="63">
        <v>0.52152777777777781</v>
      </c>
      <c r="BO24" s="7">
        <f t="shared" si="14"/>
        <v>30</v>
      </c>
      <c r="BP24" s="58">
        <v>4</v>
      </c>
      <c r="BQ24" s="37">
        <f t="shared" si="0"/>
        <v>30</v>
      </c>
      <c r="BR24" s="38">
        <f t="shared" si="15"/>
        <v>0</v>
      </c>
      <c r="BS24" s="38">
        <f t="shared" si="16"/>
        <v>0</v>
      </c>
      <c r="BT24" s="38">
        <f t="shared" si="17"/>
        <v>0</v>
      </c>
      <c r="BU24" s="38">
        <f t="shared" si="18"/>
        <v>0</v>
      </c>
      <c r="BV24" s="38">
        <f t="shared" si="19"/>
        <v>0</v>
      </c>
      <c r="BW24" s="38">
        <f t="shared" si="20"/>
        <v>0</v>
      </c>
      <c r="BX24" s="38">
        <f t="shared" si="21"/>
        <v>0</v>
      </c>
      <c r="BY24" s="38">
        <f t="shared" si="22"/>
        <v>0</v>
      </c>
      <c r="BZ24" s="38">
        <f t="shared" si="23"/>
        <v>0</v>
      </c>
      <c r="CA24" s="38">
        <f t="shared" si="24"/>
        <v>0</v>
      </c>
      <c r="CB24" s="38">
        <f t="shared" si="25"/>
        <v>0</v>
      </c>
      <c r="CC24" s="39"/>
      <c r="CF24" s="36">
        <v>0</v>
      </c>
      <c r="CG24" s="33">
        <v>0</v>
      </c>
      <c r="CH24" s="33">
        <v>4</v>
      </c>
      <c r="CI24" s="33">
        <v>0</v>
      </c>
      <c r="CJ24" s="33">
        <v>10</v>
      </c>
      <c r="CK24" s="33">
        <v>2</v>
      </c>
      <c r="CL24" s="33">
        <v>0</v>
      </c>
      <c r="CM24" s="33">
        <v>0</v>
      </c>
      <c r="CN24" s="33">
        <v>0</v>
      </c>
      <c r="CO24" s="33">
        <v>0</v>
      </c>
      <c r="CP24" s="42">
        <f t="shared" si="12"/>
        <v>16</v>
      </c>
    </row>
    <row r="25" spans="1:96" ht="24" customHeight="1" x14ac:dyDescent="0.25">
      <c r="A25" s="33">
        <v>21</v>
      </c>
      <c r="B25" s="41" t="s">
        <v>85</v>
      </c>
      <c r="C25" s="35" t="s">
        <v>86</v>
      </c>
      <c r="D25" s="69">
        <v>45985</v>
      </c>
      <c r="E25" s="63">
        <v>0.37777777777777777</v>
      </c>
      <c r="F25" s="63">
        <v>0.72777777777777775</v>
      </c>
      <c r="G25" s="63">
        <v>0.37222222222222223</v>
      </c>
      <c r="H25" s="63">
        <v>0.68402777777777779</v>
      </c>
      <c r="I25" s="63">
        <v>0.39444444444444443</v>
      </c>
      <c r="J25" s="63">
        <v>0.71597222222222223</v>
      </c>
      <c r="K25" s="63">
        <v>0.3666666666666667</v>
      </c>
      <c r="L25" s="63">
        <v>0.7090277777777777</v>
      </c>
      <c r="M25" s="78" t="s">
        <v>53</v>
      </c>
      <c r="N25" s="78" t="s">
        <v>53</v>
      </c>
      <c r="O25" s="63">
        <v>0.375</v>
      </c>
      <c r="P25" s="63">
        <v>0.71597222222222223</v>
      </c>
      <c r="Q25" s="63">
        <v>0.37361111111111112</v>
      </c>
      <c r="R25" s="63">
        <v>0.68541666666666667</v>
      </c>
      <c r="S25" s="63">
        <v>0.37222222222222223</v>
      </c>
      <c r="T25" s="63">
        <v>0.71527777777777779</v>
      </c>
      <c r="U25" s="63">
        <v>0.36527777777777781</v>
      </c>
      <c r="V25" s="85">
        <v>1</v>
      </c>
      <c r="W25" s="85">
        <v>1</v>
      </c>
      <c r="X25" s="85">
        <v>1</v>
      </c>
      <c r="Y25" s="63">
        <v>0.38194444444444442</v>
      </c>
      <c r="Z25" s="63">
        <v>0.7416666666666667</v>
      </c>
      <c r="AA25" s="78" t="s">
        <v>53</v>
      </c>
      <c r="AB25" s="78" t="s">
        <v>53</v>
      </c>
      <c r="AC25" s="63">
        <v>0.37986111111111115</v>
      </c>
      <c r="AD25" s="63">
        <v>0.70763888888888893</v>
      </c>
      <c r="AE25" s="77" t="s">
        <v>94</v>
      </c>
      <c r="AF25" s="77" t="s">
        <v>94</v>
      </c>
      <c r="AG25" s="63">
        <v>0.37361111111111112</v>
      </c>
      <c r="AH25" s="63">
        <v>0.68541666666666667</v>
      </c>
      <c r="AI25" s="73"/>
      <c r="AJ25" s="33">
        <v>20</v>
      </c>
      <c r="AK25" s="63">
        <v>0.37847222222222227</v>
      </c>
      <c r="AL25" s="63">
        <v>0.82638888888888884</v>
      </c>
      <c r="AM25" s="63">
        <v>0.38750000000000001</v>
      </c>
      <c r="AN25" s="63">
        <v>0.71458333333333324</v>
      </c>
      <c r="AO25" s="63">
        <v>0.375</v>
      </c>
      <c r="AP25" s="63">
        <v>0.7090277777777777</v>
      </c>
      <c r="AQ25" s="78" t="s">
        <v>53</v>
      </c>
      <c r="AR25" s="78" t="s">
        <v>53</v>
      </c>
      <c r="AS25" s="63">
        <v>0.38263888888888892</v>
      </c>
      <c r="AT25" s="63">
        <v>0.47222222222222227</v>
      </c>
      <c r="AU25" s="63">
        <v>0.37638888888888888</v>
      </c>
      <c r="AV25" s="63">
        <v>0.57777777777777783</v>
      </c>
      <c r="AW25" s="63">
        <v>0.39930555555555558</v>
      </c>
      <c r="AX25" s="63">
        <v>0.70833333333333337</v>
      </c>
      <c r="AY25" s="63">
        <v>0.37916666666666665</v>
      </c>
      <c r="AZ25" s="63">
        <v>0.7104166666666667</v>
      </c>
      <c r="BA25" s="63">
        <v>0.38055555555555554</v>
      </c>
      <c r="BB25" s="63">
        <v>0.6972222222222223</v>
      </c>
      <c r="BC25" s="63">
        <v>0.37291666666666662</v>
      </c>
      <c r="BD25" s="63">
        <v>0.66875000000000007</v>
      </c>
      <c r="BE25" s="78" t="s">
        <v>53</v>
      </c>
      <c r="BF25" s="78" t="s">
        <v>53</v>
      </c>
      <c r="BG25" s="77" t="s">
        <v>94</v>
      </c>
      <c r="BH25" s="77" t="s">
        <v>94</v>
      </c>
      <c r="BI25" s="74" t="s">
        <v>62</v>
      </c>
      <c r="BJ25" s="74" t="s">
        <v>62</v>
      </c>
      <c r="BK25" s="76" t="s">
        <v>54</v>
      </c>
      <c r="BL25" s="76" t="s">
        <v>54</v>
      </c>
      <c r="BM25" s="63">
        <v>0.3743055555555555</v>
      </c>
      <c r="BN25" s="63">
        <v>0.70277777777777783</v>
      </c>
      <c r="BO25" s="7">
        <f t="shared" si="14"/>
        <v>29</v>
      </c>
      <c r="BP25" s="58">
        <v>0</v>
      </c>
      <c r="BQ25" s="37">
        <f t="shared" si="0"/>
        <v>22</v>
      </c>
      <c r="BR25" s="38">
        <f t="shared" si="15"/>
        <v>4</v>
      </c>
      <c r="BS25" s="38">
        <f t="shared" si="16"/>
        <v>1</v>
      </c>
      <c r="BT25" s="38">
        <f t="shared" si="17"/>
        <v>0</v>
      </c>
      <c r="BU25" s="38">
        <f t="shared" si="18"/>
        <v>0</v>
      </c>
      <c r="BV25" s="38">
        <f t="shared" si="19"/>
        <v>0</v>
      </c>
      <c r="BW25" s="38">
        <f t="shared" si="20"/>
        <v>0</v>
      </c>
      <c r="BX25" s="38">
        <f t="shared" si="21"/>
        <v>2</v>
      </c>
      <c r="BY25" s="38">
        <f t="shared" si="22"/>
        <v>0</v>
      </c>
      <c r="BZ25" s="38">
        <f t="shared" si="23"/>
        <v>0</v>
      </c>
      <c r="CA25" s="38">
        <f t="shared" si="24"/>
        <v>1</v>
      </c>
      <c r="CB25" s="38">
        <f t="shared" si="25"/>
        <v>0</v>
      </c>
      <c r="CC25" s="82"/>
      <c r="CF25" s="60">
        <v>1</v>
      </c>
      <c r="CG25" s="61">
        <v>0</v>
      </c>
      <c r="CH25" s="61">
        <v>0</v>
      </c>
      <c r="CI25" s="61">
        <v>0</v>
      </c>
      <c r="CJ25" s="61">
        <v>5</v>
      </c>
      <c r="CK25" s="61">
        <v>2</v>
      </c>
      <c r="CL25" s="61">
        <v>0</v>
      </c>
      <c r="CM25" s="61">
        <v>0</v>
      </c>
      <c r="CN25" s="61">
        <v>1</v>
      </c>
      <c r="CO25" s="61">
        <v>0</v>
      </c>
      <c r="CP25" s="42">
        <f t="shared" si="12"/>
        <v>9</v>
      </c>
    </row>
    <row r="26" spans="1:96" s="56" customFormat="1" ht="24" customHeight="1" x14ac:dyDescent="0.25">
      <c r="A26" s="33">
        <v>22</v>
      </c>
      <c r="B26" s="41" t="s">
        <v>89</v>
      </c>
      <c r="C26" s="35" t="s">
        <v>90</v>
      </c>
      <c r="D26" s="69">
        <v>45999</v>
      </c>
      <c r="E26" s="63">
        <v>0.3520833333333333</v>
      </c>
      <c r="F26" s="63">
        <v>0.64652777777777781</v>
      </c>
      <c r="G26" s="63">
        <v>0.35833333333333334</v>
      </c>
      <c r="H26" s="63">
        <v>0.68819444444444444</v>
      </c>
      <c r="I26" s="63">
        <v>0.35833333333333334</v>
      </c>
      <c r="J26" s="63">
        <v>0.69652777777777775</v>
      </c>
      <c r="K26" s="63">
        <v>0.35902777777777778</v>
      </c>
      <c r="L26" s="63">
        <v>0.68680555555555556</v>
      </c>
      <c r="M26" s="80">
        <v>0.58194444444444449</v>
      </c>
      <c r="N26" s="80">
        <v>0.95694444444444438</v>
      </c>
      <c r="O26" s="63">
        <v>0.3743055555555555</v>
      </c>
      <c r="P26" s="63">
        <v>0.6479166666666667</v>
      </c>
      <c r="Q26" s="63">
        <v>0.35972222222222222</v>
      </c>
      <c r="R26" s="63">
        <v>0.65625</v>
      </c>
      <c r="S26" s="63">
        <v>0.3611111111111111</v>
      </c>
      <c r="T26" s="63">
        <v>0.65</v>
      </c>
      <c r="U26" s="63">
        <v>0.35486111111111113</v>
      </c>
      <c r="V26" s="63">
        <v>0.66388888888888886</v>
      </c>
      <c r="W26" s="63">
        <v>0.35416666666666669</v>
      </c>
      <c r="X26" s="63">
        <v>0.65486111111111112</v>
      </c>
      <c r="Y26" s="63">
        <v>0.35486111111111113</v>
      </c>
      <c r="Z26" s="63">
        <v>0.65486111111111112</v>
      </c>
      <c r="AA26" s="78" t="s">
        <v>53</v>
      </c>
      <c r="AB26" s="78" t="s">
        <v>53</v>
      </c>
      <c r="AC26" s="63">
        <v>0.35833333333333334</v>
      </c>
      <c r="AD26" s="63">
        <v>0.65138888888888891</v>
      </c>
      <c r="AE26" s="63">
        <v>0.35347222222222219</v>
      </c>
      <c r="AF26" s="63">
        <v>0.66180555555555554</v>
      </c>
      <c r="AG26" s="63">
        <v>0.35625000000000001</v>
      </c>
      <c r="AH26" s="63">
        <v>0.6694444444444444</v>
      </c>
      <c r="AI26" s="73"/>
      <c r="AJ26" s="33">
        <v>21</v>
      </c>
      <c r="AK26" s="63">
        <v>0.35347222222222219</v>
      </c>
      <c r="AL26" s="63">
        <v>0.65</v>
      </c>
      <c r="AM26" s="63">
        <v>0.3576388888888889</v>
      </c>
      <c r="AN26" s="63">
        <v>0.65208333333333335</v>
      </c>
      <c r="AO26" s="63">
        <v>0.35486111111111113</v>
      </c>
      <c r="AP26" s="63">
        <v>0.66180555555555554</v>
      </c>
      <c r="AQ26" s="80">
        <v>0.58750000000000002</v>
      </c>
      <c r="AR26" s="87">
        <v>1</v>
      </c>
      <c r="AS26" s="63">
        <v>0.35486111111111113</v>
      </c>
      <c r="AT26" s="63">
        <v>0.66805555555555562</v>
      </c>
      <c r="AU26" s="63">
        <v>0.36736111111111108</v>
      </c>
      <c r="AV26" s="63">
        <v>0.67083333333333339</v>
      </c>
      <c r="AW26" s="63">
        <v>0.3527777777777778</v>
      </c>
      <c r="AX26" s="63">
        <v>0.65972222222222221</v>
      </c>
      <c r="AY26" s="63">
        <v>0.35555555555555557</v>
      </c>
      <c r="AZ26" s="63">
        <v>0.66319444444444442</v>
      </c>
      <c r="BA26" s="63">
        <v>0.35416666666666669</v>
      </c>
      <c r="BB26" s="63">
        <v>0.66249999999999998</v>
      </c>
      <c r="BC26" s="63">
        <v>0.3527777777777778</v>
      </c>
      <c r="BD26" s="63">
        <v>0.65833333333333333</v>
      </c>
      <c r="BE26" s="78" t="s">
        <v>53</v>
      </c>
      <c r="BF26" s="78" t="s">
        <v>53</v>
      </c>
      <c r="BG26" s="63">
        <v>0.35416666666666669</v>
      </c>
      <c r="BH26" s="63">
        <v>0.65972222222222221</v>
      </c>
      <c r="BI26" s="63">
        <v>0.35555555555555557</v>
      </c>
      <c r="BJ26" s="63">
        <v>0.66249999999999998</v>
      </c>
      <c r="BK26" s="63">
        <v>0.35833333333333334</v>
      </c>
      <c r="BL26" s="63">
        <v>0.65555555555555556</v>
      </c>
      <c r="BM26" s="63">
        <v>0.35555555555555557</v>
      </c>
      <c r="BN26" s="63">
        <v>0.65763888888888888</v>
      </c>
      <c r="BO26" s="7">
        <f t="shared" si="14"/>
        <v>30</v>
      </c>
      <c r="BP26" s="58">
        <v>2</v>
      </c>
      <c r="BQ26" s="37">
        <f t="shared" si="0"/>
        <v>28</v>
      </c>
      <c r="BR26" s="38">
        <f t="shared" si="15"/>
        <v>2</v>
      </c>
      <c r="BS26" s="38">
        <f t="shared" si="16"/>
        <v>0</v>
      </c>
      <c r="BT26" s="38">
        <f t="shared" si="17"/>
        <v>0</v>
      </c>
      <c r="BU26" s="38">
        <f t="shared" si="18"/>
        <v>0</v>
      </c>
      <c r="BV26" s="38">
        <f t="shared" si="19"/>
        <v>0</v>
      </c>
      <c r="BW26" s="38">
        <f t="shared" si="20"/>
        <v>0</v>
      </c>
      <c r="BX26" s="38">
        <f t="shared" si="21"/>
        <v>0</v>
      </c>
      <c r="BY26" s="38">
        <f t="shared" si="22"/>
        <v>0</v>
      </c>
      <c r="BZ26" s="38">
        <f t="shared" si="23"/>
        <v>0</v>
      </c>
      <c r="CA26" s="38">
        <f t="shared" si="24"/>
        <v>0</v>
      </c>
      <c r="CB26" s="38">
        <f t="shared" si="25"/>
        <v>0</v>
      </c>
      <c r="CC26" s="39"/>
      <c r="CF26" s="60">
        <v>0</v>
      </c>
      <c r="CG26" s="61">
        <v>0</v>
      </c>
      <c r="CH26" s="61">
        <v>0</v>
      </c>
      <c r="CI26" s="61">
        <v>0</v>
      </c>
      <c r="CJ26" s="61">
        <v>0</v>
      </c>
      <c r="CK26" s="61">
        <v>2</v>
      </c>
      <c r="CL26" s="61">
        <v>0</v>
      </c>
      <c r="CM26" s="61">
        <v>1</v>
      </c>
      <c r="CN26" s="61">
        <v>0</v>
      </c>
      <c r="CO26" s="61">
        <v>0</v>
      </c>
      <c r="CP26" s="42">
        <f t="shared" si="12"/>
        <v>3</v>
      </c>
    </row>
    <row r="27" spans="1:96" s="62" customFormat="1" ht="24" customHeight="1" x14ac:dyDescent="0.25">
      <c r="A27" s="33">
        <v>23</v>
      </c>
      <c r="B27" s="41" t="s">
        <v>91</v>
      </c>
      <c r="C27" s="35" t="s">
        <v>92</v>
      </c>
      <c r="D27" s="69">
        <v>46061</v>
      </c>
      <c r="E27" s="63">
        <v>0.3666666666666667</v>
      </c>
      <c r="F27" s="63">
        <v>0.96597222222222223</v>
      </c>
      <c r="G27" s="63">
        <v>0.37152777777777773</v>
      </c>
      <c r="H27" s="63">
        <v>0.74791666666666667</v>
      </c>
      <c r="I27" s="63">
        <v>0.37152777777777773</v>
      </c>
      <c r="J27" s="63">
        <v>0.96527777777777779</v>
      </c>
      <c r="K27" s="63">
        <v>0.375</v>
      </c>
      <c r="L27" s="63">
        <v>0.98749999999999993</v>
      </c>
      <c r="M27" s="80">
        <v>0.57847222222222217</v>
      </c>
      <c r="N27" s="80">
        <v>0.97569444444444453</v>
      </c>
      <c r="O27" s="63">
        <v>0.36805555555555558</v>
      </c>
      <c r="P27" s="63">
        <v>0.92222222222222217</v>
      </c>
      <c r="Q27" s="63">
        <v>0.36805555555555558</v>
      </c>
      <c r="R27" s="63">
        <v>0.98402777777777783</v>
      </c>
      <c r="S27" s="63">
        <v>0.3659722222222222</v>
      </c>
      <c r="T27" s="63">
        <v>0.96597222222222223</v>
      </c>
      <c r="U27" s="63">
        <v>0.3659722222222222</v>
      </c>
      <c r="V27" s="85">
        <v>1</v>
      </c>
      <c r="W27" s="85">
        <v>1</v>
      </c>
      <c r="X27" s="85">
        <v>1</v>
      </c>
      <c r="Y27" s="63">
        <v>0.36249999999999999</v>
      </c>
      <c r="Z27" s="63">
        <v>0.9291666666666667</v>
      </c>
      <c r="AA27" s="80">
        <v>0.59097222222222223</v>
      </c>
      <c r="AB27" s="80">
        <v>0.95277777777777783</v>
      </c>
      <c r="AC27" s="63">
        <v>0.37152777777777773</v>
      </c>
      <c r="AD27" s="63">
        <v>1.8749999999999999E-2</v>
      </c>
      <c r="AE27" s="63">
        <v>0.36944444444444446</v>
      </c>
      <c r="AF27" s="85">
        <v>1</v>
      </c>
      <c r="AG27" s="63">
        <v>0.36805555555555558</v>
      </c>
      <c r="AH27" s="63">
        <v>0.92222222222222217</v>
      </c>
      <c r="AI27" s="73"/>
      <c r="AJ27" s="33">
        <v>22</v>
      </c>
      <c r="AK27" s="63">
        <v>0.3666666666666667</v>
      </c>
      <c r="AL27" s="63">
        <v>0.95208333333333339</v>
      </c>
      <c r="AM27" s="63">
        <v>0.375</v>
      </c>
      <c r="AN27" s="63">
        <v>0.96250000000000002</v>
      </c>
      <c r="AO27" s="63">
        <v>0.3743055555555555</v>
      </c>
      <c r="AP27" s="63">
        <v>0.72083333333333333</v>
      </c>
      <c r="AQ27" s="78" t="s">
        <v>53</v>
      </c>
      <c r="AR27" s="78" t="s">
        <v>53</v>
      </c>
      <c r="AS27" s="63">
        <v>0.37777777777777777</v>
      </c>
      <c r="AT27" s="63">
        <v>0.90138888888888891</v>
      </c>
      <c r="AU27" s="63">
        <v>0.36527777777777781</v>
      </c>
      <c r="AV27" s="63">
        <v>0.95208333333333339</v>
      </c>
      <c r="AW27" s="63">
        <v>0.375</v>
      </c>
      <c r="AX27" s="63">
        <v>0.95208333333333339</v>
      </c>
      <c r="AY27" s="63">
        <v>0.57013888888888886</v>
      </c>
      <c r="AZ27" s="63">
        <v>0.95833333333333337</v>
      </c>
      <c r="BA27" s="63">
        <v>0.375</v>
      </c>
      <c r="BB27" s="63">
        <v>0.96666666666666667</v>
      </c>
      <c r="BC27" s="63">
        <v>0.37291666666666662</v>
      </c>
      <c r="BD27" s="63">
        <v>0.98749999999999993</v>
      </c>
      <c r="BE27" s="80">
        <v>0.58680555555555558</v>
      </c>
      <c r="BF27" s="80">
        <v>0.97430555555555554</v>
      </c>
      <c r="BG27" s="63">
        <v>0.3743055555555555</v>
      </c>
      <c r="BH27" s="63">
        <v>0.95624999999999993</v>
      </c>
      <c r="BI27" s="63">
        <v>0.3444444444444445</v>
      </c>
      <c r="BJ27" s="63">
        <v>0.45763888888888887</v>
      </c>
      <c r="BK27" s="63">
        <v>0.36319444444444443</v>
      </c>
      <c r="BL27" s="63">
        <v>0.88541666666666663</v>
      </c>
      <c r="BM27" s="63">
        <v>0.37013888888888885</v>
      </c>
      <c r="BN27" s="63">
        <v>0.98888888888888893</v>
      </c>
      <c r="BO27" s="7">
        <f t="shared" si="14"/>
        <v>30</v>
      </c>
      <c r="BP27" s="58">
        <v>3</v>
      </c>
      <c r="BQ27" s="37">
        <f t="shared" si="0"/>
        <v>29</v>
      </c>
      <c r="BR27" s="38">
        <f t="shared" si="15"/>
        <v>1</v>
      </c>
      <c r="BS27" s="38">
        <f t="shared" si="16"/>
        <v>0</v>
      </c>
      <c r="BT27" s="38">
        <f t="shared" si="17"/>
        <v>0</v>
      </c>
      <c r="BU27" s="38">
        <f t="shared" si="18"/>
        <v>0</v>
      </c>
      <c r="BV27" s="38">
        <f t="shared" si="19"/>
        <v>0</v>
      </c>
      <c r="BW27" s="38">
        <f t="shared" si="20"/>
        <v>0</v>
      </c>
      <c r="BX27" s="38">
        <f t="shared" si="21"/>
        <v>0</v>
      </c>
      <c r="BY27" s="38">
        <f t="shared" si="22"/>
        <v>0</v>
      </c>
      <c r="BZ27" s="38">
        <f t="shared" si="23"/>
        <v>0</v>
      </c>
      <c r="CA27" s="38">
        <f t="shared" si="24"/>
        <v>0</v>
      </c>
      <c r="CB27" s="38">
        <f t="shared" si="25"/>
        <v>0</v>
      </c>
      <c r="CC27" s="39"/>
      <c r="CD27" s="56"/>
      <c r="CE27" s="56"/>
      <c r="CF27" s="60">
        <v>0</v>
      </c>
      <c r="CG27" s="61">
        <v>0</v>
      </c>
      <c r="CH27" s="61">
        <v>0</v>
      </c>
      <c r="CI27" s="61">
        <v>0</v>
      </c>
      <c r="CJ27" s="61">
        <v>1</v>
      </c>
      <c r="CK27" s="61">
        <v>0</v>
      </c>
      <c r="CL27" s="61">
        <v>0</v>
      </c>
      <c r="CM27" s="61">
        <v>0</v>
      </c>
      <c r="CN27" s="61">
        <v>0</v>
      </c>
      <c r="CO27" s="61">
        <v>0</v>
      </c>
      <c r="CP27" s="42">
        <f t="shared" si="12"/>
        <v>1</v>
      </c>
      <c r="CQ27" s="56"/>
      <c r="CR27" s="56"/>
    </row>
    <row r="28" spans="1:96" s="56" customFormat="1" ht="24" customHeight="1" x14ac:dyDescent="0.25">
      <c r="A28" s="33">
        <v>24</v>
      </c>
      <c r="B28" s="41" t="s">
        <v>95</v>
      </c>
      <c r="C28" s="35" t="s">
        <v>96</v>
      </c>
      <c r="D28" s="69">
        <v>46154</v>
      </c>
      <c r="E28" s="63">
        <v>0.35347222222222219</v>
      </c>
      <c r="F28" s="63">
        <v>0.9375</v>
      </c>
      <c r="G28" s="63">
        <v>0.3576388888888889</v>
      </c>
      <c r="H28" s="63">
        <v>0.94027777777777777</v>
      </c>
      <c r="I28" s="63">
        <v>0.34583333333333338</v>
      </c>
      <c r="J28" s="63">
        <v>0.93958333333333333</v>
      </c>
      <c r="K28" s="63">
        <v>0.35694444444444445</v>
      </c>
      <c r="L28" s="63">
        <v>0.95972222222222225</v>
      </c>
      <c r="M28" s="80">
        <v>0.58194444444444449</v>
      </c>
      <c r="N28" s="80">
        <v>0.92499999999999993</v>
      </c>
      <c r="O28" s="63">
        <v>0.35972222222222222</v>
      </c>
      <c r="P28" s="63">
        <v>0.93888888888888899</v>
      </c>
      <c r="Q28" s="63">
        <v>0.3611111111111111</v>
      </c>
      <c r="R28" s="63">
        <v>0.9375</v>
      </c>
      <c r="S28" s="63">
        <v>0.34166666666666662</v>
      </c>
      <c r="T28" s="63">
        <v>0.93819444444444444</v>
      </c>
      <c r="U28" s="63">
        <v>0.35486111111111113</v>
      </c>
      <c r="V28" s="85">
        <v>1</v>
      </c>
      <c r="W28" s="85">
        <v>1</v>
      </c>
      <c r="X28" s="85">
        <v>1</v>
      </c>
      <c r="Y28" s="63">
        <v>0.35625000000000001</v>
      </c>
      <c r="Z28" s="63">
        <v>0.96319444444444446</v>
      </c>
      <c r="AA28" s="78" t="s">
        <v>53</v>
      </c>
      <c r="AB28" s="78" t="s">
        <v>53</v>
      </c>
      <c r="AC28" s="63">
        <v>0.3611111111111111</v>
      </c>
      <c r="AD28" s="63">
        <v>0.97013888888888899</v>
      </c>
      <c r="AE28" s="63">
        <v>0.34861111111111115</v>
      </c>
      <c r="AF28" s="85">
        <v>1</v>
      </c>
      <c r="AG28" s="63">
        <v>0.35972222222222222</v>
      </c>
      <c r="AH28" s="63">
        <v>0.93888888888888899</v>
      </c>
      <c r="AI28" s="73"/>
      <c r="AJ28" s="33">
        <v>23</v>
      </c>
      <c r="AK28" s="63">
        <v>0.38472222222222219</v>
      </c>
      <c r="AL28" s="63">
        <v>0.93819444444444444</v>
      </c>
      <c r="AM28" s="63">
        <v>0.3576388888888889</v>
      </c>
      <c r="AN28" s="63">
        <v>0.95208333333333339</v>
      </c>
      <c r="AO28" s="63">
        <v>0.35486111111111113</v>
      </c>
      <c r="AP28" s="63">
        <v>0.9604166666666667</v>
      </c>
      <c r="AQ28" s="80">
        <v>0.58194444444444449</v>
      </c>
      <c r="AR28" s="80">
        <v>0.9375</v>
      </c>
      <c r="AS28" s="63">
        <v>0.33749999999999997</v>
      </c>
      <c r="AT28" s="63">
        <v>0.9590277777777777</v>
      </c>
      <c r="AU28" s="63">
        <v>0.34583333333333338</v>
      </c>
      <c r="AV28" s="63">
        <v>0.95138888888888884</v>
      </c>
      <c r="AW28" s="63">
        <v>0.34861111111111115</v>
      </c>
      <c r="AX28" s="63">
        <v>0.9506944444444444</v>
      </c>
      <c r="AY28" s="63">
        <v>0.35486111111111113</v>
      </c>
      <c r="AZ28" s="63">
        <v>0.8930555555555556</v>
      </c>
      <c r="BA28" s="63">
        <v>0.34513888888888888</v>
      </c>
      <c r="BB28" s="63">
        <v>0.93819444444444444</v>
      </c>
      <c r="BC28" s="63">
        <v>0.35972222222222222</v>
      </c>
      <c r="BD28" s="63">
        <v>0.97499999999999998</v>
      </c>
      <c r="BE28" s="78" t="s">
        <v>53</v>
      </c>
      <c r="BF28" s="78" t="s">
        <v>53</v>
      </c>
      <c r="BG28" s="63">
        <v>0.35138888888888892</v>
      </c>
      <c r="BH28" s="63">
        <v>0.96666666666666667</v>
      </c>
      <c r="BI28" s="63">
        <v>0.35972222222222222</v>
      </c>
      <c r="BJ28" s="63">
        <v>0.96180555555555547</v>
      </c>
      <c r="BK28" s="63">
        <v>0.34236111111111112</v>
      </c>
      <c r="BL28" s="63">
        <v>0.91875000000000007</v>
      </c>
      <c r="BM28" s="63">
        <v>0.37291666666666662</v>
      </c>
      <c r="BN28" s="63">
        <v>0.96111111111111114</v>
      </c>
      <c r="BO28" s="7">
        <f t="shared" si="14"/>
        <v>30</v>
      </c>
      <c r="BP28" s="58">
        <v>2</v>
      </c>
      <c r="BQ28" s="37">
        <f t="shared" si="0"/>
        <v>28</v>
      </c>
      <c r="BR28" s="38">
        <f t="shared" si="15"/>
        <v>2</v>
      </c>
      <c r="BS28" s="38">
        <f t="shared" si="16"/>
        <v>0</v>
      </c>
      <c r="BT28" s="38">
        <f t="shared" si="17"/>
        <v>0</v>
      </c>
      <c r="BU28" s="38">
        <f t="shared" si="18"/>
        <v>0</v>
      </c>
      <c r="BV28" s="38">
        <f t="shared" si="19"/>
        <v>0</v>
      </c>
      <c r="BW28" s="38">
        <f t="shared" si="20"/>
        <v>0</v>
      </c>
      <c r="BX28" s="38">
        <f t="shared" si="21"/>
        <v>0</v>
      </c>
      <c r="BY28" s="38">
        <f t="shared" si="22"/>
        <v>0</v>
      </c>
      <c r="BZ28" s="38">
        <f t="shared" si="23"/>
        <v>0</v>
      </c>
      <c r="CA28" s="38">
        <f t="shared" si="24"/>
        <v>0</v>
      </c>
      <c r="CB28" s="38">
        <f t="shared" si="25"/>
        <v>0</v>
      </c>
      <c r="CC28" s="39"/>
      <c r="CF28" s="60">
        <v>0</v>
      </c>
      <c r="CG28" s="61">
        <v>0</v>
      </c>
      <c r="CH28" s="61">
        <v>0</v>
      </c>
      <c r="CI28" s="61">
        <v>0</v>
      </c>
      <c r="CJ28" s="61">
        <v>0</v>
      </c>
      <c r="CK28" s="61">
        <v>0</v>
      </c>
      <c r="CL28" s="61">
        <v>0</v>
      </c>
      <c r="CM28" s="61">
        <v>0</v>
      </c>
      <c r="CN28" s="61">
        <v>0</v>
      </c>
      <c r="CO28" s="61">
        <v>0</v>
      </c>
      <c r="CP28" s="42">
        <f t="shared" si="12"/>
        <v>0</v>
      </c>
    </row>
    <row r="29" spans="1:96" s="56" customFormat="1" ht="24" customHeight="1" x14ac:dyDescent="0.25">
      <c r="A29" s="33">
        <v>25</v>
      </c>
      <c r="B29" s="41" t="s">
        <v>98</v>
      </c>
      <c r="C29" s="35" t="s">
        <v>99</v>
      </c>
      <c r="D29" s="69">
        <v>46157</v>
      </c>
      <c r="E29" s="103" t="s">
        <v>100</v>
      </c>
      <c r="F29" s="104"/>
      <c r="G29" s="104"/>
      <c r="H29" s="104"/>
      <c r="I29" s="104"/>
      <c r="J29" s="105"/>
      <c r="K29" s="63">
        <v>0.35694444444444445</v>
      </c>
      <c r="L29" s="63">
        <v>0.6479166666666667</v>
      </c>
      <c r="M29" s="80">
        <v>0.59097222222222223</v>
      </c>
      <c r="N29" s="80">
        <v>0.9506944444444444</v>
      </c>
      <c r="O29" s="63">
        <v>0.3520833333333333</v>
      </c>
      <c r="P29" s="63">
        <v>0.64652777777777781</v>
      </c>
      <c r="Q29" s="63">
        <v>0.35833333333333334</v>
      </c>
      <c r="R29" s="63">
        <v>0.64722222222222225</v>
      </c>
      <c r="S29" s="63">
        <v>0.35625000000000001</v>
      </c>
      <c r="T29" s="63">
        <v>0.64652777777777781</v>
      </c>
      <c r="U29" s="63">
        <v>0.35694444444444445</v>
      </c>
      <c r="V29" s="63">
        <v>0.65</v>
      </c>
      <c r="W29" s="77" t="s">
        <v>94</v>
      </c>
      <c r="X29" s="77" t="s">
        <v>94</v>
      </c>
      <c r="Y29" s="63">
        <v>0.35625000000000001</v>
      </c>
      <c r="Z29" s="63">
        <v>0.63541666666666663</v>
      </c>
      <c r="AA29" s="80">
        <v>0.58819444444444446</v>
      </c>
      <c r="AB29" s="80">
        <v>0.94652777777777775</v>
      </c>
      <c r="AC29" s="63">
        <v>0.64236111111111105</v>
      </c>
      <c r="AD29" s="63">
        <v>0.96527777777777779</v>
      </c>
      <c r="AE29" s="63">
        <v>0.64722222222222225</v>
      </c>
      <c r="AF29" s="63">
        <v>0.7895833333333333</v>
      </c>
      <c r="AG29" s="63">
        <v>0.64583333333333337</v>
      </c>
      <c r="AH29" s="63">
        <v>0.93055555555555547</v>
      </c>
      <c r="AI29" s="73"/>
      <c r="AJ29" s="33">
        <v>24</v>
      </c>
      <c r="AK29" s="63">
        <v>0.6479166666666667</v>
      </c>
      <c r="AL29" s="63">
        <v>0.94930555555555562</v>
      </c>
      <c r="AM29" s="63">
        <v>0.64166666666666672</v>
      </c>
      <c r="AN29" s="63">
        <v>0.95416666666666661</v>
      </c>
      <c r="AO29" s="63">
        <v>0.64444444444444449</v>
      </c>
      <c r="AP29" s="63">
        <v>0.97222222222222221</v>
      </c>
      <c r="AQ29" s="80">
        <v>0.58263888888888882</v>
      </c>
      <c r="AR29" s="80">
        <v>0.95416666666666661</v>
      </c>
      <c r="AS29" s="76" t="s">
        <v>58</v>
      </c>
      <c r="AT29" s="76" t="s">
        <v>58</v>
      </c>
      <c r="AU29" s="63">
        <v>0.64652777777777781</v>
      </c>
      <c r="AV29" s="63">
        <v>0.95000000000000007</v>
      </c>
      <c r="AW29" s="63">
        <v>0.3527777777777778</v>
      </c>
      <c r="AX29" s="63">
        <v>0.64722222222222225</v>
      </c>
      <c r="AY29" s="63">
        <v>0.35486111111111113</v>
      </c>
      <c r="AZ29" s="63">
        <v>0.64722222222222225</v>
      </c>
      <c r="BA29" s="63">
        <v>0.35972222222222222</v>
      </c>
      <c r="BB29" s="63">
        <v>0.65694444444444444</v>
      </c>
      <c r="BC29" s="63">
        <v>0.65763888888888888</v>
      </c>
      <c r="BD29" s="63">
        <v>0.97430555555555554</v>
      </c>
      <c r="BE29" s="80">
        <v>0.58680555555555558</v>
      </c>
      <c r="BF29" s="80">
        <v>0.9472222222222223</v>
      </c>
      <c r="BG29" s="63">
        <v>0.63958333333333328</v>
      </c>
      <c r="BH29" s="63">
        <v>0.96388888888888891</v>
      </c>
      <c r="BI29" s="63">
        <v>0.64444444444444449</v>
      </c>
      <c r="BJ29" s="63">
        <v>0.95763888888888893</v>
      </c>
      <c r="BK29" s="63">
        <v>0.64444444444444449</v>
      </c>
      <c r="BL29" s="63">
        <v>0.95138888888888884</v>
      </c>
      <c r="BM29" s="63">
        <v>0.63888888888888895</v>
      </c>
      <c r="BN29" s="63">
        <v>0.93055555555555547</v>
      </c>
      <c r="BO29" s="7">
        <f t="shared" si="14"/>
        <v>27</v>
      </c>
      <c r="BP29" s="58">
        <v>4</v>
      </c>
      <c r="BQ29" s="37">
        <f t="shared" si="0"/>
        <v>25</v>
      </c>
      <c r="BR29" s="38">
        <f t="shared" si="15"/>
        <v>0</v>
      </c>
      <c r="BS29" s="38">
        <f t="shared" si="16"/>
        <v>0</v>
      </c>
      <c r="BT29" s="38">
        <f t="shared" si="17"/>
        <v>0</v>
      </c>
      <c r="BU29" s="38">
        <f t="shared" si="18"/>
        <v>0</v>
      </c>
      <c r="BV29" s="38">
        <f t="shared" si="19"/>
        <v>0</v>
      </c>
      <c r="BW29" s="38">
        <f t="shared" si="20"/>
        <v>1</v>
      </c>
      <c r="BX29" s="38">
        <f t="shared" si="21"/>
        <v>1</v>
      </c>
      <c r="BY29" s="38">
        <f t="shared" si="22"/>
        <v>0</v>
      </c>
      <c r="BZ29" s="38">
        <f t="shared" si="23"/>
        <v>0</v>
      </c>
      <c r="CA29" s="38">
        <f t="shared" si="24"/>
        <v>0</v>
      </c>
      <c r="CB29" s="38">
        <f t="shared" si="25"/>
        <v>0</v>
      </c>
      <c r="CC29" s="39"/>
      <c r="CF29" s="60">
        <v>0</v>
      </c>
      <c r="CG29" s="61">
        <v>0</v>
      </c>
      <c r="CH29" s="61">
        <v>0</v>
      </c>
      <c r="CI29" s="61">
        <v>0</v>
      </c>
      <c r="CJ29" s="61">
        <v>1</v>
      </c>
      <c r="CK29" s="61">
        <v>1</v>
      </c>
      <c r="CL29" s="61">
        <v>0</v>
      </c>
      <c r="CM29" s="61">
        <v>0</v>
      </c>
      <c r="CN29" s="61">
        <v>0</v>
      </c>
      <c r="CO29" s="61">
        <v>0</v>
      </c>
      <c r="CP29" s="42">
        <f t="shared" si="12"/>
        <v>2</v>
      </c>
    </row>
    <row r="30" spans="1:96" x14ac:dyDescent="0.25"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7"/>
    </row>
    <row r="31" spans="1:96" ht="16.5" x14ac:dyDescent="0.3">
      <c r="BQ31" s="30" t="s">
        <v>68</v>
      </c>
      <c r="BR31" s="22"/>
      <c r="BS31" s="18"/>
      <c r="BT31" s="18"/>
      <c r="BU31" s="19" t="s">
        <v>53</v>
      </c>
      <c r="BV31" s="20"/>
      <c r="BW31" s="21" t="s">
        <v>69</v>
      </c>
      <c r="BX31" s="22"/>
      <c r="BY31" s="22"/>
      <c r="BZ31" s="13"/>
      <c r="CA31" s="23" t="s">
        <v>59</v>
      </c>
      <c r="CD31" s="56"/>
      <c r="CE31" s="56"/>
    </row>
    <row r="32" spans="1:96" s="56" customFormat="1" ht="27.75" customHeight="1" x14ac:dyDescent="0.3">
      <c r="A32" s="52"/>
      <c r="B32" s="47"/>
      <c r="C32" s="48"/>
      <c r="D32" s="6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52"/>
      <c r="AB32" s="52"/>
      <c r="AC32" s="49"/>
      <c r="AD32" s="49"/>
      <c r="AE32" s="50"/>
      <c r="AF32" s="50"/>
      <c r="AG32" s="50"/>
      <c r="AH32" s="50"/>
      <c r="AI32" s="53"/>
      <c r="AJ32" s="52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/>
      <c r="AV32" s="51"/>
      <c r="AW32" s="51"/>
      <c r="AX32" s="51"/>
      <c r="AY32" s="51"/>
      <c r="AZ32" s="51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54"/>
      <c r="BP32"/>
      <c r="BQ32" s="30" t="s">
        <v>70</v>
      </c>
      <c r="BR32" s="22"/>
      <c r="BS32" s="18"/>
      <c r="BT32" s="18"/>
      <c r="BU32" s="19" t="s">
        <v>54</v>
      </c>
      <c r="BV32" s="20"/>
      <c r="BW32" s="24" t="s">
        <v>71</v>
      </c>
      <c r="BX32" s="25"/>
      <c r="BY32" s="25"/>
      <c r="BZ32" s="13"/>
      <c r="CA32" s="23" t="s">
        <v>60</v>
      </c>
      <c r="CB32"/>
      <c r="CC32" s="55"/>
      <c r="CD32"/>
      <c r="CE32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20"/>
      <c r="CQ32"/>
      <c r="CR32"/>
    </row>
    <row r="33" spans="6:81" ht="17.25" x14ac:dyDescent="0.3">
      <c r="F33" s="13"/>
      <c r="G33" s="13"/>
      <c r="H33" s="14" t="s">
        <v>65</v>
      </c>
      <c r="I33" s="14"/>
      <c r="J33" s="14"/>
      <c r="K33" s="13"/>
      <c r="L33" s="13"/>
      <c r="M33" s="15"/>
      <c r="Q33" s="16"/>
      <c r="R33" s="14" t="s">
        <v>66</v>
      </c>
      <c r="S33" s="13"/>
      <c r="T33" s="13"/>
      <c r="X33" s="17"/>
      <c r="Y33" s="13"/>
      <c r="Z33" s="13"/>
      <c r="AA33" s="14" t="s">
        <v>67</v>
      </c>
      <c r="AB33" s="17"/>
      <c r="AC33" s="17"/>
      <c r="AD33" s="13"/>
      <c r="AE33" s="13"/>
      <c r="AF33" s="13"/>
      <c r="AG33" s="13"/>
      <c r="AR33" s="13"/>
      <c r="AS33" s="13"/>
      <c r="BQ33" s="30" t="s">
        <v>72</v>
      </c>
      <c r="BR33" s="22"/>
      <c r="BS33" s="18"/>
      <c r="BT33" s="18"/>
      <c r="BU33" s="19" t="s">
        <v>55</v>
      </c>
      <c r="BV33" s="20"/>
      <c r="BW33" s="24" t="s">
        <v>73</v>
      </c>
      <c r="BX33" s="25"/>
      <c r="BY33" s="25"/>
      <c r="BZ33" s="13"/>
      <c r="CA33" s="23" t="s">
        <v>61</v>
      </c>
      <c r="CC33" t="s">
        <v>78</v>
      </c>
    </row>
    <row r="34" spans="6:81" ht="17.25" x14ac:dyDescent="0.3">
      <c r="F34" s="13"/>
      <c r="G34" s="13"/>
      <c r="H34" s="13"/>
      <c r="I34" s="13"/>
      <c r="J34" s="13"/>
      <c r="K34" s="13"/>
      <c r="L34" s="13"/>
      <c r="M34" s="13"/>
      <c r="Q34" s="13"/>
      <c r="R34" s="13"/>
      <c r="S34" s="13"/>
      <c r="T34" s="13"/>
      <c r="X34" s="17"/>
      <c r="Y34" s="13"/>
      <c r="Z34" s="13"/>
      <c r="AA34" s="13"/>
      <c r="AB34" s="13"/>
      <c r="AC34" s="17"/>
      <c r="AD34" s="13"/>
      <c r="AE34" s="13"/>
      <c r="AF34" s="13"/>
      <c r="AG34" s="13"/>
      <c r="AR34" s="13"/>
      <c r="AS34" s="13"/>
      <c r="BQ34" s="30" t="s">
        <v>74</v>
      </c>
      <c r="BR34" s="22"/>
      <c r="BS34" s="18"/>
      <c r="BT34" s="18"/>
      <c r="BU34" s="19" t="s">
        <v>56</v>
      </c>
      <c r="BV34" s="20"/>
      <c r="BW34" s="21" t="s">
        <v>75</v>
      </c>
      <c r="BX34" s="22"/>
      <c r="BY34" s="22"/>
      <c r="BZ34" s="13"/>
      <c r="CA34" s="23" t="s">
        <v>62</v>
      </c>
    </row>
    <row r="35" spans="6:81" ht="17.25" x14ac:dyDescent="0.3">
      <c r="F35" s="13"/>
      <c r="G35" s="13"/>
      <c r="H35" s="13"/>
      <c r="I35" s="13"/>
      <c r="J35" s="13"/>
      <c r="K35" s="13"/>
      <c r="L35" s="13"/>
      <c r="M35" s="13"/>
      <c r="Q35" s="13"/>
      <c r="R35" s="13"/>
      <c r="S35" s="13"/>
      <c r="T35" s="13"/>
      <c r="X35" s="17"/>
      <c r="Y35" s="13"/>
      <c r="Z35" s="13"/>
      <c r="AA35" s="13"/>
      <c r="AB35" s="13"/>
      <c r="AC35" s="17"/>
      <c r="AD35" s="13"/>
      <c r="AE35" s="13"/>
      <c r="AF35" s="13"/>
      <c r="AG35" s="13"/>
      <c r="AR35" s="13"/>
      <c r="AS35" s="13"/>
      <c r="BQ35" s="30" t="s">
        <v>79</v>
      </c>
      <c r="BR35" s="22"/>
      <c r="BS35" s="18"/>
      <c r="BT35" s="18"/>
      <c r="BU35" s="19" t="s">
        <v>57</v>
      </c>
      <c r="BV35" s="20"/>
      <c r="BW35" s="21" t="s">
        <v>80</v>
      </c>
      <c r="BX35" s="22"/>
      <c r="BY35" s="22"/>
      <c r="BZ35" s="13"/>
      <c r="CA35" s="23" t="s">
        <v>63</v>
      </c>
    </row>
    <row r="36" spans="6:81" ht="17.25" x14ac:dyDescent="0.3">
      <c r="F36" s="13"/>
      <c r="G36" s="13"/>
      <c r="H36" s="26"/>
      <c r="I36" s="27"/>
      <c r="J36" s="26"/>
      <c r="K36" s="13"/>
      <c r="L36" s="13"/>
      <c r="M36" s="28"/>
      <c r="Q36" s="16"/>
      <c r="R36" s="13"/>
      <c r="S36" s="27"/>
      <c r="T36" s="13"/>
      <c r="X36" s="13"/>
      <c r="Y36" s="13"/>
      <c r="Z36" s="27"/>
      <c r="AA36" s="13"/>
      <c r="AB36" s="27"/>
      <c r="AC36" s="13"/>
      <c r="AD36" s="13"/>
      <c r="AE36" s="13"/>
      <c r="AF36" s="13"/>
      <c r="AG36" s="13"/>
      <c r="AR36" s="13"/>
      <c r="AS36" s="13"/>
      <c r="BQ36" s="30" t="s">
        <v>84</v>
      </c>
      <c r="BR36" s="22"/>
      <c r="BS36" s="18"/>
      <c r="BT36" s="18"/>
      <c r="BU36" s="19" t="s">
        <v>58</v>
      </c>
      <c r="BV36" s="20"/>
      <c r="BW36" s="20"/>
      <c r="BX36" s="20"/>
      <c r="BY36" s="20"/>
      <c r="BZ36" s="20"/>
      <c r="CA36" s="20"/>
    </row>
    <row r="37" spans="6:81" ht="18.75" x14ac:dyDescent="0.25">
      <c r="F37" s="81"/>
      <c r="G37" s="81"/>
      <c r="H37" s="81" t="s">
        <v>76</v>
      </c>
      <c r="I37" s="81"/>
      <c r="J37" s="81"/>
      <c r="K37" s="81"/>
      <c r="L37" s="81"/>
      <c r="M37" s="81"/>
      <c r="N37" s="81"/>
      <c r="O37" s="81"/>
      <c r="P37" s="81"/>
      <c r="Q37" s="81"/>
      <c r="R37" s="81" t="s">
        <v>26</v>
      </c>
      <c r="S37" s="81"/>
      <c r="T37" s="81"/>
      <c r="U37" s="81"/>
      <c r="V37" s="81"/>
      <c r="W37" s="81"/>
      <c r="X37" s="81"/>
      <c r="Y37" s="81" t="s">
        <v>78</v>
      </c>
      <c r="Z37" s="81"/>
      <c r="AA37" s="81" t="s">
        <v>77</v>
      </c>
      <c r="AB37" s="81"/>
      <c r="AC37" s="13"/>
      <c r="AD37" s="13"/>
      <c r="AE37" s="13"/>
      <c r="AF37" s="13"/>
      <c r="AG37" s="13"/>
      <c r="AR37" s="13"/>
      <c r="AS37" s="13"/>
    </row>
    <row r="38" spans="6:81" ht="18.75" x14ac:dyDescent="0.25">
      <c r="F38" s="81"/>
      <c r="G38" s="81"/>
      <c r="H38" s="81" t="s">
        <v>81</v>
      </c>
      <c r="I38" s="81"/>
      <c r="J38" s="81"/>
      <c r="K38" s="81"/>
      <c r="L38" s="81"/>
      <c r="M38" s="81"/>
      <c r="N38" s="81"/>
      <c r="O38" s="81"/>
      <c r="P38" s="81"/>
      <c r="Q38" s="81"/>
      <c r="R38" s="81" t="s">
        <v>82</v>
      </c>
      <c r="S38" s="81"/>
      <c r="T38" s="81"/>
      <c r="U38" s="81"/>
      <c r="V38" s="81"/>
      <c r="W38" s="81"/>
      <c r="X38" s="81"/>
      <c r="Y38" s="81"/>
      <c r="Z38" s="81"/>
      <c r="AA38" s="81" t="s">
        <v>83</v>
      </c>
      <c r="AB38" s="81"/>
      <c r="AC38" s="13"/>
      <c r="AD38" s="13"/>
      <c r="AE38" s="13"/>
      <c r="AF38" s="13"/>
      <c r="AG38" s="13"/>
      <c r="AR38" s="13"/>
      <c r="AS38" s="13"/>
    </row>
    <row r="39" spans="6:81" ht="17.25" x14ac:dyDescent="0.25">
      <c r="F39" s="27"/>
      <c r="G39" s="26"/>
      <c r="H39" s="27"/>
      <c r="I39" s="27"/>
      <c r="J39" s="27"/>
      <c r="K39" s="27"/>
      <c r="L39" s="28"/>
      <c r="M39" s="28"/>
      <c r="Q39" s="16"/>
      <c r="R39" s="13"/>
      <c r="S39" s="13"/>
      <c r="T39" s="27"/>
      <c r="X39" s="13"/>
      <c r="Y39" s="20"/>
      <c r="Z39" s="27"/>
      <c r="AA39" s="13"/>
      <c r="AB39" s="13"/>
      <c r="AC39" s="13"/>
      <c r="AD39" s="20"/>
      <c r="AE39" s="20"/>
      <c r="AF39" s="20"/>
      <c r="AG39" s="20"/>
      <c r="AH39" s="20"/>
      <c r="AI39" s="20"/>
      <c r="AJ39" s="13"/>
      <c r="AK39" s="29"/>
      <c r="AL39" s="29"/>
      <c r="AM39" s="13"/>
      <c r="AN39" s="13"/>
      <c r="AO39" s="13"/>
      <c r="AP39" s="13"/>
      <c r="AQ39" s="13"/>
      <c r="AR39" s="13"/>
      <c r="AS39" s="13"/>
    </row>
    <row r="40" spans="6:81" x14ac:dyDescent="0.25">
      <c r="F40" s="13"/>
      <c r="G40" s="13"/>
      <c r="H40" s="13"/>
      <c r="I40" s="13"/>
      <c r="J40" s="13"/>
      <c r="K40" s="13"/>
      <c r="L40" s="13"/>
      <c r="M40" s="13"/>
      <c r="Q40" s="13"/>
      <c r="R40" s="13"/>
      <c r="S40" s="13"/>
      <c r="T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spans="6:81" x14ac:dyDescent="0.25"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4" spans="6:81" ht="21.75" customHeight="1" x14ac:dyDescent="0.25"/>
    <row r="52" spans="84:96" x14ac:dyDescent="0.25">
      <c r="CF52" s="36">
        <v>0</v>
      </c>
      <c r="CG52" s="33">
        <v>0</v>
      </c>
      <c r="CH52" s="33">
        <v>0</v>
      </c>
      <c r="CI52" s="33">
        <v>0</v>
      </c>
      <c r="CJ52" s="33">
        <v>0</v>
      </c>
      <c r="CK52" s="33">
        <v>1</v>
      </c>
      <c r="CL52" s="33">
        <v>0</v>
      </c>
      <c r="CM52" s="33">
        <v>1</v>
      </c>
      <c r="CN52" s="33">
        <v>0</v>
      </c>
      <c r="CO52" s="33">
        <v>0</v>
      </c>
      <c r="CP52" s="42">
        <f>SUM(CF52:CO52)</f>
        <v>2</v>
      </c>
    </row>
    <row r="53" spans="84:96" x14ac:dyDescent="0.25">
      <c r="CF53" s="36">
        <v>3</v>
      </c>
      <c r="CG53" s="33">
        <v>0</v>
      </c>
      <c r="CH53" s="33">
        <v>19</v>
      </c>
      <c r="CI53" s="33">
        <v>0</v>
      </c>
      <c r="CJ53" s="33">
        <v>4</v>
      </c>
      <c r="CK53" s="33">
        <v>4</v>
      </c>
      <c r="CL53" s="33">
        <v>0</v>
      </c>
      <c r="CM53" s="33">
        <v>4</v>
      </c>
      <c r="CN53" s="33">
        <v>0</v>
      </c>
      <c r="CO53" s="33">
        <v>0</v>
      </c>
      <c r="CP53" s="42">
        <f t="shared" ref="CP53" si="26">SUM(CF53:CO53)</f>
        <v>34</v>
      </c>
      <c r="CQ53" s="56"/>
      <c r="CR53" s="56"/>
    </row>
  </sheetData>
  <mergeCells count="72">
    <mergeCell ref="E29:J29"/>
    <mergeCell ref="CF3:CP3"/>
    <mergeCell ref="A2:D3"/>
    <mergeCell ref="CF2:CO2"/>
    <mergeCell ref="BG3:BH3"/>
    <mergeCell ref="BG2:BH2"/>
    <mergeCell ref="BP2:BP4"/>
    <mergeCell ref="BQ2:CC2"/>
    <mergeCell ref="BK3:BL3"/>
    <mergeCell ref="BI3:BJ3"/>
    <mergeCell ref="BK2:BL2"/>
    <mergeCell ref="BI2:BJ2"/>
    <mergeCell ref="BO2:BO4"/>
    <mergeCell ref="BC3:BD3"/>
    <mergeCell ref="AM3:AN3"/>
    <mergeCell ref="AW2:AX2"/>
    <mergeCell ref="AJ1:CC1"/>
    <mergeCell ref="AJ2:AJ4"/>
    <mergeCell ref="AO3:AP3"/>
    <mergeCell ref="AQ3:AR3"/>
    <mergeCell ref="AU2:AV2"/>
    <mergeCell ref="AK2:AL2"/>
    <mergeCell ref="BM3:BN3"/>
    <mergeCell ref="BC2:BD2"/>
    <mergeCell ref="BE2:BF2"/>
    <mergeCell ref="AM2:AN2"/>
    <mergeCell ref="AO2:AP2"/>
    <mergeCell ref="AQ2:AR2"/>
    <mergeCell ref="BA2:BB2"/>
    <mergeCell ref="BE3:BF3"/>
    <mergeCell ref="AS3:AT3"/>
    <mergeCell ref="AU3:AV3"/>
    <mergeCell ref="A1:AH1"/>
    <mergeCell ref="E2:F2"/>
    <mergeCell ref="G2:H2"/>
    <mergeCell ref="S2:T2"/>
    <mergeCell ref="Y2:Z2"/>
    <mergeCell ref="W2:X2"/>
    <mergeCell ref="AG2:AH2"/>
    <mergeCell ref="I2:J2"/>
    <mergeCell ref="U2:V2"/>
    <mergeCell ref="AS2:AT2"/>
    <mergeCell ref="BA3:BB3"/>
    <mergeCell ref="E3:F3"/>
    <mergeCell ref="G3:H3"/>
    <mergeCell ref="I3:J3"/>
    <mergeCell ref="AE2:AF2"/>
    <mergeCell ref="W3:X3"/>
    <mergeCell ref="Y3:Z3"/>
    <mergeCell ref="AY2:AZ2"/>
    <mergeCell ref="AY3:AZ3"/>
    <mergeCell ref="AA3:AB3"/>
    <mergeCell ref="AK3:AL3"/>
    <mergeCell ref="AC3:AD3"/>
    <mergeCell ref="AG3:AH3"/>
    <mergeCell ref="AE3:AF3"/>
    <mergeCell ref="E10:AH10"/>
    <mergeCell ref="AK10:AV10"/>
    <mergeCell ref="BM2:BN2"/>
    <mergeCell ref="K3:L3"/>
    <mergeCell ref="M2:N2"/>
    <mergeCell ref="O2:P2"/>
    <mergeCell ref="Q2:R2"/>
    <mergeCell ref="K2:L2"/>
    <mergeCell ref="U3:V3"/>
    <mergeCell ref="M3:N3"/>
    <mergeCell ref="O3:P3"/>
    <mergeCell ref="Q3:R3"/>
    <mergeCell ref="AA2:AB2"/>
    <mergeCell ref="AC2:AD2"/>
    <mergeCell ref="S3:T3"/>
    <mergeCell ref="AW3:AX3"/>
  </mergeCells>
  <phoneticPr fontId="7" type="noConversion"/>
  <conditionalFormatting sqref="B4">
    <cfRule type="duplicateValues" dxfId="1212" priority="13916"/>
  </conditionalFormatting>
  <conditionalFormatting sqref="B5">
    <cfRule type="duplicateValues" dxfId="1211" priority="13898"/>
  </conditionalFormatting>
  <conditionalFormatting sqref="B6:B7">
    <cfRule type="duplicateValues" dxfId="1210" priority="13904"/>
  </conditionalFormatting>
  <conditionalFormatting sqref="B8">
    <cfRule type="duplicateValues" dxfId="1209" priority="13903"/>
  </conditionalFormatting>
  <conditionalFormatting sqref="B11:B18">
    <cfRule type="duplicateValues" dxfId="1208" priority="16157"/>
  </conditionalFormatting>
  <conditionalFormatting sqref="B19">
    <cfRule type="duplicateValues" dxfId="1207" priority="13901"/>
    <cfRule type="duplicateValues" dxfId="1206" priority="13905"/>
  </conditionalFormatting>
  <conditionalFormatting sqref="B20">
    <cfRule type="duplicateValues" dxfId="1205" priority="13906"/>
  </conditionalFormatting>
  <conditionalFormatting sqref="B20:B21">
    <cfRule type="duplicateValues" dxfId="1204" priority="13899"/>
  </conditionalFormatting>
  <conditionalFormatting sqref="B5:D7">
    <cfRule type="containsText" dxfId="1203" priority="13897" operator="containsText" text="AB">
      <formula>NOT(ISERROR(SEARCH("AB",B5)))</formula>
    </cfRule>
  </conditionalFormatting>
  <conditionalFormatting sqref="B8:D8 B11:D18 B19:B21 C32:D32">
    <cfRule type="containsText" dxfId="1202" priority="13896" operator="containsText" text="ABST">
      <formula>NOT(ISERROR(SEARCH("ABST",B8)))</formula>
    </cfRule>
  </conditionalFormatting>
  <conditionalFormatting sqref="C10">
    <cfRule type="duplicateValues" dxfId="1201" priority="201"/>
  </conditionalFormatting>
  <conditionalFormatting sqref="C28">
    <cfRule type="duplicateValues" dxfId="1200" priority="2607"/>
  </conditionalFormatting>
  <conditionalFormatting sqref="C29">
    <cfRule type="duplicateValues" dxfId="1199" priority="1403"/>
  </conditionalFormatting>
  <conditionalFormatting sqref="C19:D29">
    <cfRule type="containsText" dxfId="1198" priority="1402" operator="containsText" text="ABST">
      <formula>NOT(ISERROR(SEARCH("ABST",C19)))</formula>
    </cfRule>
  </conditionalFormatting>
  <conditionalFormatting sqref="C27:D27">
    <cfRule type="duplicateValues" dxfId="1197" priority="16226"/>
  </conditionalFormatting>
  <conditionalFormatting sqref="C32:D32 C5:D9 D28:D29 C11:D26 D10">
    <cfRule type="duplicateValues" dxfId="1196" priority="16228"/>
  </conditionalFormatting>
  <conditionalFormatting sqref="D29">
    <cfRule type="duplicateValues" dxfId="1195" priority="2604"/>
  </conditionalFormatting>
  <conditionalFormatting sqref="E10">
    <cfRule type="containsText" dxfId="1194" priority="1400" operator="containsText" text="MC">
      <formula>NOT(ISERROR(SEARCH("MC",E10)))</formula>
    </cfRule>
    <cfRule type="containsText" dxfId="1193" priority="1398" operator="containsText" text="Sick">
      <formula>NOT(ISERROR(SEARCH("Sick",E10)))</formula>
    </cfRule>
    <cfRule type="containsText" dxfId="1192" priority="1399" operator="containsText" text="AL">
      <formula>NOT(ISERROR(SEARCH("AL",E10)))</formula>
    </cfRule>
    <cfRule type="containsText" dxfId="1191" priority="1401" operator="containsText" text="OFF">
      <formula>NOT(ISERROR(SEARCH("OFF",E10)))</formula>
    </cfRule>
  </conditionalFormatting>
  <conditionalFormatting sqref="E29">
    <cfRule type="containsText" dxfId="1190" priority="2960" operator="containsText" text="FL">
      <formula>NOT(ISERROR(SEARCH("FL",E29)))</formula>
    </cfRule>
    <cfRule type="containsText" dxfId="1189" priority="2959" operator="containsText" text="NL">
      <formula>NOT(ISERROR(SEARCH("NL",E29)))</formula>
    </cfRule>
    <cfRule type="containsText" dxfId="1188" priority="2958" operator="containsText" text="SP">
      <formula>NOT(ISERROR(SEARCH("SP",E29)))</formula>
    </cfRule>
    <cfRule type="containsText" dxfId="1187" priority="2965" operator="containsText" text="AL">
      <formula>NOT(ISERROR(SEARCH("AL",E29)))</formula>
    </cfRule>
    <cfRule type="containsText" dxfId="1186" priority="2966" operator="containsText" text="MC">
      <formula>NOT(ISERROR(SEARCH("MC",E29)))</formula>
    </cfRule>
    <cfRule type="containsText" dxfId="1185" priority="2962" operator="containsText" text="EL">
      <formula>NOT(ISERROR(SEARCH("EL",E29)))</formula>
    </cfRule>
    <cfRule type="containsText" dxfId="1184" priority="2967" operator="containsText" text="OFF">
      <formula>NOT(ISERROR(SEARCH("OFF",E29)))</formula>
    </cfRule>
    <cfRule type="containsText" dxfId="1183" priority="2961" operator="containsText" text="SUS">
      <formula>NOT(ISERROR(SEARCH("SUS",E29)))</formula>
    </cfRule>
    <cfRule type="containsText" dxfId="1182" priority="2963" operator="containsText" text="AB">
      <formula>NOT(ISERROR(SEARCH("AB",E29)))</formula>
    </cfRule>
    <cfRule type="containsText" dxfId="1181" priority="2964" operator="containsText" text="Sick">
      <formula>NOT(ISERROR(SEARCH("Sick",E29)))</formula>
    </cfRule>
  </conditionalFormatting>
  <conditionalFormatting sqref="E32 AK32:AT32 AV32:BN32">
    <cfRule type="containsText" dxfId="1180" priority="13330" operator="containsText" text="AL">
      <formula>NOT(ISERROR(SEARCH("AL",E32)))</formula>
    </cfRule>
    <cfRule type="containsText" dxfId="1179" priority="13331" operator="containsText" text="SICK">
      <formula>NOT(ISERROR(SEARCH("SICK",E32)))</formula>
    </cfRule>
    <cfRule type="containsText" dxfId="1178" priority="13332" operator="containsText" text="NL">
      <formula>NOT(ISERROR(SEARCH("NL",E32)))</formula>
    </cfRule>
    <cfRule type="containsText" dxfId="1177" priority="13329" operator="containsText" text="AB">
      <formula>NOT(ISERROR(SEARCH("AB",E32)))</formula>
    </cfRule>
  </conditionalFormatting>
  <conditionalFormatting sqref="E19:L19">
    <cfRule type="containsText" dxfId="1176" priority="1391" operator="containsText" text="OFF">
      <formula>NOT(ISERROR(SEARCH("OFF",E19)))</formula>
    </cfRule>
    <cfRule type="containsText" dxfId="1175" priority="1390" operator="containsText" text="MC">
      <formula>NOT(ISERROR(SEARCH("MC",E19)))</formula>
    </cfRule>
    <cfRule type="containsText" dxfId="1174" priority="1389" operator="containsText" text="AL">
      <formula>NOT(ISERROR(SEARCH("AL",E19)))</formula>
    </cfRule>
  </conditionalFormatting>
  <conditionalFormatting sqref="E5:Z6">
    <cfRule type="containsText" dxfId="1173" priority="1381" operator="containsText" text="OFF">
      <formula>NOT(ISERROR(SEARCH("OFF",E5)))</formula>
    </cfRule>
    <cfRule type="containsText" dxfId="1172" priority="1380" operator="containsText" text="MC">
      <formula>NOT(ISERROR(SEARCH("MC",E5)))</formula>
    </cfRule>
    <cfRule type="containsText" dxfId="1171" priority="1379" operator="containsText" text="AL">
      <formula>NOT(ISERROR(SEARCH("AL",E5)))</formula>
    </cfRule>
    <cfRule type="containsText" dxfId="1170" priority="1378" operator="containsText" text="Sick">
      <formula>NOT(ISERROR(SEARCH("Sick",E5)))</formula>
    </cfRule>
    <cfRule type="containsText" dxfId="1169" priority="1376" operator="containsText" text="EL">
      <formula>NOT(ISERROR(SEARCH("EL",E5)))</formula>
    </cfRule>
    <cfRule type="containsText" dxfId="1168" priority="1377" operator="containsText" text="AB">
      <formula>NOT(ISERROR(SEARCH("AB",E5)))</formula>
    </cfRule>
  </conditionalFormatting>
  <conditionalFormatting sqref="E8:Z9 E10">
    <cfRule type="containsText" dxfId="1167" priority="1273" operator="containsText" text="NL">
      <formula>NOT(ISERROR(SEARCH("NL",E8)))</formula>
    </cfRule>
    <cfRule type="containsText" dxfId="1166" priority="1272" operator="containsText" text="SP">
      <formula>NOT(ISERROR(SEARCH("SP",E8)))</formula>
    </cfRule>
    <cfRule type="containsText" dxfId="1165" priority="1276" operator="containsText" text="EL">
      <formula>NOT(ISERROR(SEARCH("EL",E8)))</formula>
    </cfRule>
    <cfRule type="containsText" dxfId="1164" priority="1275" operator="containsText" text="SUS">
      <formula>NOT(ISERROR(SEARCH("SUS",E8)))</formula>
    </cfRule>
    <cfRule type="containsText" dxfId="1163" priority="1277" operator="containsText" text="AB">
      <formula>NOT(ISERROR(SEARCH("AB",E8)))</formula>
    </cfRule>
    <cfRule type="containsText" dxfId="1162" priority="1274" operator="containsText" text="FL">
      <formula>NOT(ISERROR(SEARCH("FL",E8)))</formula>
    </cfRule>
  </conditionalFormatting>
  <conditionalFormatting sqref="E8:Z9">
    <cfRule type="containsText" dxfId="1161" priority="1278" operator="containsText" text="Sick">
      <formula>NOT(ISERROR(SEARCH("Sick",E8)))</formula>
    </cfRule>
    <cfRule type="containsText" dxfId="1160" priority="1279" operator="containsText" text="AL">
      <formula>NOT(ISERROR(SEARCH("AL",E8)))</formula>
    </cfRule>
    <cfRule type="containsText" dxfId="1159" priority="1280" operator="containsText" text="MC">
      <formula>NOT(ISERROR(SEARCH("MC",E8)))</formula>
    </cfRule>
    <cfRule type="containsText" dxfId="1158" priority="1281" operator="containsText" text="OFF">
      <formula>NOT(ISERROR(SEARCH("OFF",E8)))</formula>
    </cfRule>
  </conditionalFormatting>
  <conditionalFormatting sqref="E18:AB18">
    <cfRule type="containsText" dxfId="1157" priority="1299" operator="containsText" text="AL">
      <formula>NOT(ISERROR(SEARCH("AL",E18)))</formula>
    </cfRule>
    <cfRule type="containsText" dxfId="1156" priority="1300" operator="containsText" text="MC">
      <formula>NOT(ISERROR(SEARCH("MC",E18)))</formula>
    </cfRule>
    <cfRule type="containsText" dxfId="1155" priority="1301" operator="containsText" text="OFF">
      <formula>NOT(ISERROR(SEARCH("OFF",E18)))</formula>
    </cfRule>
  </conditionalFormatting>
  <conditionalFormatting sqref="E18:AB19">
    <cfRule type="containsText" dxfId="1154" priority="908" operator="containsText" text="Sick">
      <formula>NOT(ISERROR(SEARCH("Sick",E18)))</formula>
    </cfRule>
    <cfRule type="containsText" dxfId="1153" priority="902" operator="containsText" text="SP">
      <formula>NOT(ISERROR(SEARCH("SP",E18)))</formula>
    </cfRule>
    <cfRule type="containsText" dxfId="1152" priority="907" operator="containsText" text="AB">
      <formula>NOT(ISERROR(SEARCH("AB",E18)))</formula>
    </cfRule>
    <cfRule type="containsText" dxfId="1151" priority="906" operator="containsText" text="EL">
      <formula>NOT(ISERROR(SEARCH("EL",E18)))</formula>
    </cfRule>
    <cfRule type="containsText" dxfId="1150" priority="905" operator="containsText" text="SUS">
      <formula>NOT(ISERROR(SEARCH("SUS",E18)))</formula>
    </cfRule>
    <cfRule type="containsText" dxfId="1149" priority="903" operator="containsText" text="NL">
      <formula>NOT(ISERROR(SEARCH("NL",E18)))</formula>
    </cfRule>
    <cfRule type="containsText" dxfId="1148" priority="904" operator="containsText" text="FL">
      <formula>NOT(ISERROR(SEARCH("FL",E18)))</formula>
    </cfRule>
  </conditionalFormatting>
  <conditionalFormatting sqref="E4:AH4">
    <cfRule type="expression" priority="16236">
      <formula>AND(ISNUMBER($Z2), ISNUMBER($AA2))</formula>
    </cfRule>
    <cfRule type="dataBar" priority="16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1147" priority="16238" operator="containsText" text="AB">
      <formula>NOT(ISERROR(SEARCH("AB",#REF!)))</formula>
    </cfRule>
    <cfRule type="containsText" dxfId="1146" priority="16239" operator="containsText" text="HD">
      <formula>NOT(ISERROR(SEARCH("HD",#REF!)))</formula>
    </cfRule>
    <cfRule type="containsText" dxfId="1145" priority="16240" operator="containsText" text="S">
      <formula>NOT(ISERROR(SEARCH("S",#REF!)))</formula>
    </cfRule>
    <cfRule type="cellIs" dxfId="1144" priority="16235" operator="equal">
      <formula>"OFF"</formula>
    </cfRule>
    <cfRule type="cellIs" dxfId="1143" priority="16233" operator="equal">
      <formula>"Sick"</formula>
    </cfRule>
    <cfRule type="cellIs" dxfId="1142" priority="16234" operator="equal">
      <formula>"AB"</formula>
    </cfRule>
  </conditionalFormatting>
  <conditionalFormatting sqref="E5:AH6">
    <cfRule type="containsText" dxfId="1141" priority="804" operator="containsText" text="FL">
      <formula>NOT(ISERROR(SEARCH("FL",E5)))</formula>
    </cfRule>
    <cfRule type="containsText" dxfId="1140" priority="805" operator="containsText" text="SUS">
      <formula>NOT(ISERROR(SEARCH("SUS",E5)))</formula>
    </cfRule>
    <cfRule type="containsText" dxfId="1139" priority="802" operator="containsText" text="SP">
      <formula>NOT(ISERROR(SEARCH("SP",E5)))</formula>
    </cfRule>
    <cfRule type="containsText" dxfId="1138" priority="803" operator="containsText" text="NL">
      <formula>NOT(ISERROR(SEARCH("NL",E5)))</formula>
    </cfRule>
  </conditionalFormatting>
  <conditionalFormatting sqref="L20">
    <cfRule type="containsText" dxfId="1137" priority="3287" operator="containsText" text="OFF">
      <formula>NOT(ISERROR(SEARCH("OFF",L20)))</formula>
    </cfRule>
    <cfRule type="containsText" dxfId="1136" priority="3286" operator="containsText" text="MC">
      <formula>NOT(ISERROR(SEARCH("MC",L20)))</formula>
    </cfRule>
    <cfRule type="containsText" dxfId="1135" priority="3285" operator="containsText" text="AL">
      <formula>NOT(ISERROR(SEARCH("AL",L20)))</formula>
    </cfRule>
  </conditionalFormatting>
  <conditionalFormatting sqref="L20:N20">
    <cfRule type="containsText" dxfId="1134" priority="1324" operator="containsText" text="FL">
      <formula>NOT(ISERROR(SEARCH("FL",L20)))</formula>
    </cfRule>
    <cfRule type="containsText" dxfId="1133" priority="1325" operator="containsText" text="SUS">
      <formula>NOT(ISERROR(SEARCH("SUS",L20)))</formula>
    </cfRule>
    <cfRule type="containsText" dxfId="1132" priority="1326" operator="containsText" text="EL">
      <formula>NOT(ISERROR(SEARCH("EL",L20)))</formula>
    </cfRule>
    <cfRule type="containsText" dxfId="1131" priority="1328" operator="containsText" text="Sick">
      <formula>NOT(ISERROR(SEARCH("Sick",L20)))</formula>
    </cfRule>
    <cfRule type="containsText" dxfId="1130" priority="1322" operator="containsText" text="SP">
      <formula>NOT(ISERROR(SEARCH("SP",L20)))</formula>
    </cfRule>
    <cfRule type="containsText" dxfId="1129" priority="1323" operator="containsText" text="NL">
      <formula>NOT(ISERROR(SEARCH("NL",L20)))</formula>
    </cfRule>
    <cfRule type="containsText" dxfId="1128" priority="1327" operator="containsText" text="AB">
      <formula>NOT(ISERROR(SEARCH("AB",L20)))</formula>
    </cfRule>
  </conditionalFormatting>
  <conditionalFormatting sqref="M11:N11">
    <cfRule type="containsText" dxfId="1127" priority="1350" operator="containsText" text="MC">
      <formula>NOT(ISERROR(SEARCH("MC",M11)))</formula>
    </cfRule>
    <cfRule type="containsText" dxfId="1126" priority="1351" operator="containsText" text="OFF">
      <formula>NOT(ISERROR(SEARCH("OFF",M11)))</formula>
    </cfRule>
    <cfRule type="containsText" dxfId="1125" priority="1349" operator="containsText" text="AL">
      <formula>NOT(ISERROR(SEARCH("AL",M11)))</formula>
    </cfRule>
    <cfRule type="containsText" dxfId="1124" priority="1348" operator="containsText" text="Sick">
      <formula>NOT(ISERROR(SEARCH("Sick",M11)))</formula>
    </cfRule>
    <cfRule type="containsText" dxfId="1123" priority="1347" operator="containsText" text="AB">
      <formula>NOT(ISERROR(SEARCH("AB",M11)))</formula>
    </cfRule>
    <cfRule type="containsText" dxfId="1122" priority="1346" operator="containsText" text="EL">
      <formula>NOT(ISERROR(SEARCH("EL",M11)))</formula>
    </cfRule>
    <cfRule type="containsText" dxfId="1121" priority="1345" operator="containsText" text="SUS">
      <formula>NOT(ISERROR(SEARCH("SUS",M11)))</formula>
    </cfRule>
    <cfRule type="containsText" dxfId="1120" priority="1344" operator="containsText" text="FL">
      <formula>NOT(ISERROR(SEARCH("FL",M11)))</formula>
    </cfRule>
    <cfRule type="containsText" dxfId="1119" priority="1343" operator="containsText" text="NL">
      <formula>NOT(ISERROR(SEARCH("NL",M11)))</formula>
    </cfRule>
    <cfRule type="containsText" dxfId="1118" priority="1342" operator="containsText" text="SP">
      <formula>NOT(ISERROR(SEARCH("SP",M11)))</formula>
    </cfRule>
  </conditionalFormatting>
  <conditionalFormatting sqref="M13:N14">
    <cfRule type="containsText" dxfId="1117" priority="1282" operator="containsText" text="SP">
      <formula>NOT(ISERROR(SEARCH("SP",M13)))</formula>
    </cfRule>
    <cfRule type="containsText" dxfId="1116" priority="1283" operator="containsText" text="NL">
      <formula>NOT(ISERROR(SEARCH("NL",M13)))</formula>
    </cfRule>
    <cfRule type="containsText" dxfId="1115" priority="1284" operator="containsText" text="FL">
      <formula>NOT(ISERROR(SEARCH("FL",M13)))</formula>
    </cfRule>
    <cfRule type="containsText" dxfId="1114" priority="1285" operator="containsText" text="SUS">
      <formula>NOT(ISERROR(SEARCH("SUS",M13)))</formula>
    </cfRule>
    <cfRule type="containsText" dxfId="1113" priority="1286" operator="containsText" text="EL">
      <formula>NOT(ISERROR(SEARCH("EL",M13)))</formula>
    </cfRule>
    <cfRule type="containsText" dxfId="1112" priority="1289" operator="containsText" text="AL">
      <formula>NOT(ISERROR(SEARCH("AL",M13)))</formula>
    </cfRule>
    <cfRule type="containsText" dxfId="1111" priority="1291" operator="containsText" text="OFF">
      <formula>NOT(ISERROR(SEARCH("OFF",M13)))</formula>
    </cfRule>
    <cfRule type="containsText" dxfId="1110" priority="1288" operator="containsText" text="Sick">
      <formula>NOT(ISERROR(SEARCH("Sick",M13)))</formula>
    </cfRule>
    <cfRule type="containsText" dxfId="1109" priority="1290" operator="containsText" text="MC">
      <formula>NOT(ISERROR(SEARCH("MC",M13)))</formula>
    </cfRule>
    <cfRule type="containsText" dxfId="1108" priority="1287" operator="containsText" text="AB">
      <formula>NOT(ISERROR(SEARCH("AB",M13)))</formula>
    </cfRule>
  </conditionalFormatting>
  <conditionalFormatting sqref="M19:N20">
    <cfRule type="containsText" dxfId="1107" priority="1331" operator="containsText" text="OFF">
      <formula>NOT(ISERROR(SEARCH("OFF",M19)))</formula>
    </cfRule>
    <cfRule type="containsText" dxfId="1106" priority="1330" operator="containsText" text="MC">
      <formula>NOT(ISERROR(SEARCH("MC",M19)))</formula>
    </cfRule>
    <cfRule type="containsText" dxfId="1105" priority="1329" operator="containsText" text="AL">
      <formula>NOT(ISERROR(SEARCH("AL",M19)))</formula>
    </cfRule>
  </conditionalFormatting>
  <conditionalFormatting sqref="M21:N23">
    <cfRule type="containsText" dxfId="1104" priority="1313" operator="containsText" text="NL">
      <formula>NOT(ISERROR(SEARCH("NL",M21)))</formula>
    </cfRule>
    <cfRule type="containsText" dxfId="1103" priority="1312" operator="containsText" text="SP">
      <formula>NOT(ISERROR(SEARCH("SP",M21)))</formula>
    </cfRule>
    <cfRule type="containsText" dxfId="1102" priority="1318" operator="containsText" text="Sick">
      <formula>NOT(ISERROR(SEARCH("Sick",M21)))</formula>
    </cfRule>
    <cfRule type="containsText" dxfId="1101" priority="1321" operator="containsText" text="OFF">
      <formula>NOT(ISERROR(SEARCH("OFF",M21)))</formula>
    </cfRule>
    <cfRule type="containsText" dxfId="1100" priority="1320" operator="containsText" text="MC">
      <formula>NOT(ISERROR(SEARCH("MC",M21)))</formula>
    </cfRule>
    <cfRule type="containsText" dxfId="1099" priority="1319" operator="containsText" text="AL">
      <formula>NOT(ISERROR(SEARCH("AL",M21)))</formula>
    </cfRule>
    <cfRule type="containsText" dxfId="1098" priority="1316" operator="containsText" text="EL">
      <formula>NOT(ISERROR(SEARCH("EL",M21)))</formula>
    </cfRule>
    <cfRule type="containsText" dxfId="1097" priority="1315" operator="containsText" text="SUS">
      <formula>NOT(ISERROR(SEARCH("SUS",M21)))</formula>
    </cfRule>
    <cfRule type="containsText" dxfId="1096" priority="1314" operator="containsText" text="FL">
      <formula>NOT(ISERROR(SEARCH("FL",M21)))</formula>
    </cfRule>
    <cfRule type="containsText" dxfId="1095" priority="1317" operator="containsText" text="AB">
      <formula>NOT(ISERROR(SEARCH("AB",M21)))</formula>
    </cfRule>
  </conditionalFormatting>
  <conditionalFormatting sqref="M25:N25">
    <cfRule type="containsText" dxfId="1094" priority="1302" operator="containsText" text="SP">
      <formula>NOT(ISERROR(SEARCH("SP",M25)))</formula>
    </cfRule>
    <cfRule type="containsText" dxfId="1093" priority="1309" operator="containsText" text="AL">
      <formula>NOT(ISERROR(SEARCH("AL",M25)))</formula>
    </cfRule>
    <cfRule type="containsText" dxfId="1092" priority="1311" operator="containsText" text="OFF">
      <formula>NOT(ISERROR(SEARCH("OFF",M25)))</formula>
    </cfRule>
    <cfRule type="containsText" dxfId="1091" priority="1304" operator="containsText" text="FL">
      <formula>NOT(ISERROR(SEARCH("FL",M25)))</formula>
    </cfRule>
    <cfRule type="containsText" dxfId="1090" priority="1303" operator="containsText" text="NL">
      <formula>NOT(ISERROR(SEARCH("NL",M25)))</formula>
    </cfRule>
    <cfRule type="containsText" dxfId="1089" priority="1310" operator="containsText" text="MC">
      <formula>NOT(ISERROR(SEARCH("MC",M25)))</formula>
    </cfRule>
    <cfRule type="containsText" dxfId="1088" priority="1305" operator="containsText" text="SUS">
      <formula>NOT(ISERROR(SEARCH("SUS",M25)))</formula>
    </cfRule>
    <cfRule type="containsText" dxfId="1087" priority="1306" operator="containsText" text="EL">
      <formula>NOT(ISERROR(SEARCH("EL",M25)))</formula>
    </cfRule>
    <cfRule type="containsText" dxfId="1086" priority="1307" operator="containsText" text="AB">
      <formula>NOT(ISERROR(SEARCH("AB",M25)))</formula>
    </cfRule>
    <cfRule type="containsText" dxfId="1085" priority="1308" operator="containsText" text="Sick">
      <formula>NOT(ISERROR(SEARCH("Sick",M25)))</formula>
    </cfRule>
  </conditionalFormatting>
  <conditionalFormatting sqref="O15:P15">
    <cfRule type="containsText" dxfId="1084" priority="1125" operator="containsText" text="SUS">
      <formula>NOT(ISERROR(SEARCH("SUS",O15)))</formula>
    </cfRule>
    <cfRule type="containsText" dxfId="1083" priority="1126" operator="containsText" text="EL">
      <formula>NOT(ISERROR(SEARCH("EL",O15)))</formula>
    </cfRule>
    <cfRule type="containsText" dxfId="1082" priority="1127" operator="containsText" text="AB">
      <formula>NOT(ISERROR(SEARCH("AB",O15)))</formula>
    </cfRule>
    <cfRule type="containsText" dxfId="1081" priority="1128" operator="containsText" text="Sick">
      <formula>NOT(ISERROR(SEARCH("Sick",O15)))</formula>
    </cfRule>
    <cfRule type="containsText" dxfId="1080" priority="1129" operator="containsText" text="AL">
      <formula>NOT(ISERROR(SEARCH("AL",O15)))</formula>
    </cfRule>
    <cfRule type="containsText" dxfId="1079" priority="1131" operator="containsText" text="OFF">
      <formula>NOT(ISERROR(SEARCH("OFF",O15)))</formula>
    </cfRule>
    <cfRule type="containsText" dxfId="1078" priority="1130" operator="containsText" text="MC">
      <formula>NOT(ISERROR(SEARCH("MC",O15)))</formula>
    </cfRule>
    <cfRule type="containsText" dxfId="1077" priority="1124" operator="containsText" text="FL">
      <formula>NOT(ISERROR(SEARCH("FL",O15)))</formula>
    </cfRule>
    <cfRule type="containsText" dxfId="1076" priority="1123" operator="containsText" text="NL">
      <formula>NOT(ISERROR(SEARCH("NL",O15)))</formula>
    </cfRule>
    <cfRule type="containsText" dxfId="1075" priority="1122" operator="containsText" text="SP">
      <formula>NOT(ISERROR(SEARCH("SP",O15)))</formula>
    </cfRule>
  </conditionalFormatting>
  <conditionalFormatting sqref="O19:AB19">
    <cfRule type="containsText" dxfId="1074" priority="911" operator="containsText" text="OFF">
      <formula>NOT(ISERROR(SEARCH("OFF",O19)))</formula>
    </cfRule>
    <cfRule type="containsText" dxfId="1073" priority="909" operator="containsText" text="AL">
      <formula>NOT(ISERROR(SEARCH("AL",O19)))</formula>
    </cfRule>
    <cfRule type="containsText" dxfId="1072" priority="910" operator="containsText" text="MC">
      <formula>NOT(ISERROR(SEARCH("MC",O19)))</formula>
    </cfRule>
  </conditionalFormatting>
  <conditionalFormatting sqref="P7">
    <cfRule type="containsText" dxfId="1071" priority="1100" operator="containsText" text="MC">
      <formula>NOT(ISERROR(SEARCH("MC",P7)))</formula>
    </cfRule>
    <cfRule type="containsText" dxfId="1070" priority="1094" operator="containsText" text="FL">
      <formula>NOT(ISERROR(SEARCH("FL",P7)))</formula>
    </cfRule>
    <cfRule type="containsText" dxfId="1069" priority="1093" operator="containsText" text="NL">
      <formula>NOT(ISERROR(SEARCH("NL",P7)))</formula>
    </cfRule>
    <cfRule type="containsText" dxfId="1068" priority="1092" operator="containsText" text="SP">
      <formula>NOT(ISERROR(SEARCH("SP",P7)))</formula>
    </cfRule>
    <cfRule type="containsText" dxfId="1067" priority="1096" operator="containsText" text="EL">
      <formula>NOT(ISERROR(SEARCH("EL",P7)))</formula>
    </cfRule>
    <cfRule type="containsText" dxfId="1066" priority="1095" operator="containsText" text="SUS">
      <formula>NOT(ISERROR(SEARCH("SUS",P7)))</formula>
    </cfRule>
    <cfRule type="containsText" dxfId="1065" priority="1101" operator="containsText" text="OFF">
      <formula>NOT(ISERROR(SEARCH("OFF",P7)))</formula>
    </cfRule>
    <cfRule type="containsText" dxfId="1064" priority="1099" operator="containsText" text="AL">
      <formula>NOT(ISERROR(SEARCH("AL",P7)))</formula>
    </cfRule>
    <cfRule type="containsText" dxfId="1063" priority="1098" operator="containsText" text="Sick">
      <formula>NOT(ISERROR(SEARCH("Sick",P7)))</formula>
    </cfRule>
    <cfRule type="containsText" dxfId="1062" priority="1097" operator="containsText" text="AB">
      <formula>NOT(ISERROR(SEARCH("AB",P7)))</formula>
    </cfRule>
  </conditionalFormatting>
  <conditionalFormatting sqref="P20">
    <cfRule type="containsText" dxfId="1061" priority="1261" operator="containsText" text="OFF">
      <formula>NOT(ISERROR(SEARCH("OFF",P20)))</formula>
    </cfRule>
    <cfRule type="containsText" dxfId="1060" priority="1257" operator="containsText" text="AB">
      <formula>NOT(ISERROR(SEARCH("AB",P20)))</formula>
    </cfRule>
    <cfRule type="containsText" dxfId="1059" priority="1256" operator="containsText" text="EL">
      <formula>NOT(ISERROR(SEARCH("EL",P20)))</formula>
    </cfRule>
    <cfRule type="containsText" dxfId="1058" priority="1255" operator="containsText" text="SUS">
      <formula>NOT(ISERROR(SEARCH("SUS",P20)))</formula>
    </cfRule>
    <cfRule type="containsText" dxfId="1057" priority="1253" operator="containsText" text="NL">
      <formula>NOT(ISERROR(SEARCH("NL",P20)))</formula>
    </cfRule>
    <cfRule type="containsText" dxfId="1056" priority="1252" operator="containsText" text="SP">
      <formula>NOT(ISERROR(SEARCH("SP",P20)))</formula>
    </cfRule>
    <cfRule type="containsText" dxfId="1055" priority="1258" operator="containsText" text="Sick">
      <formula>NOT(ISERROR(SEARCH("Sick",P20)))</formula>
    </cfRule>
    <cfRule type="containsText" dxfId="1054" priority="1260" operator="containsText" text="MC">
      <formula>NOT(ISERROR(SEARCH("MC",P20)))</formula>
    </cfRule>
    <cfRule type="containsText" dxfId="1053" priority="1254" operator="containsText" text="FL">
      <formula>NOT(ISERROR(SEARCH("FL",P20)))</formula>
    </cfRule>
    <cfRule type="containsText" dxfId="1052" priority="1259" operator="containsText" text="AL">
      <formula>NOT(ISERROR(SEARCH("AL",P20)))</formula>
    </cfRule>
  </conditionalFormatting>
  <conditionalFormatting sqref="P23">
    <cfRule type="containsText" dxfId="1051" priority="1201" operator="containsText" text="OFF">
      <formula>NOT(ISERROR(SEARCH("OFF",P23)))</formula>
    </cfRule>
    <cfRule type="containsText" dxfId="1050" priority="1199" operator="containsText" text="AL">
      <formula>NOT(ISERROR(SEARCH("AL",P23)))</formula>
    </cfRule>
    <cfRule type="containsText" dxfId="1049" priority="1195" operator="containsText" text="SUS">
      <formula>NOT(ISERROR(SEARCH("SUS",P23)))</formula>
    </cfRule>
    <cfRule type="containsText" dxfId="1048" priority="1196" operator="containsText" text="EL">
      <formula>NOT(ISERROR(SEARCH("EL",P23)))</formula>
    </cfRule>
    <cfRule type="containsText" dxfId="1047" priority="1197" operator="containsText" text="AB">
      <formula>NOT(ISERROR(SEARCH("AB",P23)))</formula>
    </cfRule>
    <cfRule type="containsText" dxfId="1046" priority="1198" operator="containsText" text="Sick">
      <formula>NOT(ISERROR(SEARCH("Sick",P23)))</formula>
    </cfRule>
    <cfRule type="containsText" dxfId="1045" priority="1193" operator="containsText" text="NL">
      <formula>NOT(ISERROR(SEARCH("NL",P23)))</formula>
    </cfRule>
    <cfRule type="containsText" dxfId="1044" priority="1200" operator="containsText" text="MC">
      <formula>NOT(ISERROR(SEARCH("MC",P23)))</formula>
    </cfRule>
    <cfRule type="containsText" dxfId="1043" priority="1192" operator="containsText" text="SP">
      <formula>NOT(ISERROR(SEARCH("SP",P23)))</formula>
    </cfRule>
    <cfRule type="containsText" dxfId="1042" priority="1194" operator="containsText" text="FL">
      <formula>NOT(ISERROR(SEARCH("FL",P23)))</formula>
    </cfRule>
  </conditionalFormatting>
  <conditionalFormatting sqref="R7">
    <cfRule type="containsText" dxfId="1041" priority="1085" operator="containsText" text="SUS">
      <formula>NOT(ISERROR(SEARCH("SUS",R7)))</formula>
    </cfRule>
    <cfRule type="containsText" dxfId="1040" priority="1082" operator="containsText" text="SP">
      <formula>NOT(ISERROR(SEARCH("SP",R7)))</formula>
    </cfRule>
    <cfRule type="containsText" dxfId="1039" priority="1086" operator="containsText" text="EL">
      <formula>NOT(ISERROR(SEARCH("EL",R7)))</formula>
    </cfRule>
    <cfRule type="containsText" dxfId="1038" priority="1083" operator="containsText" text="NL">
      <formula>NOT(ISERROR(SEARCH("NL",R7)))</formula>
    </cfRule>
    <cfRule type="containsText" dxfId="1037" priority="1091" operator="containsText" text="OFF">
      <formula>NOT(ISERROR(SEARCH("OFF",R7)))</formula>
    </cfRule>
    <cfRule type="containsText" dxfId="1036" priority="1090" operator="containsText" text="MC">
      <formula>NOT(ISERROR(SEARCH("MC",R7)))</formula>
    </cfRule>
    <cfRule type="containsText" dxfId="1035" priority="1089" operator="containsText" text="AL">
      <formula>NOT(ISERROR(SEARCH("AL",R7)))</formula>
    </cfRule>
    <cfRule type="containsText" dxfId="1034" priority="1088" operator="containsText" text="Sick">
      <formula>NOT(ISERROR(SEARCH("Sick",R7)))</formula>
    </cfRule>
    <cfRule type="containsText" dxfId="1033" priority="1087" operator="containsText" text="AB">
      <formula>NOT(ISERROR(SEARCH("AB",R7)))</formula>
    </cfRule>
    <cfRule type="containsText" dxfId="1032" priority="1084" operator="containsText" text="FL">
      <formula>NOT(ISERROR(SEARCH("FL",R7)))</formula>
    </cfRule>
  </conditionalFormatting>
  <conditionalFormatting sqref="R20">
    <cfRule type="containsText" dxfId="1031" priority="1249" operator="containsText" text="AL">
      <formula>NOT(ISERROR(SEARCH("AL",R20)))</formula>
    </cfRule>
    <cfRule type="containsText" dxfId="1030" priority="1248" operator="containsText" text="Sick">
      <formula>NOT(ISERROR(SEARCH("Sick",R20)))</formula>
    </cfRule>
    <cfRule type="containsText" dxfId="1029" priority="1247" operator="containsText" text="AB">
      <formula>NOT(ISERROR(SEARCH("AB",R20)))</formula>
    </cfRule>
    <cfRule type="containsText" dxfId="1028" priority="1246" operator="containsText" text="EL">
      <formula>NOT(ISERROR(SEARCH("EL",R20)))</formula>
    </cfRule>
    <cfRule type="containsText" dxfId="1027" priority="1245" operator="containsText" text="SUS">
      <formula>NOT(ISERROR(SEARCH("SUS",R20)))</formula>
    </cfRule>
    <cfRule type="containsText" dxfId="1026" priority="1244" operator="containsText" text="FL">
      <formula>NOT(ISERROR(SEARCH("FL",R20)))</formula>
    </cfRule>
    <cfRule type="containsText" dxfId="1025" priority="1243" operator="containsText" text="NL">
      <formula>NOT(ISERROR(SEARCH("NL",R20)))</formula>
    </cfRule>
    <cfRule type="containsText" dxfId="1024" priority="1242" operator="containsText" text="SP">
      <formula>NOT(ISERROR(SEARCH("SP",R20)))</formula>
    </cfRule>
    <cfRule type="containsText" dxfId="1023" priority="1250" operator="containsText" text="MC">
      <formula>NOT(ISERROR(SEARCH("MC",R20)))</formula>
    </cfRule>
    <cfRule type="containsText" dxfId="1022" priority="1251" operator="containsText" text="OFF">
      <formula>NOT(ISERROR(SEARCH("OFF",R20)))</formula>
    </cfRule>
  </conditionalFormatting>
  <conditionalFormatting sqref="R23">
    <cfRule type="containsText" dxfId="1021" priority="1208" operator="containsText" text="Sick">
      <formula>NOT(ISERROR(SEARCH("Sick",R23)))</formula>
    </cfRule>
    <cfRule type="containsText" dxfId="1020" priority="1209" operator="containsText" text="AL">
      <formula>NOT(ISERROR(SEARCH("AL",R23)))</formula>
    </cfRule>
    <cfRule type="containsText" dxfId="1019" priority="1210" operator="containsText" text="MC">
      <formula>NOT(ISERROR(SEARCH("MC",R23)))</formula>
    </cfRule>
    <cfRule type="containsText" dxfId="1018" priority="1211" operator="containsText" text="OFF">
      <formula>NOT(ISERROR(SEARCH("OFF",R23)))</formula>
    </cfRule>
    <cfRule type="containsText" dxfId="1017" priority="1204" operator="containsText" text="FL">
      <formula>NOT(ISERROR(SEARCH("FL",R23)))</formula>
    </cfRule>
    <cfRule type="containsText" dxfId="1016" priority="1202" operator="containsText" text="SP">
      <formula>NOT(ISERROR(SEARCH("SP",R23)))</formula>
    </cfRule>
    <cfRule type="containsText" dxfId="1015" priority="1203" operator="containsText" text="NL">
      <formula>NOT(ISERROR(SEARCH("NL",R23)))</formula>
    </cfRule>
    <cfRule type="containsText" dxfId="1014" priority="1205" operator="containsText" text="SUS">
      <formula>NOT(ISERROR(SEARCH("SUS",R23)))</formula>
    </cfRule>
    <cfRule type="containsText" dxfId="1013" priority="1206" operator="containsText" text="EL">
      <formula>NOT(ISERROR(SEARCH("EL",R23)))</formula>
    </cfRule>
    <cfRule type="containsText" dxfId="1012" priority="1207" operator="containsText" text="AB">
      <formula>NOT(ISERROR(SEARCH("AB",R23)))</formula>
    </cfRule>
  </conditionalFormatting>
  <conditionalFormatting sqref="T7">
    <cfRule type="containsText" dxfId="1011" priority="1081" operator="containsText" text="OFF">
      <formula>NOT(ISERROR(SEARCH("OFF",T7)))</formula>
    </cfRule>
    <cfRule type="containsText" dxfId="1010" priority="1079" operator="containsText" text="AL">
      <formula>NOT(ISERROR(SEARCH("AL",T7)))</formula>
    </cfRule>
    <cfRule type="containsText" dxfId="1009" priority="1080" operator="containsText" text="MC">
      <formula>NOT(ISERROR(SEARCH("MC",T7)))</formula>
    </cfRule>
    <cfRule type="containsText" dxfId="1008" priority="1078" operator="containsText" text="Sick">
      <formula>NOT(ISERROR(SEARCH("Sick",T7)))</formula>
    </cfRule>
    <cfRule type="containsText" dxfId="1007" priority="1077" operator="containsText" text="AB">
      <formula>NOT(ISERROR(SEARCH("AB",T7)))</formula>
    </cfRule>
    <cfRule type="containsText" dxfId="1006" priority="1076" operator="containsText" text="EL">
      <formula>NOT(ISERROR(SEARCH("EL",T7)))</formula>
    </cfRule>
    <cfRule type="containsText" dxfId="1005" priority="1075" operator="containsText" text="SUS">
      <formula>NOT(ISERROR(SEARCH("SUS",T7)))</formula>
    </cfRule>
    <cfRule type="containsText" dxfId="1004" priority="1074" operator="containsText" text="FL">
      <formula>NOT(ISERROR(SEARCH("FL",T7)))</formula>
    </cfRule>
    <cfRule type="containsText" dxfId="1003" priority="1073" operator="containsText" text="NL">
      <formula>NOT(ISERROR(SEARCH("NL",T7)))</formula>
    </cfRule>
    <cfRule type="containsText" dxfId="1002" priority="1072" operator="containsText" text="SP">
      <formula>NOT(ISERROR(SEARCH("SP",T7)))</formula>
    </cfRule>
  </conditionalFormatting>
  <conditionalFormatting sqref="T20">
    <cfRule type="containsText" dxfId="1001" priority="1239" operator="containsText" text="AL">
      <formula>NOT(ISERROR(SEARCH("AL",T20)))</formula>
    </cfRule>
    <cfRule type="containsText" dxfId="1000" priority="1238" operator="containsText" text="Sick">
      <formula>NOT(ISERROR(SEARCH("Sick",T20)))</formula>
    </cfRule>
    <cfRule type="containsText" dxfId="999" priority="1237" operator="containsText" text="AB">
      <formula>NOT(ISERROR(SEARCH("AB",T20)))</formula>
    </cfRule>
    <cfRule type="containsText" dxfId="998" priority="1236" operator="containsText" text="EL">
      <formula>NOT(ISERROR(SEARCH("EL",T20)))</formula>
    </cfRule>
    <cfRule type="containsText" dxfId="997" priority="1235" operator="containsText" text="SUS">
      <formula>NOT(ISERROR(SEARCH("SUS",T20)))</formula>
    </cfRule>
    <cfRule type="containsText" dxfId="996" priority="1233" operator="containsText" text="NL">
      <formula>NOT(ISERROR(SEARCH("NL",T20)))</formula>
    </cfRule>
    <cfRule type="containsText" dxfId="995" priority="1232" operator="containsText" text="SP">
      <formula>NOT(ISERROR(SEARCH("SP",T20)))</formula>
    </cfRule>
    <cfRule type="containsText" dxfId="994" priority="1241" operator="containsText" text="OFF">
      <formula>NOT(ISERROR(SEARCH("OFF",T20)))</formula>
    </cfRule>
    <cfRule type="containsText" dxfId="993" priority="1240" operator="containsText" text="MC">
      <formula>NOT(ISERROR(SEARCH("MC",T20)))</formula>
    </cfRule>
    <cfRule type="containsText" dxfId="992" priority="1234" operator="containsText" text="FL">
      <formula>NOT(ISERROR(SEARCH("FL",T20)))</formula>
    </cfRule>
  </conditionalFormatting>
  <conditionalFormatting sqref="T23">
    <cfRule type="containsText" dxfId="991" priority="1191" operator="containsText" text="OFF">
      <formula>NOT(ISERROR(SEARCH("OFF",T23)))</formula>
    </cfRule>
    <cfRule type="containsText" dxfId="990" priority="1185" operator="containsText" text="SUS">
      <formula>NOT(ISERROR(SEARCH("SUS",T23)))</formula>
    </cfRule>
    <cfRule type="containsText" dxfId="989" priority="1184" operator="containsText" text="FL">
      <formula>NOT(ISERROR(SEARCH("FL",T23)))</formula>
    </cfRule>
    <cfRule type="containsText" dxfId="988" priority="1187" operator="containsText" text="AB">
      <formula>NOT(ISERROR(SEARCH("AB",T23)))</formula>
    </cfRule>
    <cfRule type="containsText" dxfId="987" priority="1183" operator="containsText" text="NL">
      <formula>NOT(ISERROR(SEARCH("NL",T23)))</formula>
    </cfRule>
    <cfRule type="containsText" dxfId="986" priority="1182" operator="containsText" text="SP">
      <formula>NOT(ISERROR(SEARCH("SP",T23)))</formula>
    </cfRule>
    <cfRule type="containsText" dxfId="985" priority="1188" operator="containsText" text="Sick">
      <formula>NOT(ISERROR(SEARCH("Sick",T23)))</formula>
    </cfRule>
    <cfRule type="containsText" dxfId="984" priority="1190" operator="containsText" text="MC">
      <formula>NOT(ISERROR(SEARCH("MC",T23)))</formula>
    </cfRule>
    <cfRule type="containsText" dxfId="983" priority="1186" operator="containsText" text="EL">
      <formula>NOT(ISERROR(SEARCH("EL",T23)))</formula>
    </cfRule>
    <cfRule type="containsText" dxfId="982" priority="1189" operator="containsText" text="AL">
      <formula>NOT(ISERROR(SEARCH("AL",T23)))</formula>
    </cfRule>
  </conditionalFormatting>
  <conditionalFormatting sqref="V20">
    <cfRule type="containsText" dxfId="981" priority="1230" operator="containsText" text="MC">
      <formula>NOT(ISERROR(SEARCH("MC",V20)))</formula>
    </cfRule>
    <cfRule type="containsText" dxfId="980" priority="1229" operator="containsText" text="AL">
      <formula>NOT(ISERROR(SEARCH("AL",V20)))</formula>
    </cfRule>
    <cfRule type="containsText" dxfId="979" priority="1228" operator="containsText" text="Sick">
      <formula>NOT(ISERROR(SEARCH("Sick",V20)))</formula>
    </cfRule>
    <cfRule type="containsText" dxfId="978" priority="1227" operator="containsText" text="AB">
      <formula>NOT(ISERROR(SEARCH("AB",V20)))</formula>
    </cfRule>
    <cfRule type="containsText" dxfId="977" priority="1225" operator="containsText" text="SUS">
      <formula>NOT(ISERROR(SEARCH("SUS",V20)))</formula>
    </cfRule>
    <cfRule type="containsText" dxfId="976" priority="1224" operator="containsText" text="FL">
      <formula>NOT(ISERROR(SEARCH("FL",V20)))</formula>
    </cfRule>
    <cfRule type="containsText" dxfId="975" priority="1223" operator="containsText" text="NL">
      <formula>NOT(ISERROR(SEARCH("NL",V20)))</formula>
    </cfRule>
    <cfRule type="containsText" dxfId="974" priority="1222" operator="containsText" text="SP">
      <formula>NOT(ISERROR(SEARCH("SP",V20)))</formula>
    </cfRule>
    <cfRule type="containsText" dxfId="973" priority="1226" operator="containsText" text="EL">
      <formula>NOT(ISERROR(SEARCH("EL",V20)))</formula>
    </cfRule>
    <cfRule type="containsText" dxfId="972" priority="1231" operator="containsText" text="OFF">
      <formula>NOT(ISERROR(SEARCH("OFF",V20)))</formula>
    </cfRule>
  </conditionalFormatting>
  <conditionalFormatting sqref="V23">
    <cfRule type="containsText" dxfId="971" priority="1175" operator="containsText" text="SUS">
      <formula>NOT(ISERROR(SEARCH("SUS",V23)))</formula>
    </cfRule>
    <cfRule type="containsText" dxfId="970" priority="1181" operator="containsText" text="OFF">
      <formula>NOT(ISERROR(SEARCH("OFF",V23)))</formula>
    </cfRule>
    <cfRule type="containsText" dxfId="969" priority="1180" operator="containsText" text="MC">
      <formula>NOT(ISERROR(SEARCH("MC",V23)))</formula>
    </cfRule>
    <cfRule type="containsText" dxfId="968" priority="1179" operator="containsText" text="AL">
      <formula>NOT(ISERROR(SEARCH("AL",V23)))</formula>
    </cfRule>
    <cfRule type="containsText" dxfId="967" priority="1178" operator="containsText" text="Sick">
      <formula>NOT(ISERROR(SEARCH("Sick",V23)))</formula>
    </cfRule>
    <cfRule type="containsText" dxfId="966" priority="1177" operator="containsText" text="AB">
      <formula>NOT(ISERROR(SEARCH("AB",V23)))</formula>
    </cfRule>
    <cfRule type="containsText" dxfId="965" priority="1176" operator="containsText" text="EL">
      <formula>NOT(ISERROR(SEARCH("EL",V23)))</formula>
    </cfRule>
    <cfRule type="containsText" dxfId="964" priority="1174" operator="containsText" text="FL">
      <formula>NOT(ISERROR(SEARCH("FL",V23)))</formula>
    </cfRule>
    <cfRule type="containsText" dxfId="963" priority="1173" operator="containsText" text="NL">
      <formula>NOT(ISERROR(SEARCH("NL",V23)))</formula>
    </cfRule>
    <cfRule type="containsText" dxfId="962" priority="1172" operator="containsText" text="SP">
      <formula>NOT(ISERROR(SEARCH("SP",V23)))</formula>
    </cfRule>
  </conditionalFormatting>
  <conditionalFormatting sqref="V7:X7">
    <cfRule type="containsText" dxfId="961" priority="1059" operator="containsText" text="AL">
      <formula>NOT(ISERROR(SEARCH("AL",V7)))</formula>
    </cfRule>
    <cfRule type="containsText" dxfId="960" priority="1060" operator="containsText" text="MC">
      <formula>NOT(ISERROR(SEARCH("MC",V7)))</formula>
    </cfRule>
    <cfRule type="containsText" dxfId="959" priority="1061" operator="containsText" text="OFF">
      <formula>NOT(ISERROR(SEARCH("OFF",V7)))</formula>
    </cfRule>
    <cfRule type="containsText" dxfId="958" priority="1057" operator="containsText" text="AB">
      <formula>NOT(ISERROR(SEARCH("AB",V7)))</formula>
    </cfRule>
    <cfRule type="containsText" dxfId="957" priority="1056" operator="containsText" text="EL">
      <formula>NOT(ISERROR(SEARCH("EL",V7)))</formula>
    </cfRule>
    <cfRule type="containsText" dxfId="956" priority="1055" operator="containsText" text="SUS">
      <formula>NOT(ISERROR(SEARCH("SUS",V7)))</formula>
    </cfRule>
    <cfRule type="containsText" dxfId="955" priority="1054" operator="containsText" text="FL">
      <formula>NOT(ISERROR(SEARCH("FL",V7)))</formula>
    </cfRule>
    <cfRule type="containsText" dxfId="954" priority="1053" operator="containsText" text="NL">
      <formula>NOT(ISERROR(SEARCH("NL",V7)))</formula>
    </cfRule>
    <cfRule type="containsText" dxfId="953" priority="1058" operator="containsText" text="Sick">
      <formula>NOT(ISERROR(SEARCH("Sick",V7)))</formula>
    </cfRule>
    <cfRule type="containsText" dxfId="952" priority="1052" operator="containsText" text="SP">
      <formula>NOT(ISERROR(SEARCH("SP",V7)))</formula>
    </cfRule>
  </conditionalFormatting>
  <conditionalFormatting sqref="V11:X12">
    <cfRule type="containsText" dxfId="951" priority="1137" operator="containsText" text="AB">
      <formula>NOT(ISERROR(SEARCH("AB",V11)))</formula>
    </cfRule>
    <cfRule type="containsText" dxfId="950" priority="1138" operator="containsText" text="Sick">
      <formula>NOT(ISERROR(SEARCH("Sick",V11)))</formula>
    </cfRule>
    <cfRule type="containsText" dxfId="949" priority="1133" operator="containsText" text="NL">
      <formula>NOT(ISERROR(SEARCH("NL",V11)))</formula>
    </cfRule>
    <cfRule type="containsText" dxfId="948" priority="1139" operator="containsText" text="AL">
      <formula>NOT(ISERROR(SEARCH("AL",V11)))</formula>
    </cfRule>
    <cfRule type="containsText" dxfId="947" priority="1134" operator="containsText" text="FL">
      <formula>NOT(ISERROR(SEARCH("FL",V11)))</formula>
    </cfRule>
    <cfRule type="containsText" dxfId="946" priority="1132" operator="containsText" text="SP">
      <formula>NOT(ISERROR(SEARCH("SP",V11)))</formula>
    </cfRule>
    <cfRule type="containsText" dxfId="945" priority="1140" operator="containsText" text="MC">
      <formula>NOT(ISERROR(SEARCH("MC",V11)))</formula>
    </cfRule>
    <cfRule type="containsText" dxfId="944" priority="1141" operator="containsText" text="OFF">
      <formula>NOT(ISERROR(SEARCH("OFF",V11)))</formula>
    </cfRule>
    <cfRule type="containsText" dxfId="943" priority="1135" operator="containsText" text="SUS">
      <formula>NOT(ISERROR(SEARCH("SUS",V11)))</formula>
    </cfRule>
    <cfRule type="containsText" dxfId="942" priority="1136" operator="containsText" text="EL">
      <formula>NOT(ISERROR(SEARCH("EL",V11)))</formula>
    </cfRule>
  </conditionalFormatting>
  <conditionalFormatting sqref="V22:X22">
    <cfRule type="containsText" dxfId="941" priority="1108" operator="containsText" text="Sick">
      <formula>NOT(ISERROR(SEARCH("Sick",V22)))</formula>
    </cfRule>
    <cfRule type="containsText" dxfId="940" priority="1109" operator="containsText" text="AL">
      <formula>NOT(ISERROR(SEARCH("AL",V22)))</formula>
    </cfRule>
    <cfRule type="containsText" dxfId="939" priority="1107" operator="containsText" text="AB">
      <formula>NOT(ISERROR(SEARCH("AB",V22)))</formula>
    </cfRule>
    <cfRule type="containsText" dxfId="938" priority="1102" operator="containsText" text="SP">
      <formula>NOT(ISERROR(SEARCH("SP",V22)))</formula>
    </cfRule>
    <cfRule type="containsText" dxfId="937" priority="1103" operator="containsText" text="NL">
      <formula>NOT(ISERROR(SEARCH("NL",V22)))</formula>
    </cfRule>
    <cfRule type="containsText" dxfId="936" priority="1104" operator="containsText" text="FL">
      <formula>NOT(ISERROR(SEARCH("FL",V22)))</formula>
    </cfRule>
    <cfRule type="containsText" dxfId="935" priority="1105" operator="containsText" text="SUS">
      <formula>NOT(ISERROR(SEARCH("SUS",V22)))</formula>
    </cfRule>
    <cfRule type="containsText" dxfId="934" priority="1106" operator="containsText" text="EL">
      <formula>NOT(ISERROR(SEARCH("EL",V22)))</formula>
    </cfRule>
    <cfRule type="containsText" dxfId="933" priority="1111" operator="containsText" text="OFF">
      <formula>NOT(ISERROR(SEARCH("OFF",V22)))</formula>
    </cfRule>
    <cfRule type="containsText" dxfId="932" priority="1110" operator="containsText" text="MC">
      <formula>NOT(ISERROR(SEARCH("MC",V22)))</formula>
    </cfRule>
  </conditionalFormatting>
  <conditionalFormatting sqref="V24:X25">
    <cfRule type="containsText" dxfId="931" priority="1157" operator="containsText" text="AB">
      <formula>NOT(ISERROR(SEARCH("AB",V24)))</formula>
    </cfRule>
    <cfRule type="containsText" dxfId="930" priority="1152" operator="containsText" text="SP">
      <formula>NOT(ISERROR(SEARCH("SP",V24)))</formula>
    </cfRule>
    <cfRule type="containsText" dxfId="929" priority="1156" operator="containsText" text="EL">
      <formula>NOT(ISERROR(SEARCH("EL",V24)))</formula>
    </cfRule>
    <cfRule type="containsText" dxfId="928" priority="1155" operator="containsText" text="SUS">
      <formula>NOT(ISERROR(SEARCH("SUS",V24)))</formula>
    </cfRule>
    <cfRule type="containsText" dxfId="927" priority="1161" operator="containsText" text="OFF">
      <formula>NOT(ISERROR(SEARCH("OFF",V24)))</formula>
    </cfRule>
    <cfRule type="containsText" dxfId="926" priority="1160" operator="containsText" text="MC">
      <formula>NOT(ISERROR(SEARCH("MC",V24)))</formula>
    </cfRule>
    <cfRule type="containsText" dxfId="925" priority="1159" operator="containsText" text="AL">
      <formula>NOT(ISERROR(SEARCH("AL",V24)))</formula>
    </cfRule>
    <cfRule type="containsText" dxfId="924" priority="1153" operator="containsText" text="NL">
      <formula>NOT(ISERROR(SEARCH("NL",V24)))</formula>
    </cfRule>
    <cfRule type="containsText" dxfId="923" priority="1154" operator="containsText" text="FL">
      <formula>NOT(ISERROR(SEARCH("FL",V24)))</formula>
    </cfRule>
    <cfRule type="containsText" dxfId="922" priority="1158" operator="containsText" text="Sick">
      <formula>NOT(ISERROR(SEARCH("Sick",V24)))</formula>
    </cfRule>
  </conditionalFormatting>
  <conditionalFormatting sqref="V27:X28">
    <cfRule type="containsText" dxfId="921" priority="1150" operator="containsText" text="MC">
      <formula>NOT(ISERROR(SEARCH("MC",V27)))</formula>
    </cfRule>
    <cfRule type="containsText" dxfId="920" priority="1146" operator="containsText" text="EL">
      <formula>NOT(ISERROR(SEARCH("EL",V27)))</formula>
    </cfRule>
    <cfRule type="containsText" dxfId="919" priority="1142" operator="containsText" text="SP">
      <formula>NOT(ISERROR(SEARCH("SP",V27)))</formula>
    </cfRule>
    <cfRule type="containsText" dxfId="918" priority="1147" operator="containsText" text="AB">
      <formula>NOT(ISERROR(SEARCH("AB",V27)))</formula>
    </cfRule>
    <cfRule type="containsText" dxfId="917" priority="1148" operator="containsText" text="Sick">
      <formula>NOT(ISERROR(SEARCH("Sick",V27)))</formula>
    </cfRule>
    <cfRule type="containsText" dxfId="916" priority="1149" operator="containsText" text="AL">
      <formula>NOT(ISERROR(SEARCH("AL",V27)))</formula>
    </cfRule>
    <cfRule type="containsText" dxfId="915" priority="1143" operator="containsText" text="NL">
      <formula>NOT(ISERROR(SEARCH("NL",V27)))</formula>
    </cfRule>
    <cfRule type="containsText" dxfId="914" priority="1151" operator="containsText" text="OFF">
      <formula>NOT(ISERROR(SEARCH("OFF",V27)))</formula>
    </cfRule>
    <cfRule type="containsText" dxfId="913" priority="1144" operator="containsText" text="FL">
      <formula>NOT(ISERROR(SEARCH("FL",V27)))</formula>
    </cfRule>
    <cfRule type="containsText" dxfId="912" priority="1145" operator="containsText" text="SUS">
      <formula>NOT(ISERROR(SEARCH("SUS",V27)))</formula>
    </cfRule>
  </conditionalFormatting>
  <conditionalFormatting sqref="W29:X29">
    <cfRule type="containsText" dxfId="911" priority="1120" operator="containsText" text="MC">
      <formula>NOT(ISERROR(SEARCH("MC",W29)))</formula>
    </cfRule>
    <cfRule type="containsText" dxfId="910" priority="1119" operator="containsText" text="AL">
      <formula>NOT(ISERROR(SEARCH("AL",W29)))</formula>
    </cfRule>
    <cfRule type="containsText" dxfId="909" priority="1118" operator="containsText" text="Sick">
      <formula>NOT(ISERROR(SEARCH("Sick",W29)))</formula>
    </cfRule>
    <cfRule type="containsText" dxfId="908" priority="1114" operator="containsText" text="FL">
      <formula>NOT(ISERROR(SEARCH("FL",W29)))</formula>
    </cfRule>
    <cfRule type="containsText" dxfId="907" priority="1115" operator="containsText" text="SUS">
      <formula>NOT(ISERROR(SEARCH("SUS",W29)))</formula>
    </cfRule>
    <cfRule type="containsText" dxfId="906" priority="1116" operator="containsText" text="EL">
      <formula>NOT(ISERROR(SEARCH("EL",W29)))</formula>
    </cfRule>
    <cfRule type="containsText" dxfId="905" priority="1117" operator="containsText" text="AB">
      <formula>NOT(ISERROR(SEARCH("AB",W29)))</formula>
    </cfRule>
    <cfRule type="containsText" dxfId="904" priority="1112" operator="containsText" text="SP">
      <formula>NOT(ISERROR(SEARCH("SP",W29)))</formula>
    </cfRule>
    <cfRule type="containsText" dxfId="903" priority="1113" operator="containsText" text="NL">
      <formula>NOT(ISERROR(SEARCH("NL",W29)))</formula>
    </cfRule>
    <cfRule type="containsText" dxfId="902" priority="1121" operator="containsText" text="OFF">
      <formula>NOT(ISERROR(SEARCH("OFF",W29)))</formula>
    </cfRule>
  </conditionalFormatting>
  <conditionalFormatting sqref="W32:AH32">
    <cfRule type="containsText" dxfId="901" priority="12984" operator="containsText" text="AB">
      <formula>NOT(ISERROR(SEARCH("AB",W32)))</formula>
    </cfRule>
    <cfRule type="containsText" dxfId="900" priority="12986" operator="containsText" text="SICK">
      <formula>NOT(ISERROR(SEARCH("SICK",W32)))</formula>
    </cfRule>
    <cfRule type="containsText" dxfId="899" priority="12985" operator="containsText" text="AL">
      <formula>NOT(ISERROR(SEARCH("AL",W32)))</formula>
    </cfRule>
    <cfRule type="containsText" dxfId="898" priority="12987" operator="containsText" text="NL">
      <formula>NOT(ISERROR(SEARCH("NL",W32)))</formula>
    </cfRule>
  </conditionalFormatting>
  <conditionalFormatting sqref="X20">
    <cfRule type="containsText" dxfId="897" priority="1215" operator="containsText" text="SUS">
      <formula>NOT(ISERROR(SEARCH("SUS",X20)))</formula>
    </cfRule>
    <cfRule type="containsText" dxfId="896" priority="1214" operator="containsText" text="FL">
      <formula>NOT(ISERROR(SEARCH("FL",X20)))</formula>
    </cfRule>
    <cfRule type="containsText" dxfId="895" priority="1213" operator="containsText" text="NL">
      <formula>NOT(ISERROR(SEARCH("NL",X20)))</formula>
    </cfRule>
    <cfRule type="containsText" dxfId="894" priority="1212" operator="containsText" text="SP">
      <formula>NOT(ISERROR(SEARCH("SP",X20)))</formula>
    </cfRule>
    <cfRule type="containsText" dxfId="893" priority="1220" operator="containsText" text="MC">
      <formula>NOT(ISERROR(SEARCH("MC",X20)))</formula>
    </cfRule>
    <cfRule type="containsText" dxfId="892" priority="1217" operator="containsText" text="AB">
      <formula>NOT(ISERROR(SEARCH("AB",X20)))</formula>
    </cfRule>
    <cfRule type="containsText" dxfId="891" priority="1219" operator="containsText" text="AL">
      <formula>NOT(ISERROR(SEARCH("AL",X20)))</formula>
    </cfRule>
    <cfRule type="containsText" dxfId="890" priority="1218" operator="containsText" text="Sick">
      <formula>NOT(ISERROR(SEARCH("Sick",X20)))</formula>
    </cfRule>
    <cfRule type="containsText" dxfId="889" priority="1221" operator="containsText" text="OFF">
      <formula>NOT(ISERROR(SEARCH("OFF",X20)))</formula>
    </cfRule>
    <cfRule type="containsText" dxfId="888" priority="1216" operator="containsText" text="EL">
      <formula>NOT(ISERROR(SEARCH("EL",X20)))</formula>
    </cfRule>
  </conditionalFormatting>
  <conditionalFormatting sqref="X23">
    <cfRule type="containsText" dxfId="887" priority="1162" operator="containsText" text="SP">
      <formula>NOT(ISERROR(SEARCH("SP",X23)))</formula>
    </cfRule>
    <cfRule type="containsText" dxfId="886" priority="1163" operator="containsText" text="NL">
      <formula>NOT(ISERROR(SEARCH("NL",X23)))</formula>
    </cfRule>
    <cfRule type="containsText" dxfId="885" priority="1164" operator="containsText" text="FL">
      <formula>NOT(ISERROR(SEARCH("FL",X23)))</formula>
    </cfRule>
    <cfRule type="containsText" dxfId="884" priority="1165" operator="containsText" text="SUS">
      <formula>NOT(ISERROR(SEARCH("SUS",X23)))</formula>
    </cfRule>
    <cfRule type="containsText" dxfId="883" priority="1166" operator="containsText" text="EL">
      <formula>NOT(ISERROR(SEARCH("EL",X23)))</formula>
    </cfRule>
    <cfRule type="containsText" dxfId="882" priority="1167" operator="containsText" text="AB">
      <formula>NOT(ISERROR(SEARCH("AB",X23)))</formula>
    </cfRule>
    <cfRule type="containsText" dxfId="881" priority="1168" operator="containsText" text="Sick">
      <formula>NOT(ISERROR(SEARCH("Sick",X23)))</formula>
    </cfRule>
    <cfRule type="containsText" dxfId="880" priority="1169" operator="containsText" text="AL">
      <formula>NOT(ISERROR(SEARCH("AL",X23)))</formula>
    </cfRule>
    <cfRule type="containsText" dxfId="879" priority="1170" operator="containsText" text="MC">
      <formula>NOT(ISERROR(SEARCH("MC",X23)))</formula>
    </cfRule>
    <cfRule type="containsText" dxfId="878" priority="1171" operator="containsText" text="OFF">
      <formula>NOT(ISERROR(SEARCH("OFF",X23)))</formula>
    </cfRule>
  </conditionalFormatting>
  <conditionalFormatting sqref="Z7">
    <cfRule type="containsText" dxfId="877" priority="951" operator="containsText" text="OFF">
      <formula>NOT(ISERROR(SEARCH("OFF",Z7)))</formula>
    </cfRule>
    <cfRule type="containsText" dxfId="876" priority="950" operator="containsText" text="MC">
      <formula>NOT(ISERROR(SEARCH("MC",Z7)))</formula>
    </cfRule>
    <cfRule type="containsText" dxfId="875" priority="949" operator="containsText" text="AL">
      <formula>NOT(ISERROR(SEARCH("AL",Z7)))</formula>
    </cfRule>
    <cfRule type="containsText" dxfId="874" priority="948" operator="containsText" text="Sick">
      <formula>NOT(ISERROR(SEARCH("Sick",Z7)))</formula>
    </cfRule>
    <cfRule type="containsText" dxfId="873" priority="947" operator="containsText" text="AB">
      <formula>NOT(ISERROR(SEARCH("AB",Z7)))</formula>
    </cfRule>
    <cfRule type="containsText" dxfId="872" priority="946" operator="containsText" text="EL">
      <formula>NOT(ISERROR(SEARCH("EL",Z7)))</formula>
    </cfRule>
    <cfRule type="containsText" dxfId="871" priority="945" operator="containsText" text="SUS">
      <formula>NOT(ISERROR(SEARCH("SUS",Z7)))</formula>
    </cfRule>
    <cfRule type="containsText" dxfId="870" priority="944" operator="containsText" text="FL">
      <formula>NOT(ISERROR(SEARCH("FL",Z7)))</formula>
    </cfRule>
    <cfRule type="containsText" dxfId="869" priority="943" operator="containsText" text="NL">
      <formula>NOT(ISERROR(SEARCH("NL",Z7)))</formula>
    </cfRule>
    <cfRule type="containsText" dxfId="868" priority="942" operator="containsText" text="SP">
      <formula>NOT(ISERROR(SEARCH("SP",Z7)))</formula>
    </cfRule>
  </conditionalFormatting>
  <conditionalFormatting sqref="Z20">
    <cfRule type="containsText" dxfId="867" priority="1029" operator="containsText" text="AL">
      <formula>NOT(ISERROR(SEARCH("AL",Z20)))</formula>
    </cfRule>
    <cfRule type="containsText" dxfId="866" priority="1030" operator="containsText" text="MC">
      <formula>NOT(ISERROR(SEARCH("MC",Z20)))</formula>
    </cfRule>
    <cfRule type="containsText" dxfId="865" priority="1028" operator="containsText" text="Sick">
      <formula>NOT(ISERROR(SEARCH("Sick",Z20)))</formula>
    </cfRule>
    <cfRule type="containsText" dxfId="864" priority="1027" operator="containsText" text="AB">
      <formula>NOT(ISERROR(SEARCH("AB",Z20)))</formula>
    </cfRule>
    <cfRule type="containsText" dxfId="863" priority="1026" operator="containsText" text="EL">
      <formula>NOT(ISERROR(SEARCH("EL",Z20)))</formula>
    </cfRule>
    <cfRule type="containsText" dxfId="862" priority="1025" operator="containsText" text="SUS">
      <formula>NOT(ISERROR(SEARCH("SUS",Z20)))</formula>
    </cfRule>
    <cfRule type="containsText" dxfId="861" priority="1023" operator="containsText" text="NL">
      <formula>NOT(ISERROR(SEARCH("NL",Z20)))</formula>
    </cfRule>
    <cfRule type="containsText" dxfId="860" priority="1022" operator="containsText" text="SP">
      <formula>NOT(ISERROR(SEARCH("SP",Z20)))</formula>
    </cfRule>
    <cfRule type="containsText" dxfId="859" priority="1031" operator="containsText" text="OFF">
      <formula>NOT(ISERROR(SEARCH("OFF",Z20)))</formula>
    </cfRule>
    <cfRule type="containsText" dxfId="858" priority="1024" operator="containsText" text="FL">
      <formula>NOT(ISERROR(SEARCH("FL",Z20)))</formula>
    </cfRule>
  </conditionalFormatting>
  <conditionalFormatting sqref="Z22:Z24">
    <cfRule type="containsText" dxfId="857" priority="1020" operator="containsText" text="MC">
      <formula>NOT(ISERROR(SEARCH("MC",Z22)))</formula>
    </cfRule>
    <cfRule type="containsText" dxfId="856" priority="1019" operator="containsText" text="AL">
      <formula>NOT(ISERROR(SEARCH("AL",Z22)))</formula>
    </cfRule>
    <cfRule type="containsText" dxfId="855" priority="1018" operator="containsText" text="Sick">
      <formula>NOT(ISERROR(SEARCH("Sick",Z22)))</formula>
    </cfRule>
    <cfRule type="containsText" dxfId="854" priority="1017" operator="containsText" text="AB">
      <formula>NOT(ISERROR(SEARCH("AB",Z22)))</formula>
    </cfRule>
    <cfRule type="containsText" dxfId="853" priority="1016" operator="containsText" text="EL">
      <formula>NOT(ISERROR(SEARCH("EL",Z22)))</formula>
    </cfRule>
    <cfRule type="containsText" dxfId="852" priority="1015" operator="containsText" text="SUS">
      <formula>NOT(ISERROR(SEARCH("SUS",Z22)))</formula>
    </cfRule>
    <cfRule type="containsText" dxfId="851" priority="1013" operator="containsText" text="NL">
      <formula>NOT(ISERROR(SEARCH("NL",Z22)))</formula>
    </cfRule>
    <cfRule type="containsText" dxfId="850" priority="1012" operator="containsText" text="SP">
      <formula>NOT(ISERROR(SEARCH("SP",Z22)))</formula>
    </cfRule>
    <cfRule type="containsText" dxfId="849" priority="1014" operator="containsText" text="FL">
      <formula>NOT(ISERROR(SEARCH("FL",Z22)))</formula>
    </cfRule>
    <cfRule type="containsText" dxfId="848" priority="1021" operator="containsText" text="OFF">
      <formula>NOT(ISERROR(SEARCH("OFF",Z22)))</formula>
    </cfRule>
  </conditionalFormatting>
  <conditionalFormatting sqref="AA5:AB9 AA11:AB13">
    <cfRule type="containsText" dxfId="847" priority="938" operator="containsText" text="Sick">
      <formula>NOT(ISERROR(SEARCH("Sick",AA5)))</formula>
    </cfRule>
    <cfRule type="containsText" dxfId="846" priority="937" operator="containsText" text="AB">
      <formula>NOT(ISERROR(SEARCH("AB",AA5)))</formula>
    </cfRule>
    <cfRule type="containsText" dxfId="845" priority="939" operator="containsText" text="AL">
      <formula>NOT(ISERROR(SEARCH("AL",AA5)))</formula>
    </cfRule>
    <cfRule type="containsText" dxfId="844" priority="940" operator="containsText" text="MC">
      <formula>NOT(ISERROR(SEARCH("MC",AA5)))</formula>
    </cfRule>
    <cfRule type="containsText" dxfId="843" priority="941" operator="containsText" text="OFF">
      <formula>NOT(ISERROR(SEARCH("OFF",AA5)))</formula>
    </cfRule>
    <cfRule type="containsText" dxfId="842" priority="936" operator="containsText" text="EL">
      <formula>NOT(ISERROR(SEARCH("EL",AA5)))</formula>
    </cfRule>
  </conditionalFormatting>
  <conditionalFormatting sqref="AA7:AB9 AA11:AB13">
    <cfRule type="containsText" dxfId="841" priority="935" operator="containsText" text="SUS">
      <formula>NOT(ISERROR(SEARCH("SUS",AA7)))</formula>
    </cfRule>
    <cfRule type="containsText" dxfId="840" priority="934" operator="containsText" text="FL">
      <formula>NOT(ISERROR(SEARCH("FL",AA7)))</formula>
    </cfRule>
    <cfRule type="containsText" dxfId="839" priority="933" operator="containsText" text="NL">
      <formula>NOT(ISERROR(SEARCH("NL",AA7)))</formula>
    </cfRule>
    <cfRule type="containsText" dxfId="838" priority="932" operator="containsText" text="SP">
      <formula>NOT(ISERROR(SEARCH("SP",AA7)))</formula>
    </cfRule>
  </conditionalFormatting>
  <conditionalFormatting sqref="AA15:AB17">
    <cfRule type="containsText" dxfId="837" priority="913" operator="containsText" text="NL">
      <formula>NOT(ISERROR(SEARCH("NL",AA15)))</formula>
    </cfRule>
    <cfRule type="containsText" dxfId="836" priority="914" operator="containsText" text="FL">
      <formula>NOT(ISERROR(SEARCH("FL",AA15)))</formula>
    </cfRule>
    <cfRule type="containsText" dxfId="835" priority="915" operator="containsText" text="SUS">
      <formula>NOT(ISERROR(SEARCH("SUS",AA15)))</formula>
    </cfRule>
    <cfRule type="containsText" dxfId="834" priority="912" operator="containsText" text="SP">
      <formula>NOT(ISERROR(SEARCH("SP",AA15)))</formula>
    </cfRule>
    <cfRule type="containsText" dxfId="833" priority="917" operator="containsText" text="AB">
      <formula>NOT(ISERROR(SEARCH("AB",AA15)))</formula>
    </cfRule>
    <cfRule type="containsText" dxfId="832" priority="916" operator="containsText" text="EL">
      <formula>NOT(ISERROR(SEARCH("EL",AA15)))</formula>
    </cfRule>
    <cfRule type="containsText" dxfId="831" priority="921" operator="containsText" text="OFF">
      <formula>NOT(ISERROR(SEARCH("OFF",AA15)))</formula>
    </cfRule>
    <cfRule type="containsText" dxfId="830" priority="920" operator="containsText" text="MC">
      <formula>NOT(ISERROR(SEARCH("MC",AA15)))</formula>
    </cfRule>
    <cfRule type="containsText" dxfId="829" priority="919" operator="containsText" text="AL">
      <formula>NOT(ISERROR(SEARCH("AL",AA15)))</formula>
    </cfRule>
    <cfRule type="containsText" dxfId="828" priority="918" operator="containsText" text="Sick">
      <formula>NOT(ISERROR(SEARCH("Sick",AA15)))</formula>
    </cfRule>
  </conditionalFormatting>
  <conditionalFormatting sqref="AA23:AB23">
    <cfRule type="containsText" dxfId="827" priority="241" operator="containsText" text="OFF">
      <formula>NOT(ISERROR(SEARCH("OFF",AA23)))</formula>
    </cfRule>
    <cfRule type="containsText" dxfId="826" priority="232" operator="containsText" text="SP">
      <formula>NOT(ISERROR(SEARCH("SP",AA23)))</formula>
    </cfRule>
    <cfRule type="containsText" dxfId="825" priority="233" operator="containsText" text="NL">
      <formula>NOT(ISERROR(SEARCH("NL",AA23)))</formula>
    </cfRule>
    <cfRule type="containsText" dxfId="824" priority="234" operator="containsText" text="FL">
      <formula>NOT(ISERROR(SEARCH("FL",AA23)))</formula>
    </cfRule>
    <cfRule type="containsText" dxfId="823" priority="235" operator="containsText" text="SUS">
      <formula>NOT(ISERROR(SEARCH("SUS",AA23)))</formula>
    </cfRule>
    <cfRule type="containsText" dxfId="822" priority="236" operator="containsText" text="EL">
      <formula>NOT(ISERROR(SEARCH("EL",AA23)))</formula>
    </cfRule>
    <cfRule type="containsText" dxfId="821" priority="237" operator="containsText" text="AB">
      <formula>NOT(ISERROR(SEARCH("AB",AA23)))</formula>
    </cfRule>
    <cfRule type="containsText" dxfId="820" priority="238" operator="containsText" text="Sick">
      <formula>NOT(ISERROR(SEARCH("Sick",AA23)))</formula>
    </cfRule>
    <cfRule type="containsText" dxfId="819" priority="239" operator="containsText" text="AL">
      <formula>NOT(ISERROR(SEARCH("AL",AA23)))</formula>
    </cfRule>
    <cfRule type="containsText" dxfId="818" priority="240" operator="containsText" text="MC">
      <formula>NOT(ISERROR(SEARCH("MC",AA23)))</formula>
    </cfRule>
  </conditionalFormatting>
  <conditionalFormatting sqref="AA25:AB26">
    <cfRule type="containsText" dxfId="817" priority="891" operator="containsText" text="OFF">
      <formula>NOT(ISERROR(SEARCH("OFF",AA25)))</formula>
    </cfRule>
    <cfRule type="containsText" dxfId="816" priority="890" operator="containsText" text="MC">
      <formula>NOT(ISERROR(SEARCH("MC",AA25)))</formula>
    </cfRule>
    <cfRule type="containsText" dxfId="815" priority="888" operator="containsText" text="Sick">
      <formula>NOT(ISERROR(SEARCH("Sick",AA25)))</formula>
    </cfRule>
    <cfRule type="containsText" dxfId="814" priority="889" operator="containsText" text="AL">
      <formula>NOT(ISERROR(SEARCH("AL",AA25)))</formula>
    </cfRule>
    <cfRule type="containsText" dxfId="813" priority="887" operator="containsText" text="AB">
      <formula>NOT(ISERROR(SEARCH("AB",AA25)))</formula>
    </cfRule>
    <cfRule type="containsText" dxfId="812" priority="886" operator="containsText" text="EL">
      <formula>NOT(ISERROR(SEARCH("EL",AA25)))</formula>
    </cfRule>
    <cfRule type="containsText" dxfId="811" priority="885" operator="containsText" text="SUS">
      <formula>NOT(ISERROR(SEARCH("SUS",AA25)))</formula>
    </cfRule>
    <cfRule type="containsText" dxfId="810" priority="884" operator="containsText" text="FL">
      <formula>NOT(ISERROR(SEARCH("FL",AA25)))</formula>
    </cfRule>
    <cfRule type="containsText" dxfId="809" priority="883" operator="containsText" text="NL">
      <formula>NOT(ISERROR(SEARCH("NL",AA25)))</formula>
    </cfRule>
    <cfRule type="containsText" dxfId="808" priority="882" operator="containsText" text="SP">
      <formula>NOT(ISERROR(SEARCH("SP",AA25)))</formula>
    </cfRule>
  </conditionalFormatting>
  <conditionalFormatting sqref="AA28:AB28">
    <cfRule type="containsText" dxfId="807" priority="880" operator="containsText" text="MC">
      <formula>NOT(ISERROR(SEARCH("MC",AA28)))</formula>
    </cfRule>
    <cfRule type="containsText" dxfId="806" priority="881" operator="containsText" text="OFF">
      <formula>NOT(ISERROR(SEARCH("OFF",AA28)))</formula>
    </cfRule>
    <cfRule type="containsText" dxfId="805" priority="879" operator="containsText" text="AL">
      <formula>NOT(ISERROR(SEARCH("AL",AA28)))</formula>
    </cfRule>
    <cfRule type="containsText" dxfId="804" priority="878" operator="containsText" text="Sick">
      <formula>NOT(ISERROR(SEARCH("Sick",AA28)))</formula>
    </cfRule>
    <cfRule type="containsText" dxfId="803" priority="877" operator="containsText" text="AB">
      <formula>NOT(ISERROR(SEARCH("AB",AA28)))</formula>
    </cfRule>
    <cfRule type="containsText" dxfId="802" priority="876" operator="containsText" text="EL">
      <formula>NOT(ISERROR(SEARCH("EL",AA28)))</formula>
    </cfRule>
    <cfRule type="containsText" dxfId="801" priority="875" operator="containsText" text="SUS">
      <formula>NOT(ISERROR(SEARCH("SUS",AA28)))</formula>
    </cfRule>
    <cfRule type="containsText" dxfId="800" priority="874" operator="containsText" text="FL">
      <formula>NOT(ISERROR(SEARCH("FL",AA28)))</formula>
    </cfRule>
    <cfRule type="containsText" dxfId="799" priority="873" operator="containsText" text="NL">
      <formula>NOT(ISERROR(SEARCH("NL",AA28)))</formula>
    </cfRule>
    <cfRule type="containsText" dxfId="798" priority="872" operator="containsText" text="SP">
      <formula>NOT(ISERROR(SEARCH("SP",AA28)))</formula>
    </cfRule>
  </conditionalFormatting>
  <conditionalFormatting sqref="AA32:AB32">
    <cfRule type="containsText" dxfId="797" priority="13024" stopIfTrue="1" operator="containsText" text="AL">
      <formula>NOT(ISERROR(SEARCH("AL",AA32)))</formula>
    </cfRule>
    <cfRule type="containsText" dxfId="796" priority="13025" stopIfTrue="1" operator="containsText" text="SP">
      <formula>NOT(ISERROR(SEARCH("SP",AA32)))</formula>
    </cfRule>
    <cfRule type="containsText" dxfId="795" priority="13026" stopIfTrue="1" operator="containsText" text="SICK">
      <formula>NOT(ISERROR(SEARCH("SICK",AA32)))</formula>
    </cfRule>
  </conditionalFormatting>
  <conditionalFormatting sqref="AB20">
    <cfRule type="containsText" dxfId="794" priority="1007" operator="containsText" text="AB">
      <formula>NOT(ISERROR(SEARCH("AB",AB20)))</formula>
    </cfRule>
    <cfRule type="containsText" dxfId="793" priority="1008" operator="containsText" text="Sick">
      <formula>NOT(ISERROR(SEARCH("Sick",AB20)))</formula>
    </cfRule>
    <cfRule type="containsText" dxfId="792" priority="1009" operator="containsText" text="AL">
      <formula>NOT(ISERROR(SEARCH("AL",AB20)))</formula>
    </cfRule>
    <cfRule type="containsText" dxfId="791" priority="1002" operator="containsText" text="SP">
      <formula>NOT(ISERROR(SEARCH("SP",AB20)))</formula>
    </cfRule>
    <cfRule type="containsText" dxfId="790" priority="1010" operator="containsText" text="MC">
      <formula>NOT(ISERROR(SEARCH("MC",AB20)))</formula>
    </cfRule>
    <cfRule type="containsText" dxfId="789" priority="1003" operator="containsText" text="NL">
      <formula>NOT(ISERROR(SEARCH("NL",AB20)))</formula>
    </cfRule>
    <cfRule type="containsText" dxfId="788" priority="1004" operator="containsText" text="FL">
      <formula>NOT(ISERROR(SEARCH("FL",AB20)))</formula>
    </cfRule>
    <cfRule type="containsText" dxfId="787" priority="1005" operator="containsText" text="SUS">
      <formula>NOT(ISERROR(SEARCH("SUS",AB20)))</formula>
    </cfRule>
    <cfRule type="containsText" dxfId="786" priority="1006" operator="containsText" text="EL">
      <formula>NOT(ISERROR(SEARCH("EL",AB20)))</formula>
    </cfRule>
    <cfRule type="containsText" dxfId="785" priority="1011" operator="containsText" text="OFF">
      <formula>NOT(ISERROR(SEARCH("OFF",AB20)))</formula>
    </cfRule>
  </conditionalFormatting>
  <conditionalFormatting sqref="AC5:AH6">
    <cfRule type="containsText" dxfId="784" priority="810" operator="containsText" text="MC">
      <formula>NOT(ISERROR(SEARCH("MC",AC5)))</formula>
    </cfRule>
    <cfRule type="containsText" dxfId="783" priority="808" operator="containsText" text="Sick">
      <formula>NOT(ISERROR(SEARCH("Sick",AC5)))</formula>
    </cfRule>
    <cfRule type="containsText" dxfId="782" priority="811" operator="containsText" text="OFF">
      <formula>NOT(ISERROR(SEARCH("OFF",AC5)))</formula>
    </cfRule>
    <cfRule type="containsText" dxfId="781" priority="806" operator="containsText" text="EL">
      <formula>NOT(ISERROR(SEARCH("EL",AC5)))</formula>
    </cfRule>
    <cfRule type="containsText" dxfId="780" priority="807" operator="containsText" text="AB">
      <formula>NOT(ISERROR(SEARCH("AB",AC5)))</formula>
    </cfRule>
    <cfRule type="containsText" dxfId="779" priority="809" operator="containsText" text="AL">
      <formula>NOT(ISERROR(SEARCH("AL",AC5)))</formula>
    </cfRule>
  </conditionalFormatting>
  <conditionalFormatting sqref="AC8:AH9">
    <cfRule type="containsText" dxfId="778" priority="817" operator="containsText" text="AB">
      <formula>NOT(ISERROR(SEARCH("AB",AC8)))</formula>
    </cfRule>
    <cfRule type="containsText" dxfId="777" priority="815" operator="containsText" text="SUS">
      <formula>NOT(ISERROR(SEARCH("SUS",AC8)))</formula>
    </cfRule>
    <cfRule type="containsText" dxfId="776" priority="814" operator="containsText" text="FL">
      <formula>NOT(ISERROR(SEARCH("FL",AC8)))</formula>
    </cfRule>
    <cfRule type="containsText" dxfId="775" priority="813" operator="containsText" text="NL">
      <formula>NOT(ISERROR(SEARCH("NL",AC8)))</formula>
    </cfRule>
    <cfRule type="containsText" dxfId="774" priority="812" operator="containsText" text="SP">
      <formula>NOT(ISERROR(SEARCH("SP",AC8)))</formula>
    </cfRule>
    <cfRule type="containsText" dxfId="773" priority="816" operator="containsText" text="EL">
      <formula>NOT(ISERROR(SEARCH("EL",AC8)))</formula>
    </cfRule>
    <cfRule type="containsText" dxfId="772" priority="821" operator="containsText" text="OFF">
      <formula>NOT(ISERROR(SEARCH("OFF",AC8)))</formula>
    </cfRule>
    <cfRule type="containsText" dxfId="771" priority="820" operator="containsText" text="MC">
      <formula>NOT(ISERROR(SEARCH("MC",AC8)))</formula>
    </cfRule>
    <cfRule type="containsText" dxfId="770" priority="819" operator="containsText" text="AL">
      <formula>NOT(ISERROR(SEARCH("AL",AC8)))</formula>
    </cfRule>
    <cfRule type="containsText" dxfId="769" priority="818" operator="containsText" text="Sick">
      <formula>NOT(ISERROR(SEARCH("Sick",AC8)))</formula>
    </cfRule>
  </conditionalFormatting>
  <conditionalFormatting sqref="AC19:AH19">
    <cfRule type="containsText" dxfId="768" priority="822" operator="containsText" text="SP">
      <formula>NOT(ISERROR(SEARCH("SP",AC19)))</formula>
    </cfRule>
    <cfRule type="containsText" dxfId="767" priority="823" operator="containsText" text="NL">
      <formula>NOT(ISERROR(SEARCH("NL",AC19)))</formula>
    </cfRule>
    <cfRule type="containsText" dxfId="766" priority="824" operator="containsText" text="FL">
      <formula>NOT(ISERROR(SEARCH("FL",AC19)))</formula>
    </cfRule>
    <cfRule type="containsText" dxfId="765" priority="825" operator="containsText" text="SUS">
      <formula>NOT(ISERROR(SEARCH("SUS",AC19)))</formula>
    </cfRule>
    <cfRule type="containsText" dxfId="764" priority="826" operator="containsText" text="EL">
      <formula>NOT(ISERROR(SEARCH("EL",AC19)))</formula>
    </cfRule>
    <cfRule type="containsText" dxfId="763" priority="831" operator="containsText" text="OFF">
      <formula>NOT(ISERROR(SEARCH("OFF",AC19)))</formula>
    </cfRule>
    <cfRule type="containsText" dxfId="762" priority="830" operator="containsText" text="MC">
      <formula>NOT(ISERROR(SEARCH("MC",AC19)))</formula>
    </cfRule>
    <cfRule type="containsText" dxfId="761" priority="829" operator="containsText" text="AL">
      <formula>NOT(ISERROR(SEARCH("AL",AC19)))</formula>
    </cfRule>
    <cfRule type="containsText" dxfId="760" priority="827" operator="containsText" text="AB">
      <formula>NOT(ISERROR(SEARCH("AB",AC19)))</formula>
    </cfRule>
    <cfRule type="containsText" dxfId="759" priority="828" operator="containsText" text="Sick">
      <formula>NOT(ISERROR(SEARCH("Sick",AC19)))</formula>
    </cfRule>
  </conditionalFormatting>
  <conditionalFormatting sqref="AD20">
    <cfRule type="containsText" dxfId="758" priority="995" operator="containsText" text="SUS">
      <formula>NOT(ISERROR(SEARCH("SUS",AD20)))</formula>
    </cfRule>
    <cfRule type="containsText" dxfId="757" priority="994" operator="containsText" text="FL">
      <formula>NOT(ISERROR(SEARCH("FL",AD20)))</formula>
    </cfRule>
    <cfRule type="containsText" dxfId="756" priority="993" operator="containsText" text="NL">
      <formula>NOT(ISERROR(SEARCH("NL",AD20)))</formula>
    </cfRule>
    <cfRule type="containsText" dxfId="755" priority="992" operator="containsText" text="SP">
      <formula>NOT(ISERROR(SEARCH("SP",AD20)))</formula>
    </cfRule>
    <cfRule type="containsText" dxfId="754" priority="996" operator="containsText" text="EL">
      <formula>NOT(ISERROR(SEARCH("EL",AD20)))</formula>
    </cfRule>
    <cfRule type="containsText" dxfId="753" priority="1001" operator="containsText" text="OFF">
      <formula>NOT(ISERROR(SEARCH("OFF",AD20)))</formula>
    </cfRule>
    <cfRule type="containsText" dxfId="752" priority="1000" operator="containsText" text="MC">
      <formula>NOT(ISERROR(SEARCH("MC",AD20)))</formula>
    </cfRule>
    <cfRule type="containsText" dxfId="751" priority="999" operator="containsText" text="AL">
      <formula>NOT(ISERROR(SEARCH("AL",AD20)))</formula>
    </cfRule>
    <cfRule type="containsText" dxfId="750" priority="998" operator="containsText" text="Sick">
      <formula>NOT(ISERROR(SEARCH("Sick",AD20)))</formula>
    </cfRule>
    <cfRule type="containsText" dxfId="749" priority="997" operator="containsText" text="AB">
      <formula>NOT(ISERROR(SEARCH("AB",AD20)))</formula>
    </cfRule>
  </conditionalFormatting>
  <conditionalFormatting sqref="AD23">
    <cfRule type="containsText" dxfId="748" priority="980" operator="containsText" text="MC">
      <formula>NOT(ISERROR(SEARCH("MC",AD23)))</formula>
    </cfRule>
    <cfRule type="containsText" dxfId="747" priority="981" operator="containsText" text="OFF">
      <formula>NOT(ISERROR(SEARCH("OFF",AD23)))</formula>
    </cfRule>
    <cfRule type="containsText" dxfId="746" priority="973" operator="containsText" text="NL">
      <formula>NOT(ISERROR(SEARCH("NL",AD23)))</formula>
    </cfRule>
    <cfRule type="containsText" dxfId="745" priority="972" operator="containsText" text="SP">
      <formula>NOT(ISERROR(SEARCH("SP",AD23)))</formula>
    </cfRule>
    <cfRule type="containsText" dxfId="744" priority="974" operator="containsText" text="FL">
      <formula>NOT(ISERROR(SEARCH("FL",AD23)))</formula>
    </cfRule>
    <cfRule type="containsText" dxfId="743" priority="975" operator="containsText" text="SUS">
      <formula>NOT(ISERROR(SEARCH("SUS",AD23)))</formula>
    </cfRule>
    <cfRule type="containsText" dxfId="742" priority="976" operator="containsText" text="EL">
      <formula>NOT(ISERROR(SEARCH("EL",AD23)))</formula>
    </cfRule>
    <cfRule type="containsText" dxfId="741" priority="979" operator="containsText" text="AL">
      <formula>NOT(ISERROR(SEARCH("AL",AD23)))</formula>
    </cfRule>
    <cfRule type="containsText" dxfId="740" priority="977" operator="containsText" text="AB">
      <formula>NOT(ISERROR(SEARCH("AB",AD23)))</formula>
    </cfRule>
    <cfRule type="containsText" dxfId="739" priority="978" operator="containsText" text="Sick">
      <formula>NOT(ISERROR(SEARCH("Sick",AD23)))</formula>
    </cfRule>
  </conditionalFormatting>
  <conditionalFormatting sqref="AE25:AF25">
    <cfRule type="containsText" dxfId="738" priority="866" operator="containsText" text="EL">
      <formula>NOT(ISERROR(SEARCH("EL",AE25)))</formula>
    </cfRule>
    <cfRule type="containsText" dxfId="737" priority="867" operator="containsText" text="AB">
      <formula>NOT(ISERROR(SEARCH("AB",AE25)))</formula>
    </cfRule>
    <cfRule type="containsText" dxfId="736" priority="868" operator="containsText" text="Sick">
      <formula>NOT(ISERROR(SEARCH("Sick",AE25)))</formula>
    </cfRule>
    <cfRule type="containsText" dxfId="735" priority="869" operator="containsText" text="AL">
      <formula>NOT(ISERROR(SEARCH("AL",AE25)))</formula>
    </cfRule>
    <cfRule type="containsText" dxfId="734" priority="863" operator="containsText" text="NL">
      <formula>NOT(ISERROR(SEARCH("NL",AE25)))</formula>
    </cfRule>
    <cfRule type="containsText" dxfId="733" priority="871" operator="containsText" text="OFF">
      <formula>NOT(ISERROR(SEARCH("OFF",AE25)))</formula>
    </cfRule>
    <cfRule type="containsText" dxfId="732" priority="862" operator="containsText" text="SP">
      <formula>NOT(ISERROR(SEARCH("SP",AE25)))</formula>
    </cfRule>
    <cfRule type="containsText" dxfId="731" priority="865" operator="containsText" text="SUS">
      <formula>NOT(ISERROR(SEARCH("SUS",AE25)))</formula>
    </cfRule>
    <cfRule type="containsText" dxfId="730" priority="864" operator="containsText" text="FL">
      <formula>NOT(ISERROR(SEARCH("FL",AE25)))</formula>
    </cfRule>
    <cfRule type="containsText" dxfId="729" priority="870" operator="containsText" text="MC">
      <formula>NOT(ISERROR(SEARCH("MC",AE25)))</formula>
    </cfRule>
  </conditionalFormatting>
  <conditionalFormatting sqref="AF7">
    <cfRule type="containsText" dxfId="728" priority="789" operator="containsText" text="AL">
      <formula>NOT(ISERROR(SEARCH("AL",AF7)))</formula>
    </cfRule>
    <cfRule type="containsText" dxfId="727" priority="784" operator="containsText" text="FL">
      <formula>NOT(ISERROR(SEARCH("FL",AF7)))</formula>
    </cfRule>
    <cfRule type="containsText" dxfId="726" priority="783" operator="containsText" text="NL">
      <formula>NOT(ISERROR(SEARCH("NL",AF7)))</formula>
    </cfRule>
    <cfRule type="containsText" dxfId="725" priority="786" operator="containsText" text="EL">
      <formula>NOT(ISERROR(SEARCH("EL",AF7)))</formula>
    </cfRule>
    <cfRule type="containsText" dxfId="724" priority="791" operator="containsText" text="OFF">
      <formula>NOT(ISERROR(SEARCH("OFF",AF7)))</formula>
    </cfRule>
    <cfRule type="containsText" dxfId="723" priority="782" operator="containsText" text="SP">
      <formula>NOT(ISERROR(SEARCH("SP",AF7)))</formula>
    </cfRule>
    <cfRule type="containsText" dxfId="722" priority="790" operator="containsText" text="MC">
      <formula>NOT(ISERROR(SEARCH("MC",AF7)))</formula>
    </cfRule>
    <cfRule type="containsText" dxfId="721" priority="788" operator="containsText" text="Sick">
      <formula>NOT(ISERROR(SEARCH("Sick",AF7)))</formula>
    </cfRule>
    <cfRule type="containsText" dxfId="720" priority="787" operator="containsText" text="AB">
      <formula>NOT(ISERROR(SEARCH("AB",AF7)))</formula>
    </cfRule>
    <cfRule type="containsText" dxfId="719" priority="785" operator="containsText" text="SUS">
      <formula>NOT(ISERROR(SEARCH("SUS",AF7)))</formula>
    </cfRule>
  </conditionalFormatting>
  <conditionalFormatting sqref="AF11:AF12">
    <cfRule type="containsText" dxfId="718" priority="927" operator="containsText" text="AB">
      <formula>NOT(ISERROR(SEARCH("AB",AF11)))</formula>
    </cfRule>
    <cfRule type="containsText" dxfId="717" priority="926" operator="containsText" text="EL">
      <formula>NOT(ISERROR(SEARCH("EL",AF11)))</formula>
    </cfRule>
    <cfRule type="containsText" dxfId="716" priority="925" operator="containsText" text="SUS">
      <formula>NOT(ISERROR(SEARCH("SUS",AF11)))</formula>
    </cfRule>
    <cfRule type="containsText" dxfId="715" priority="923" operator="containsText" text="NL">
      <formula>NOT(ISERROR(SEARCH("NL",AF11)))</formula>
    </cfRule>
    <cfRule type="containsText" dxfId="714" priority="922" operator="containsText" text="SP">
      <formula>NOT(ISERROR(SEARCH("SP",AF11)))</formula>
    </cfRule>
    <cfRule type="containsText" dxfId="713" priority="924" operator="containsText" text="FL">
      <formula>NOT(ISERROR(SEARCH("FL",AF11)))</formula>
    </cfRule>
    <cfRule type="containsText" dxfId="712" priority="931" operator="containsText" text="OFF">
      <formula>NOT(ISERROR(SEARCH("OFF",AF11)))</formula>
    </cfRule>
    <cfRule type="containsText" dxfId="711" priority="930" operator="containsText" text="MC">
      <formula>NOT(ISERROR(SEARCH("MC",AF11)))</formula>
    </cfRule>
    <cfRule type="containsText" dxfId="710" priority="929" operator="containsText" text="AL">
      <formula>NOT(ISERROR(SEARCH("AL",AF11)))</formula>
    </cfRule>
    <cfRule type="containsText" dxfId="709" priority="928" operator="containsText" text="Sick">
      <formula>NOT(ISERROR(SEARCH("Sick",AF11)))</formula>
    </cfRule>
  </conditionalFormatting>
  <conditionalFormatting sqref="AF22">
    <cfRule type="containsText" dxfId="708" priority="967" operator="containsText" text="AB">
      <formula>NOT(ISERROR(SEARCH("AB",AF22)))</formula>
    </cfRule>
    <cfRule type="containsText" dxfId="707" priority="969" operator="containsText" text="AL">
      <formula>NOT(ISERROR(SEARCH("AL",AF22)))</formula>
    </cfRule>
    <cfRule type="containsText" dxfId="706" priority="968" operator="containsText" text="Sick">
      <formula>NOT(ISERROR(SEARCH("Sick",AF22)))</formula>
    </cfRule>
    <cfRule type="containsText" dxfId="705" priority="966" operator="containsText" text="EL">
      <formula>NOT(ISERROR(SEARCH("EL",AF22)))</formula>
    </cfRule>
    <cfRule type="containsText" dxfId="704" priority="965" operator="containsText" text="SUS">
      <formula>NOT(ISERROR(SEARCH("SUS",AF22)))</formula>
    </cfRule>
    <cfRule type="containsText" dxfId="703" priority="964" operator="containsText" text="FL">
      <formula>NOT(ISERROR(SEARCH("FL",AF22)))</formula>
    </cfRule>
    <cfRule type="containsText" dxfId="702" priority="963" operator="containsText" text="NL">
      <formula>NOT(ISERROR(SEARCH("NL",AF22)))</formula>
    </cfRule>
    <cfRule type="containsText" dxfId="701" priority="962" operator="containsText" text="SP">
      <formula>NOT(ISERROR(SEARCH("SP",AF22)))</formula>
    </cfRule>
    <cfRule type="containsText" dxfId="700" priority="970" operator="containsText" text="MC">
      <formula>NOT(ISERROR(SEARCH("MC",AF22)))</formula>
    </cfRule>
    <cfRule type="containsText" dxfId="699" priority="971" operator="containsText" text="OFF">
      <formula>NOT(ISERROR(SEARCH("OFF",AF22)))</formula>
    </cfRule>
  </conditionalFormatting>
  <conditionalFormatting sqref="AF24">
    <cfRule type="containsText" dxfId="698" priority="856" operator="containsText" text="EL">
      <formula>NOT(ISERROR(SEARCH("EL",AF24)))</formula>
    </cfRule>
    <cfRule type="containsText" dxfId="697" priority="855" operator="containsText" text="SUS">
      <formula>NOT(ISERROR(SEARCH("SUS",AF24)))</formula>
    </cfRule>
    <cfRule type="containsText" dxfId="696" priority="854" operator="containsText" text="FL">
      <formula>NOT(ISERROR(SEARCH("FL",AF24)))</formula>
    </cfRule>
    <cfRule type="containsText" dxfId="695" priority="853" operator="containsText" text="NL">
      <formula>NOT(ISERROR(SEARCH("NL",AF24)))</formula>
    </cfRule>
    <cfRule type="containsText" dxfId="694" priority="852" operator="containsText" text="SP">
      <formula>NOT(ISERROR(SEARCH("SP",AF24)))</formula>
    </cfRule>
    <cfRule type="containsText" dxfId="693" priority="861" operator="containsText" text="OFF">
      <formula>NOT(ISERROR(SEARCH("OFF",AF24)))</formula>
    </cfRule>
    <cfRule type="containsText" dxfId="692" priority="860" operator="containsText" text="MC">
      <formula>NOT(ISERROR(SEARCH("MC",AF24)))</formula>
    </cfRule>
    <cfRule type="containsText" dxfId="691" priority="859" operator="containsText" text="AL">
      <formula>NOT(ISERROR(SEARCH("AL",AF24)))</formula>
    </cfRule>
    <cfRule type="containsText" dxfId="690" priority="858" operator="containsText" text="Sick">
      <formula>NOT(ISERROR(SEARCH("Sick",AF24)))</formula>
    </cfRule>
    <cfRule type="containsText" dxfId="689" priority="857" operator="containsText" text="AB">
      <formula>NOT(ISERROR(SEARCH("AB",AF24)))</formula>
    </cfRule>
  </conditionalFormatting>
  <conditionalFormatting sqref="AF27:AF28">
    <cfRule type="containsText" dxfId="688" priority="851" operator="containsText" text="OFF">
      <formula>NOT(ISERROR(SEARCH("OFF",AF27)))</formula>
    </cfRule>
    <cfRule type="containsText" dxfId="687" priority="849" operator="containsText" text="AL">
      <formula>NOT(ISERROR(SEARCH("AL",AF27)))</formula>
    </cfRule>
    <cfRule type="containsText" dxfId="686" priority="842" operator="containsText" text="SP">
      <formula>NOT(ISERROR(SEARCH("SP",AF27)))</formula>
    </cfRule>
    <cfRule type="containsText" dxfId="685" priority="843" operator="containsText" text="NL">
      <formula>NOT(ISERROR(SEARCH("NL",AF27)))</formula>
    </cfRule>
    <cfRule type="containsText" dxfId="684" priority="844" operator="containsText" text="FL">
      <formula>NOT(ISERROR(SEARCH("FL",AF27)))</formula>
    </cfRule>
    <cfRule type="containsText" dxfId="683" priority="845" operator="containsText" text="SUS">
      <formula>NOT(ISERROR(SEARCH("SUS",AF27)))</formula>
    </cfRule>
    <cfRule type="containsText" dxfId="682" priority="846" operator="containsText" text="EL">
      <formula>NOT(ISERROR(SEARCH("EL",AF27)))</formula>
    </cfRule>
    <cfRule type="containsText" dxfId="681" priority="847" operator="containsText" text="AB">
      <formula>NOT(ISERROR(SEARCH("AB",AF27)))</formula>
    </cfRule>
    <cfRule type="containsText" dxfId="680" priority="848" operator="containsText" text="Sick">
      <formula>NOT(ISERROR(SEARCH("Sick",AF27)))</formula>
    </cfRule>
    <cfRule type="containsText" dxfId="679" priority="850" operator="containsText" text="MC">
      <formula>NOT(ISERROR(SEARCH("MC",AF27)))</formula>
    </cfRule>
  </conditionalFormatting>
  <conditionalFormatting sqref="AF20:AH20">
    <cfRule type="containsText" dxfId="678" priority="837" operator="containsText" text="AB">
      <formula>NOT(ISERROR(SEARCH("AB",AF20)))</formula>
    </cfRule>
    <cfRule type="containsText" dxfId="677" priority="836" operator="containsText" text="EL">
      <formula>NOT(ISERROR(SEARCH("EL",AF20)))</formula>
    </cfRule>
    <cfRule type="containsText" dxfId="676" priority="835" operator="containsText" text="SUS">
      <formula>NOT(ISERROR(SEARCH("SUS",AF20)))</formula>
    </cfRule>
    <cfRule type="containsText" dxfId="675" priority="834" operator="containsText" text="FL">
      <formula>NOT(ISERROR(SEARCH("FL",AF20)))</formula>
    </cfRule>
    <cfRule type="containsText" dxfId="674" priority="832" operator="containsText" text="SP">
      <formula>NOT(ISERROR(SEARCH("SP",AF20)))</formula>
    </cfRule>
    <cfRule type="containsText" dxfId="673" priority="833" operator="containsText" text="NL">
      <formula>NOT(ISERROR(SEARCH("NL",AF20)))</formula>
    </cfRule>
    <cfRule type="containsText" dxfId="672" priority="841" operator="containsText" text="OFF">
      <formula>NOT(ISERROR(SEARCH("OFF",AF20)))</formula>
    </cfRule>
    <cfRule type="containsText" dxfId="671" priority="840" operator="containsText" text="MC">
      <formula>NOT(ISERROR(SEARCH("MC",AF20)))</formula>
    </cfRule>
    <cfRule type="containsText" dxfId="670" priority="839" operator="containsText" text="AL">
      <formula>NOT(ISERROR(SEARCH("AL",AF20)))</formula>
    </cfRule>
    <cfRule type="containsText" dxfId="669" priority="838" operator="containsText" text="Sick">
      <formula>NOT(ISERROR(SEARCH("Sick",AF20)))</formula>
    </cfRule>
  </conditionalFormatting>
  <conditionalFormatting sqref="AH7">
    <cfRule type="containsText" dxfId="668" priority="796" operator="containsText" text="EL">
      <formula>NOT(ISERROR(SEARCH("EL",AH7)))</formula>
    </cfRule>
    <cfRule type="containsText" dxfId="667" priority="797" operator="containsText" text="AB">
      <formula>NOT(ISERROR(SEARCH("AB",AH7)))</formula>
    </cfRule>
    <cfRule type="containsText" dxfId="666" priority="798" operator="containsText" text="Sick">
      <formula>NOT(ISERROR(SEARCH("Sick",AH7)))</formula>
    </cfRule>
    <cfRule type="containsText" dxfId="665" priority="799" operator="containsText" text="AL">
      <formula>NOT(ISERROR(SEARCH("AL",AH7)))</formula>
    </cfRule>
    <cfRule type="containsText" dxfId="664" priority="800" operator="containsText" text="MC">
      <formula>NOT(ISERROR(SEARCH("MC",AH7)))</formula>
    </cfRule>
    <cfRule type="containsText" dxfId="663" priority="801" operator="containsText" text="OFF">
      <formula>NOT(ISERROR(SEARCH("OFF",AH7)))</formula>
    </cfRule>
    <cfRule type="containsText" dxfId="662" priority="795" operator="containsText" text="SUS">
      <formula>NOT(ISERROR(SEARCH("SUS",AH7)))</formula>
    </cfRule>
    <cfRule type="containsText" dxfId="661" priority="794" operator="containsText" text="FL">
      <formula>NOT(ISERROR(SEARCH("FL",AH7)))</formula>
    </cfRule>
    <cfRule type="containsText" dxfId="660" priority="793" operator="containsText" text="NL">
      <formula>NOT(ISERROR(SEARCH("NL",AH7)))</formula>
    </cfRule>
    <cfRule type="containsText" dxfId="659" priority="792" operator="containsText" text="SP">
      <formula>NOT(ISERROR(SEARCH("SP",AH7)))</formula>
    </cfRule>
  </conditionalFormatting>
  <conditionalFormatting sqref="AH23">
    <cfRule type="containsText" dxfId="658" priority="954" operator="containsText" text="FL">
      <formula>NOT(ISERROR(SEARCH("FL",AH23)))</formula>
    </cfRule>
    <cfRule type="containsText" dxfId="657" priority="953" operator="containsText" text="NL">
      <formula>NOT(ISERROR(SEARCH("NL",AH23)))</formula>
    </cfRule>
    <cfRule type="containsText" dxfId="656" priority="952" operator="containsText" text="SP">
      <formula>NOT(ISERROR(SEARCH("SP",AH23)))</formula>
    </cfRule>
    <cfRule type="containsText" dxfId="655" priority="961" operator="containsText" text="OFF">
      <formula>NOT(ISERROR(SEARCH("OFF",AH23)))</formula>
    </cfRule>
    <cfRule type="containsText" dxfId="654" priority="956" operator="containsText" text="EL">
      <formula>NOT(ISERROR(SEARCH("EL",AH23)))</formula>
    </cfRule>
    <cfRule type="containsText" dxfId="653" priority="955" operator="containsText" text="SUS">
      <formula>NOT(ISERROR(SEARCH("SUS",AH23)))</formula>
    </cfRule>
    <cfRule type="containsText" dxfId="652" priority="960" operator="containsText" text="MC">
      <formula>NOT(ISERROR(SEARCH("MC",AH23)))</formula>
    </cfRule>
    <cfRule type="containsText" dxfId="651" priority="959" operator="containsText" text="AL">
      <formula>NOT(ISERROR(SEARCH("AL",AH23)))</formula>
    </cfRule>
    <cfRule type="containsText" dxfId="650" priority="958" operator="containsText" text="Sick">
      <formula>NOT(ISERROR(SEARCH("Sick",AH23)))</formula>
    </cfRule>
    <cfRule type="containsText" dxfId="649" priority="957" operator="containsText" text="AB">
      <formula>NOT(ISERROR(SEARCH("AB",AH23)))</formula>
    </cfRule>
  </conditionalFormatting>
  <conditionalFormatting sqref="AI5:AJ29 N7">
    <cfRule type="containsText" dxfId="648" priority="3570" operator="containsText" text="FL">
      <formula>NOT(ISERROR(SEARCH("FL",N5)))</formula>
    </cfRule>
    <cfRule type="containsText" dxfId="647" priority="3571" operator="containsText" text="SUS">
      <formula>NOT(ISERROR(SEARCH("SUS",N5)))</formula>
    </cfRule>
    <cfRule type="containsText" dxfId="646" priority="3572" operator="containsText" text="EL">
      <formula>NOT(ISERROR(SEARCH("EL",N5)))</formula>
    </cfRule>
    <cfRule type="containsText" dxfId="645" priority="3568" operator="containsText" text="SP">
      <formula>NOT(ISERROR(SEARCH("SP",N5)))</formula>
    </cfRule>
    <cfRule type="containsText" dxfId="644" priority="3569" operator="containsText" text="NL">
      <formula>NOT(ISERROR(SEARCH("NL",N5)))</formula>
    </cfRule>
    <cfRule type="containsText" dxfId="643" priority="3577" operator="containsText" text="OFF">
      <formula>NOT(ISERROR(SEARCH("OFF",N5)))</formula>
    </cfRule>
    <cfRule type="containsText" dxfId="642" priority="3575" operator="containsText" text="AL">
      <formula>NOT(ISERROR(SEARCH("AL",N5)))</formula>
    </cfRule>
    <cfRule type="containsText" dxfId="641" priority="3574" operator="containsText" text="Sick">
      <formula>NOT(ISERROR(SEARCH("Sick",N5)))</formula>
    </cfRule>
    <cfRule type="containsText" dxfId="640" priority="3573" operator="containsText" text="AB">
      <formula>NOT(ISERROR(SEARCH("AB",N5)))</formula>
    </cfRule>
    <cfRule type="containsText" dxfId="639" priority="3576" operator="containsText" text="MC">
      <formula>NOT(ISERROR(SEARCH("MC",N5)))</formula>
    </cfRule>
  </conditionalFormatting>
  <conditionalFormatting sqref="AK10">
    <cfRule type="containsText" dxfId="638" priority="767" operator="containsText" text="AB">
      <formula>NOT(ISERROR(SEARCH("AB",AK10)))</formula>
    </cfRule>
    <cfRule type="containsText" dxfId="637" priority="768" operator="containsText" text="Sick">
      <formula>NOT(ISERROR(SEARCH("Sick",AK10)))</formula>
    </cfRule>
    <cfRule type="containsText" dxfId="636" priority="769" operator="containsText" text="AL">
      <formula>NOT(ISERROR(SEARCH("AL",AK10)))</formula>
    </cfRule>
    <cfRule type="containsText" dxfId="635" priority="770" operator="containsText" text="MC">
      <formula>NOT(ISERROR(SEARCH("MC",AK10)))</formula>
    </cfRule>
    <cfRule type="containsText" dxfId="634" priority="771" operator="containsText" text="OFF">
      <formula>NOT(ISERROR(SEARCH("OFF",AK10)))</formula>
    </cfRule>
    <cfRule type="containsText" dxfId="633" priority="762" operator="containsText" text="SP">
      <formula>NOT(ISERROR(SEARCH("SP",AK10)))</formula>
    </cfRule>
    <cfRule type="containsText" dxfId="632" priority="763" operator="containsText" text="NL">
      <formula>NOT(ISERROR(SEARCH("NL",AK10)))</formula>
    </cfRule>
    <cfRule type="containsText" dxfId="631" priority="764" operator="containsText" text="FL">
      <formula>NOT(ISERROR(SEARCH("FL",AK10)))</formula>
    </cfRule>
    <cfRule type="containsText" dxfId="630" priority="765" operator="containsText" text="SUS">
      <formula>NOT(ISERROR(SEARCH("SUS",AK10)))</formula>
    </cfRule>
    <cfRule type="containsText" dxfId="629" priority="766" operator="containsText" text="EL">
      <formula>NOT(ISERROR(SEARCH("EL",AK10)))</formula>
    </cfRule>
  </conditionalFormatting>
  <conditionalFormatting sqref="AK4:AL4">
    <cfRule type="dataBar" priority="13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15:AL15">
    <cfRule type="containsText" dxfId="628" priority="518" operator="containsText" text="Sick">
      <formula>NOT(ISERROR(SEARCH("Sick",AK15)))</formula>
    </cfRule>
    <cfRule type="containsText" dxfId="627" priority="519" operator="containsText" text="AL">
      <formula>NOT(ISERROR(SEARCH("AL",AK15)))</formula>
    </cfRule>
    <cfRule type="containsText" dxfId="626" priority="513" operator="containsText" text="NL">
      <formula>NOT(ISERROR(SEARCH("NL",AK15)))</formula>
    </cfRule>
    <cfRule type="containsText" dxfId="625" priority="520" operator="containsText" text="MC">
      <formula>NOT(ISERROR(SEARCH("MC",AK15)))</formula>
    </cfRule>
    <cfRule type="containsText" dxfId="624" priority="521" operator="containsText" text="OFF">
      <formula>NOT(ISERROR(SEARCH("OFF",AK15)))</formula>
    </cfRule>
    <cfRule type="containsText" dxfId="623" priority="517" operator="containsText" text="AB">
      <formula>NOT(ISERROR(SEARCH("AB",AK15)))</formula>
    </cfRule>
    <cfRule type="containsText" dxfId="622" priority="515" operator="containsText" text="SUS">
      <formula>NOT(ISERROR(SEARCH("SUS",AK15)))</formula>
    </cfRule>
    <cfRule type="containsText" dxfId="621" priority="514" operator="containsText" text="FL">
      <formula>NOT(ISERROR(SEARCH("FL",AK15)))</formula>
    </cfRule>
    <cfRule type="containsText" dxfId="620" priority="512" operator="containsText" text="SP">
      <formula>NOT(ISERROR(SEARCH("SP",AK15)))</formula>
    </cfRule>
    <cfRule type="containsText" dxfId="619" priority="516" operator="containsText" text="EL">
      <formula>NOT(ISERROR(SEARCH("EL",AK15)))</formula>
    </cfRule>
  </conditionalFormatting>
  <conditionalFormatting sqref="AK21:AL21">
    <cfRule type="containsText" dxfId="618" priority="548" operator="containsText" text="Sick">
      <formula>NOT(ISERROR(SEARCH("Sick",AK21)))</formula>
    </cfRule>
    <cfRule type="containsText" dxfId="617" priority="547" operator="containsText" text="AB">
      <formula>NOT(ISERROR(SEARCH("AB",AK21)))</formula>
    </cfRule>
    <cfRule type="containsText" dxfId="616" priority="546" operator="containsText" text="EL">
      <formula>NOT(ISERROR(SEARCH("EL",AK21)))</formula>
    </cfRule>
    <cfRule type="containsText" dxfId="615" priority="551" operator="containsText" text="OFF">
      <formula>NOT(ISERROR(SEARCH("OFF",AK21)))</formula>
    </cfRule>
    <cfRule type="containsText" dxfId="614" priority="550" operator="containsText" text="MC">
      <formula>NOT(ISERROR(SEARCH("MC",AK21)))</formula>
    </cfRule>
    <cfRule type="containsText" dxfId="613" priority="549" operator="containsText" text="AL">
      <formula>NOT(ISERROR(SEARCH("AL",AK21)))</formula>
    </cfRule>
    <cfRule type="containsText" dxfId="612" priority="545" operator="containsText" text="SUS">
      <formula>NOT(ISERROR(SEARCH("SUS",AK21)))</formula>
    </cfRule>
    <cfRule type="containsText" dxfId="611" priority="542" operator="containsText" text="SP">
      <formula>NOT(ISERROR(SEARCH("SP",AK21)))</formula>
    </cfRule>
    <cfRule type="containsText" dxfId="610" priority="543" operator="containsText" text="NL">
      <formula>NOT(ISERROR(SEARCH("NL",AK21)))</formula>
    </cfRule>
    <cfRule type="containsText" dxfId="609" priority="544" operator="containsText" text="FL">
      <formula>NOT(ISERROR(SEARCH("FL",AK21)))</formula>
    </cfRule>
  </conditionalFormatting>
  <conditionalFormatting sqref="AK19:AP20">
    <cfRule type="containsText" dxfId="608" priority="557" operator="containsText" text="AB">
      <formula>NOT(ISERROR(SEARCH("AB",AK19)))</formula>
    </cfRule>
    <cfRule type="containsText" dxfId="607" priority="560" operator="containsText" text="MC">
      <formula>NOT(ISERROR(SEARCH("MC",AK19)))</formula>
    </cfRule>
    <cfRule type="containsText" dxfId="606" priority="561" operator="containsText" text="OFF">
      <formula>NOT(ISERROR(SEARCH("OFF",AK19)))</formula>
    </cfRule>
    <cfRule type="containsText" dxfId="605" priority="558" operator="containsText" text="Sick">
      <formula>NOT(ISERROR(SEARCH("Sick",AK19)))</formula>
    </cfRule>
    <cfRule type="containsText" dxfId="604" priority="552" operator="containsText" text="SP">
      <formula>NOT(ISERROR(SEARCH("SP",AK19)))</formula>
    </cfRule>
    <cfRule type="containsText" dxfId="603" priority="556" operator="containsText" text="EL">
      <formula>NOT(ISERROR(SEARCH("EL",AK19)))</formula>
    </cfRule>
    <cfRule type="containsText" dxfId="602" priority="555" operator="containsText" text="SUS">
      <formula>NOT(ISERROR(SEARCH("SUS",AK19)))</formula>
    </cfRule>
    <cfRule type="containsText" dxfId="601" priority="554" operator="containsText" text="FL">
      <formula>NOT(ISERROR(SEARCH("FL",AK19)))</formula>
    </cfRule>
    <cfRule type="containsText" dxfId="600" priority="559" operator="containsText" text="AL">
      <formula>NOT(ISERROR(SEARCH("AL",AK19)))</formula>
    </cfRule>
    <cfRule type="containsText" dxfId="599" priority="553" operator="containsText" text="NL">
      <formula>NOT(ISERROR(SEARCH("NL",AK19)))</formula>
    </cfRule>
  </conditionalFormatting>
  <conditionalFormatting sqref="AK8:BD9">
    <cfRule type="containsText" dxfId="598" priority="496" operator="containsText" text="EL">
      <formula>NOT(ISERROR(SEARCH("EL",AK8)))</formula>
    </cfRule>
    <cfRule type="containsText" dxfId="597" priority="495" operator="containsText" text="SUS">
      <formula>NOT(ISERROR(SEARCH("SUS",AK8)))</formula>
    </cfRule>
    <cfRule type="containsText" dxfId="596" priority="494" operator="containsText" text="FL">
      <formula>NOT(ISERROR(SEARCH("FL",AK8)))</formula>
    </cfRule>
    <cfRule type="containsText" dxfId="595" priority="497" operator="containsText" text="AB">
      <formula>NOT(ISERROR(SEARCH("AB",AK8)))</formula>
    </cfRule>
    <cfRule type="containsText" dxfId="594" priority="492" operator="containsText" text="SP">
      <formula>NOT(ISERROR(SEARCH("SP",AK8)))</formula>
    </cfRule>
    <cfRule type="containsText" dxfId="593" priority="501" operator="containsText" text="OFF">
      <formula>NOT(ISERROR(SEARCH("OFF",AK8)))</formula>
    </cfRule>
    <cfRule type="containsText" dxfId="592" priority="493" operator="containsText" text="NL">
      <formula>NOT(ISERROR(SEARCH("NL",AK8)))</formula>
    </cfRule>
    <cfRule type="containsText" dxfId="591" priority="500" operator="containsText" text="MC">
      <formula>NOT(ISERROR(SEARCH("MC",AK8)))</formula>
    </cfRule>
    <cfRule type="containsText" dxfId="590" priority="499" operator="containsText" text="AL">
      <formula>NOT(ISERROR(SEARCH("AL",AK8)))</formula>
    </cfRule>
    <cfRule type="containsText" dxfId="589" priority="498" operator="containsText" text="Sick">
      <formula>NOT(ISERROR(SEARCH("Sick",AK8)))</formula>
    </cfRule>
  </conditionalFormatting>
  <conditionalFormatting sqref="AK4:BN4">
    <cfRule type="containsText" dxfId="588" priority="13880" operator="containsText" text="S">
      <formula>NOT(ISERROR(SEARCH("S",#REF!)))</formula>
    </cfRule>
    <cfRule type="cellIs" dxfId="587" priority="13875" operator="equal">
      <formula>"Sick"</formula>
    </cfRule>
    <cfRule type="cellIs" dxfId="586" priority="13876" operator="equal">
      <formula>"AB"</formula>
    </cfRule>
    <cfRule type="containsText" dxfId="585" priority="13878" operator="containsText" text="AB">
      <formula>NOT(ISERROR(SEARCH("AB",#REF!)))</formula>
    </cfRule>
    <cfRule type="expression" priority="13873">
      <formula>AND(ISNUMBER($Z2), ISNUMBER($AA2))</formula>
    </cfRule>
    <cfRule type="cellIs" dxfId="584" priority="13877" operator="equal">
      <formula>"OFF"</formula>
    </cfRule>
    <cfRule type="containsText" dxfId="583" priority="13879" operator="containsText" text="HD">
      <formula>NOT(ISERROR(SEARCH("HD",#REF!)))</formula>
    </cfRule>
  </conditionalFormatting>
  <conditionalFormatting sqref="AK5:BN6">
    <cfRule type="containsText" dxfId="582" priority="228" operator="containsText" text="Sick">
      <formula>NOT(ISERROR(SEARCH("Sick",AK5)))</formula>
    </cfRule>
    <cfRule type="containsText" dxfId="581" priority="227" operator="containsText" text="AB">
      <formula>NOT(ISERROR(SEARCH("AB",AK5)))</formula>
    </cfRule>
    <cfRule type="containsText" dxfId="580" priority="225" operator="containsText" text="SUS">
      <formula>NOT(ISERROR(SEARCH("SUS",AK5)))</formula>
    </cfRule>
    <cfRule type="containsText" dxfId="579" priority="224" operator="containsText" text="FL">
      <formula>NOT(ISERROR(SEARCH("FL",AK5)))</formula>
    </cfRule>
    <cfRule type="containsText" dxfId="578" priority="230" operator="containsText" text="MC">
      <formula>NOT(ISERROR(SEARCH("MC",AK5)))</formula>
    </cfRule>
    <cfRule type="containsText" dxfId="577" priority="231" operator="containsText" text="OFF">
      <formula>NOT(ISERROR(SEARCH("OFF",AK5)))</formula>
    </cfRule>
    <cfRule type="containsText" dxfId="576" priority="222" operator="containsText" text="SP">
      <formula>NOT(ISERROR(SEARCH("SP",AK5)))</formula>
    </cfRule>
    <cfRule type="containsText" dxfId="575" priority="223" operator="containsText" text="NL">
      <formula>NOT(ISERROR(SEARCH("NL",AK5)))</formula>
    </cfRule>
    <cfRule type="containsText" dxfId="574" priority="229" operator="containsText" text="AL">
      <formula>NOT(ISERROR(SEARCH("AL",AK5)))</formula>
    </cfRule>
    <cfRule type="containsText" dxfId="573" priority="226" operator="containsText" text="EL">
      <formula>NOT(ISERROR(SEARCH("EL",AK5)))</formula>
    </cfRule>
  </conditionalFormatting>
  <conditionalFormatting sqref="AL7">
    <cfRule type="containsText" dxfId="572" priority="743" operator="containsText" text="NL">
      <formula>NOT(ISERROR(SEARCH("NL",AL7)))</formula>
    </cfRule>
    <cfRule type="containsText" dxfId="571" priority="742" operator="containsText" text="SP">
      <formula>NOT(ISERROR(SEARCH("SP",AL7)))</formula>
    </cfRule>
    <cfRule type="containsText" dxfId="570" priority="748" operator="containsText" text="Sick">
      <formula>NOT(ISERROR(SEARCH("Sick",AL7)))</formula>
    </cfRule>
    <cfRule type="containsText" dxfId="569" priority="751" operator="containsText" text="OFF">
      <formula>NOT(ISERROR(SEARCH("OFF",AL7)))</formula>
    </cfRule>
    <cfRule type="containsText" dxfId="568" priority="750" operator="containsText" text="MC">
      <formula>NOT(ISERROR(SEARCH("MC",AL7)))</formula>
    </cfRule>
    <cfRule type="containsText" dxfId="567" priority="749" operator="containsText" text="AL">
      <formula>NOT(ISERROR(SEARCH("AL",AL7)))</formula>
    </cfRule>
    <cfRule type="containsText" dxfId="566" priority="747" operator="containsText" text="AB">
      <formula>NOT(ISERROR(SEARCH("AB",AL7)))</formula>
    </cfRule>
    <cfRule type="containsText" dxfId="565" priority="746" operator="containsText" text="EL">
      <formula>NOT(ISERROR(SEARCH("EL",AL7)))</formula>
    </cfRule>
    <cfRule type="containsText" dxfId="564" priority="745" operator="containsText" text="SUS">
      <formula>NOT(ISERROR(SEARCH("SUS",AL7)))</formula>
    </cfRule>
    <cfRule type="containsText" dxfId="563" priority="744" operator="containsText" text="FL">
      <formula>NOT(ISERROR(SEARCH("FL",AL7)))</formula>
    </cfRule>
  </conditionalFormatting>
  <conditionalFormatting sqref="AL23">
    <cfRule type="containsText" dxfId="562" priority="670" operator="containsText" text="MC">
      <formula>NOT(ISERROR(SEARCH("MC",AL23)))</formula>
    </cfRule>
    <cfRule type="containsText" dxfId="561" priority="671" operator="containsText" text="OFF">
      <formula>NOT(ISERROR(SEARCH("OFF",AL23)))</formula>
    </cfRule>
    <cfRule type="containsText" dxfId="560" priority="662" operator="containsText" text="SP">
      <formula>NOT(ISERROR(SEARCH("SP",AL23)))</formula>
    </cfRule>
    <cfRule type="containsText" dxfId="559" priority="663" operator="containsText" text="NL">
      <formula>NOT(ISERROR(SEARCH("NL",AL23)))</formula>
    </cfRule>
    <cfRule type="containsText" dxfId="558" priority="664" operator="containsText" text="FL">
      <formula>NOT(ISERROR(SEARCH("FL",AL23)))</formula>
    </cfRule>
    <cfRule type="containsText" dxfId="557" priority="665" operator="containsText" text="SUS">
      <formula>NOT(ISERROR(SEARCH("SUS",AL23)))</formula>
    </cfRule>
    <cfRule type="containsText" dxfId="556" priority="666" operator="containsText" text="EL">
      <formula>NOT(ISERROR(SEARCH("EL",AL23)))</formula>
    </cfRule>
    <cfRule type="containsText" dxfId="555" priority="667" operator="containsText" text="AB">
      <formula>NOT(ISERROR(SEARCH("AB",AL23)))</formula>
    </cfRule>
    <cfRule type="containsText" dxfId="554" priority="668" operator="containsText" text="Sick">
      <formula>NOT(ISERROR(SEARCH("Sick",AL23)))</formula>
    </cfRule>
    <cfRule type="containsText" dxfId="553" priority="669" operator="containsText" text="AL">
      <formula>NOT(ISERROR(SEARCH("AL",AL23)))</formula>
    </cfRule>
  </conditionalFormatting>
  <conditionalFormatting sqref="AM4:AN4">
    <cfRule type="dataBar" priority="13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N7">
    <cfRule type="containsText" dxfId="552" priority="738" operator="containsText" text="Sick">
      <formula>NOT(ISERROR(SEARCH("Sick",AN7)))</formula>
    </cfRule>
    <cfRule type="containsText" dxfId="551" priority="732" operator="containsText" text="SP">
      <formula>NOT(ISERROR(SEARCH("SP",AN7)))</formula>
    </cfRule>
    <cfRule type="containsText" dxfId="550" priority="734" operator="containsText" text="FL">
      <formula>NOT(ISERROR(SEARCH("FL",AN7)))</formula>
    </cfRule>
    <cfRule type="containsText" dxfId="549" priority="735" operator="containsText" text="SUS">
      <formula>NOT(ISERROR(SEARCH("SUS",AN7)))</formula>
    </cfRule>
    <cfRule type="containsText" dxfId="548" priority="736" operator="containsText" text="EL">
      <formula>NOT(ISERROR(SEARCH("EL",AN7)))</formula>
    </cfRule>
    <cfRule type="containsText" dxfId="547" priority="737" operator="containsText" text="AB">
      <formula>NOT(ISERROR(SEARCH("AB",AN7)))</formula>
    </cfRule>
    <cfRule type="containsText" dxfId="546" priority="733" operator="containsText" text="NL">
      <formula>NOT(ISERROR(SEARCH("NL",AN7)))</formula>
    </cfRule>
    <cfRule type="containsText" dxfId="545" priority="739" operator="containsText" text="AL">
      <formula>NOT(ISERROR(SEARCH("AL",AN7)))</formula>
    </cfRule>
    <cfRule type="containsText" dxfId="544" priority="740" operator="containsText" text="MC">
      <formula>NOT(ISERROR(SEARCH("MC",AN7)))</formula>
    </cfRule>
    <cfRule type="containsText" dxfId="543" priority="741" operator="containsText" text="OFF">
      <formula>NOT(ISERROR(SEARCH("OFF",AN7)))</formula>
    </cfRule>
  </conditionalFormatting>
  <conditionalFormatting sqref="AN17">
    <cfRule type="containsText" dxfId="542" priority="338" operator="containsText" text="Sick">
      <formula>NOT(ISERROR(SEARCH("Sick",AN17)))</formula>
    </cfRule>
    <cfRule type="containsText" dxfId="541" priority="339" operator="containsText" text="AL">
      <formula>NOT(ISERROR(SEARCH("AL",AN17)))</formula>
    </cfRule>
    <cfRule type="containsText" dxfId="540" priority="341" operator="containsText" text="OFF">
      <formula>NOT(ISERROR(SEARCH("OFF",AN17)))</formula>
    </cfRule>
    <cfRule type="containsText" dxfId="539" priority="334" operator="containsText" text="FL">
      <formula>NOT(ISERROR(SEARCH("FL",AN17)))</formula>
    </cfRule>
    <cfRule type="containsText" dxfId="538" priority="340" operator="containsText" text="MC">
      <formula>NOT(ISERROR(SEARCH("MC",AN17)))</formula>
    </cfRule>
    <cfRule type="containsText" dxfId="537" priority="332" operator="containsText" text="SP">
      <formula>NOT(ISERROR(SEARCH("SP",AN17)))</formula>
    </cfRule>
    <cfRule type="containsText" dxfId="536" priority="333" operator="containsText" text="NL">
      <formula>NOT(ISERROR(SEARCH("NL",AN17)))</formula>
    </cfRule>
    <cfRule type="containsText" dxfId="535" priority="335" operator="containsText" text="SUS">
      <formula>NOT(ISERROR(SEARCH("SUS",AN17)))</formula>
    </cfRule>
    <cfRule type="containsText" dxfId="534" priority="336" operator="containsText" text="EL">
      <formula>NOT(ISERROR(SEARCH("EL",AN17)))</formula>
    </cfRule>
    <cfRule type="containsText" dxfId="533" priority="337" operator="containsText" text="AB">
      <formula>NOT(ISERROR(SEARCH("AB",AN17)))</formula>
    </cfRule>
  </conditionalFormatting>
  <conditionalFormatting sqref="AN22:AN23">
    <cfRule type="containsText" dxfId="532" priority="676" operator="containsText" text="EL">
      <formula>NOT(ISERROR(SEARCH("EL",AN22)))</formula>
    </cfRule>
    <cfRule type="containsText" dxfId="531" priority="675" operator="containsText" text="SUS">
      <formula>NOT(ISERROR(SEARCH("SUS",AN22)))</formula>
    </cfRule>
    <cfRule type="containsText" dxfId="530" priority="674" operator="containsText" text="FL">
      <formula>NOT(ISERROR(SEARCH("FL",AN22)))</formula>
    </cfRule>
    <cfRule type="containsText" dxfId="529" priority="673" operator="containsText" text="NL">
      <formula>NOT(ISERROR(SEARCH("NL",AN22)))</formula>
    </cfRule>
    <cfRule type="containsText" dxfId="528" priority="672" operator="containsText" text="SP">
      <formula>NOT(ISERROR(SEARCH("SP",AN22)))</formula>
    </cfRule>
    <cfRule type="containsText" dxfId="527" priority="680" operator="containsText" text="MC">
      <formula>NOT(ISERROR(SEARCH("MC",AN22)))</formula>
    </cfRule>
    <cfRule type="containsText" dxfId="526" priority="681" operator="containsText" text="OFF">
      <formula>NOT(ISERROR(SEARCH("OFF",AN22)))</formula>
    </cfRule>
    <cfRule type="containsText" dxfId="525" priority="679" operator="containsText" text="AL">
      <formula>NOT(ISERROR(SEARCH("AL",AN22)))</formula>
    </cfRule>
    <cfRule type="containsText" dxfId="524" priority="678" operator="containsText" text="Sick">
      <formula>NOT(ISERROR(SEARCH("Sick",AN22)))</formula>
    </cfRule>
    <cfRule type="containsText" dxfId="523" priority="677" operator="containsText" text="AB">
      <formula>NOT(ISERROR(SEARCH("AB",AN22)))</formula>
    </cfRule>
  </conditionalFormatting>
  <conditionalFormatting sqref="AO4:AP4">
    <cfRule type="dataBar" priority="13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P7">
    <cfRule type="containsText" dxfId="522" priority="722" operator="containsText" text="SP">
      <formula>NOT(ISERROR(SEARCH("SP",AP7)))</formula>
    </cfRule>
    <cfRule type="containsText" dxfId="521" priority="723" operator="containsText" text="NL">
      <formula>NOT(ISERROR(SEARCH("NL",AP7)))</formula>
    </cfRule>
    <cfRule type="containsText" dxfId="520" priority="724" operator="containsText" text="FL">
      <formula>NOT(ISERROR(SEARCH("FL",AP7)))</formula>
    </cfRule>
    <cfRule type="containsText" dxfId="519" priority="731" operator="containsText" text="OFF">
      <formula>NOT(ISERROR(SEARCH("OFF",AP7)))</formula>
    </cfRule>
    <cfRule type="containsText" dxfId="518" priority="730" operator="containsText" text="MC">
      <formula>NOT(ISERROR(SEARCH("MC",AP7)))</formula>
    </cfRule>
    <cfRule type="containsText" dxfId="517" priority="729" operator="containsText" text="AL">
      <formula>NOT(ISERROR(SEARCH("AL",AP7)))</formula>
    </cfRule>
    <cfRule type="containsText" dxfId="516" priority="727" operator="containsText" text="AB">
      <formula>NOT(ISERROR(SEARCH("AB",AP7)))</formula>
    </cfRule>
    <cfRule type="containsText" dxfId="515" priority="726" operator="containsText" text="EL">
      <formula>NOT(ISERROR(SEARCH("EL",AP7)))</formula>
    </cfRule>
    <cfRule type="containsText" dxfId="514" priority="725" operator="containsText" text="SUS">
      <formula>NOT(ISERROR(SEARCH("SUS",AP7)))</formula>
    </cfRule>
    <cfRule type="containsText" dxfId="513" priority="728" operator="containsText" text="Sick">
      <formula>NOT(ISERROR(SEARCH("Sick",AP7)))</formula>
    </cfRule>
  </conditionalFormatting>
  <conditionalFormatting sqref="AP22:AP23">
    <cfRule type="containsText" dxfId="512" priority="661" operator="containsText" text="OFF">
      <formula>NOT(ISERROR(SEARCH("OFF",AP22)))</formula>
    </cfRule>
    <cfRule type="containsText" dxfId="511" priority="660" operator="containsText" text="MC">
      <formula>NOT(ISERROR(SEARCH("MC",AP22)))</formula>
    </cfRule>
    <cfRule type="containsText" dxfId="510" priority="659" operator="containsText" text="AL">
      <formula>NOT(ISERROR(SEARCH("AL",AP22)))</formula>
    </cfRule>
    <cfRule type="containsText" dxfId="509" priority="658" operator="containsText" text="Sick">
      <formula>NOT(ISERROR(SEARCH("Sick",AP22)))</formula>
    </cfRule>
    <cfRule type="containsText" dxfId="508" priority="657" operator="containsText" text="AB">
      <formula>NOT(ISERROR(SEARCH("AB",AP22)))</formula>
    </cfRule>
    <cfRule type="containsText" dxfId="507" priority="656" operator="containsText" text="EL">
      <formula>NOT(ISERROR(SEARCH("EL",AP22)))</formula>
    </cfRule>
    <cfRule type="containsText" dxfId="506" priority="654" operator="containsText" text="FL">
      <formula>NOT(ISERROR(SEARCH("FL",AP22)))</formula>
    </cfRule>
    <cfRule type="containsText" dxfId="505" priority="653" operator="containsText" text="NL">
      <formula>NOT(ISERROR(SEARCH("NL",AP22)))</formula>
    </cfRule>
    <cfRule type="containsText" dxfId="504" priority="652" operator="containsText" text="SP">
      <formula>NOT(ISERROR(SEARCH("SP",AP22)))</formula>
    </cfRule>
    <cfRule type="containsText" dxfId="503" priority="655" operator="containsText" text="SUS">
      <formula>NOT(ISERROR(SEARCH("SUS",AP22)))</formula>
    </cfRule>
  </conditionalFormatting>
  <conditionalFormatting sqref="AQ4:AR4">
    <cfRule type="dataBar" priority="138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Q11:AR11">
    <cfRule type="containsText" dxfId="502" priority="623" operator="containsText" text="NL">
      <formula>NOT(ISERROR(SEARCH("NL",AQ11)))</formula>
    </cfRule>
    <cfRule type="containsText" dxfId="501" priority="631" operator="containsText" text="OFF">
      <formula>NOT(ISERROR(SEARCH("OFF",AQ11)))</formula>
    </cfRule>
    <cfRule type="containsText" dxfId="500" priority="625" operator="containsText" text="SUS">
      <formula>NOT(ISERROR(SEARCH("SUS",AQ11)))</formula>
    </cfRule>
    <cfRule type="containsText" dxfId="499" priority="624" operator="containsText" text="FL">
      <formula>NOT(ISERROR(SEARCH("FL",AQ11)))</formula>
    </cfRule>
    <cfRule type="containsText" dxfId="498" priority="622" operator="containsText" text="SP">
      <formula>NOT(ISERROR(SEARCH("SP",AQ11)))</formula>
    </cfRule>
    <cfRule type="containsText" dxfId="497" priority="626" operator="containsText" text="EL">
      <formula>NOT(ISERROR(SEARCH("EL",AQ11)))</formula>
    </cfRule>
    <cfRule type="containsText" dxfId="496" priority="627" operator="containsText" text="AB">
      <formula>NOT(ISERROR(SEARCH("AB",AQ11)))</formula>
    </cfRule>
    <cfRule type="containsText" dxfId="495" priority="628" operator="containsText" text="Sick">
      <formula>NOT(ISERROR(SEARCH("Sick",AQ11)))</formula>
    </cfRule>
    <cfRule type="containsText" dxfId="494" priority="629" operator="containsText" text="AL">
      <formula>NOT(ISERROR(SEARCH("AL",AQ11)))</formula>
    </cfRule>
    <cfRule type="containsText" dxfId="493" priority="630" operator="containsText" text="MC">
      <formula>NOT(ISERROR(SEARCH("MC",AQ11)))</formula>
    </cfRule>
  </conditionalFormatting>
  <conditionalFormatting sqref="AQ13:AR14">
    <cfRule type="containsText" dxfId="492" priority="602" operator="containsText" text="SP">
      <formula>NOT(ISERROR(SEARCH("SP",AQ13)))</formula>
    </cfRule>
    <cfRule type="containsText" dxfId="491" priority="606" operator="containsText" text="EL">
      <formula>NOT(ISERROR(SEARCH("EL",AQ13)))</formula>
    </cfRule>
    <cfRule type="containsText" dxfId="490" priority="611" operator="containsText" text="OFF">
      <formula>NOT(ISERROR(SEARCH("OFF",AQ13)))</formula>
    </cfRule>
    <cfRule type="containsText" dxfId="489" priority="610" operator="containsText" text="MC">
      <formula>NOT(ISERROR(SEARCH("MC",AQ13)))</formula>
    </cfRule>
    <cfRule type="containsText" dxfId="488" priority="609" operator="containsText" text="AL">
      <formula>NOT(ISERROR(SEARCH("AL",AQ13)))</formula>
    </cfRule>
    <cfRule type="containsText" dxfId="487" priority="608" operator="containsText" text="Sick">
      <formula>NOT(ISERROR(SEARCH("Sick",AQ13)))</formula>
    </cfRule>
    <cfRule type="containsText" dxfId="486" priority="607" operator="containsText" text="AB">
      <formula>NOT(ISERROR(SEARCH("AB",AQ13)))</formula>
    </cfRule>
    <cfRule type="containsText" dxfId="485" priority="605" operator="containsText" text="SUS">
      <formula>NOT(ISERROR(SEARCH("SUS",AQ13)))</formula>
    </cfRule>
    <cfRule type="containsText" dxfId="484" priority="604" operator="containsText" text="FL">
      <formula>NOT(ISERROR(SEARCH("FL",AQ13)))</formula>
    </cfRule>
    <cfRule type="containsText" dxfId="483" priority="603" operator="containsText" text="NL">
      <formula>NOT(ISERROR(SEARCH("NL",AQ13)))</formula>
    </cfRule>
  </conditionalFormatting>
  <conditionalFormatting sqref="AQ18:AR23">
    <cfRule type="containsText" dxfId="482" priority="596" operator="containsText" text="EL">
      <formula>NOT(ISERROR(SEARCH("EL",AQ18)))</formula>
    </cfRule>
    <cfRule type="containsText" dxfId="481" priority="594" operator="containsText" text="FL">
      <formula>NOT(ISERROR(SEARCH("FL",AQ18)))</formula>
    </cfRule>
    <cfRule type="containsText" dxfId="480" priority="593" operator="containsText" text="NL">
      <formula>NOT(ISERROR(SEARCH("NL",AQ18)))</formula>
    </cfRule>
    <cfRule type="containsText" dxfId="479" priority="592" operator="containsText" text="SP">
      <formula>NOT(ISERROR(SEARCH("SP",AQ18)))</formula>
    </cfRule>
    <cfRule type="containsText" dxfId="478" priority="595" operator="containsText" text="SUS">
      <formula>NOT(ISERROR(SEARCH("SUS",AQ18)))</formula>
    </cfRule>
    <cfRule type="containsText" dxfId="477" priority="601" operator="containsText" text="OFF">
      <formula>NOT(ISERROR(SEARCH("OFF",AQ18)))</formula>
    </cfRule>
    <cfRule type="containsText" dxfId="476" priority="600" operator="containsText" text="MC">
      <formula>NOT(ISERROR(SEARCH("MC",AQ18)))</formula>
    </cfRule>
    <cfRule type="containsText" dxfId="475" priority="599" operator="containsText" text="AL">
      <formula>NOT(ISERROR(SEARCH("AL",AQ18)))</formula>
    </cfRule>
    <cfRule type="containsText" dxfId="474" priority="598" operator="containsText" text="Sick">
      <formula>NOT(ISERROR(SEARCH("Sick",AQ18)))</formula>
    </cfRule>
    <cfRule type="containsText" dxfId="473" priority="597" operator="containsText" text="AB">
      <formula>NOT(ISERROR(SEARCH("AB",AQ18)))</formula>
    </cfRule>
  </conditionalFormatting>
  <conditionalFormatting sqref="AQ25:AR25">
    <cfRule type="containsText" dxfId="472" priority="583" operator="containsText" text="NL">
      <formula>NOT(ISERROR(SEARCH("NL",AQ25)))</formula>
    </cfRule>
    <cfRule type="containsText" dxfId="471" priority="591" operator="containsText" text="OFF">
      <formula>NOT(ISERROR(SEARCH("OFF",AQ25)))</formula>
    </cfRule>
    <cfRule type="containsText" dxfId="470" priority="590" operator="containsText" text="MC">
      <formula>NOT(ISERROR(SEARCH("MC",AQ25)))</formula>
    </cfRule>
    <cfRule type="containsText" dxfId="469" priority="589" operator="containsText" text="AL">
      <formula>NOT(ISERROR(SEARCH("AL",AQ25)))</formula>
    </cfRule>
    <cfRule type="containsText" dxfId="468" priority="588" operator="containsText" text="Sick">
      <formula>NOT(ISERROR(SEARCH("Sick",AQ25)))</formula>
    </cfRule>
    <cfRule type="containsText" dxfId="467" priority="587" operator="containsText" text="AB">
      <formula>NOT(ISERROR(SEARCH("AB",AQ25)))</formula>
    </cfRule>
    <cfRule type="containsText" dxfId="466" priority="586" operator="containsText" text="EL">
      <formula>NOT(ISERROR(SEARCH("EL",AQ25)))</formula>
    </cfRule>
    <cfRule type="containsText" dxfId="465" priority="582" operator="containsText" text="SP">
      <formula>NOT(ISERROR(SEARCH("SP",AQ25)))</formula>
    </cfRule>
    <cfRule type="containsText" dxfId="464" priority="585" operator="containsText" text="SUS">
      <formula>NOT(ISERROR(SEARCH("SUS",AQ25)))</formula>
    </cfRule>
    <cfRule type="containsText" dxfId="463" priority="584" operator="containsText" text="FL">
      <formula>NOT(ISERROR(SEARCH("FL",AQ25)))</formula>
    </cfRule>
  </conditionalFormatting>
  <conditionalFormatting sqref="AQ27:AR27">
    <cfRule type="containsText" dxfId="462" priority="575" operator="containsText" text="SUS">
      <formula>NOT(ISERROR(SEARCH("SUS",AQ27)))</formula>
    </cfRule>
    <cfRule type="containsText" dxfId="461" priority="574" operator="containsText" text="FL">
      <formula>NOT(ISERROR(SEARCH("FL",AQ27)))</formula>
    </cfRule>
    <cfRule type="containsText" dxfId="460" priority="577" operator="containsText" text="AB">
      <formula>NOT(ISERROR(SEARCH("AB",AQ27)))</formula>
    </cfRule>
    <cfRule type="containsText" dxfId="459" priority="573" operator="containsText" text="NL">
      <formula>NOT(ISERROR(SEARCH("NL",AQ27)))</formula>
    </cfRule>
    <cfRule type="containsText" dxfId="458" priority="581" operator="containsText" text="OFF">
      <formula>NOT(ISERROR(SEARCH("OFF",AQ27)))</formula>
    </cfRule>
    <cfRule type="containsText" dxfId="457" priority="580" operator="containsText" text="MC">
      <formula>NOT(ISERROR(SEARCH("MC",AQ27)))</formula>
    </cfRule>
    <cfRule type="containsText" dxfId="456" priority="579" operator="containsText" text="AL">
      <formula>NOT(ISERROR(SEARCH("AL",AQ27)))</formula>
    </cfRule>
    <cfRule type="containsText" dxfId="455" priority="578" operator="containsText" text="Sick">
      <formula>NOT(ISERROR(SEARCH("Sick",AQ27)))</formula>
    </cfRule>
    <cfRule type="containsText" dxfId="454" priority="572" operator="containsText" text="SP">
      <formula>NOT(ISERROR(SEARCH("SP",AQ27)))</formula>
    </cfRule>
    <cfRule type="containsText" dxfId="453" priority="576" operator="containsText" text="EL">
      <formula>NOT(ISERROR(SEARCH("EL",AQ27)))</formula>
    </cfRule>
  </conditionalFormatting>
  <conditionalFormatting sqref="AR7">
    <cfRule type="containsText" dxfId="452" priority="717" operator="containsText" text="AB">
      <formula>NOT(ISERROR(SEARCH("AB",AR7)))</formula>
    </cfRule>
    <cfRule type="containsText" dxfId="451" priority="716" operator="containsText" text="EL">
      <formula>NOT(ISERROR(SEARCH("EL",AR7)))</formula>
    </cfRule>
    <cfRule type="containsText" dxfId="450" priority="715" operator="containsText" text="SUS">
      <formula>NOT(ISERROR(SEARCH("SUS",AR7)))</formula>
    </cfRule>
    <cfRule type="containsText" dxfId="449" priority="714" operator="containsText" text="FL">
      <formula>NOT(ISERROR(SEARCH("FL",AR7)))</formula>
    </cfRule>
    <cfRule type="containsText" dxfId="448" priority="712" operator="containsText" text="SP">
      <formula>NOT(ISERROR(SEARCH("SP",AR7)))</formula>
    </cfRule>
    <cfRule type="containsText" dxfId="447" priority="713" operator="containsText" text="NL">
      <formula>NOT(ISERROR(SEARCH("NL",AR7)))</formula>
    </cfRule>
    <cfRule type="containsText" dxfId="446" priority="718" operator="containsText" text="Sick">
      <formula>NOT(ISERROR(SEARCH("Sick",AR7)))</formula>
    </cfRule>
    <cfRule type="containsText" dxfId="445" priority="719" operator="containsText" text="AL">
      <formula>NOT(ISERROR(SEARCH("AL",AR7)))</formula>
    </cfRule>
    <cfRule type="containsText" dxfId="444" priority="720" operator="containsText" text="MC">
      <formula>NOT(ISERROR(SEARCH("MC",AR7)))</formula>
    </cfRule>
    <cfRule type="containsText" dxfId="443" priority="721" operator="containsText" text="OFF">
      <formula>NOT(ISERROR(SEARCH("OFF",AR7)))</formula>
    </cfRule>
  </conditionalFormatting>
  <conditionalFormatting sqref="AR26">
    <cfRule type="containsText" dxfId="442" priority="636" operator="containsText" text="EL">
      <formula>NOT(ISERROR(SEARCH("EL",AR26)))</formula>
    </cfRule>
    <cfRule type="containsText" dxfId="441" priority="637" operator="containsText" text="AB">
      <formula>NOT(ISERROR(SEARCH("AB",AR26)))</formula>
    </cfRule>
    <cfRule type="containsText" dxfId="440" priority="639" operator="containsText" text="AL">
      <formula>NOT(ISERROR(SEARCH("AL",AR26)))</formula>
    </cfRule>
    <cfRule type="containsText" dxfId="439" priority="638" operator="containsText" text="Sick">
      <formula>NOT(ISERROR(SEARCH("Sick",AR26)))</formula>
    </cfRule>
    <cfRule type="containsText" dxfId="438" priority="632" operator="containsText" text="SP">
      <formula>NOT(ISERROR(SEARCH("SP",AR26)))</formula>
    </cfRule>
    <cfRule type="containsText" dxfId="437" priority="640" operator="containsText" text="MC">
      <formula>NOT(ISERROR(SEARCH("MC",AR26)))</formula>
    </cfRule>
    <cfRule type="containsText" dxfId="436" priority="633" operator="containsText" text="NL">
      <formula>NOT(ISERROR(SEARCH("NL",AR26)))</formula>
    </cfRule>
    <cfRule type="containsText" dxfId="435" priority="641" operator="containsText" text="OFF">
      <formula>NOT(ISERROR(SEARCH("OFF",AR26)))</formula>
    </cfRule>
    <cfRule type="containsText" dxfId="434" priority="634" operator="containsText" text="FL">
      <formula>NOT(ISERROR(SEARCH("FL",AR26)))</formula>
    </cfRule>
    <cfRule type="containsText" dxfId="433" priority="635" operator="containsText" text="SUS">
      <formula>NOT(ISERROR(SEARCH("SUS",AR26)))</formula>
    </cfRule>
  </conditionalFormatting>
  <conditionalFormatting sqref="AS4:AT4">
    <cfRule type="dataBar" priority="13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12:AT12">
    <cfRule type="containsText" dxfId="432" priority="487" operator="containsText" text="AB">
      <formula>NOT(ISERROR(SEARCH("AB",AS12)))</formula>
    </cfRule>
    <cfRule type="containsText" dxfId="431" priority="489" operator="containsText" text="AL">
      <formula>NOT(ISERROR(SEARCH("AL",AS12)))</formula>
    </cfRule>
    <cfRule type="containsText" dxfId="430" priority="490" operator="containsText" text="MC">
      <formula>NOT(ISERROR(SEARCH("MC",AS12)))</formula>
    </cfRule>
    <cfRule type="containsText" dxfId="429" priority="491" operator="containsText" text="OFF">
      <formula>NOT(ISERROR(SEARCH("OFF",AS12)))</formula>
    </cfRule>
    <cfRule type="containsText" dxfId="428" priority="484" operator="containsText" text="FL">
      <formula>NOT(ISERROR(SEARCH("FL",AS12)))</formula>
    </cfRule>
    <cfRule type="containsText" dxfId="427" priority="482" operator="containsText" text="SP">
      <formula>NOT(ISERROR(SEARCH("SP",AS12)))</formula>
    </cfRule>
    <cfRule type="containsText" dxfId="426" priority="483" operator="containsText" text="NL">
      <formula>NOT(ISERROR(SEARCH("NL",AS12)))</formula>
    </cfRule>
    <cfRule type="containsText" dxfId="425" priority="485" operator="containsText" text="SUS">
      <formula>NOT(ISERROR(SEARCH("SUS",AS12)))</formula>
    </cfRule>
    <cfRule type="containsText" dxfId="424" priority="486" operator="containsText" text="EL">
      <formula>NOT(ISERROR(SEARCH("EL",AS12)))</formula>
    </cfRule>
    <cfRule type="containsText" dxfId="423" priority="488" operator="containsText" text="Sick">
      <formula>NOT(ISERROR(SEARCH("Sick",AS12)))</formula>
    </cfRule>
  </conditionalFormatting>
  <conditionalFormatting sqref="AS29:AT29">
    <cfRule type="containsText" dxfId="422" priority="541" operator="containsText" text="OFF">
      <formula>NOT(ISERROR(SEARCH("OFF",AS29)))</formula>
    </cfRule>
    <cfRule type="containsText" dxfId="421" priority="540" operator="containsText" text="MC">
      <formula>NOT(ISERROR(SEARCH("MC",AS29)))</formula>
    </cfRule>
    <cfRule type="containsText" dxfId="420" priority="539" operator="containsText" text="AL">
      <formula>NOT(ISERROR(SEARCH("AL",AS29)))</formula>
    </cfRule>
    <cfRule type="containsText" dxfId="419" priority="538" operator="containsText" text="Sick">
      <formula>NOT(ISERROR(SEARCH("Sick",AS29)))</formula>
    </cfRule>
    <cfRule type="containsText" dxfId="418" priority="537" operator="containsText" text="AB">
      <formula>NOT(ISERROR(SEARCH("AB",AS29)))</formula>
    </cfRule>
    <cfRule type="containsText" dxfId="417" priority="536" operator="containsText" text="EL">
      <formula>NOT(ISERROR(SEARCH("EL",AS29)))</formula>
    </cfRule>
    <cfRule type="containsText" dxfId="416" priority="535" operator="containsText" text="SUS">
      <formula>NOT(ISERROR(SEARCH("SUS",AS29)))</formula>
    </cfRule>
    <cfRule type="containsText" dxfId="415" priority="534" operator="containsText" text="FL">
      <formula>NOT(ISERROR(SEARCH("FL",AS29)))</formula>
    </cfRule>
    <cfRule type="containsText" dxfId="414" priority="533" operator="containsText" text="NL">
      <formula>NOT(ISERROR(SEARCH("NL",AS29)))</formula>
    </cfRule>
    <cfRule type="containsText" dxfId="413" priority="532" operator="containsText" text="SP">
      <formula>NOT(ISERROR(SEARCH("SP",AS29)))</formula>
    </cfRule>
  </conditionalFormatting>
  <conditionalFormatting sqref="AS19:BD19">
    <cfRule type="containsText" dxfId="412" priority="526" operator="containsText" text="EL">
      <formula>NOT(ISERROR(SEARCH("EL",AS19)))</formula>
    </cfRule>
    <cfRule type="containsText" dxfId="411" priority="527" operator="containsText" text="AB">
      <formula>NOT(ISERROR(SEARCH("AB",AS19)))</formula>
    </cfRule>
    <cfRule type="containsText" dxfId="410" priority="528" operator="containsText" text="Sick">
      <formula>NOT(ISERROR(SEARCH("Sick",AS19)))</formula>
    </cfRule>
    <cfRule type="containsText" dxfId="409" priority="531" operator="containsText" text="OFF">
      <formula>NOT(ISERROR(SEARCH("OFF",AS19)))</formula>
    </cfRule>
    <cfRule type="containsText" dxfId="408" priority="530" operator="containsText" text="MC">
      <formula>NOT(ISERROR(SEARCH("MC",AS19)))</formula>
    </cfRule>
    <cfRule type="containsText" dxfId="407" priority="529" operator="containsText" text="AL">
      <formula>NOT(ISERROR(SEARCH("AL",AS19)))</formula>
    </cfRule>
    <cfRule type="containsText" dxfId="406" priority="523" operator="containsText" text="NL">
      <formula>NOT(ISERROR(SEARCH("NL",AS19)))</formula>
    </cfRule>
    <cfRule type="containsText" dxfId="405" priority="524" operator="containsText" text="FL">
      <formula>NOT(ISERROR(SEARCH("FL",AS19)))</formula>
    </cfRule>
    <cfRule type="containsText" dxfId="404" priority="522" operator="containsText" text="SP">
      <formula>NOT(ISERROR(SEARCH("SP",AS19)))</formula>
    </cfRule>
    <cfRule type="containsText" dxfId="403" priority="525" operator="containsText" text="SUS">
      <formula>NOT(ISERROR(SEARCH("SUS",AS19)))</formula>
    </cfRule>
  </conditionalFormatting>
  <conditionalFormatting sqref="AT7">
    <cfRule type="containsText" dxfId="402" priority="707" operator="containsText" text="AB">
      <formula>NOT(ISERROR(SEARCH("AB",AT7)))</formula>
    </cfRule>
    <cfRule type="containsText" dxfId="401" priority="708" operator="containsText" text="Sick">
      <formula>NOT(ISERROR(SEARCH("Sick",AT7)))</formula>
    </cfRule>
    <cfRule type="containsText" dxfId="400" priority="709" operator="containsText" text="AL">
      <formula>NOT(ISERROR(SEARCH("AL",AT7)))</formula>
    </cfRule>
    <cfRule type="containsText" dxfId="399" priority="710" operator="containsText" text="MC">
      <formula>NOT(ISERROR(SEARCH("MC",AT7)))</formula>
    </cfRule>
    <cfRule type="containsText" dxfId="398" priority="711" operator="containsText" text="OFF">
      <formula>NOT(ISERROR(SEARCH("OFF",AT7)))</formula>
    </cfRule>
    <cfRule type="containsText" dxfId="397" priority="705" operator="containsText" text="SUS">
      <formula>NOT(ISERROR(SEARCH("SUS",AT7)))</formula>
    </cfRule>
    <cfRule type="containsText" dxfId="396" priority="702" operator="containsText" text="SP">
      <formula>NOT(ISERROR(SEARCH("SP",AT7)))</formula>
    </cfRule>
    <cfRule type="containsText" dxfId="395" priority="703" operator="containsText" text="NL">
      <formula>NOT(ISERROR(SEARCH("NL",AT7)))</formula>
    </cfRule>
    <cfRule type="containsText" dxfId="394" priority="704" operator="containsText" text="FL">
      <formula>NOT(ISERROR(SEARCH("FL",AT7)))</formula>
    </cfRule>
    <cfRule type="containsText" dxfId="393" priority="706" operator="containsText" text="EL">
      <formula>NOT(ISERROR(SEARCH("EL",AT7)))</formula>
    </cfRule>
  </conditionalFormatting>
  <conditionalFormatting sqref="AT18">
    <cfRule type="containsText" dxfId="392" priority="701" operator="containsText" text="OFF">
      <formula>NOT(ISERROR(SEARCH("OFF",AT18)))</formula>
    </cfRule>
    <cfRule type="containsText" dxfId="391" priority="693" operator="containsText" text="NL">
      <formula>NOT(ISERROR(SEARCH("NL",AT18)))</formula>
    </cfRule>
    <cfRule type="containsText" dxfId="390" priority="692" operator="containsText" text="SP">
      <formula>NOT(ISERROR(SEARCH("SP",AT18)))</formula>
    </cfRule>
    <cfRule type="containsText" dxfId="389" priority="695" operator="containsText" text="SUS">
      <formula>NOT(ISERROR(SEARCH("SUS",AT18)))</formula>
    </cfRule>
    <cfRule type="containsText" dxfId="388" priority="694" operator="containsText" text="FL">
      <formula>NOT(ISERROR(SEARCH("FL",AT18)))</formula>
    </cfRule>
    <cfRule type="containsText" dxfId="387" priority="697" operator="containsText" text="AB">
      <formula>NOT(ISERROR(SEARCH("AB",AT18)))</formula>
    </cfRule>
    <cfRule type="containsText" dxfId="386" priority="696" operator="containsText" text="EL">
      <formula>NOT(ISERROR(SEARCH("EL",AT18)))</formula>
    </cfRule>
    <cfRule type="containsText" dxfId="385" priority="698" operator="containsText" text="Sick">
      <formula>NOT(ISERROR(SEARCH("Sick",AT18)))</formula>
    </cfRule>
    <cfRule type="containsText" dxfId="384" priority="699" operator="containsText" text="AL">
      <formula>NOT(ISERROR(SEARCH("AL",AT18)))</formula>
    </cfRule>
    <cfRule type="containsText" dxfId="383" priority="700" operator="containsText" text="MC">
      <formula>NOT(ISERROR(SEARCH("MC",AT18)))</formula>
    </cfRule>
  </conditionalFormatting>
  <conditionalFormatting sqref="AT20">
    <cfRule type="containsText" dxfId="382" priority="691" operator="containsText" text="OFF">
      <formula>NOT(ISERROR(SEARCH("OFF",AT20)))</formula>
    </cfRule>
    <cfRule type="containsText" dxfId="381" priority="687" operator="containsText" text="AB">
      <formula>NOT(ISERROR(SEARCH("AB",AT20)))</formula>
    </cfRule>
    <cfRule type="containsText" dxfId="380" priority="689" operator="containsText" text="AL">
      <formula>NOT(ISERROR(SEARCH("AL",AT20)))</formula>
    </cfRule>
    <cfRule type="containsText" dxfId="379" priority="688" operator="containsText" text="Sick">
      <formula>NOT(ISERROR(SEARCH("Sick",AT20)))</formula>
    </cfRule>
    <cfRule type="containsText" dxfId="378" priority="686" operator="containsText" text="EL">
      <formula>NOT(ISERROR(SEARCH("EL",AT20)))</formula>
    </cfRule>
    <cfRule type="containsText" dxfId="377" priority="690" operator="containsText" text="MC">
      <formula>NOT(ISERROR(SEARCH("MC",AT20)))</formula>
    </cfRule>
    <cfRule type="containsText" dxfId="376" priority="685" operator="containsText" text="SUS">
      <formula>NOT(ISERROR(SEARCH("SUS",AT20)))</formula>
    </cfRule>
    <cfRule type="containsText" dxfId="375" priority="684" operator="containsText" text="FL">
      <formula>NOT(ISERROR(SEARCH("FL",AT20)))</formula>
    </cfRule>
    <cfRule type="containsText" dxfId="374" priority="683" operator="containsText" text="NL">
      <formula>NOT(ISERROR(SEARCH("NL",AT20)))</formula>
    </cfRule>
    <cfRule type="containsText" dxfId="373" priority="682" operator="containsText" text="SP">
      <formula>NOT(ISERROR(SEARCH("SP",AT20)))</formula>
    </cfRule>
  </conditionalFormatting>
  <conditionalFormatting sqref="AT23:AT24">
    <cfRule type="containsText" dxfId="372" priority="425" operator="containsText" text="SUS">
      <formula>NOT(ISERROR(SEARCH("SUS",AT23)))</formula>
    </cfRule>
    <cfRule type="containsText" dxfId="371" priority="428" operator="containsText" text="Sick">
      <formula>NOT(ISERROR(SEARCH("Sick",AT23)))</formula>
    </cfRule>
    <cfRule type="containsText" dxfId="370" priority="427" operator="containsText" text="AB">
      <formula>NOT(ISERROR(SEARCH("AB",AT23)))</formula>
    </cfRule>
    <cfRule type="containsText" dxfId="369" priority="422" operator="containsText" text="SP">
      <formula>NOT(ISERROR(SEARCH("SP",AT23)))</formula>
    </cfRule>
    <cfRule type="containsText" dxfId="368" priority="426" operator="containsText" text="EL">
      <formula>NOT(ISERROR(SEARCH("EL",AT23)))</formula>
    </cfRule>
    <cfRule type="containsText" dxfId="367" priority="431" operator="containsText" text="OFF">
      <formula>NOT(ISERROR(SEARCH("OFF",AT23)))</formula>
    </cfRule>
    <cfRule type="containsText" dxfId="366" priority="430" operator="containsText" text="MC">
      <formula>NOT(ISERROR(SEARCH("MC",AT23)))</formula>
    </cfRule>
    <cfRule type="containsText" dxfId="365" priority="429" operator="containsText" text="AL">
      <formula>NOT(ISERROR(SEARCH("AL",AT23)))</formula>
    </cfRule>
    <cfRule type="containsText" dxfId="364" priority="423" operator="containsText" text="NL">
      <formula>NOT(ISERROR(SEARCH("NL",AT23)))</formula>
    </cfRule>
    <cfRule type="containsText" dxfId="363" priority="424" operator="containsText" text="FL">
      <formula>NOT(ISERROR(SEARCH("FL",AT23)))</formula>
    </cfRule>
  </conditionalFormatting>
  <conditionalFormatting sqref="AU4:AV4">
    <cfRule type="dataBar" priority="13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V23:AV24">
    <cfRule type="containsText" dxfId="362" priority="371" operator="containsText" text="OFF">
      <formula>NOT(ISERROR(SEARCH("OFF",AV23)))</formula>
    </cfRule>
    <cfRule type="containsText" dxfId="361" priority="363" operator="containsText" text="NL">
      <formula>NOT(ISERROR(SEARCH("NL",AV23)))</formula>
    </cfRule>
    <cfRule type="containsText" dxfId="360" priority="370" operator="containsText" text="MC">
      <formula>NOT(ISERROR(SEARCH("MC",AV23)))</formula>
    </cfRule>
    <cfRule type="containsText" dxfId="359" priority="362" operator="containsText" text="SP">
      <formula>NOT(ISERROR(SEARCH("SP",AV23)))</formula>
    </cfRule>
    <cfRule type="containsText" dxfId="358" priority="364" operator="containsText" text="FL">
      <formula>NOT(ISERROR(SEARCH("FL",AV23)))</formula>
    </cfRule>
    <cfRule type="containsText" dxfId="357" priority="365" operator="containsText" text="SUS">
      <formula>NOT(ISERROR(SEARCH("SUS",AV23)))</formula>
    </cfRule>
    <cfRule type="containsText" dxfId="356" priority="366" operator="containsText" text="EL">
      <formula>NOT(ISERROR(SEARCH("EL",AV23)))</formula>
    </cfRule>
    <cfRule type="containsText" dxfId="355" priority="367" operator="containsText" text="AB">
      <formula>NOT(ISERROR(SEARCH("AB",AV23)))</formula>
    </cfRule>
    <cfRule type="containsText" dxfId="354" priority="368" operator="containsText" text="Sick">
      <formula>NOT(ISERROR(SEARCH("Sick",AV23)))</formula>
    </cfRule>
    <cfRule type="containsText" dxfId="353" priority="369" operator="containsText" text="AL">
      <formula>NOT(ISERROR(SEARCH("AL",AV23)))</formula>
    </cfRule>
  </conditionalFormatting>
  <conditionalFormatting sqref="AW4:AX4">
    <cfRule type="dataBar" priority="13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W10:BD10">
    <cfRule type="containsText" dxfId="352" priority="200" operator="containsText" text="OFF">
      <formula>NOT(ISERROR(SEARCH("OFF",AW10)))</formula>
    </cfRule>
    <cfRule type="containsText" dxfId="351" priority="199" operator="containsText" text="MC">
      <formula>NOT(ISERROR(SEARCH("MC",AW10)))</formula>
    </cfRule>
    <cfRule type="containsText" dxfId="350" priority="198" operator="containsText" text="AL">
      <formula>NOT(ISERROR(SEARCH("AL",AW10)))</formula>
    </cfRule>
    <cfRule type="containsText" dxfId="349" priority="197" operator="containsText" text="Sick">
      <formula>NOT(ISERROR(SEARCH("Sick",AW10)))</formula>
    </cfRule>
    <cfRule type="containsText" dxfId="348" priority="196" operator="containsText" text="AB">
      <formula>NOT(ISERROR(SEARCH("AB",AW10)))</formula>
    </cfRule>
    <cfRule type="containsText" dxfId="347" priority="195" operator="containsText" text="EL">
      <formula>NOT(ISERROR(SEARCH("EL",AW10)))</formula>
    </cfRule>
    <cfRule type="containsText" dxfId="346" priority="194" operator="containsText" text="SUS">
      <formula>NOT(ISERROR(SEARCH("SUS",AW10)))</formula>
    </cfRule>
    <cfRule type="containsText" dxfId="345" priority="193" operator="containsText" text="FL">
      <formula>NOT(ISERROR(SEARCH("FL",AW10)))</formula>
    </cfRule>
    <cfRule type="containsText" dxfId="344" priority="192" operator="containsText" text="NL">
      <formula>NOT(ISERROR(SEARCH("NL",AW10)))</formula>
    </cfRule>
    <cfRule type="containsText" dxfId="343" priority="191" operator="containsText" text="SP">
      <formula>NOT(ISERROR(SEARCH("SP",AW10)))</formula>
    </cfRule>
  </conditionalFormatting>
  <conditionalFormatting sqref="AX20">
    <cfRule type="containsText" dxfId="342" priority="477" operator="containsText" text="AB">
      <formula>NOT(ISERROR(SEARCH("AB",AX20)))</formula>
    </cfRule>
    <cfRule type="containsText" dxfId="341" priority="478" operator="containsText" text="Sick">
      <formula>NOT(ISERROR(SEARCH("Sick",AX20)))</formula>
    </cfRule>
    <cfRule type="containsText" dxfId="340" priority="480" operator="containsText" text="MC">
      <formula>NOT(ISERROR(SEARCH("MC",AX20)))</formula>
    </cfRule>
    <cfRule type="containsText" dxfId="339" priority="473" operator="containsText" text="NL">
      <formula>NOT(ISERROR(SEARCH("NL",AX20)))</formula>
    </cfRule>
    <cfRule type="containsText" dxfId="338" priority="479" operator="containsText" text="AL">
      <formula>NOT(ISERROR(SEARCH("AL",AX20)))</formula>
    </cfRule>
    <cfRule type="containsText" dxfId="337" priority="472" operator="containsText" text="SP">
      <formula>NOT(ISERROR(SEARCH("SP",AX20)))</formula>
    </cfRule>
    <cfRule type="containsText" dxfId="336" priority="474" operator="containsText" text="FL">
      <formula>NOT(ISERROR(SEARCH("FL",AX20)))</formula>
    </cfRule>
    <cfRule type="containsText" dxfId="335" priority="475" operator="containsText" text="SUS">
      <formula>NOT(ISERROR(SEARCH("SUS",AX20)))</formula>
    </cfRule>
    <cfRule type="containsText" dxfId="334" priority="476" operator="containsText" text="EL">
      <formula>NOT(ISERROR(SEARCH("EL",AX20)))</formula>
    </cfRule>
    <cfRule type="containsText" dxfId="333" priority="481" operator="containsText" text="OFF">
      <formula>NOT(ISERROR(SEARCH("OFF",AX20)))</formula>
    </cfRule>
  </conditionalFormatting>
  <conditionalFormatting sqref="AX23">
    <cfRule type="containsText" dxfId="332" priority="412" operator="containsText" text="SP">
      <formula>NOT(ISERROR(SEARCH("SP",AX23)))</formula>
    </cfRule>
    <cfRule type="containsText" dxfId="331" priority="421" operator="containsText" text="OFF">
      <formula>NOT(ISERROR(SEARCH("OFF",AX23)))</formula>
    </cfRule>
    <cfRule type="containsText" dxfId="330" priority="420" operator="containsText" text="MC">
      <formula>NOT(ISERROR(SEARCH("MC",AX23)))</formula>
    </cfRule>
    <cfRule type="containsText" dxfId="329" priority="419" operator="containsText" text="AL">
      <formula>NOT(ISERROR(SEARCH("AL",AX23)))</formula>
    </cfRule>
    <cfRule type="containsText" dxfId="328" priority="418" operator="containsText" text="Sick">
      <formula>NOT(ISERROR(SEARCH("Sick",AX23)))</formula>
    </cfRule>
    <cfRule type="containsText" dxfId="327" priority="417" operator="containsText" text="AB">
      <formula>NOT(ISERROR(SEARCH("AB",AX23)))</formula>
    </cfRule>
    <cfRule type="containsText" dxfId="326" priority="416" operator="containsText" text="EL">
      <formula>NOT(ISERROR(SEARCH("EL",AX23)))</formula>
    </cfRule>
    <cfRule type="containsText" dxfId="325" priority="415" operator="containsText" text="SUS">
      <formula>NOT(ISERROR(SEARCH("SUS",AX23)))</formula>
    </cfRule>
    <cfRule type="containsText" dxfId="324" priority="414" operator="containsText" text="FL">
      <formula>NOT(ISERROR(SEARCH("FL",AX23)))</formula>
    </cfRule>
    <cfRule type="containsText" dxfId="323" priority="413" operator="containsText" text="NL">
      <formula>NOT(ISERROR(SEARCH("NL",AX23)))</formula>
    </cfRule>
  </conditionalFormatting>
  <conditionalFormatting sqref="AY4:AZ4">
    <cfRule type="dataBar" priority="13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Z20">
    <cfRule type="containsText" dxfId="322" priority="468" operator="containsText" text="Sick">
      <formula>NOT(ISERROR(SEARCH("Sick",AZ20)))</formula>
    </cfRule>
    <cfRule type="containsText" dxfId="321" priority="469" operator="containsText" text="AL">
      <formula>NOT(ISERROR(SEARCH("AL",AZ20)))</formula>
    </cfRule>
    <cfRule type="containsText" dxfId="320" priority="466" operator="containsText" text="EL">
      <formula>NOT(ISERROR(SEARCH("EL",AZ20)))</formula>
    </cfRule>
    <cfRule type="containsText" dxfId="319" priority="467" operator="containsText" text="AB">
      <formula>NOT(ISERROR(SEARCH("AB",AZ20)))</formula>
    </cfRule>
    <cfRule type="containsText" dxfId="318" priority="465" operator="containsText" text="SUS">
      <formula>NOT(ISERROR(SEARCH("SUS",AZ20)))</formula>
    </cfRule>
    <cfRule type="containsText" dxfId="317" priority="464" operator="containsText" text="FL">
      <formula>NOT(ISERROR(SEARCH("FL",AZ20)))</formula>
    </cfRule>
    <cfRule type="containsText" dxfId="316" priority="463" operator="containsText" text="NL">
      <formula>NOT(ISERROR(SEARCH("NL",AZ20)))</formula>
    </cfRule>
    <cfRule type="containsText" dxfId="315" priority="462" operator="containsText" text="SP">
      <formula>NOT(ISERROR(SEARCH("SP",AZ20)))</formula>
    </cfRule>
    <cfRule type="containsText" dxfId="314" priority="471" operator="containsText" text="OFF">
      <formula>NOT(ISERROR(SEARCH("OFF",AZ20)))</formula>
    </cfRule>
    <cfRule type="containsText" dxfId="313" priority="470" operator="containsText" text="MC">
      <formula>NOT(ISERROR(SEARCH("MC",AZ20)))</formula>
    </cfRule>
  </conditionalFormatting>
  <conditionalFormatting sqref="AZ23">
    <cfRule type="containsText" dxfId="312" priority="411" operator="containsText" text="OFF">
      <formula>NOT(ISERROR(SEARCH("OFF",AZ23)))</formula>
    </cfRule>
    <cfRule type="containsText" dxfId="311" priority="410" operator="containsText" text="MC">
      <formula>NOT(ISERROR(SEARCH("MC",AZ23)))</formula>
    </cfRule>
    <cfRule type="containsText" dxfId="310" priority="409" operator="containsText" text="AL">
      <formula>NOT(ISERROR(SEARCH("AL",AZ23)))</formula>
    </cfRule>
    <cfRule type="containsText" dxfId="309" priority="408" operator="containsText" text="Sick">
      <formula>NOT(ISERROR(SEARCH("Sick",AZ23)))</formula>
    </cfRule>
    <cfRule type="containsText" dxfId="308" priority="407" operator="containsText" text="AB">
      <formula>NOT(ISERROR(SEARCH("AB",AZ23)))</formula>
    </cfRule>
    <cfRule type="containsText" dxfId="307" priority="406" operator="containsText" text="EL">
      <formula>NOT(ISERROR(SEARCH("EL",AZ23)))</formula>
    </cfRule>
    <cfRule type="containsText" dxfId="306" priority="403" operator="containsText" text="NL">
      <formula>NOT(ISERROR(SEARCH("NL",AZ23)))</formula>
    </cfRule>
    <cfRule type="containsText" dxfId="305" priority="402" operator="containsText" text="SP">
      <formula>NOT(ISERROR(SEARCH("SP",AZ23)))</formula>
    </cfRule>
    <cfRule type="containsText" dxfId="304" priority="404" operator="containsText" text="FL">
      <formula>NOT(ISERROR(SEARCH("FL",AZ23)))</formula>
    </cfRule>
    <cfRule type="containsText" dxfId="303" priority="405" operator="containsText" text="SUS">
      <formula>NOT(ISERROR(SEARCH("SUS",AZ23)))</formula>
    </cfRule>
  </conditionalFormatting>
  <conditionalFormatting sqref="BA4:BB4">
    <cfRule type="dataBar" priority="13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32:BN32">
    <cfRule type="containsText" dxfId="302" priority="13871" stopIfTrue="1" operator="containsText" text="SICK">
      <formula>NOT(ISERROR(SEARCH("SICK",BA32)))</formula>
    </cfRule>
    <cfRule type="containsText" dxfId="301" priority="13869" stopIfTrue="1" operator="containsText" text="AL">
      <formula>NOT(ISERROR(SEARCH("AL",BA32)))</formula>
    </cfRule>
    <cfRule type="containsText" dxfId="300" priority="13870" stopIfTrue="1" operator="containsText" text="SP">
      <formula>NOT(ISERROR(SEARCH("SP",BA32)))</formula>
    </cfRule>
  </conditionalFormatting>
  <conditionalFormatting sqref="BB20">
    <cfRule type="containsText" dxfId="299" priority="452" operator="containsText" text="SP">
      <formula>NOT(ISERROR(SEARCH("SP",BB20)))</formula>
    </cfRule>
    <cfRule type="containsText" dxfId="298" priority="453" operator="containsText" text="NL">
      <formula>NOT(ISERROR(SEARCH("NL",BB20)))</formula>
    </cfRule>
    <cfRule type="containsText" dxfId="297" priority="454" operator="containsText" text="FL">
      <formula>NOT(ISERROR(SEARCH("FL",BB20)))</formula>
    </cfRule>
    <cfRule type="containsText" dxfId="296" priority="456" operator="containsText" text="EL">
      <formula>NOT(ISERROR(SEARCH("EL",BB20)))</formula>
    </cfRule>
    <cfRule type="containsText" dxfId="295" priority="457" operator="containsText" text="AB">
      <formula>NOT(ISERROR(SEARCH("AB",BB20)))</formula>
    </cfRule>
    <cfRule type="containsText" dxfId="294" priority="458" operator="containsText" text="Sick">
      <formula>NOT(ISERROR(SEARCH("Sick",BB20)))</formula>
    </cfRule>
    <cfRule type="containsText" dxfId="293" priority="459" operator="containsText" text="AL">
      <formula>NOT(ISERROR(SEARCH("AL",BB20)))</formula>
    </cfRule>
    <cfRule type="containsText" dxfId="292" priority="460" operator="containsText" text="MC">
      <formula>NOT(ISERROR(SEARCH("MC",BB20)))</formula>
    </cfRule>
    <cfRule type="containsText" dxfId="291" priority="461" operator="containsText" text="OFF">
      <formula>NOT(ISERROR(SEARCH("OFF",BB20)))</formula>
    </cfRule>
    <cfRule type="containsText" dxfId="290" priority="455" operator="containsText" text="SUS">
      <formula>NOT(ISERROR(SEARCH("SUS",BB20)))</formula>
    </cfRule>
  </conditionalFormatting>
  <conditionalFormatting sqref="BB23:BB24">
    <cfRule type="containsText" dxfId="289" priority="361" operator="containsText" text="OFF">
      <formula>NOT(ISERROR(SEARCH("OFF",BB23)))</formula>
    </cfRule>
    <cfRule type="containsText" dxfId="288" priority="360" operator="containsText" text="MC">
      <formula>NOT(ISERROR(SEARCH("MC",BB23)))</formula>
    </cfRule>
    <cfRule type="containsText" dxfId="287" priority="359" operator="containsText" text="AL">
      <formula>NOT(ISERROR(SEARCH("AL",BB23)))</formula>
    </cfRule>
    <cfRule type="containsText" dxfId="286" priority="358" operator="containsText" text="Sick">
      <formula>NOT(ISERROR(SEARCH("Sick",BB23)))</formula>
    </cfRule>
    <cfRule type="containsText" dxfId="285" priority="357" operator="containsText" text="AB">
      <formula>NOT(ISERROR(SEARCH("AB",BB23)))</formula>
    </cfRule>
    <cfRule type="containsText" dxfId="284" priority="356" operator="containsText" text="EL">
      <formula>NOT(ISERROR(SEARCH("EL",BB23)))</formula>
    </cfRule>
    <cfRule type="containsText" dxfId="283" priority="355" operator="containsText" text="SUS">
      <formula>NOT(ISERROR(SEARCH("SUS",BB23)))</formula>
    </cfRule>
    <cfRule type="containsText" dxfId="282" priority="354" operator="containsText" text="FL">
      <formula>NOT(ISERROR(SEARCH("FL",BB23)))</formula>
    </cfRule>
    <cfRule type="containsText" dxfId="281" priority="353" operator="containsText" text="NL">
      <formula>NOT(ISERROR(SEARCH("NL",BB23)))</formula>
    </cfRule>
    <cfRule type="containsText" dxfId="280" priority="352" operator="containsText" text="SP">
      <formula>NOT(ISERROR(SEARCH("SP",BB23)))</formula>
    </cfRule>
  </conditionalFormatting>
  <conditionalFormatting sqref="BC4:BD4">
    <cfRule type="dataBar" priority="13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C17:BD17">
    <cfRule type="containsText" dxfId="279" priority="325" operator="containsText" text="SUS">
      <formula>NOT(ISERROR(SEARCH("SUS",BC17)))</formula>
    </cfRule>
    <cfRule type="containsText" dxfId="278" priority="324" operator="containsText" text="FL">
      <formula>NOT(ISERROR(SEARCH("FL",BC17)))</formula>
    </cfRule>
    <cfRule type="containsText" dxfId="277" priority="331" operator="containsText" text="OFF">
      <formula>NOT(ISERROR(SEARCH("OFF",BC17)))</formula>
    </cfRule>
    <cfRule type="containsText" dxfId="276" priority="330" operator="containsText" text="MC">
      <formula>NOT(ISERROR(SEARCH("MC",BC17)))</formula>
    </cfRule>
    <cfRule type="containsText" dxfId="275" priority="329" operator="containsText" text="AL">
      <formula>NOT(ISERROR(SEARCH("AL",BC17)))</formula>
    </cfRule>
    <cfRule type="containsText" dxfId="274" priority="323" operator="containsText" text="NL">
      <formula>NOT(ISERROR(SEARCH("NL",BC17)))</formula>
    </cfRule>
    <cfRule type="containsText" dxfId="273" priority="322" operator="containsText" text="SP">
      <formula>NOT(ISERROR(SEARCH("SP",BC17)))</formula>
    </cfRule>
    <cfRule type="containsText" dxfId="272" priority="328" operator="containsText" text="Sick">
      <formula>NOT(ISERROR(SEARCH("Sick",BC17)))</formula>
    </cfRule>
    <cfRule type="containsText" dxfId="271" priority="327" operator="containsText" text="AB">
      <formula>NOT(ISERROR(SEARCH("AB",BC17)))</formula>
    </cfRule>
    <cfRule type="containsText" dxfId="270" priority="326" operator="containsText" text="EL">
      <formula>NOT(ISERROR(SEARCH("EL",BC17)))</formula>
    </cfRule>
  </conditionalFormatting>
  <conditionalFormatting sqref="BD20">
    <cfRule type="containsText" dxfId="269" priority="446" operator="containsText" text="EL">
      <formula>NOT(ISERROR(SEARCH("EL",BD20)))</formula>
    </cfRule>
    <cfRule type="containsText" dxfId="268" priority="447" operator="containsText" text="AB">
      <formula>NOT(ISERROR(SEARCH("AB",BD20)))</formula>
    </cfRule>
    <cfRule type="containsText" dxfId="267" priority="448" operator="containsText" text="Sick">
      <formula>NOT(ISERROR(SEARCH("Sick",BD20)))</formula>
    </cfRule>
    <cfRule type="containsText" dxfId="266" priority="449" operator="containsText" text="AL">
      <formula>NOT(ISERROR(SEARCH("AL",BD20)))</formula>
    </cfRule>
    <cfRule type="containsText" dxfId="265" priority="450" operator="containsText" text="MC">
      <formula>NOT(ISERROR(SEARCH("MC",BD20)))</formula>
    </cfRule>
    <cfRule type="containsText" dxfId="264" priority="451" operator="containsText" text="OFF">
      <formula>NOT(ISERROR(SEARCH("OFF",BD20)))</formula>
    </cfRule>
    <cfRule type="containsText" dxfId="263" priority="442" operator="containsText" text="SP">
      <formula>NOT(ISERROR(SEARCH("SP",BD20)))</formula>
    </cfRule>
    <cfRule type="containsText" dxfId="262" priority="443" operator="containsText" text="NL">
      <formula>NOT(ISERROR(SEARCH("NL",BD20)))</formula>
    </cfRule>
    <cfRule type="containsText" dxfId="261" priority="444" operator="containsText" text="FL">
      <formula>NOT(ISERROR(SEARCH("FL",BD20)))</formula>
    </cfRule>
    <cfRule type="containsText" dxfId="260" priority="445" operator="containsText" text="SUS">
      <formula>NOT(ISERROR(SEARCH("SUS",BD20)))</formula>
    </cfRule>
  </conditionalFormatting>
  <conditionalFormatting sqref="BD23:BD24">
    <cfRule type="containsText" dxfId="259" priority="349" operator="containsText" text="AL">
      <formula>NOT(ISERROR(SEARCH("AL",BD23)))</formula>
    </cfRule>
    <cfRule type="containsText" dxfId="258" priority="351" operator="containsText" text="OFF">
      <formula>NOT(ISERROR(SEARCH("OFF",BD23)))</formula>
    </cfRule>
    <cfRule type="containsText" dxfId="257" priority="350" operator="containsText" text="MC">
      <formula>NOT(ISERROR(SEARCH("MC",BD23)))</formula>
    </cfRule>
    <cfRule type="containsText" dxfId="256" priority="348" operator="containsText" text="Sick">
      <formula>NOT(ISERROR(SEARCH("Sick",BD23)))</formula>
    </cfRule>
    <cfRule type="containsText" dxfId="255" priority="347" operator="containsText" text="AB">
      <formula>NOT(ISERROR(SEARCH("AB",BD23)))</formula>
    </cfRule>
    <cfRule type="containsText" dxfId="254" priority="346" operator="containsText" text="EL">
      <formula>NOT(ISERROR(SEARCH("EL",BD23)))</formula>
    </cfRule>
    <cfRule type="containsText" dxfId="253" priority="345" operator="containsText" text="SUS">
      <formula>NOT(ISERROR(SEARCH("SUS",BD23)))</formula>
    </cfRule>
    <cfRule type="containsText" dxfId="252" priority="344" operator="containsText" text="FL">
      <formula>NOT(ISERROR(SEARCH("FL",BD23)))</formula>
    </cfRule>
    <cfRule type="containsText" dxfId="251" priority="343" operator="containsText" text="NL">
      <formula>NOT(ISERROR(SEARCH("NL",BD23)))</formula>
    </cfRule>
    <cfRule type="containsText" dxfId="250" priority="342" operator="containsText" text="SP">
      <formula>NOT(ISERROR(SEARCH("SP",BD23)))</formula>
    </cfRule>
  </conditionalFormatting>
  <conditionalFormatting sqref="BE4:BF4">
    <cfRule type="dataBar" priority="13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8:BF11">
    <cfRule type="containsText" dxfId="249" priority="294" operator="containsText" text="FL">
      <formula>NOT(ISERROR(SEARCH("FL",BE8)))</formula>
    </cfRule>
    <cfRule type="containsText" dxfId="248" priority="300" operator="containsText" text="MC">
      <formula>NOT(ISERROR(SEARCH("MC",BE8)))</formula>
    </cfRule>
    <cfRule type="containsText" dxfId="247" priority="301" operator="containsText" text="OFF">
      <formula>NOT(ISERROR(SEARCH("OFF",BE8)))</formula>
    </cfRule>
    <cfRule type="containsText" dxfId="246" priority="297" operator="containsText" text="AB">
      <formula>NOT(ISERROR(SEARCH("AB",BE8)))</formula>
    </cfRule>
    <cfRule type="containsText" dxfId="245" priority="296" operator="containsText" text="EL">
      <formula>NOT(ISERROR(SEARCH("EL",BE8)))</formula>
    </cfRule>
    <cfRule type="containsText" dxfId="244" priority="295" operator="containsText" text="SUS">
      <formula>NOT(ISERROR(SEARCH("SUS",BE8)))</formula>
    </cfRule>
    <cfRule type="containsText" dxfId="243" priority="293" operator="containsText" text="NL">
      <formula>NOT(ISERROR(SEARCH("NL",BE8)))</formula>
    </cfRule>
    <cfRule type="containsText" dxfId="242" priority="292" operator="containsText" text="SP">
      <formula>NOT(ISERROR(SEARCH("SP",BE8)))</formula>
    </cfRule>
    <cfRule type="containsText" dxfId="241" priority="299" operator="containsText" text="AL">
      <formula>NOT(ISERROR(SEARCH("AL",BE8)))</formula>
    </cfRule>
    <cfRule type="containsText" dxfId="240" priority="298" operator="containsText" text="Sick">
      <formula>NOT(ISERROR(SEARCH("Sick",BE8)))</formula>
    </cfRule>
  </conditionalFormatting>
  <conditionalFormatting sqref="BE13:BF13">
    <cfRule type="containsText" dxfId="239" priority="109" operator="containsText" text="MC">
      <formula>NOT(ISERROR(SEARCH("MC",BE13)))</formula>
    </cfRule>
    <cfRule type="containsText" dxfId="238" priority="108" operator="containsText" text="AL">
      <formula>NOT(ISERROR(SEARCH("AL",BE13)))</formula>
    </cfRule>
    <cfRule type="containsText" dxfId="237" priority="107" operator="containsText" text="Sick">
      <formula>NOT(ISERROR(SEARCH("Sick",BE13)))</formula>
    </cfRule>
    <cfRule type="containsText" dxfId="236" priority="106" operator="containsText" text="AB">
      <formula>NOT(ISERROR(SEARCH("AB",BE13)))</formula>
    </cfRule>
    <cfRule type="containsText" dxfId="235" priority="105" operator="containsText" text="EL">
      <formula>NOT(ISERROR(SEARCH("EL",BE13)))</formula>
    </cfRule>
    <cfRule type="containsText" dxfId="234" priority="104" operator="containsText" text="SUS">
      <formula>NOT(ISERROR(SEARCH("SUS",BE13)))</formula>
    </cfRule>
    <cfRule type="containsText" dxfId="233" priority="102" operator="containsText" text="NL">
      <formula>NOT(ISERROR(SEARCH("NL",BE13)))</formula>
    </cfRule>
    <cfRule type="containsText" dxfId="232" priority="101" operator="containsText" text="SP">
      <formula>NOT(ISERROR(SEARCH("SP",BE13)))</formula>
    </cfRule>
    <cfRule type="containsText" dxfId="231" priority="110" operator="containsText" text="OFF">
      <formula>NOT(ISERROR(SEARCH("OFF",BE13)))</formula>
    </cfRule>
    <cfRule type="containsText" dxfId="230" priority="103" operator="containsText" text="FL">
      <formula>NOT(ISERROR(SEARCH("FL",BE13)))</formula>
    </cfRule>
  </conditionalFormatting>
  <conditionalFormatting sqref="BE15:BF20">
    <cfRule type="containsText" dxfId="229" priority="244" operator="containsText" text="FL">
      <formula>NOT(ISERROR(SEARCH("FL",BE15)))</formula>
    </cfRule>
    <cfRule type="containsText" dxfId="228" priority="247" operator="containsText" text="AB">
      <formula>NOT(ISERROR(SEARCH("AB",BE15)))</formula>
    </cfRule>
    <cfRule type="containsText" dxfId="227" priority="246" operator="containsText" text="EL">
      <formula>NOT(ISERROR(SEARCH("EL",BE15)))</formula>
    </cfRule>
    <cfRule type="containsText" dxfId="226" priority="245" operator="containsText" text="SUS">
      <formula>NOT(ISERROR(SEARCH("SUS",BE15)))</formula>
    </cfRule>
    <cfRule type="containsText" dxfId="225" priority="248" operator="containsText" text="Sick">
      <formula>NOT(ISERROR(SEARCH("Sick",BE15)))</formula>
    </cfRule>
    <cfRule type="containsText" dxfId="224" priority="243" operator="containsText" text="NL">
      <formula>NOT(ISERROR(SEARCH("NL",BE15)))</formula>
    </cfRule>
    <cfRule type="containsText" dxfId="223" priority="242" operator="containsText" text="SP">
      <formula>NOT(ISERROR(SEARCH("SP",BE15)))</formula>
    </cfRule>
    <cfRule type="containsText" dxfId="222" priority="249" operator="containsText" text="AL">
      <formula>NOT(ISERROR(SEARCH("AL",BE15)))</formula>
    </cfRule>
    <cfRule type="containsText" dxfId="221" priority="250" operator="containsText" text="MC">
      <formula>NOT(ISERROR(SEARCH("MC",BE15)))</formula>
    </cfRule>
    <cfRule type="containsText" dxfId="220" priority="251" operator="containsText" text="OFF">
      <formula>NOT(ISERROR(SEARCH("OFF",BE15)))</formula>
    </cfRule>
  </conditionalFormatting>
  <conditionalFormatting sqref="BE25:BF26">
    <cfRule type="containsText" dxfId="219" priority="278" operator="containsText" text="Sick">
      <formula>NOT(ISERROR(SEARCH("Sick",BE25)))</formula>
    </cfRule>
    <cfRule type="containsText" dxfId="218" priority="281" operator="containsText" text="OFF">
      <formula>NOT(ISERROR(SEARCH("OFF",BE25)))</formula>
    </cfRule>
    <cfRule type="containsText" dxfId="217" priority="279" operator="containsText" text="AL">
      <formula>NOT(ISERROR(SEARCH("AL",BE25)))</formula>
    </cfRule>
    <cfRule type="containsText" dxfId="216" priority="280" operator="containsText" text="MC">
      <formula>NOT(ISERROR(SEARCH("MC",BE25)))</formula>
    </cfRule>
    <cfRule type="containsText" dxfId="215" priority="274" operator="containsText" text="FL">
      <formula>NOT(ISERROR(SEARCH("FL",BE25)))</formula>
    </cfRule>
    <cfRule type="containsText" dxfId="214" priority="272" operator="containsText" text="SP">
      <formula>NOT(ISERROR(SEARCH("SP",BE25)))</formula>
    </cfRule>
    <cfRule type="containsText" dxfId="213" priority="273" operator="containsText" text="NL">
      <formula>NOT(ISERROR(SEARCH("NL",BE25)))</formula>
    </cfRule>
    <cfRule type="containsText" dxfId="212" priority="277" operator="containsText" text="AB">
      <formula>NOT(ISERROR(SEARCH("AB",BE25)))</formula>
    </cfRule>
    <cfRule type="containsText" dxfId="211" priority="275" operator="containsText" text="SUS">
      <formula>NOT(ISERROR(SEARCH("SUS",BE25)))</formula>
    </cfRule>
    <cfRule type="containsText" dxfId="210" priority="276" operator="containsText" text="EL">
      <formula>NOT(ISERROR(SEARCH("EL",BE25)))</formula>
    </cfRule>
  </conditionalFormatting>
  <conditionalFormatting sqref="BE28:BF28">
    <cfRule type="containsText" dxfId="209" priority="265" operator="containsText" text="SUS">
      <formula>NOT(ISERROR(SEARCH("SUS",BE28)))</formula>
    </cfRule>
    <cfRule type="containsText" dxfId="208" priority="267" operator="containsText" text="AB">
      <formula>NOT(ISERROR(SEARCH("AB",BE28)))</formula>
    </cfRule>
    <cfRule type="containsText" dxfId="207" priority="264" operator="containsText" text="FL">
      <formula>NOT(ISERROR(SEARCH("FL",BE28)))</formula>
    </cfRule>
    <cfRule type="containsText" dxfId="206" priority="268" operator="containsText" text="Sick">
      <formula>NOT(ISERROR(SEARCH("Sick",BE28)))</formula>
    </cfRule>
    <cfRule type="containsText" dxfId="205" priority="270" operator="containsText" text="MC">
      <formula>NOT(ISERROR(SEARCH("MC",BE28)))</formula>
    </cfRule>
    <cfRule type="containsText" dxfId="204" priority="271" operator="containsText" text="OFF">
      <formula>NOT(ISERROR(SEARCH("OFF",BE28)))</formula>
    </cfRule>
    <cfRule type="containsText" dxfId="203" priority="263" operator="containsText" text="NL">
      <formula>NOT(ISERROR(SEARCH("NL",BE28)))</formula>
    </cfRule>
    <cfRule type="containsText" dxfId="202" priority="262" operator="containsText" text="SP">
      <formula>NOT(ISERROR(SEARCH("SP",BE28)))</formula>
    </cfRule>
    <cfRule type="containsText" dxfId="201" priority="266" operator="containsText" text="EL">
      <formula>NOT(ISERROR(SEARCH("EL",BE28)))</formula>
    </cfRule>
    <cfRule type="containsText" dxfId="200" priority="269" operator="containsText" text="AL">
      <formula>NOT(ISERROR(SEARCH("AL",BE28)))</formula>
    </cfRule>
  </conditionalFormatting>
  <conditionalFormatting sqref="BF23">
    <cfRule type="containsText" dxfId="199" priority="379" operator="containsText" text="AL">
      <formula>NOT(ISERROR(SEARCH("AL",BF23)))</formula>
    </cfRule>
    <cfRule type="containsText" dxfId="198" priority="378" operator="containsText" text="Sick">
      <formula>NOT(ISERROR(SEARCH("Sick",BF23)))</formula>
    </cfRule>
    <cfRule type="containsText" dxfId="197" priority="376" operator="containsText" text="EL">
      <formula>NOT(ISERROR(SEARCH("EL",BF23)))</formula>
    </cfRule>
    <cfRule type="containsText" dxfId="196" priority="375" operator="containsText" text="SUS">
      <formula>NOT(ISERROR(SEARCH("SUS",BF23)))</formula>
    </cfRule>
    <cfRule type="containsText" dxfId="195" priority="374" operator="containsText" text="FL">
      <formula>NOT(ISERROR(SEARCH("FL",BF23)))</formula>
    </cfRule>
    <cfRule type="containsText" dxfId="194" priority="373" operator="containsText" text="NL">
      <formula>NOT(ISERROR(SEARCH("NL",BF23)))</formula>
    </cfRule>
    <cfRule type="containsText" dxfId="193" priority="377" operator="containsText" text="AB">
      <formula>NOT(ISERROR(SEARCH("AB",BF23)))</formula>
    </cfRule>
    <cfRule type="containsText" dxfId="192" priority="381" operator="containsText" text="OFF">
      <formula>NOT(ISERROR(SEARCH("OFF",BF23)))</formula>
    </cfRule>
    <cfRule type="containsText" dxfId="191" priority="372" operator="containsText" text="SP">
      <formula>NOT(ISERROR(SEARCH("SP",BF23)))</formula>
    </cfRule>
    <cfRule type="containsText" dxfId="190" priority="380" operator="containsText" text="MC">
      <formula>NOT(ISERROR(SEARCH("MC",BF23)))</formula>
    </cfRule>
  </conditionalFormatting>
  <conditionalFormatting sqref="BG25:BL25">
    <cfRule type="containsText" dxfId="189" priority="80" operator="containsText" text="OFF">
      <formula>NOT(ISERROR(SEARCH("OFF",BG25)))</formula>
    </cfRule>
    <cfRule type="containsText" dxfId="188" priority="79" operator="containsText" text="MC">
      <formula>NOT(ISERROR(SEARCH("MC",BG25)))</formula>
    </cfRule>
    <cfRule type="containsText" dxfId="187" priority="72" operator="containsText" text="NL">
      <formula>NOT(ISERROR(SEARCH("NL",BG25)))</formula>
    </cfRule>
    <cfRule type="containsText" dxfId="186" priority="71" operator="containsText" text="SP">
      <formula>NOT(ISERROR(SEARCH("SP",BG25)))</formula>
    </cfRule>
    <cfRule type="containsText" dxfId="185" priority="78" operator="containsText" text="AL">
      <formula>NOT(ISERROR(SEARCH("AL",BG25)))</formula>
    </cfRule>
    <cfRule type="containsText" dxfId="184" priority="77" operator="containsText" text="Sick">
      <formula>NOT(ISERROR(SEARCH("Sick",BG25)))</formula>
    </cfRule>
    <cfRule type="containsText" dxfId="183" priority="76" operator="containsText" text="AB">
      <formula>NOT(ISERROR(SEARCH("AB",BG25)))</formula>
    </cfRule>
    <cfRule type="containsText" dxfId="182" priority="75" operator="containsText" text="EL">
      <formula>NOT(ISERROR(SEARCH("EL",BG25)))</formula>
    </cfRule>
    <cfRule type="containsText" dxfId="181" priority="74" operator="containsText" text="SUS">
      <formula>NOT(ISERROR(SEARCH("SUS",BG25)))</formula>
    </cfRule>
    <cfRule type="containsText" dxfId="180" priority="73" operator="containsText" text="FL">
      <formula>NOT(ISERROR(SEARCH("FL",BG25)))</formula>
    </cfRule>
  </conditionalFormatting>
  <conditionalFormatting sqref="BG4:BN4">
    <cfRule type="dataBar" priority="16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G8:BN9">
    <cfRule type="containsText" dxfId="179" priority="214" operator="containsText" text="FL">
      <formula>NOT(ISERROR(SEARCH("FL",BG8)))</formula>
    </cfRule>
    <cfRule type="containsText" dxfId="178" priority="213" operator="containsText" text="NL">
      <formula>NOT(ISERROR(SEARCH("NL",BG8)))</formula>
    </cfRule>
    <cfRule type="containsText" dxfId="177" priority="212" operator="containsText" text="SP">
      <formula>NOT(ISERROR(SEARCH("SP",BG8)))</formula>
    </cfRule>
    <cfRule type="containsText" dxfId="176" priority="215" operator="containsText" text="SUS">
      <formula>NOT(ISERROR(SEARCH("SUS",BG8)))</formula>
    </cfRule>
    <cfRule type="containsText" dxfId="175" priority="221" operator="containsText" text="OFF">
      <formula>NOT(ISERROR(SEARCH("OFF",BG8)))</formula>
    </cfRule>
    <cfRule type="containsText" dxfId="174" priority="220" operator="containsText" text="MC">
      <formula>NOT(ISERROR(SEARCH("MC",BG8)))</formula>
    </cfRule>
    <cfRule type="containsText" dxfId="173" priority="219" operator="containsText" text="AL">
      <formula>NOT(ISERROR(SEARCH("AL",BG8)))</formula>
    </cfRule>
    <cfRule type="containsText" dxfId="172" priority="218" operator="containsText" text="Sick">
      <formula>NOT(ISERROR(SEARCH("Sick",BG8)))</formula>
    </cfRule>
    <cfRule type="containsText" dxfId="171" priority="217" operator="containsText" text="AB">
      <formula>NOT(ISERROR(SEARCH("AB",BG8)))</formula>
    </cfRule>
    <cfRule type="containsText" dxfId="170" priority="216" operator="containsText" text="EL">
      <formula>NOT(ISERROR(SEARCH("EL",BG8)))</formula>
    </cfRule>
  </conditionalFormatting>
  <conditionalFormatting sqref="BG19:BN19">
    <cfRule type="containsText" dxfId="169" priority="211" operator="containsText" text="OFF">
      <formula>NOT(ISERROR(SEARCH("OFF",BG19)))</formula>
    </cfRule>
    <cfRule type="containsText" dxfId="168" priority="210" operator="containsText" text="MC">
      <formula>NOT(ISERROR(SEARCH("MC",BG19)))</formula>
    </cfRule>
    <cfRule type="containsText" dxfId="167" priority="209" operator="containsText" text="AL">
      <formula>NOT(ISERROR(SEARCH("AL",BG19)))</formula>
    </cfRule>
    <cfRule type="containsText" dxfId="166" priority="208" operator="containsText" text="Sick">
      <formula>NOT(ISERROR(SEARCH("Sick",BG19)))</formula>
    </cfRule>
    <cfRule type="containsText" dxfId="165" priority="207" operator="containsText" text="AB">
      <formula>NOT(ISERROR(SEARCH("AB",BG19)))</formula>
    </cfRule>
    <cfRule type="containsText" dxfId="164" priority="205" operator="containsText" text="SUS">
      <formula>NOT(ISERROR(SEARCH("SUS",BG19)))</formula>
    </cfRule>
    <cfRule type="containsText" dxfId="163" priority="204" operator="containsText" text="FL">
      <formula>NOT(ISERROR(SEARCH("FL",BG19)))</formula>
    </cfRule>
    <cfRule type="containsText" dxfId="162" priority="203" operator="containsText" text="NL">
      <formula>NOT(ISERROR(SEARCH("NL",BG19)))</formula>
    </cfRule>
    <cfRule type="containsText" dxfId="161" priority="202" operator="containsText" text="SP">
      <formula>NOT(ISERROR(SEARCH("SP",BG19)))</formula>
    </cfRule>
    <cfRule type="containsText" dxfId="160" priority="206" operator="containsText" text="EL">
      <formula>NOT(ISERROR(SEARCH("EL",BG19)))</formula>
    </cfRule>
  </conditionalFormatting>
  <conditionalFormatting sqref="BH18">
    <cfRule type="containsText" dxfId="159" priority="137" operator="containsText" text="Sick">
      <formula>NOT(ISERROR(SEARCH("Sick",BH18)))</formula>
    </cfRule>
    <cfRule type="containsText" dxfId="158" priority="135" operator="containsText" text="EL">
      <formula>NOT(ISERROR(SEARCH("EL",BH18)))</formula>
    </cfRule>
    <cfRule type="containsText" dxfId="157" priority="134" operator="containsText" text="SUS">
      <formula>NOT(ISERROR(SEARCH("SUS",BH18)))</formula>
    </cfRule>
    <cfRule type="containsText" dxfId="156" priority="133" operator="containsText" text="FL">
      <formula>NOT(ISERROR(SEARCH("FL",BH18)))</formula>
    </cfRule>
    <cfRule type="containsText" dxfId="155" priority="132" operator="containsText" text="NL">
      <formula>NOT(ISERROR(SEARCH("NL",BH18)))</formula>
    </cfRule>
    <cfRule type="containsText" dxfId="154" priority="131" operator="containsText" text="SP">
      <formula>NOT(ISERROR(SEARCH("SP",BH18)))</formula>
    </cfRule>
    <cfRule type="containsText" dxfId="153" priority="136" operator="containsText" text="AB">
      <formula>NOT(ISERROR(SEARCH("AB",BH18)))</formula>
    </cfRule>
    <cfRule type="containsText" dxfId="152" priority="140" operator="containsText" text="OFF">
      <formula>NOT(ISERROR(SEARCH("OFF",BH18)))</formula>
    </cfRule>
    <cfRule type="containsText" dxfId="151" priority="139" operator="containsText" text="MC">
      <formula>NOT(ISERROR(SEARCH("MC",BH18)))</formula>
    </cfRule>
    <cfRule type="containsText" dxfId="150" priority="138" operator="containsText" text="AL">
      <formula>NOT(ISERROR(SEARCH("AL",BH18)))</formula>
    </cfRule>
  </conditionalFormatting>
  <conditionalFormatting sqref="BH20">
    <cfRule type="containsText" dxfId="149" priority="173" operator="containsText" text="FL">
      <formula>NOT(ISERROR(SEARCH("FL",BH20)))</formula>
    </cfRule>
    <cfRule type="containsText" dxfId="148" priority="172" operator="containsText" text="NL">
      <formula>NOT(ISERROR(SEARCH("NL",BH20)))</formula>
    </cfRule>
    <cfRule type="containsText" dxfId="147" priority="171" operator="containsText" text="SP">
      <formula>NOT(ISERROR(SEARCH("SP",BH20)))</formula>
    </cfRule>
    <cfRule type="containsText" dxfId="146" priority="179" operator="containsText" text="MC">
      <formula>NOT(ISERROR(SEARCH("MC",BH20)))</formula>
    </cfRule>
    <cfRule type="containsText" dxfId="145" priority="178" operator="containsText" text="AL">
      <formula>NOT(ISERROR(SEARCH("AL",BH20)))</formula>
    </cfRule>
    <cfRule type="containsText" dxfId="144" priority="177" operator="containsText" text="Sick">
      <formula>NOT(ISERROR(SEARCH("Sick",BH20)))</formula>
    </cfRule>
    <cfRule type="containsText" dxfId="143" priority="174" operator="containsText" text="SUS">
      <formula>NOT(ISERROR(SEARCH("SUS",BH20)))</formula>
    </cfRule>
    <cfRule type="containsText" dxfId="142" priority="175" operator="containsText" text="EL">
      <formula>NOT(ISERROR(SEARCH("EL",BH20)))</formula>
    </cfRule>
    <cfRule type="containsText" dxfId="141" priority="176" operator="containsText" text="AB">
      <formula>NOT(ISERROR(SEARCH("AB",BH20)))</formula>
    </cfRule>
    <cfRule type="containsText" dxfId="140" priority="180" operator="containsText" text="OFF">
      <formula>NOT(ISERROR(SEARCH("OFF",BH20)))</formula>
    </cfRule>
  </conditionalFormatting>
  <conditionalFormatting sqref="BH23">
    <cfRule type="containsText" dxfId="139" priority="185" operator="containsText" text="EL">
      <formula>NOT(ISERROR(SEARCH("EL",BH23)))</formula>
    </cfRule>
    <cfRule type="containsText" dxfId="138" priority="184" operator="containsText" text="SUS">
      <formula>NOT(ISERROR(SEARCH("SUS",BH23)))</formula>
    </cfRule>
    <cfRule type="containsText" dxfId="137" priority="183" operator="containsText" text="FL">
      <formula>NOT(ISERROR(SEARCH("FL",BH23)))</formula>
    </cfRule>
    <cfRule type="containsText" dxfId="136" priority="190" operator="containsText" text="OFF">
      <formula>NOT(ISERROR(SEARCH("OFF",BH23)))</formula>
    </cfRule>
    <cfRule type="containsText" dxfId="135" priority="189" operator="containsText" text="MC">
      <formula>NOT(ISERROR(SEARCH("MC",BH23)))</formula>
    </cfRule>
    <cfRule type="containsText" dxfId="134" priority="186" operator="containsText" text="AB">
      <formula>NOT(ISERROR(SEARCH("AB",BH23)))</formula>
    </cfRule>
    <cfRule type="containsText" dxfId="133" priority="188" operator="containsText" text="AL">
      <formula>NOT(ISERROR(SEARCH("AL",BH23)))</formula>
    </cfRule>
    <cfRule type="containsText" dxfId="132" priority="182" operator="containsText" text="NL">
      <formula>NOT(ISERROR(SEARCH("NL",BH23)))</formula>
    </cfRule>
    <cfRule type="containsText" dxfId="131" priority="187" operator="containsText" text="Sick">
      <formula>NOT(ISERROR(SEARCH("Sick",BH23)))</formula>
    </cfRule>
    <cfRule type="containsText" dxfId="130" priority="181" operator="containsText" text="SP">
      <formula>NOT(ISERROR(SEARCH("SP",BH23)))</formula>
    </cfRule>
  </conditionalFormatting>
  <conditionalFormatting sqref="BI15:BJ15">
    <cfRule type="containsText" dxfId="129" priority="114" operator="containsText" text="SUS">
      <formula>NOT(ISERROR(SEARCH("SUS",BI15)))</formula>
    </cfRule>
    <cfRule type="containsText" dxfId="128" priority="120" operator="containsText" text="OFF">
      <formula>NOT(ISERROR(SEARCH("OFF",BI15)))</formula>
    </cfRule>
    <cfRule type="containsText" dxfId="127" priority="119" operator="containsText" text="MC">
      <formula>NOT(ISERROR(SEARCH("MC",BI15)))</formula>
    </cfRule>
    <cfRule type="containsText" dxfId="126" priority="112" operator="containsText" text="NL">
      <formula>NOT(ISERROR(SEARCH("NL",BI15)))</formula>
    </cfRule>
    <cfRule type="containsText" dxfId="125" priority="118" operator="containsText" text="AL">
      <formula>NOT(ISERROR(SEARCH("AL",BI15)))</formula>
    </cfRule>
    <cfRule type="containsText" dxfId="124" priority="113" operator="containsText" text="FL">
      <formula>NOT(ISERROR(SEARCH("FL",BI15)))</formula>
    </cfRule>
    <cfRule type="containsText" dxfId="123" priority="117" operator="containsText" text="Sick">
      <formula>NOT(ISERROR(SEARCH("Sick",BI15)))</formula>
    </cfRule>
    <cfRule type="containsText" dxfId="122" priority="116" operator="containsText" text="AB">
      <formula>NOT(ISERROR(SEARCH("AB",BI15)))</formula>
    </cfRule>
    <cfRule type="containsText" dxfId="121" priority="115" operator="containsText" text="EL">
      <formula>NOT(ISERROR(SEARCH("EL",BI15)))</formula>
    </cfRule>
    <cfRule type="containsText" dxfId="120" priority="111" operator="containsText" text="SP">
      <formula>NOT(ISERROR(SEARCH("SP",BI15)))</formula>
    </cfRule>
  </conditionalFormatting>
  <conditionalFormatting sqref="BJ17:BJ18">
    <cfRule type="containsText" dxfId="119" priority="125" operator="containsText" text="EL">
      <formula>NOT(ISERROR(SEARCH("EL",BJ17)))</formula>
    </cfRule>
    <cfRule type="containsText" dxfId="118" priority="127" operator="containsText" text="Sick">
      <formula>NOT(ISERROR(SEARCH("Sick",BJ17)))</formula>
    </cfRule>
    <cfRule type="containsText" dxfId="117" priority="130" operator="containsText" text="OFF">
      <formula>NOT(ISERROR(SEARCH("OFF",BJ17)))</formula>
    </cfRule>
    <cfRule type="containsText" dxfId="116" priority="129" operator="containsText" text="MC">
      <formula>NOT(ISERROR(SEARCH("MC",BJ17)))</formula>
    </cfRule>
    <cfRule type="containsText" dxfId="115" priority="128" operator="containsText" text="AL">
      <formula>NOT(ISERROR(SEARCH("AL",BJ17)))</formula>
    </cfRule>
    <cfRule type="containsText" dxfId="114" priority="126" operator="containsText" text="AB">
      <formula>NOT(ISERROR(SEARCH("AB",BJ17)))</formula>
    </cfRule>
    <cfRule type="containsText" dxfId="113" priority="124" operator="containsText" text="SUS">
      <formula>NOT(ISERROR(SEARCH("SUS",BJ17)))</formula>
    </cfRule>
    <cfRule type="containsText" dxfId="112" priority="123" operator="containsText" text="FL">
      <formula>NOT(ISERROR(SEARCH("FL",BJ17)))</formula>
    </cfRule>
    <cfRule type="containsText" dxfId="111" priority="122" operator="containsText" text="NL">
      <formula>NOT(ISERROR(SEARCH("NL",BJ17)))</formula>
    </cfRule>
    <cfRule type="containsText" dxfId="110" priority="121" operator="containsText" text="SP">
      <formula>NOT(ISERROR(SEARCH("SP",BJ17)))</formula>
    </cfRule>
  </conditionalFormatting>
  <conditionalFormatting sqref="BJ20">
    <cfRule type="containsText" dxfId="109" priority="170" operator="containsText" text="OFF">
      <formula>NOT(ISERROR(SEARCH("OFF",BJ20)))</formula>
    </cfRule>
    <cfRule type="containsText" dxfId="108" priority="169" operator="containsText" text="MC">
      <formula>NOT(ISERROR(SEARCH("MC",BJ20)))</formula>
    </cfRule>
    <cfRule type="containsText" dxfId="107" priority="168" operator="containsText" text="AL">
      <formula>NOT(ISERROR(SEARCH("AL",BJ20)))</formula>
    </cfRule>
    <cfRule type="containsText" dxfId="106" priority="167" operator="containsText" text="Sick">
      <formula>NOT(ISERROR(SEARCH("Sick",BJ20)))</formula>
    </cfRule>
    <cfRule type="containsText" dxfId="105" priority="166" operator="containsText" text="AB">
      <formula>NOT(ISERROR(SEARCH("AB",BJ20)))</formula>
    </cfRule>
    <cfRule type="containsText" dxfId="104" priority="165" operator="containsText" text="EL">
      <formula>NOT(ISERROR(SEARCH("EL",BJ20)))</formula>
    </cfRule>
    <cfRule type="containsText" dxfId="103" priority="164" operator="containsText" text="SUS">
      <formula>NOT(ISERROR(SEARCH("SUS",BJ20)))</formula>
    </cfRule>
    <cfRule type="containsText" dxfId="102" priority="163" operator="containsText" text="FL">
      <formula>NOT(ISERROR(SEARCH("FL",BJ20)))</formula>
    </cfRule>
    <cfRule type="containsText" dxfId="101" priority="162" operator="containsText" text="NL">
      <formula>NOT(ISERROR(SEARCH("NL",BJ20)))</formula>
    </cfRule>
    <cfRule type="containsText" dxfId="100" priority="161" operator="containsText" text="SP">
      <formula>NOT(ISERROR(SEARCH("SP",BJ20)))</formula>
    </cfRule>
  </conditionalFormatting>
  <conditionalFormatting sqref="BJ22:BJ24">
    <cfRule type="containsText" dxfId="99" priority="160" operator="containsText" text="OFF">
      <formula>NOT(ISERROR(SEARCH("OFF",BJ22)))</formula>
    </cfRule>
    <cfRule type="containsText" dxfId="98" priority="159" operator="containsText" text="MC">
      <formula>NOT(ISERROR(SEARCH("MC",BJ22)))</formula>
    </cfRule>
    <cfRule type="containsText" dxfId="97" priority="155" operator="containsText" text="EL">
      <formula>NOT(ISERROR(SEARCH("EL",BJ22)))</formula>
    </cfRule>
    <cfRule type="containsText" dxfId="96" priority="151" operator="containsText" text="SP">
      <formula>NOT(ISERROR(SEARCH("SP",BJ22)))</formula>
    </cfRule>
    <cfRule type="containsText" dxfId="95" priority="152" operator="containsText" text="NL">
      <formula>NOT(ISERROR(SEARCH("NL",BJ22)))</formula>
    </cfRule>
    <cfRule type="containsText" dxfId="94" priority="153" operator="containsText" text="FL">
      <formula>NOT(ISERROR(SEARCH("FL",BJ22)))</formula>
    </cfRule>
    <cfRule type="containsText" dxfId="93" priority="158" operator="containsText" text="AL">
      <formula>NOT(ISERROR(SEARCH("AL",BJ22)))</formula>
    </cfRule>
    <cfRule type="containsText" dxfId="92" priority="157" operator="containsText" text="Sick">
      <formula>NOT(ISERROR(SEARCH("Sick",BJ22)))</formula>
    </cfRule>
    <cfRule type="containsText" dxfId="91" priority="156" operator="containsText" text="AB">
      <formula>NOT(ISERROR(SEARCH("AB",BJ22)))</formula>
    </cfRule>
    <cfRule type="containsText" dxfId="90" priority="154" operator="containsText" text="SUS">
      <formula>NOT(ISERROR(SEARCH("SUS",BJ22)))</formula>
    </cfRule>
  </conditionalFormatting>
  <conditionalFormatting sqref="BL7">
    <cfRule type="containsText" dxfId="89" priority="43" operator="containsText" text="FL">
      <formula>NOT(ISERROR(SEARCH("FL",BL7)))</formula>
    </cfRule>
    <cfRule type="containsText" dxfId="88" priority="48" operator="containsText" text="AL">
      <formula>NOT(ISERROR(SEARCH("AL",BL7)))</formula>
    </cfRule>
    <cfRule type="containsText" dxfId="87" priority="50" operator="containsText" text="OFF">
      <formula>NOT(ISERROR(SEARCH("OFF",BL7)))</formula>
    </cfRule>
    <cfRule type="containsText" dxfId="86" priority="49" operator="containsText" text="MC">
      <formula>NOT(ISERROR(SEARCH("MC",BL7)))</formula>
    </cfRule>
    <cfRule type="containsText" dxfId="85" priority="47" operator="containsText" text="Sick">
      <formula>NOT(ISERROR(SEARCH("Sick",BL7)))</formula>
    </cfRule>
    <cfRule type="containsText" dxfId="84" priority="46" operator="containsText" text="AB">
      <formula>NOT(ISERROR(SEARCH("AB",BL7)))</formula>
    </cfRule>
    <cfRule type="containsText" dxfId="83" priority="45" operator="containsText" text="EL">
      <formula>NOT(ISERROR(SEARCH("EL",BL7)))</formula>
    </cfRule>
    <cfRule type="containsText" dxfId="82" priority="44" operator="containsText" text="SUS">
      <formula>NOT(ISERROR(SEARCH("SUS",BL7)))</formula>
    </cfRule>
    <cfRule type="containsText" dxfId="81" priority="42" operator="containsText" text="NL">
      <formula>NOT(ISERROR(SEARCH("NL",BL7)))</formula>
    </cfRule>
    <cfRule type="containsText" dxfId="80" priority="41" operator="containsText" text="SP">
      <formula>NOT(ISERROR(SEARCH("SP",BL7)))</formula>
    </cfRule>
  </conditionalFormatting>
  <conditionalFormatting sqref="BL18">
    <cfRule type="containsText" dxfId="79" priority="60" operator="containsText" text="OFF">
      <formula>NOT(ISERROR(SEARCH("OFF",BL18)))</formula>
    </cfRule>
    <cfRule type="containsText" dxfId="78" priority="56" operator="containsText" text="AB">
      <formula>NOT(ISERROR(SEARCH("AB",BL18)))</formula>
    </cfRule>
    <cfRule type="containsText" dxfId="77" priority="55" operator="containsText" text="EL">
      <formula>NOT(ISERROR(SEARCH("EL",BL18)))</formula>
    </cfRule>
    <cfRule type="containsText" dxfId="76" priority="54" operator="containsText" text="SUS">
      <formula>NOT(ISERROR(SEARCH("SUS",BL18)))</formula>
    </cfRule>
    <cfRule type="containsText" dxfId="75" priority="52" operator="containsText" text="NL">
      <formula>NOT(ISERROR(SEARCH("NL",BL18)))</formula>
    </cfRule>
    <cfRule type="containsText" dxfId="74" priority="51" operator="containsText" text="SP">
      <formula>NOT(ISERROR(SEARCH("SP",BL18)))</formula>
    </cfRule>
    <cfRule type="containsText" dxfId="73" priority="59" operator="containsText" text="MC">
      <formula>NOT(ISERROR(SEARCH("MC",BL18)))</formula>
    </cfRule>
    <cfRule type="containsText" dxfId="72" priority="58" operator="containsText" text="AL">
      <formula>NOT(ISERROR(SEARCH("AL",BL18)))</formula>
    </cfRule>
    <cfRule type="containsText" dxfId="71" priority="53" operator="containsText" text="FL">
      <formula>NOT(ISERROR(SEARCH("FL",BL18)))</formula>
    </cfRule>
    <cfRule type="containsText" dxfId="70" priority="57" operator="containsText" text="Sick">
      <formula>NOT(ISERROR(SEARCH("Sick",BL18)))</formula>
    </cfRule>
  </conditionalFormatting>
  <conditionalFormatting sqref="BL23">
    <cfRule type="containsText" dxfId="69" priority="67" operator="containsText" text="Sick">
      <formula>NOT(ISERROR(SEARCH("Sick",BL23)))</formula>
    </cfRule>
    <cfRule type="containsText" dxfId="68" priority="68" operator="containsText" text="AL">
      <formula>NOT(ISERROR(SEARCH("AL",BL23)))</formula>
    </cfRule>
    <cfRule type="containsText" dxfId="67" priority="70" operator="containsText" text="OFF">
      <formula>NOT(ISERROR(SEARCH("OFF",BL23)))</formula>
    </cfRule>
    <cfRule type="containsText" dxfId="66" priority="69" operator="containsText" text="MC">
      <formula>NOT(ISERROR(SEARCH("MC",BL23)))</formula>
    </cfRule>
    <cfRule type="containsText" dxfId="65" priority="61" operator="containsText" text="SP">
      <formula>NOT(ISERROR(SEARCH("SP",BL23)))</formula>
    </cfRule>
    <cfRule type="containsText" dxfId="64" priority="66" operator="containsText" text="AB">
      <formula>NOT(ISERROR(SEARCH("AB",BL23)))</formula>
    </cfRule>
    <cfRule type="containsText" dxfId="63" priority="64" operator="containsText" text="SUS">
      <formula>NOT(ISERROR(SEARCH("SUS",BL23)))</formula>
    </cfRule>
    <cfRule type="containsText" dxfId="62" priority="65" operator="containsText" text="EL">
      <formula>NOT(ISERROR(SEARCH("EL",BL23)))</formula>
    </cfRule>
    <cfRule type="containsText" dxfId="61" priority="63" operator="containsText" text="FL">
      <formula>NOT(ISERROR(SEARCH("FL",BL23)))</formula>
    </cfRule>
    <cfRule type="containsText" dxfId="60" priority="62" operator="containsText" text="NL">
      <formula>NOT(ISERROR(SEARCH("NL",BL23)))</formula>
    </cfRule>
  </conditionalFormatting>
  <conditionalFormatting sqref="BN7">
    <cfRule type="containsText" dxfId="59" priority="31" operator="containsText" text="SP">
      <formula>NOT(ISERROR(SEARCH("SP",BN7)))</formula>
    </cfRule>
    <cfRule type="containsText" dxfId="58" priority="32" operator="containsText" text="NL">
      <formula>NOT(ISERROR(SEARCH("NL",BN7)))</formula>
    </cfRule>
    <cfRule type="containsText" dxfId="57" priority="33" operator="containsText" text="FL">
      <formula>NOT(ISERROR(SEARCH("FL",BN7)))</formula>
    </cfRule>
    <cfRule type="containsText" dxfId="56" priority="34" operator="containsText" text="SUS">
      <formula>NOT(ISERROR(SEARCH("SUS",BN7)))</formula>
    </cfRule>
    <cfRule type="containsText" dxfId="55" priority="35" operator="containsText" text="EL">
      <formula>NOT(ISERROR(SEARCH("EL",BN7)))</formula>
    </cfRule>
    <cfRule type="containsText" dxfId="54" priority="40" operator="containsText" text="OFF">
      <formula>NOT(ISERROR(SEARCH("OFF",BN7)))</formula>
    </cfRule>
    <cfRule type="containsText" dxfId="53" priority="39" operator="containsText" text="MC">
      <formula>NOT(ISERROR(SEARCH("MC",BN7)))</formula>
    </cfRule>
    <cfRule type="containsText" dxfId="52" priority="38" operator="containsText" text="AL">
      <formula>NOT(ISERROR(SEARCH("AL",BN7)))</formula>
    </cfRule>
    <cfRule type="containsText" dxfId="51" priority="37" operator="containsText" text="Sick">
      <formula>NOT(ISERROR(SEARCH("Sick",BN7)))</formula>
    </cfRule>
    <cfRule type="containsText" dxfId="50" priority="36" operator="containsText" text="AB">
      <formula>NOT(ISERROR(SEARCH("AB",BN7)))</formula>
    </cfRule>
  </conditionalFormatting>
  <conditionalFormatting sqref="BN18">
    <cfRule type="containsText" dxfId="49" priority="24" operator="containsText" text="SUS">
      <formula>NOT(ISERROR(SEARCH("SUS",BN18)))</formula>
    </cfRule>
    <cfRule type="containsText" dxfId="48" priority="29" operator="containsText" text="MC">
      <formula>NOT(ISERROR(SEARCH("MC",BN18)))</formula>
    </cfRule>
    <cfRule type="containsText" dxfId="47" priority="23" operator="containsText" text="FL">
      <formula>NOT(ISERROR(SEARCH("FL",BN18)))</formula>
    </cfRule>
    <cfRule type="containsText" dxfId="46" priority="22" operator="containsText" text="NL">
      <formula>NOT(ISERROR(SEARCH("NL",BN18)))</formula>
    </cfRule>
    <cfRule type="containsText" dxfId="45" priority="21" operator="containsText" text="SP">
      <formula>NOT(ISERROR(SEARCH("SP",BN18)))</formula>
    </cfRule>
    <cfRule type="containsText" dxfId="44" priority="27" operator="containsText" text="Sick">
      <formula>NOT(ISERROR(SEARCH("Sick",BN18)))</formula>
    </cfRule>
    <cfRule type="containsText" dxfId="43" priority="28" operator="containsText" text="AL">
      <formula>NOT(ISERROR(SEARCH("AL",BN18)))</formula>
    </cfRule>
    <cfRule type="containsText" dxfId="42" priority="30" operator="containsText" text="OFF">
      <formula>NOT(ISERROR(SEARCH("OFF",BN18)))</formula>
    </cfRule>
    <cfRule type="containsText" dxfId="41" priority="26" operator="containsText" text="AB">
      <formula>NOT(ISERROR(SEARCH("AB",BN18)))</formula>
    </cfRule>
    <cfRule type="containsText" dxfId="40" priority="25" operator="containsText" text="EL">
      <formula>NOT(ISERROR(SEARCH("EL",BN18)))</formula>
    </cfRule>
  </conditionalFormatting>
  <conditionalFormatting sqref="BN20">
    <cfRule type="containsText" dxfId="39" priority="12" operator="containsText" text="NL">
      <formula>NOT(ISERROR(SEARCH("NL",BN20)))</formula>
    </cfRule>
    <cfRule type="containsText" dxfId="38" priority="20" operator="containsText" text="OFF">
      <formula>NOT(ISERROR(SEARCH("OFF",BN20)))</formula>
    </cfRule>
    <cfRule type="containsText" dxfId="37" priority="11" operator="containsText" text="SP">
      <formula>NOT(ISERROR(SEARCH("SP",BN20)))</formula>
    </cfRule>
    <cfRule type="containsText" dxfId="36" priority="19" operator="containsText" text="MC">
      <formula>NOT(ISERROR(SEARCH("MC",BN20)))</formula>
    </cfRule>
    <cfRule type="containsText" dxfId="35" priority="18" operator="containsText" text="AL">
      <formula>NOT(ISERROR(SEARCH("AL",BN20)))</formula>
    </cfRule>
    <cfRule type="containsText" dxfId="34" priority="17" operator="containsText" text="Sick">
      <formula>NOT(ISERROR(SEARCH("Sick",BN20)))</formula>
    </cfRule>
    <cfRule type="containsText" dxfId="33" priority="16" operator="containsText" text="AB">
      <formula>NOT(ISERROR(SEARCH("AB",BN20)))</formula>
    </cfRule>
    <cfRule type="containsText" dxfId="32" priority="15" operator="containsText" text="EL">
      <formula>NOT(ISERROR(SEARCH("EL",BN20)))</formula>
    </cfRule>
    <cfRule type="containsText" dxfId="31" priority="14" operator="containsText" text="SUS">
      <formula>NOT(ISERROR(SEARCH("SUS",BN20)))</formula>
    </cfRule>
    <cfRule type="containsText" dxfId="30" priority="13" operator="containsText" text="FL">
      <formula>NOT(ISERROR(SEARCH("FL",BN20)))</formula>
    </cfRule>
  </conditionalFormatting>
  <conditionalFormatting sqref="BN23">
    <cfRule type="containsText" dxfId="29" priority="6" operator="containsText" text="AB">
      <formula>NOT(ISERROR(SEARCH("AB",BN23)))</formula>
    </cfRule>
    <cfRule type="containsText" dxfId="28" priority="3" operator="containsText" text="FL">
      <formula>NOT(ISERROR(SEARCH("FL",BN23)))</formula>
    </cfRule>
    <cfRule type="containsText" dxfId="27" priority="4" operator="containsText" text="SUS">
      <formula>NOT(ISERROR(SEARCH("SUS",BN23)))</formula>
    </cfRule>
    <cfRule type="containsText" dxfId="26" priority="2" operator="containsText" text="NL">
      <formula>NOT(ISERROR(SEARCH("NL",BN23)))</formula>
    </cfRule>
    <cfRule type="containsText" dxfId="25" priority="1" operator="containsText" text="SP">
      <formula>NOT(ISERROR(SEARCH("SP",BN23)))</formula>
    </cfRule>
    <cfRule type="containsText" dxfId="24" priority="5" operator="containsText" text="EL">
      <formula>NOT(ISERROR(SEARCH("EL",BN23)))</formula>
    </cfRule>
    <cfRule type="containsText" dxfId="23" priority="10" operator="containsText" text="OFF">
      <formula>NOT(ISERROR(SEARCH("OFF",BN23)))</formula>
    </cfRule>
    <cfRule type="containsText" dxfId="22" priority="9" operator="containsText" text="MC">
      <formula>NOT(ISERROR(SEARCH("MC",BN23)))</formula>
    </cfRule>
    <cfRule type="containsText" dxfId="21" priority="8" operator="containsText" text="AL">
      <formula>NOT(ISERROR(SEARCH("AL",BN23)))</formula>
    </cfRule>
    <cfRule type="containsText" dxfId="20" priority="7" operator="containsText" text="Sick">
      <formula>NOT(ISERROR(SEARCH("Sick",BN23)))</formula>
    </cfRule>
  </conditionalFormatting>
  <conditionalFormatting sqref="BR4:BX4">
    <cfRule type="containsText" dxfId="19" priority="3471" operator="containsText" text="SUS">
      <formula>NOT(ISERROR(SEARCH("SUS",BR4)))</formula>
    </cfRule>
    <cfRule type="containsText" dxfId="18" priority="3477" operator="containsText" text="OFF">
      <formula>NOT(ISERROR(SEARCH("OFF",BR4)))</formula>
    </cfRule>
    <cfRule type="containsText" dxfId="17" priority="3476" operator="containsText" text="MC">
      <formula>NOT(ISERROR(SEARCH("MC",BR4)))</formula>
    </cfRule>
    <cfRule type="containsText" dxfId="16" priority="3475" operator="containsText" text="AL">
      <formula>NOT(ISERROR(SEARCH("AL",BR4)))</formula>
    </cfRule>
    <cfRule type="containsText" dxfId="15" priority="3474" operator="containsText" text="Sick">
      <formula>NOT(ISERROR(SEARCH("Sick",BR4)))</formula>
    </cfRule>
    <cfRule type="containsText" dxfId="14" priority="3473" operator="containsText" text="AB">
      <formula>NOT(ISERROR(SEARCH("AB",BR4)))</formula>
    </cfRule>
    <cfRule type="containsText" dxfId="13" priority="3472" operator="containsText" text="EL">
      <formula>NOT(ISERROR(SEARCH("EL",BR4)))</formula>
    </cfRule>
    <cfRule type="containsText" dxfId="12" priority="3470" operator="containsText" text="FL">
      <formula>NOT(ISERROR(SEARCH("FL",BR4)))</formula>
    </cfRule>
    <cfRule type="containsText" dxfId="11" priority="3468" operator="containsText" text="SP">
      <formula>NOT(ISERROR(SEARCH("SP",BR4)))</formula>
    </cfRule>
    <cfRule type="containsText" dxfId="10" priority="3469" operator="containsText" text="NL">
      <formula>NOT(ISERROR(SEARCH("NL",BR4)))</formula>
    </cfRule>
  </conditionalFormatting>
  <conditionalFormatting sqref="BZ4:CB4">
    <cfRule type="containsText" dxfId="9" priority="3497" operator="containsText" text="OFF">
      <formula>NOT(ISERROR(SEARCH("OFF",BZ4)))</formula>
    </cfRule>
    <cfRule type="containsText" dxfId="8" priority="3495" operator="containsText" text="AL">
      <formula>NOT(ISERROR(SEARCH("AL",BZ4)))</formula>
    </cfRule>
    <cfRule type="containsText" dxfId="7" priority="3494" operator="containsText" text="Sick">
      <formula>NOT(ISERROR(SEARCH("Sick",BZ4)))</formula>
    </cfRule>
    <cfRule type="containsText" dxfId="6" priority="3488" operator="containsText" text="SP">
      <formula>NOT(ISERROR(SEARCH("SP",BZ4)))</formula>
    </cfRule>
    <cfRule type="containsText" dxfId="5" priority="3489" operator="containsText" text="NL">
      <formula>NOT(ISERROR(SEARCH("NL",BZ4)))</formula>
    </cfRule>
    <cfRule type="containsText" dxfId="4" priority="3490" operator="containsText" text="FL">
      <formula>NOT(ISERROR(SEARCH("FL",BZ4)))</formula>
    </cfRule>
    <cfRule type="containsText" dxfId="3" priority="3493" operator="containsText" text="AB">
      <formula>NOT(ISERROR(SEARCH("AB",BZ4)))</formula>
    </cfRule>
    <cfRule type="containsText" dxfId="2" priority="3496" operator="containsText" text="MC">
      <formula>NOT(ISERROR(SEARCH("MC",BZ4)))</formula>
    </cfRule>
    <cfRule type="containsText" dxfId="1" priority="3492" operator="containsText" text="EL">
      <formula>NOT(ISERROR(SEARCH("EL",BZ4)))</formula>
    </cfRule>
    <cfRule type="containsText" dxfId="0" priority="3491" operator="containsText" text="SUS">
      <formula>NOT(ISERROR(SEARCH("SUS",BZ4)))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E4:AH4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AM4:AN4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AU4:AV4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AY4:AZ4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BC4:BD4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BG4:BN4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2026-07-01T07:13:04Z</cp:lastPrinted>
  <dcterms:created xsi:type="dcterms:W3CDTF">2025-11-01T09:49:58Z</dcterms:created>
  <dcterms:modified xsi:type="dcterms:W3CDTF">2026-10-30T09:32:13Z</dcterms:modified>
</cp:coreProperties>
</file>