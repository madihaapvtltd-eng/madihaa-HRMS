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"/>
    </mc:Choice>
  </mc:AlternateContent>
  <xr:revisionPtr revIDLastSave="0" documentId="8_{A2ECD15A-B5D2-49EE-8879-F6CD0EFAD682}" xr6:coauthVersionLast="47" xr6:coauthVersionMax="47" xr10:uidLastSave="{00000000-0000-0000-0000-000000000000}"/>
  <bookViews>
    <workbookView xWindow="2790" yWindow="930" windowWidth="21600" windowHeight="11385" tabRatio="620" xr2:uid="{4A30ED18-EEC4-4276-AE32-7D191BED71AC}"/>
  </bookViews>
  <sheets>
    <sheet name="MadiGrand - Foreig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10" i="1" l="1"/>
  <c r="BP10" i="1"/>
  <c r="BQ10" i="1"/>
  <c r="BR10" i="1"/>
  <c r="BS10" i="1"/>
  <c r="BT10" i="1"/>
  <c r="BU10" i="1"/>
  <c r="BV10" i="1"/>
  <c r="BW10" i="1"/>
  <c r="BX10" i="1"/>
  <c r="BY10" i="1"/>
  <c r="BZ10" i="1"/>
  <c r="BO5" i="1"/>
  <c r="BO6" i="1"/>
  <c r="BO21" i="1"/>
  <c r="BO7" i="1"/>
  <c r="BO8" i="1"/>
  <c r="BO9" i="1"/>
  <c r="BO22" i="1"/>
  <c r="BP5" i="1"/>
  <c r="BQ5" i="1"/>
  <c r="BR5" i="1"/>
  <c r="BS5" i="1"/>
  <c r="BT5" i="1"/>
  <c r="BU5" i="1"/>
  <c r="BV5" i="1"/>
  <c r="BW5" i="1"/>
  <c r="BX5" i="1"/>
  <c r="BY5" i="1"/>
  <c r="BZ5" i="1"/>
  <c r="BP6" i="1"/>
  <c r="BQ6" i="1"/>
  <c r="BR6" i="1"/>
  <c r="BS6" i="1"/>
  <c r="BT6" i="1"/>
  <c r="BU6" i="1"/>
  <c r="BV6" i="1"/>
  <c r="BW6" i="1"/>
  <c r="BX6" i="1"/>
  <c r="BY6" i="1"/>
  <c r="BZ6" i="1"/>
  <c r="BP21" i="1"/>
  <c r="BQ21" i="1"/>
  <c r="BR21" i="1"/>
  <c r="BS21" i="1"/>
  <c r="BT21" i="1"/>
  <c r="BU21" i="1"/>
  <c r="BV21" i="1"/>
  <c r="BW21" i="1"/>
  <c r="BX21" i="1"/>
  <c r="BY21" i="1"/>
  <c r="BZ21" i="1"/>
  <c r="BP7" i="1"/>
  <c r="BQ7" i="1"/>
  <c r="BR7" i="1"/>
  <c r="BS7" i="1"/>
  <c r="BT7" i="1"/>
  <c r="BU7" i="1"/>
  <c r="BV7" i="1"/>
  <c r="BW7" i="1"/>
  <c r="BX7" i="1"/>
  <c r="BY7" i="1"/>
  <c r="BZ7" i="1"/>
  <c r="BP8" i="1"/>
  <c r="BQ8" i="1"/>
  <c r="BR8" i="1"/>
  <c r="BS8" i="1"/>
  <c r="BT8" i="1"/>
  <c r="BU8" i="1"/>
  <c r="BV8" i="1"/>
  <c r="BW8" i="1"/>
  <c r="BX8" i="1"/>
  <c r="BY8" i="1"/>
  <c r="BZ8" i="1"/>
  <c r="BP9" i="1"/>
  <c r="BQ9" i="1"/>
  <c r="BR9" i="1"/>
  <c r="BS9" i="1"/>
  <c r="BT9" i="1"/>
  <c r="BU9" i="1"/>
  <c r="BV9" i="1"/>
  <c r="BW9" i="1"/>
  <c r="BX9" i="1"/>
  <c r="BY9" i="1"/>
  <c r="BZ9" i="1"/>
  <c r="BZ22" i="1"/>
  <c r="BY22" i="1"/>
  <c r="BX22" i="1"/>
  <c r="BW22" i="1"/>
  <c r="BV22" i="1"/>
  <c r="BU22" i="1"/>
  <c r="BT22" i="1"/>
  <c r="BS22" i="1"/>
  <c r="BR22" i="1"/>
  <c r="BQ22" i="1"/>
  <c r="BP22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10" i="1" l="1"/>
  <c r="BN22" i="1"/>
  <c r="BN20" i="1"/>
  <c r="BN7" i="1"/>
  <c r="BN21" i="1"/>
  <c r="BN6" i="1"/>
  <c r="BN9" i="1"/>
  <c r="BN5" i="1"/>
  <c r="BN8" i="1"/>
</calcChain>
</file>

<file path=xl/sharedStrings.xml><?xml version="1.0" encoding="utf-8"?>
<sst xmlns="http://schemas.openxmlformats.org/spreadsheetml/2006/main" count="165" uniqueCount="67">
  <si>
    <t>FOREIGN 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</si>
  <si>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</si>
  <si>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</si>
  <si>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</si>
  <si>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</si>
  <si>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</si>
  <si>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</si>
  <si>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</si>
  <si>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</si>
  <si>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</si>
  <si>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</si>
  <si>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</si>
  <si>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</si>
  <si>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</si>
  <si>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</si>
  <si>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</si>
  <si>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</si>
  <si>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</si>
  <si>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</si>
  <si>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</si>
  <si>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</si>
  <si>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</si>
  <si>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</si>
  <si>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</si>
  <si>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</si>
  <si>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</si>
  <si>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 xml:space="preserve">Kasun Kumara </t>
  </si>
  <si>
    <t>MD Jakir Hossain</t>
  </si>
  <si>
    <t>Sachin  kumar</t>
  </si>
  <si>
    <t xml:space="preserve">susmita </t>
  </si>
  <si>
    <t>chadani shrestha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</si>
  <si>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</si>
  <si>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</si>
  <si>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</si>
  <si>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</si>
  <si>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</si>
  <si>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</si>
  <si>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</si>
  <si>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</si>
  <si>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</si>
  <si>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</si>
  <si>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>ABST</t>
  </si>
  <si>
    <t>MUNESWARI SANDRAPALLI</t>
  </si>
  <si>
    <t>Hussain Mahir</t>
  </si>
  <si>
    <t>Moosa Ahmed</t>
  </si>
  <si>
    <t xml:space="preserve">Annual Leave                     </t>
  </si>
  <si>
    <t xml:space="preserve">No Pay Leave        </t>
  </si>
  <si>
    <t>HR Executive</t>
  </si>
  <si>
    <t>Office Manager</t>
  </si>
  <si>
    <t>Chairman</t>
  </si>
  <si>
    <t>Suspended</t>
  </si>
  <si>
    <t>Special Leave</t>
  </si>
  <si>
    <t>Family Leave</t>
  </si>
  <si>
    <t>MDA0516</t>
  </si>
  <si>
    <t>Selvam Silvasthry</t>
  </si>
  <si>
    <t>MD Hasib Uddin</t>
  </si>
  <si>
    <t>Shariq Ahmed</t>
  </si>
  <si>
    <t>MAD0592</t>
  </si>
  <si>
    <t>MD Rafiqul Isalam</t>
  </si>
  <si>
    <t>MAD0735</t>
  </si>
  <si>
    <t>MAG0001</t>
  </si>
  <si>
    <t>MAD0573</t>
  </si>
  <si>
    <t>MAD0551</t>
  </si>
  <si>
    <t>MAD0648</t>
  </si>
  <si>
    <t>MAD0617</t>
  </si>
  <si>
    <t>MAD0695</t>
  </si>
  <si>
    <t>Attendance for JANUARY 2026 - Madi Grand  Staff (FOREIGN)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</si>
</sst>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0000"/>
    <numFmt numFmtId="166" formatCode="h:mm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.9"/>
      <color rgb="FF1E293B"/>
      <name val="Arial"/>
      <family val="2"/>
    </font>
    <font>
      <b/>
      <sz val="9.9"/>
      <color rgb="FF1E293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2" fillId="0" borderId="0" xfId="0" applyNumberFormat="1" applyFont="1" applyAlignment="1">
      <alignment horizontal="center" vertical="center" wrapText="1"/>
    </xf>
    <xf numFmtId="0" fontId="9" fillId="0" borderId="0" xfId="0" applyFont="1"/>
    <xf numFmtId="166" fontId="10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7" fillId="10" borderId="0" xfId="0" applyFont="1" applyFill="1"/>
    <xf numFmtId="0" fontId="16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19" fillId="0" borderId="0" xfId="0" applyFont="1"/>
    <xf numFmtId="166" fontId="9" fillId="0" borderId="0" xfId="0" applyNumberFormat="1" applyFont="1" applyAlignment="1">
      <alignment horizontal="center" vertical="center"/>
    </xf>
    <xf numFmtId="0" fontId="11" fillId="0" borderId="0" xfId="0" applyFont="1"/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20" fontId="0" fillId="7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20" fontId="21" fillId="2" borderId="1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20" fontId="22" fillId="7" borderId="1" xfId="0" applyNumberFormat="1" applyFont="1" applyFill="1" applyBorder="1" applyAlignment="1">
      <alignment horizontal="center" vertical="center" wrapText="1"/>
    </xf>
    <xf numFmtId="1" fontId="22" fillId="7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71FE-D03B-4067-85F8-98ADF3025D4D}">
  <sheetPr>
    <pageSetUpPr fitToPage="1"/>
  </sheetPr>
  <dimension ref="A1:CA22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G1"/>
    </sheetView>
  </sheetViews>
  <sheetFormatPr defaultRowHeight="15" x14ac:dyDescent="0.25"/>
  <cols>
    <col min="1" max="1" width="5.85546875" customWidth="1"/>
    <col min="2" max="2" width="11" customWidth="1"/>
    <col min="3" max="3" width="18.140625" customWidth="1"/>
    <col min="4" max="65" width="6.85546875" customWidth="1"/>
    <col min="66" max="78" width="4.85546875" customWidth="1"/>
  </cols>
  <sheetData>
    <row r="1" spans="1:79" ht="20.25" x14ac:dyDescent="0.25">
      <c r="A1" s="74" t="s">
        <v>66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1" t="s">
        <v>66</v>
      </c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3"/>
    </row>
    <row r="2" spans="1:79" ht="19.5" customHeight="1" x14ac:dyDescent="0.25">
      <c r="A2" s="70" t="s">
        <v>0</v>
      </c>
      <c r="B2" s="70"/>
      <c r="C2" s="70"/>
      <c r="D2" s="69" t="s">
        <v>2</v>
      </c>
      <c r="E2" s="69"/>
      <c r="F2" s="69" t="s">
        <v>3</v>
      </c>
      <c r="G2" s="69"/>
      <c r="H2" s="69" t="s">
        <v>4</v>
      </c>
      <c r="I2" s="69"/>
      <c r="J2" s="69" t="s">
        <v>5</v>
      </c>
      <c r="K2" s="69"/>
      <c r="L2" s="69" t="s">
        <v>6</v>
      </c>
      <c r="M2" s="69"/>
      <c r="N2" s="69" t="s">
        <v>7</v>
      </c>
      <c r="O2" s="69"/>
      <c r="P2" s="69" t="s">
        <v>1</v>
      </c>
      <c r="Q2" s="69"/>
      <c r="R2" s="69" t="s">
        <v>2</v>
      </c>
      <c r="S2" s="69"/>
      <c r="T2" s="69" t="s">
        <v>3</v>
      </c>
      <c r="U2" s="69"/>
      <c r="V2" s="69" t="s">
        <v>4</v>
      </c>
      <c r="W2" s="69"/>
      <c r="X2" s="69" t="s">
        <v>5</v>
      </c>
      <c r="Y2" s="69"/>
      <c r="Z2" s="69" t="s">
        <v>6</v>
      </c>
      <c r="AA2" s="69"/>
      <c r="AB2" s="69" t="s">
        <v>7</v>
      </c>
      <c r="AC2" s="69"/>
      <c r="AD2" s="69" t="s">
        <v>1</v>
      </c>
      <c r="AE2" s="69"/>
      <c r="AF2" s="69" t="s">
        <v>2</v>
      </c>
      <c r="AG2" s="69"/>
      <c r="AH2" s="69" t="s">
        <v>3</v>
      </c>
      <c r="AI2" s="69"/>
      <c r="AJ2" s="69" t="s">
        <v>4</v>
      </c>
      <c r="AK2" s="69"/>
      <c r="AL2" s="69" t="s">
        <v>5</v>
      </c>
      <c r="AM2" s="69"/>
      <c r="AN2" s="69" t="s">
        <v>6</v>
      </c>
      <c r="AO2" s="69"/>
      <c r="AP2" s="69" t="s">
        <v>7</v>
      </c>
      <c r="AQ2" s="69"/>
      <c r="AR2" s="69" t="s">
        <v>1</v>
      </c>
      <c r="AS2" s="69"/>
      <c r="AT2" s="69" t="s">
        <v>2</v>
      </c>
      <c r="AU2" s="69"/>
      <c r="AV2" s="69" t="s">
        <v>3</v>
      </c>
      <c r="AW2" s="69"/>
      <c r="AX2" s="69" t="s">
        <v>4</v>
      </c>
      <c r="AY2" s="69"/>
      <c r="AZ2" s="69" t="s">
        <v>5</v>
      </c>
      <c r="BA2" s="69"/>
      <c r="BB2" s="69" t="s">
        <v>6</v>
      </c>
      <c r="BC2" s="69"/>
      <c r="BD2" s="69" t="s">
        <v>7</v>
      </c>
      <c r="BE2" s="69"/>
      <c r="BF2" s="69" t="s">
        <v>1</v>
      </c>
      <c r="BG2" s="69"/>
      <c r="BH2" s="69" t="s">
        <v>2</v>
      </c>
      <c r="BI2" s="69"/>
      <c r="BJ2" s="69" t="s">
        <v>3</v>
      </c>
      <c r="BK2" s="69"/>
      <c r="BL2" s="69" t="s">
        <v>4</v>
      </c>
      <c r="BM2" s="69"/>
      <c r="BN2" s="75" t="s">
        <v>8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</row>
    <row r="3" spans="1:79" ht="19.5" customHeight="1" x14ac:dyDescent="0.25">
      <c r="A3" s="70"/>
      <c r="B3" s="70"/>
      <c r="C3" s="70"/>
      <c r="D3" s="64">
        <v>46023</v>
      </c>
      <c r="E3" s="64"/>
      <c r="F3" s="64">
        <v>46024</v>
      </c>
      <c r="G3" s="64"/>
      <c r="H3" s="64">
        <v>46025</v>
      </c>
      <c r="I3" s="64"/>
      <c r="J3" s="64">
        <v>46026</v>
      </c>
      <c r="K3" s="64"/>
      <c r="L3" s="64">
        <v>46027</v>
      </c>
      <c r="M3" s="64"/>
      <c r="N3" s="64">
        <v>46028</v>
      </c>
      <c r="O3" s="64"/>
      <c r="P3" s="64">
        <v>46029</v>
      </c>
      <c r="Q3" s="64"/>
      <c r="R3" s="64">
        <v>46030</v>
      </c>
      <c r="S3" s="64"/>
      <c r="T3" s="64">
        <v>46031</v>
      </c>
      <c r="U3" s="64"/>
      <c r="V3" s="64">
        <v>46032</v>
      </c>
      <c r="W3" s="64"/>
      <c r="X3" s="64">
        <v>46033</v>
      </c>
      <c r="Y3" s="64"/>
      <c r="Z3" s="64">
        <v>46034</v>
      </c>
      <c r="AA3" s="64"/>
      <c r="AB3" s="64">
        <v>46035</v>
      </c>
      <c r="AC3" s="64"/>
      <c r="AD3" s="64">
        <v>46036</v>
      </c>
      <c r="AE3" s="64"/>
      <c r="AF3" s="64">
        <v>46037</v>
      </c>
      <c r="AG3" s="64"/>
      <c r="AH3" s="64">
        <v>46038</v>
      </c>
      <c r="AI3" s="64"/>
      <c r="AJ3" s="64">
        <v>46039</v>
      </c>
      <c r="AK3" s="64"/>
      <c r="AL3" s="64">
        <v>46040</v>
      </c>
      <c r="AM3" s="64"/>
      <c r="AN3" s="64">
        <v>46041</v>
      </c>
      <c r="AO3" s="64"/>
      <c r="AP3" s="64">
        <v>46042</v>
      </c>
      <c r="AQ3" s="64"/>
      <c r="AR3" s="64">
        <v>46043</v>
      </c>
      <c r="AS3" s="64"/>
      <c r="AT3" s="64">
        <v>46044</v>
      </c>
      <c r="AU3" s="64"/>
      <c r="AV3" s="64">
        <v>46045</v>
      </c>
      <c r="AW3" s="64"/>
      <c r="AX3" s="64">
        <v>46046</v>
      </c>
      <c r="AY3" s="64"/>
      <c r="AZ3" s="64">
        <v>46047</v>
      </c>
      <c r="BA3" s="64"/>
      <c r="BB3" s="64">
        <v>46048</v>
      </c>
      <c r="BC3" s="64"/>
      <c r="BD3" s="64">
        <v>46049</v>
      </c>
      <c r="BE3" s="64"/>
      <c r="BF3" s="64">
        <v>46050</v>
      </c>
      <c r="BG3" s="64"/>
      <c r="BH3" s="64">
        <v>46051</v>
      </c>
      <c r="BI3" s="64"/>
      <c r="BJ3" s="64">
        <v>46052</v>
      </c>
      <c r="BK3" s="64"/>
      <c r="BL3" s="64">
        <v>46053</v>
      </c>
      <c r="BM3" s="64"/>
      <c r="BN3" s="75"/>
      <c r="BO3" s="1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3"/>
    </row>
    <row r="4" spans="1:79" ht="20.25" customHeight="1" x14ac:dyDescent="0.25">
      <c r="A4" s="4" t="s">
        <v>9</v>
      </c>
      <c r="B4" s="51" t="s">
        <v>10</v>
      </c>
      <c r="C4" s="52" t="s">
        <v>11</v>
      </c>
      <c r="D4" s="59" t="s">
        <v>12</v>
      </c>
      <c r="E4" s="5" t="s">
        <v>13</v>
      </c>
      <c r="F4" s="5" t="s">
        <v>12</v>
      </c>
      <c r="G4" s="5" t="s">
        <v>13</v>
      </c>
      <c r="H4" s="5" t="s">
        <v>12</v>
      </c>
      <c r="I4" s="5" t="s">
        <v>13</v>
      </c>
      <c r="J4" s="5" t="s">
        <v>12</v>
      </c>
      <c r="K4" s="5" t="s">
        <v>13</v>
      </c>
      <c r="L4" s="5" t="s">
        <v>12</v>
      </c>
      <c r="M4" s="5" t="s">
        <v>13</v>
      </c>
      <c r="N4" s="5" t="s">
        <v>12</v>
      </c>
      <c r="O4" s="5" t="s">
        <v>13</v>
      </c>
      <c r="P4" s="5" t="s">
        <v>12</v>
      </c>
      <c r="Q4" s="5" t="s">
        <v>13</v>
      </c>
      <c r="R4" s="5" t="s">
        <v>12</v>
      </c>
      <c r="S4" s="5" t="s">
        <v>13</v>
      </c>
      <c r="T4" s="5" t="s">
        <v>12</v>
      </c>
      <c r="U4" s="5" t="s">
        <v>13</v>
      </c>
      <c r="V4" s="5" t="s">
        <v>12</v>
      </c>
      <c r="W4" s="5" t="s">
        <v>13</v>
      </c>
      <c r="X4" s="5" t="s">
        <v>12</v>
      </c>
      <c r="Y4" s="5" t="s">
        <v>13</v>
      </c>
      <c r="Z4" s="5" t="s">
        <v>12</v>
      </c>
      <c r="AA4" s="5" t="s">
        <v>13</v>
      </c>
      <c r="AB4" s="5" t="s">
        <v>12</v>
      </c>
      <c r="AC4" s="5" t="s">
        <v>13</v>
      </c>
      <c r="AD4" s="5" t="s">
        <v>12</v>
      </c>
      <c r="AE4" s="5" t="s">
        <v>13</v>
      </c>
      <c r="AF4" s="5" t="s">
        <v>12</v>
      </c>
      <c r="AG4" s="5" t="s">
        <v>13</v>
      </c>
      <c r="AH4" s="5" t="s">
        <v>12</v>
      </c>
      <c r="AI4" s="5" t="s">
        <v>13</v>
      </c>
      <c r="AJ4" s="5" t="s">
        <v>12</v>
      </c>
      <c r="AK4" s="5" t="s">
        <v>13</v>
      </c>
      <c r="AL4" s="5" t="s">
        <v>12</v>
      </c>
      <c r="AM4" s="5" t="s">
        <v>13</v>
      </c>
      <c r="AN4" s="5" t="s">
        <v>12</v>
      </c>
      <c r="AO4" s="5" t="s">
        <v>13</v>
      </c>
      <c r="AP4" s="5" t="s">
        <v>12</v>
      </c>
      <c r="AQ4" s="5" t="s">
        <v>13</v>
      </c>
      <c r="AR4" s="5" t="s">
        <v>12</v>
      </c>
      <c r="AS4" s="5" t="s">
        <v>13</v>
      </c>
      <c r="AT4" s="5" t="s">
        <v>12</v>
      </c>
      <c r="AU4" s="5" t="s">
        <v>13</v>
      </c>
      <c r="AV4" s="5" t="s">
        <v>12</v>
      </c>
      <c r="AW4" s="5" t="s">
        <v>13</v>
      </c>
      <c r="AX4" s="5" t="s">
        <v>12</v>
      </c>
      <c r="AY4" s="5" t="s">
        <v>13</v>
      </c>
      <c r="AZ4" s="5" t="s">
        <v>12</v>
      </c>
      <c r="BA4" s="5" t="s">
        <v>13</v>
      </c>
      <c r="BB4" s="5" t="s">
        <v>12</v>
      </c>
      <c r="BC4" s="5" t="s">
        <v>13</v>
      </c>
      <c r="BD4" s="5" t="s">
        <v>12</v>
      </c>
      <c r="BE4" s="5" t="s">
        <v>13</v>
      </c>
      <c r="BF4" s="5" t="s">
        <v>12</v>
      </c>
      <c r="BG4" s="5" t="s">
        <v>13</v>
      </c>
      <c r="BH4" s="5" t="s">
        <v>12</v>
      </c>
      <c r="BI4" s="5" t="s">
        <v>13</v>
      </c>
      <c r="BJ4" s="5" t="s">
        <v>12</v>
      </c>
      <c r="BK4" s="5" t="s">
        <v>13</v>
      </c>
      <c r="BL4" s="5" t="s">
        <v>12</v>
      </c>
      <c r="BM4" s="5" t="s">
        <v>13</v>
      </c>
      <c r="BN4" s="75"/>
      <c r="BO4" s="6"/>
      <c r="BP4" s="2" t="s">
        <v>14</v>
      </c>
      <c r="BQ4" s="2" t="s">
        <v>15</v>
      </c>
      <c r="BR4" s="2" t="s">
        <v>16</v>
      </c>
      <c r="BS4" s="2" t="s">
        <v>17</v>
      </c>
      <c r="BT4" s="2" t="s">
        <v>18</v>
      </c>
      <c r="BU4" s="2" t="s">
        <v>19</v>
      </c>
      <c r="BV4" s="2" t="s">
        <v>20</v>
      </c>
      <c r="BW4" s="2" t="s">
        <v>21</v>
      </c>
      <c r="BX4" s="2" t="s">
        <v>22</v>
      </c>
      <c r="BY4" s="2" t="s">
        <v>23</v>
      </c>
      <c r="BZ4" s="2" t="s">
        <v>24</v>
      </c>
      <c r="CA4" s="7" t="s">
        <v>25</v>
      </c>
    </row>
    <row r="5" spans="1:79" ht="20.25" customHeight="1" x14ac:dyDescent="0.25">
      <c r="A5" s="8">
        <v>1</v>
      </c>
      <c r="B5" s="9" t="s">
        <v>57</v>
      </c>
      <c r="C5" s="10" t="s">
        <v>27</v>
      </c>
      <c r="D5" s="62">
        <v>0.23750000000000002</v>
      </c>
      <c r="E5" s="62">
        <v>0.93402777777777779</v>
      </c>
      <c r="F5" s="60">
        <v>0.28263888888888888</v>
      </c>
      <c r="G5" s="60">
        <v>0.95416666666666661</v>
      </c>
      <c r="H5" s="60">
        <v>0.26944444444444443</v>
      </c>
      <c r="I5" s="60">
        <v>0.92083333333333339</v>
      </c>
      <c r="J5" s="60">
        <v>0.29930555555555555</v>
      </c>
      <c r="K5" s="60">
        <v>0.92569444444444438</v>
      </c>
      <c r="L5" s="60">
        <v>0.65208333333333335</v>
      </c>
      <c r="M5" s="60">
        <v>0.19166666666666665</v>
      </c>
      <c r="N5" s="60">
        <v>0.95624999999999993</v>
      </c>
      <c r="O5" s="61">
        <v>1</v>
      </c>
      <c r="P5" s="60">
        <v>0.3347222222222222</v>
      </c>
      <c r="Q5" s="60">
        <v>0.91319444444444453</v>
      </c>
      <c r="R5" s="60">
        <v>0.30972222222222223</v>
      </c>
      <c r="S5" s="60">
        <v>0.9784722222222223</v>
      </c>
      <c r="T5" s="62">
        <v>0.27013888888888887</v>
      </c>
      <c r="U5" s="62">
        <v>0.88541666666666663</v>
      </c>
      <c r="V5" s="60">
        <v>0.2902777777777778</v>
      </c>
      <c r="W5" s="60">
        <v>0.91805555555555562</v>
      </c>
      <c r="X5" s="60">
        <v>0.28680555555555554</v>
      </c>
      <c r="Y5" s="60">
        <v>0.9243055555555556</v>
      </c>
      <c r="Z5" s="60">
        <v>0.31111111111111112</v>
      </c>
      <c r="AA5" s="60">
        <v>0.8930555555555556</v>
      </c>
      <c r="AB5" s="60">
        <v>0.27499999999999997</v>
      </c>
      <c r="AC5" s="60">
        <v>0.92152777777777783</v>
      </c>
      <c r="AD5" s="60">
        <v>0.30624999999999997</v>
      </c>
      <c r="AE5" s="60">
        <v>0.93541666666666667</v>
      </c>
      <c r="AF5" s="60">
        <v>0.29166666666666669</v>
      </c>
      <c r="AG5" s="60">
        <v>0.89166666666666661</v>
      </c>
      <c r="AH5" s="62">
        <v>0.3</v>
      </c>
      <c r="AI5" s="62">
        <v>0.8847222222222223</v>
      </c>
      <c r="AJ5" s="60">
        <v>0.28472222222222221</v>
      </c>
      <c r="AK5" s="60">
        <v>0.8979166666666667</v>
      </c>
      <c r="AL5" s="60">
        <v>0.29097222222222224</v>
      </c>
      <c r="AM5" s="60">
        <v>0.8979166666666667</v>
      </c>
      <c r="AN5" s="60">
        <v>0.2722222222222222</v>
      </c>
      <c r="AO5" s="60">
        <v>0.90902777777777777</v>
      </c>
      <c r="AP5" s="60">
        <v>0.30902777777777779</v>
      </c>
      <c r="AQ5" s="60">
        <v>0.91319444444444453</v>
      </c>
      <c r="AR5" s="60">
        <v>0.28194444444444444</v>
      </c>
      <c r="AS5" s="60">
        <v>0.9375</v>
      </c>
      <c r="AT5" s="60">
        <v>0.27847222222222223</v>
      </c>
      <c r="AU5" s="60">
        <v>0.9243055555555556</v>
      </c>
      <c r="AV5" s="62">
        <v>0.34375</v>
      </c>
      <c r="AW5" s="62">
        <v>0.8979166666666667</v>
      </c>
      <c r="AX5" s="60">
        <v>0.27638888888888885</v>
      </c>
      <c r="AY5" s="60">
        <v>0.88194444444444453</v>
      </c>
      <c r="AZ5" s="60">
        <v>0.24930555555555556</v>
      </c>
      <c r="BA5" s="60">
        <v>0.88263888888888886</v>
      </c>
      <c r="BB5" s="60">
        <v>0.29166666666666669</v>
      </c>
      <c r="BC5" s="60">
        <v>0.9194444444444444</v>
      </c>
      <c r="BD5" s="60">
        <v>0.30277777777777776</v>
      </c>
      <c r="BE5" s="60">
        <v>0.8833333333333333</v>
      </c>
      <c r="BF5" s="60">
        <v>0.25138888888888888</v>
      </c>
      <c r="BG5" s="60">
        <v>0.89861111111111114</v>
      </c>
      <c r="BH5" s="60">
        <v>0.24027777777777778</v>
      </c>
      <c r="BI5" s="60">
        <v>0.97361111111111109</v>
      </c>
      <c r="BJ5" s="62">
        <v>0.25069444444444444</v>
      </c>
      <c r="BK5" s="62">
        <v>0.95833333333333337</v>
      </c>
      <c r="BL5" s="60">
        <v>0.24236111111111111</v>
      </c>
      <c r="BM5" s="60">
        <v>0.7090277777777777</v>
      </c>
      <c r="BN5" s="11">
        <f t="shared" ref="BN5:BN8" si="0">BO5+BP5+BQ5+BR5+BS5+BV5+BT5+BU5</f>
        <v>31</v>
      </c>
      <c r="BO5" s="12">
        <f t="shared" ref="BO5:BO9" si="1">COUNT(D5:BM5)/2</f>
        <v>31</v>
      </c>
      <c r="BP5" s="12">
        <f t="shared" ref="BP5:BP9" si="2">COUNTIF(D5:BM5,"OFF")/2</f>
        <v>0</v>
      </c>
      <c r="BQ5" s="12">
        <f t="shared" ref="BQ5:BQ9" si="3">COUNTIF(D5:BM5,"MC")/2</f>
        <v>0</v>
      </c>
      <c r="BR5" s="12">
        <f t="shared" ref="BR5:BR9" si="4">COUNTIF(D5:BM5,"EL")/2</f>
        <v>0</v>
      </c>
      <c r="BS5" s="12">
        <f t="shared" ref="BS5:BS9" si="5">COUNTIF(D5:BM5,"AL")/2</f>
        <v>0</v>
      </c>
      <c r="BT5" s="12">
        <f t="shared" ref="BT5:BT9" si="6">COUNTIF(D5:BM5,"SUS")/2</f>
        <v>0</v>
      </c>
      <c r="BU5" s="12">
        <f t="shared" ref="BU5:BU9" si="7">COUNTIF(D5:BM5,"FL")/2</f>
        <v>0</v>
      </c>
      <c r="BV5" s="12">
        <f t="shared" ref="BV5:BV9" si="8">COUNTIF(D5:BM5,"Sick")/2</f>
        <v>0</v>
      </c>
      <c r="BW5" s="12">
        <f t="shared" ref="BW5:BW9" si="9">COUNTIF(D5:BM5,"HD")/2</f>
        <v>0</v>
      </c>
      <c r="BX5" s="12">
        <f t="shared" ref="BX5:BX9" si="10">COUNTIF(D5:BM5,"AB")/2</f>
        <v>0</v>
      </c>
      <c r="BY5" s="12">
        <f t="shared" ref="BY5:BY9" si="11">COUNTIF(D5:BM5,"NL")/2</f>
        <v>0</v>
      </c>
      <c r="BZ5" s="12">
        <f t="shared" ref="BZ5:BZ9" si="12">COUNTIF(D5:BM5,"SP")/2</f>
        <v>0</v>
      </c>
      <c r="CA5" s="9"/>
    </row>
    <row r="6" spans="1:79" ht="20.25" customHeight="1" x14ac:dyDescent="0.25">
      <c r="A6" s="8">
        <v>2</v>
      </c>
      <c r="B6" s="13" t="s">
        <v>62</v>
      </c>
      <c r="C6" s="10" t="s">
        <v>28</v>
      </c>
      <c r="D6" s="62">
        <v>0.23333333333333331</v>
      </c>
      <c r="E6" s="62">
        <v>0.93333333333333324</v>
      </c>
      <c r="F6" s="60">
        <v>0.23333333333333331</v>
      </c>
      <c r="G6" s="60">
        <v>0.95208333333333339</v>
      </c>
      <c r="H6" s="60">
        <v>0.27638888888888885</v>
      </c>
      <c r="I6" s="60">
        <v>0.90347222222222223</v>
      </c>
      <c r="J6" s="60">
        <v>0.28819444444444448</v>
      </c>
      <c r="K6" s="60">
        <v>0.92569444444444438</v>
      </c>
      <c r="L6" s="60">
        <v>0.24097222222222223</v>
      </c>
      <c r="M6" s="60">
        <v>0.18888888888888888</v>
      </c>
      <c r="N6" s="60">
        <v>0.94861111111111107</v>
      </c>
      <c r="O6" s="61">
        <v>1</v>
      </c>
      <c r="P6" s="60">
        <v>0.29305555555555557</v>
      </c>
      <c r="Q6" s="60">
        <v>0.95277777777777783</v>
      </c>
      <c r="R6" s="60">
        <v>0.31180555555555556</v>
      </c>
      <c r="S6" s="60">
        <v>0.93333333333333324</v>
      </c>
      <c r="T6" s="62">
        <v>0.27638888888888885</v>
      </c>
      <c r="U6" s="62">
        <v>0.9145833333333333</v>
      </c>
      <c r="V6" s="60">
        <v>0.29305555555555557</v>
      </c>
      <c r="W6" s="60">
        <v>0.91805555555555562</v>
      </c>
      <c r="X6" s="60">
        <v>0.24027777777777778</v>
      </c>
      <c r="Y6" s="60">
        <v>0.92569444444444438</v>
      </c>
      <c r="Z6" s="60">
        <v>0.28472222222222221</v>
      </c>
      <c r="AA6" s="60">
        <v>0.92708333333333337</v>
      </c>
      <c r="AB6" s="60">
        <v>0.27638888888888885</v>
      </c>
      <c r="AC6" s="60">
        <v>0.91527777777777775</v>
      </c>
      <c r="AD6" s="60">
        <v>0.23124999999999998</v>
      </c>
      <c r="AE6" s="60">
        <v>0.93333333333333324</v>
      </c>
      <c r="AF6" s="60">
        <v>0.25694444444444448</v>
      </c>
      <c r="AG6" s="60">
        <v>0.9243055555555556</v>
      </c>
      <c r="AH6" s="62">
        <v>0.28819444444444448</v>
      </c>
      <c r="AI6" s="62">
        <v>0.91527777777777775</v>
      </c>
      <c r="AJ6" s="60">
        <v>0.24166666666666667</v>
      </c>
      <c r="AK6" s="60">
        <v>0.94166666666666676</v>
      </c>
      <c r="AL6" s="60">
        <v>0.24722222222222223</v>
      </c>
      <c r="AM6" s="60">
        <v>0.89583333333333337</v>
      </c>
      <c r="AN6" s="60">
        <v>0.21249999999999999</v>
      </c>
      <c r="AO6" s="60">
        <v>0.89930555555555547</v>
      </c>
      <c r="AP6" s="60">
        <v>0.25</v>
      </c>
      <c r="AQ6" s="60">
        <v>0.89583333333333337</v>
      </c>
      <c r="AR6" s="60">
        <v>0.23819444444444446</v>
      </c>
      <c r="AS6" s="60">
        <v>0.9291666666666667</v>
      </c>
      <c r="AT6" s="60">
        <v>0.24791666666666667</v>
      </c>
      <c r="AU6" s="60">
        <v>0.92361111111111116</v>
      </c>
      <c r="AV6" s="62">
        <v>0.25347222222222221</v>
      </c>
      <c r="AW6" s="62">
        <v>0.8965277777777777</v>
      </c>
      <c r="AX6" s="60">
        <v>0.24652777777777779</v>
      </c>
      <c r="AY6" s="60">
        <v>0.18124999999999999</v>
      </c>
      <c r="AZ6" s="60">
        <v>0.8833333333333333</v>
      </c>
      <c r="BA6" s="61">
        <v>1</v>
      </c>
      <c r="BB6" s="60">
        <v>0.2673611111111111</v>
      </c>
      <c r="BC6" s="60">
        <v>0.88541666666666663</v>
      </c>
      <c r="BD6" s="60">
        <v>0.23958333333333334</v>
      </c>
      <c r="BE6" s="60">
        <v>0.91805555555555562</v>
      </c>
      <c r="BF6" s="60">
        <v>0.28402777777777777</v>
      </c>
      <c r="BG6" s="60">
        <v>0.92013888888888884</v>
      </c>
      <c r="BH6" s="60">
        <v>0.26250000000000001</v>
      </c>
      <c r="BI6" s="60">
        <v>0.97291666666666676</v>
      </c>
      <c r="BJ6" s="62">
        <v>0.28125</v>
      </c>
      <c r="BK6" s="62">
        <v>0.91805555555555562</v>
      </c>
      <c r="BL6" s="60">
        <v>0.2590277777777778</v>
      </c>
      <c r="BM6" s="60">
        <v>0.72986111111111107</v>
      </c>
      <c r="BN6" s="11">
        <f t="shared" si="0"/>
        <v>31</v>
      </c>
      <c r="BO6" s="12">
        <f t="shared" si="1"/>
        <v>31</v>
      </c>
      <c r="BP6" s="12">
        <f t="shared" si="2"/>
        <v>0</v>
      </c>
      <c r="BQ6" s="12">
        <f t="shared" si="3"/>
        <v>0</v>
      </c>
      <c r="BR6" s="12">
        <f t="shared" si="4"/>
        <v>0</v>
      </c>
      <c r="BS6" s="12">
        <f t="shared" si="5"/>
        <v>0</v>
      </c>
      <c r="BT6" s="12">
        <f t="shared" si="6"/>
        <v>0</v>
      </c>
      <c r="BU6" s="12">
        <f t="shared" si="7"/>
        <v>0</v>
      </c>
      <c r="BV6" s="12">
        <f t="shared" si="8"/>
        <v>0</v>
      </c>
      <c r="BW6" s="12">
        <f t="shared" si="9"/>
        <v>0</v>
      </c>
      <c r="BX6" s="12">
        <f t="shared" si="10"/>
        <v>0</v>
      </c>
      <c r="BY6" s="12">
        <f t="shared" si="11"/>
        <v>0</v>
      </c>
      <c r="BZ6" s="12">
        <f t="shared" si="12"/>
        <v>0</v>
      </c>
      <c r="CA6" s="9"/>
    </row>
    <row r="7" spans="1:79" ht="20.25" customHeight="1" x14ac:dyDescent="0.25">
      <c r="A7" s="8">
        <v>3</v>
      </c>
      <c r="B7" s="13" t="s">
        <v>64</v>
      </c>
      <c r="C7" s="10" t="s">
        <v>30</v>
      </c>
      <c r="D7" s="62">
        <v>0.24930555555555556</v>
      </c>
      <c r="E7" s="62">
        <v>0.93402777777777779</v>
      </c>
      <c r="F7" s="60">
        <v>0.24305555555555555</v>
      </c>
      <c r="G7" s="60">
        <v>0.95277777777777783</v>
      </c>
      <c r="H7" s="60">
        <v>0.28263888888888888</v>
      </c>
      <c r="I7" s="60">
        <v>0.92847222222222225</v>
      </c>
      <c r="J7" s="60">
        <v>0.30694444444444441</v>
      </c>
      <c r="K7" s="60">
        <v>0.92569444444444438</v>
      </c>
      <c r="L7" s="60">
        <v>0.27638888888888885</v>
      </c>
      <c r="M7" s="60">
        <v>0.20347222222222219</v>
      </c>
      <c r="N7" s="60">
        <v>0.96527777777777779</v>
      </c>
      <c r="O7" s="61">
        <v>1</v>
      </c>
      <c r="P7" s="60">
        <v>0.33194444444444443</v>
      </c>
      <c r="Q7" s="60">
        <v>0.97986111111111107</v>
      </c>
      <c r="R7" s="60">
        <v>0.2986111111111111</v>
      </c>
      <c r="S7" s="60">
        <v>0.99375000000000002</v>
      </c>
      <c r="T7" s="62">
        <v>0.29166666666666669</v>
      </c>
      <c r="U7" s="62">
        <v>1.3888888888888889E-3</v>
      </c>
      <c r="V7" s="60">
        <v>0.33055555555555555</v>
      </c>
      <c r="W7" s="60">
        <v>0.91805555555555562</v>
      </c>
      <c r="X7" s="60">
        <v>0.29444444444444445</v>
      </c>
      <c r="Y7" s="60">
        <v>0.92499999999999993</v>
      </c>
      <c r="Z7" s="60">
        <v>0.29791666666666666</v>
      </c>
      <c r="AA7" s="60">
        <v>0.92708333333333337</v>
      </c>
      <c r="AB7" s="60">
        <v>0.29722222222222222</v>
      </c>
      <c r="AC7" s="60">
        <v>0.91875000000000007</v>
      </c>
      <c r="AD7" s="60">
        <v>0.27916666666666667</v>
      </c>
      <c r="AE7" s="60">
        <v>0.93888888888888899</v>
      </c>
      <c r="AF7" s="60">
        <v>0.24444444444444446</v>
      </c>
      <c r="AG7" s="60">
        <v>0.89027777777777783</v>
      </c>
      <c r="AH7" s="62">
        <v>0.29305555555555557</v>
      </c>
      <c r="AI7" s="62">
        <v>0.9159722222222223</v>
      </c>
      <c r="AJ7" s="60">
        <v>0.25555555555555559</v>
      </c>
      <c r="AK7" s="60">
        <v>0.94236111111111109</v>
      </c>
      <c r="AL7" s="60">
        <v>0.25694444444444448</v>
      </c>
      <c r="AM7" s="60">
        <v>0.8979166666666667</v>
      </c>
      <c r="AN7" s="60">
        <v>0.28333333333333333</v>
      </c>
      <c r="AO7" s="60">
        <v>0.9</v>
      </c>
      <c r="AP7" s="60">
        <v>0.29097222222222224</v>
      </c>
      <c r="AQ7" s="60">
        <v>0.91388888888888886</v>
      </c>
      <c r="AR7" s="60">
        <v>0.25347222222222221</v>
      </c>
      <c r="AS7" s="60">
        <v>0.93888888888888899</v>
      </c>
      <c r="AT7" s="60">
        <v>0.25833333333333336</v>
      </c>
      <c r="AU7" s="60">
        <v>0.91249999999999998</v>
      </c>
      <c r="AV7" s="62">
        <v>0.28402777777777777</v>
      </c>
      <c r="AW7" s="62">
        <v>0.91736111111111107</v>
      </c>
      <c r="AX7" s="60">
        <v>0.25833333333333336</v>
      </c>
      <c r="AY7" s="60">
        <v>0.92152777777777783</v>
      </c>
      <c r="AZ7" s="60">
        <v>0.25555555555555559</v>
      </c>
      <c r="BA7" s="60">
        <v>0.8833333333333333</v>
      </c>
      <c r="BB7" s="60">
        <v>0.28819444444444448</v>
      </c>
      <c r="BC7" s="60">
        <v>0.90833333333333333</v>
      </c>
      <c r="BD7" s="60">
        <v>0.29375000000000001</v>
      </c>
      <c r="BE7" s="60">
        <v>0.93194444444444446</v>
      </c>
      <c r="BF7" s="60">
        <v>0.28125</v>
      </c>
      <c r="BG7" s="60">
        <v>0.90069444444444446</v>
      </c>
      <c r="BH7" s="60">
        <v>0.29305555555555557</v>
      </c>
      <c r="BI7" s="60">
        <v>0.97986111111111107</v>
      </c>
      <c r="BJ7" s="62">
        <v>0.29722222222222222</v>
      </c>
      <c r="BK7" s="62">
        <v>0.96250000000000002</v>
      </c>
      <c r="BL7" s="60">
        <v>0.32430555555555557</v>
      </c>
      <c r="BM7" s="61">
        <v>1</v>
      </c>
      <c r="BN7" s="11">
        <f t="shared" si="0"/>
        <v>31</v>
      </c>
      <c r="BO7" s="12">
        <f t="shared" si="1"/>
        <v>31</v>
      </c>
      <c r="BP7" s="12">
        <f t="shared" si="2"/>
        <v>0</v>
      </c>
      <c r="BQ7" s="12">
        <f t="shared" si="3"/>
        <v>0</v>
      </c>
      <c r="BR7" s="12">
        <f t="shared" si="4"/>
        <v>0</v>
      </c>
      <c r="BS7" s="12">
        <f t="shared" si="5"/>
        <v>0</v>
      </c>
      <c r="BT7" s="12">
        <f t="shared" si="6"/>
        <v>0</v>
      </c>
      <c r="BU7" s="12">
        <f t="shared" si="7"/>
        <v>0</v>
      </c>
      <c r="BV7" s="12">
        <f t="shared" si="8"/>
        <v>0</v>
      </c>
      <c r="BW7" s="12">
        <f t="shared" si="9"/>
        <v>0</v>
      </c>
      <c r="BX7" s="12">
        <f t="shared" si="10"/>
        <v>0</v>
      </c>
      <c r="BY7" s="12">
        <f t="shared" si="11"/>
        <v>0</v>
      </c>
      <c r="BZ7" s="12">
        <f t="shared" si="12"/>
        <v>0</v>
      </c>
      <c r="CA7" s="9"/>
    </row>
    <row r="8" spans="1:79" ht="20.25" customHeight="1" x14ac:dyDescent="0.25">
      <c r="A8" s="8">
        <v>4</v>
      </c>
      <c r="B8" s="13" t="s">
        <v>60</v>
      </c>
      <c r="C8" s="10" t="s">
        <v>56</v>
      </c>
      <c r="D8" s="63">
        <v>1</v>
      </c>
      <c r="E8" s="63">
        <v>1</v>
      </c>
      <c r="F8" s="61">
        <v>1</v>
      </c>
      <c r="G8" s="60">
        <v>0.95277777777777783</v>
      </c>
      <c r="H8" s="60">
        <v>0.31388888888888888</v>
      </c>
      <c r="I8" s="61">
        <v>1</v>
      </c>
      <c r="J8" s="60">
        <v>0.33402777777777781</v>
      </c>
      <c r="K8" s="60">
        <v>0.92569444444444438</v>
      </c>
      <c r="L8" s="60">
        <v>0.24097222222222223</v>
      </c>
      <c r="M8" s="60">
        <v>0.87777777777777777</v>
      </c>
      <c r="N8" s="60">
        <v>0.18819444444444444</v>
      </c>
      <c r="O8" s="60">
        <v>0.97152777777777777</v>
      </c>
      <c r="P8" s="60">
        <v>0.32916666666666666</v>
      </c>
      <c r="Q8" s="61">
        <v>1</v>
      </c>
      <c r="R8" s="60">
        <v>0.24722222222222223</v>
      </c>
      <c r="S8" s="61">
        <v>1</v>
      </c>
      <c r="T8" s="62">
        <v>0.24166666666666667</v>
      </c>
      <c r="U8" s="62">
        <v>0.34722222222222227</v>
      </c>
      <c r="V8" s="60">
        <v>0.91805555555555562</v>
      </c>
      <c r="W8" s="60">
        <v>0.63958333333333328</v>
      </c>
      <c r="X8" s="61">
        <v>1</v>
      </c>
      <c r="Y8" s="60">
        <v>0.92499999999999993</v>
      </c>
      <c r="Z8" s="60">
        <v>0.2902777777777778</v>
      </c>
      <c r="AA8" s="60">
        <v>0.9277777777777777</v>
      </c>
      <c r="AB8" s="60">
        <v>0.23958333333333334</v>
      </c>
      <c r="AC8" s="60">
        <v>0.93263888888888891</v>
      </c>
      <c r="AD8" s="60">
        <v>0.24374999999999999</v>
      </c>
      <c r="AE8" s="60">
        <v>0.93263888888888891</v>
      </c>
      <c r="AF8" s="60">
        <v>0.24374999999999999</v>
      </c>
      <c r="AG8" s="60">
        <v>0.94791666666666663</v>
      </c>
      <c r="AH8" s="62">
        <v>0.31944444444444448</v>
      </c>
      <c r="AI8" s="62">
        <v>0.9159722222222223</v>
      </c>
      <c r="AJ8" s="60">
        <v>0.23402777777777781</v>
      </c>
      <c r="AK8" s="60">
        <v>0.94513888888888886</v>
      </c>
      <c r="AL8" s="60">
        <v>0.23333333333333331</v>
      </c>
      <c r="AM8" s="60">
        <v>0.9159722222222223</v>
      </c>
      <c r="AN8" s="60">
        <v>0.24861111111111112</v>
      </c>
      <c r="AO8" s="60">
        <v>0.89444444444444438</v>
      </c>
      <c r="AP8" s="61">
        <v>1</v>
      </c>
      <c r="AQ8" s="60">
        <v>0.91875000000000007</v>
      </c>
      <c r="AR8" s="60">
        <v>0.24236111111111111</v>
      </c>
      <c r="AS8" s="60">
        <v>0.93888888888888899</v>
      </c>
      <c r="AT8" s="60">
        <v>0.24097222222222223</v>
      </c>
      <c r="AU8" s="60">
        <v>0.9243055555555556</v>
      </c>
      <c r="AV8" s="62">
        <v>0.36388888888888887</v>
      </c>
      <c r="AW8" s="62">
        <v>0.89861111111111114</v>
      </c>
      <c r="AX8" s="60">
        <v>0.2388888888888889</v>
      </c>
      <c r="AY8" s="60">
        <v>0.92152777777777783</v>
      </c>
      <c r="AZ8" s="60">
        <v>0.21805555555555556</v>
      </c>
      <c r="BA8" s="60">
        <v>0.89027777777777783</v>
      </c>
      <c r="BB8" s="60">
        <v>0.31666666666666665</v>
      </c>
      <c r="BC8" s="61">
        <v>1</v>
      </c>
      <c r="BD8" s="60">
        <v>0.23124999999999998</v>
      </c>
      <c r="BE8" s="60">
        <v>0.93472222222222223</v>
      </c>
      <c r="BF8" s="60">
        <v>0.21805555555555556</v>
      </c>
      <c r="BG8" s="60">
        <v>0.89027777777777783</v>
      </c>
      <c r="BH8" s="60">
        <v>0.23333333333333331</v>
      </c>
      <c r="BI8" s="60">
        <v>0.9159722222222223</v>
      </c>
      <c r="BJ8" s="62">
        <v>0.2388888888888889</v>
      </c>
      <c r="BK8" s="62">
        <v>0.92152777777777783</v>
      </c>
      <c r="BL8" s="60">
        <v>0.36388888888888887</v>
      </c>
      <c r="BM8" s="60">
        <v>0.89861111111111114</v>
      </c>
      <c r="BN8" s="11">
        <f t="shared" si="0"/>
        <v>31</v>
      </c>
      <c r="BO8" s="12">
        <f t="shared" si="1"/>
        <v>31</v>
      </c>
      <c r="BP8" s="12">
        <f t="shared" si="2"/>
        <v>0</v>
      </c>
      <c r="BQ8" s="12">
        <f t="shared" si="3"/>
        <v>0</v>
      </c>
      <c r="BR8" s="12">
        <f t="shared" si="4"/>
        <v>0</v>
      </c>
      <c r="BS8" s="12">
        <f t="shared" si="5"/>
        <v>0</v>
      </c>
      <c r="BT8" s="12">
        <f t="shared" si="6"/>
        <v>0</v>
      </c>
      <c r="BU8" s="12">
        <f t="shared" si="7"/>
        <v>0</v>
      </c>
      <c r="BV8" s="12">
        <f t="shared" si="8"/>
        <v>0</v>
      </c>
      <c r="BW8" s="12">
        <f t="shared" si="9"/>
        <v>0</v>
      </c>
      <c r="BX8" s="12">
        <f t="shared" si="10"/>
        <v>0</v>
      </c>
      <c r="BY8" s="12">
        <f t="shared" si="11"/>
        <v>0</v>
      </c>
      <c r="BZ8" s="12">
        <f t="shared" si="12"/>
        <v>0</v>
      </c>
      <c r="CA8" s="9"/>
    </row>
    <row r="9" spans="1:79" ht="20.25" customHeight="1" x14ac:dyDescent="0.25">
      <c r="A9" s="8">
        <v>5</v>
      </c>
      <c r="B9" s="13" t="s">
        <v>65</v>
      </c>
      <c r="C9" s="10" t="s">
        <v>55</v>
      </c>
      <c r="D9" s="63">
        <v>1</v>
      </c>
      <c r="E9" s="62">
        <v>0.95486111111111116</v>
      </c>
      <c r="F9" s="61">
        <v>1</v>
      </c>
      <c r="G9" s="60">
        <v>0.29930555555555555</v>
      </c>
      <c r="H9" s="60">
        <v>0.9243055555555556</v>
      </c>
      <c r="I9" s="60">
        <v>0.28819444444444448</v>
      </c>
      <c r="J9" s="60">
        <v>0.92569444444444438</v>
      </c>
      <c r="K9" s="60">
        <v>0.30138888888888887</v>
      </c>
      <c r="L9" s="60">
        <v>0.91319444444444453</v>
      </c>
      <c r="M9" s="60">
        <v>0.26458333333333334</v>
      </c>
      <c r="N9" s="60">
        <v>0.96388888888888891</v>
      </c>
      <c r="O9" s="60">
        <v>0.29722222222222222</v>
      </c>
      <c r="P9" s="60">
        <v>0.92569444444444438</v>
      </c>
      <c r="Q9" s="60">
        <v>0.30208333333333331</v>
      </c>
      <c r="R9" s="60">
        <v>0.93472222222222223</v>
      </c>
      <c r="S9" s="60">
        <v>0.27291666666666664</v>
      </c>
      <c r="T9" s="62">
        <v>0.9277777777777777</v>
      </c>
      <c r="U9" s="62">
        <v>0.30277777777777776</v>
      </c>
      <c r="V9" s="60">
        <v>0.92847222222222225</v>
      </c>
      <c r="W9" s="60">
        <v>0.27361111111111108</v>
      </c>
      <c r="X9" s="60">
        <v>0.93402777777777779</v>
      </c>
      <c r="Y9" s="60">
        <v>0.26111111111111113</v>
      </c>
      <c r="Z9" s="60">
        <v>0.92708333333333337</v>
      </c>
      <c r="AA9" s="60">
        <v>0.25625000000000003</v>
      </c>
      <c r="AB9" s="60">
        <v>0.9277777777777777</v>
      </c>
      <c r="AC9" s="60">
        <v>0.24722222222222223</v>
      </c>
      <c r="AD9" s="60">
        <v>0.95000000000000007</v>
      </c>
      <c r="AE9" s="60">
        <v>0.24930555555555556</v>
      </c>
      <c r="AF9" s="60">
        <v>0.90208333333333324</v>
      </c>
      <c r="AG9" s="60">
        <v>0.25277777777777777</v>
      </c>
      <c r="AH9" s="62">
        <v>0.9770833333333333</v>
      </c>
      <c r="AI9" s="62">
        <v>0.25972222222222224</v>
      </c>
      <c r="AJ9" s="60">
        <v>0.91388888888888886</v>
      </c>
      <c r="AK9" s="61">
        <v>1</v>
      </c>
      <c r="AL9" s="60">
        <v>0.24861111111111112</v>
      </c>
      <c r="AM9" s="60">
        <v>0.89722222222222225</v>
      </c>
      <c r="AN9" s="60">
        <v>0.23958333333333334</v>
      </c>
      <c r="AO9" s="60">
        <v>0.90902777777777777</v>
      </c>
      <c r="AP9" s="60">
        <v>0.24930555555555556</v>
      </c>
      <c r="AQ9" s="60">
        <v>0.91319444444444453</v>
      </c>
      <c r="AR9" s="60">
        <v>0.25416666666666665</v>
      </c>
      <c r="AS9" s="60">
        <v>0.93055555555555547</v>
      </c>
      <c r="AT9" s="60">
        <v>0.25208333333333333</v>
      </c>
      <c r="AU9" s="60">
        <v>0.94027777777777777</v>
      </c>
      <c r="AV9" s="62">
        <v>0.25277777777777777</v>
      </c>
      <c r="AW9" s="62">
        <v>0.9194444444444444</v>
      </c>
      <c r="AX9" s="60">
        <v>0.25347222222222221</v>
      </c>
      <c r="AY9" s="60">
        <v>0.91875000000000007</v>
      </c>
      <c r="AZ9" s="60">
        <v>0.25069444444444444</v>
      </c>
      <c r="BA9" s="60">
        <v>0.90972222222222221</v>
      </c>
      <c r="BB9" s="60">
        <v>0.25208333333333333</v>
      </c>
      <c r="BC9" s="60">
        <v>0.9277777777777777</v>
      </c>
      <c r="BD9" s="60">
        <v>0.25416666666666665</v>
      </c>
      <c r="BE9" s="60">
        <v>0.93611111111111101</v>
      </c>
      <c r="BF9" s="60">
        <v>0.25347222222222221</v>
      </c>
      <c r="BG9" s="60">
        <v>0.92013888888888884</v>
      </c>
      <c r="BH9" s="60">
        <v>0.24930555555555556</v>
      </c>
      <c r="BI9" s="60">
        <v>0.98749999999999993</v>
      </c>
      <c r="BJ9" s="62">
        <v>0.25555555555555559</v>
      </c>
      <c r="BK9" s="62">
        <v>0.98749999999999993</v>
      </c>
      <c r="BL9" s="60">
        <v>0.24930555555555556</v>
      </c>
      <c r="BM9" s="60">
        <v>0.71458333333333324</v>
      </c>
      <c r="BN9" s="11">
        <f>BO9+BP9+BQ9+BR9+BS9+BV9+BT9+BU9</f>
        <v>31</v>
      </c>
      <c r="BO9" s="12">
        <f t="shared" si="1"/>
        <v>31</v>
      </c>
      <c r="BP9" s="12">
        <f t="shared" si="2"/>
        <v>0</v>
      </c>
      <c r="BQ9" s="12">
        <f t="shared" si="3"/>
        <v>0</v>
      </c>
      <c r="BR9" s="12">
        <f t="shared" si="4"/>
        <v>0</v>
      </c>
      <c r="BS9" s="12">
        <f t="shared" si="5"/>
        <v>0</v>
      </c>
      <c r="BT9" s="12">
        <f t="shared" si="6"/>
        <v>0</v>
      </c>
      <c r="BU9" s="12">
        <f t="shared" si="7"/>
        <v>0</v>
      </c>
      <c r="BV9" s="12">
        <f t="shared" si="8"/>
        <v>0</v>
      </c>
      <c r="BW9" s="12">
        <f t="shared" si="9"/>
        <v>0</v>
      </c>
      <c r="BX9" s="12">
        <f t="shared" si="10"/>
        <v>0</v>
      </c>
      <c r="BY9" s="12">
        <f t="shared" si="11"/>
        <v>0</v>
      </c>
      <c r="BZ9" s="12">
        <f t="shared" si="12"/>
        <v>0</v>
      </c>
      <c r="CA9" s="9"/>
    </row>
    <row r="10" spans="1:79" ht="20.25" customHeight="1" x14ac:dyDescent="0.25">
      <c r="A10" s="8">
        <v>6</v>
      </c>
      <c r="B10" s="13" t="s">
        <v>59</v>
      </c>
      <c r="C10" s="10" t="s">
        <v>58</v>
      </c>
      <c r="D10" s="62">
        <v>0.27569444444444446</v>
      </c>
      <c r="E10" s="62">
        <v>0.93333333333333324</v>
      </c>
      <c r="F10" s="60">
        <v>0.29236111111111113</v>
      </c>
      <c r="G10" s="60">
        <v>0.95277777777777783</v>
      </c>
      <c r="H10" s="60">
        <v>0.30208333333333331</v>
      </c>
      <c r="I10" s="60">
        <v>0.92291666666666661</v>
      </c>
      <c r="J10" s="60">
        <v>0.26041666666666669</v>
      </c>
      <c r="K10" s="60">
        <v>0.92847222222222225</v>
      </c>
      <c r="L10" s="60">
        <v>0.65208333333333335</v>
      </c>
      <c r="M10" s="60">
        <v>0.19166666666666665</v>
      </c>
      <c r="N10" s="60">
        <v>0.63611111111111118</v>
      </c>
      <c r="O10" s="60">
        <v>0.94861111111111107</v>
      </c>
      <c r="P10" s="60">
        <v>0.33402777777777781</v>
      </c>
      <c r="Q10" s="60">
        <v>0.9784722222222223</v>
      </c>
      <c r="R10" s="60">
        <v>0.3034722222222222</v>
      </c>
      <c r="S10" s="60">
        <v>0.93680555555555556</v>
      </c>
      <c r="T10" s="62">
        <v>0.28125</v>
      </c>
      <c r="U10" s="62">
        <v>0.9277777777777777</v>
      </c>
      <c r="V10" s="60">
        <v>0.29722222222222222</v>
      </c>
      <c r="W10" s="60">
        <v>0.92847222222222225</v>
      </c>
      <c r="X10" s="60">
        <v>0.29583333333333334</v>
      </c>
      <c r="Y10" s="60">
        <v>0.92569444444444438</v>
      </c>
      <c r="Z10" s="60">
        <v>0.27638888888888885</v>
      </c>
      <c r="AA10" s="60">
        <v>0.9243055555555556</v>
      </c>
      <c r="AB10" s="60">
        <v>0.27638888888888885</v>
      </c>
      <c r="AC10" s="60">
        <v>0.92708333333333337</v>
      </c>
      <c r="AD10" s="60">
        <v>0.28958333333333336</v>
      </c>
      <c r="AE10" s="60">
        <v>0.95000000000000007</v>
      </c>
      <c r="AF10" s="60">
        <v>0.23194444444444443</v>
      </c>
      <c r="AG10" s="60">
        <v>0.90208333333333324</v>
      </c>
      <c r="AH10" s="62">
        <v>0.28819444444444448</v>
      </c>
      <c r="AI10" s="62">
        <v>0.91527777777777775</v>
      </c>
      <c r="AJ10" s="60">
        <v>0.27013888888888887</v>
      </c>
      <c r="AK10" s="60">
        <v>0.91041666666666676</v>
      </c>
      <c r="AL10" s="60">
        <v>0.26527777777777778</v>
      </c>
      <c r="AM10" s="60">
        <v>0.8965277777777777</v>
      </c>
      <c r="AN10" s="60">
        <v>0.26874999999999999</v>
      </c>
      <c r="AO10" s="60">
        <v>0.90902777777777777</v>
      </c>
      <c r="AP10" s="60">
        <v>0.2722222222222222</v>
      </c>
      <c r="AQ10" s="60">
        <v>0.89166666666666661</v>
      </c>
      <c r="AR10" s="60">
        <v>0.27638888888888885</v>
      </c>
      <c r="AS10" s="60">
        <v>0.93680555555555556</v>
      </c>
      <c r="AT10" s="60">
        <v>0.27152777777777776</v>
      </c>
      <c r="AU10" s="60">
        <v>0.93958333333333333</v>
      </c>
      <c r="AV10" s="62">
        <v>0.27777777777777779</v>
      </c>
      <c r="AW10" s="62">
        <v>0.91666666666666663</v>
      </c>
      <c r="AX10" s="60">
        <v>0.27847222222222223</v>
      </c>
      <c r="AY10" s="60">
        <v>0.92152777777777783</v>
      </c>
      <c r="AZ10" s="60">
        <v>0.28055555555555556</v>
      </c>
      <c r="BA10" s="60">
        <v>0.90972222222222221</v>
      </c>
      <c r="BB10" s="60">
        <v>0.27013888888888887</v>
      </c>
      <c r="BC10" s="60">
        <v>0.92638888888888893</v>
      </c>
      <c r="BD10" s="60">
        <v>0.26944444444444443</v>
      </c>
      <c r="BE10" s="60">
        <v>0.93611111111111101</v>
      </c>
      <c r="BF10" s="60">
        <v>0.25416666666666665</v>
      </c>
      <c r="BG10" s="60">
        <v>0.92013888888888884</v>
      </c>
      <c r="BH10" s="60">
        <v>0.25555555555555559</v>
      </c>
      <c r="BI10" s="60">
        <v>0.98749999999999993</v>
      </c>
      <c r="BJ10" s="62">
        <v>0.25694444444444448</v>
      </c>
      <c r="BK10" s="62">
        <v>0.98749999999999993</v>
      </c>
      <c r="BL10" s="60">
        <v>0.25208333333333333</v>
      </c>
      <c r="BM10" s="60">
        <v>0.71111111111111114</v>
      </c>
      <c r="BN10" s="11">
        <f>BO10+BP10+BQ10+BR10+BS10+BV10+BT10+BU10</f>
        <v>31</v>
      </c>
      <c r="BO10" s="12">
        <f t="shared" ref="BO10" si="13">COUNT(D10:BM10)/2</f>
        <v>31</v>
      </c>
      <c r="BP10" s="12">
        <f t="shared" ref="BP10" si="14">COUNTIF(D10:BM10,"OFF")/2</f>
        <v>0</v>
      </c>
      <c r="BQ10" s="12">
        <f t="shared" ref="BQ10" si="15">COUNTIF(D10:BM10,"MC")/2</f>
        <v>0</v>
      </c>
      <c r="BR10" s="12">
        <f t="shared" ref="BR10" si="16">COUNTIF(D10:BM10,"EL")/2</f>
        <v>0</v>
      </c>
      <c r="BS10" s="12">
        <f t="shared" ref="BS10" si="17">COUNTIF(D10:BM10,"AL")/2</f>
        <v>0</v>
      </c>
      <c r="BT10" s="12">
        <f t="shared" ref="BT10" si="18">COUNTIF(D10:BM10,"SUS")/2</f>
        <v>0</v>
      </c>
      <c r="BU10" s="12">
        <f t="shared" ref="BU10" si="19">COUNTIF(D10:BM10,"FL")/2</f>
        <v>0</v>
      </c>
      <c r="BV10" s="12">
        <f t="shared" ref="BV10" si="20">COUNTIF(D10:BM10,"Sick")/2</f>
        <v>0</v>
      </c>
      <c r="BW10" s="12">
        <f t="shared" ref="BW10" si="21">COUNTIF(D10:BM10,"HD")/2</f>
        <v>0</v>
      </c>
      <c r="BX10" s="12">
        <f t="shared" ref="BX10" si="22">COUNTIF(D10:BM10,"AB")/2</f>
        <v>0</v>
      </c>
      <c r="BY10" s="12">
        <f t="shared" ref="BY10" si="23">COUNTIF(D10:BM10,"NL")/2</f>
        <v>0</v>
      </c>
      <c r="BZ10" s="12">
        <f t="shared" ref="BZ10" si="24">COUNTIF(D10:BM10,"SP")/2</f>
        <v>0</v>
      </c>
      <c r="CA10" s="57"/>
    </row>
    <row r="11" spans="1:79" x14ac:dyDescent="0.25"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</row>
    <row r="12" spans="1:79" ht="15.75" x14ac:dyDescent="0.25">
      <c r="D12" s="15"/>
      <c r="E12" s="16" t="s">
        <v>31</v>
      </c>
      <c r="F12" s="17"/>
      <c r="G12" s="16"/>
      <c r="H12" s="18"/>
      <c r="I12" s="18"/>
      <c r="J12" s="19"/>
      <c r="K12" s="20"/>
      <c r="L12" s="20"/>
      <c r="M12" s="21" t="s">
        <v>32</v>
      </c>
      <c r="N12" s="21"/>
      <c r="O12" s="19"/>
      <c r="P12" s="19"/>
      <c r="Q12" s="19"/>
      <c r="R12" s="19"/>
      <c r="S12" s="19" t="s">
        <v>33</v>
      </c>
      <c r="T12" s="19"/>
      <c r="U12" s="19"/>
      <c r="V12" s="19"/>
      <c r="W12" s="21" t="s">
        <v>34</v>
      </c>
      <c r="X12" s="19"/>
      <c r="Y12" s="22"/>
      <c r="Z12" s="23"/>
      <c r="AA12" s="22"/>
      <c r="AB12" s="22"/>
      <c r="AC12" s="22"/>
      <c r="AD12" s="22"/>
      <c r="AE12" s="2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P12" s="30" t="s">
        <v>35</v>
      </c>
      <c r="BQ12" s="31"/>
      <c r="BR12" s="32"/>
      <c r="BS12" s="33" t="s">
        <v>14</v>
      </c>
      <c r="BT12" s="15"/>
      <c r="BU12" s="34" t="s">
        <v>36</v>
      </c>
      <c r="BV12" s="34"/>
      <c r="BW12" s="34"/>
      <c r="BX12" s="35"/>
      <c r="BY12" s="36" t="s">
        <v>20</v>
      </c>
    </row>
    <row r="13" spans="1:79" ht="17.25" x14ac:dyDescent="0.25">
      <c r="D13" s="24"/>
      <c r="E13" s="18"/>
      <c r="F13" s="18"/>
      <c r="G13" s="18"/>
      <c r="H13" s="18"/>
      <c r="I13" s="18"/>
      <c r="J13" s="18"/>
      <c r="K13" s="25"/>
      <c r="L13" s="25"/>
      <c r="M13" s="25"/>
      <c r="N13" s="18"/>
      <c r="O13" s="18"/>
      <c r="P13" s="18"/>
      <c r="Q13" s="26"/>
      <c r="R13" s="26"/>
      <c r="S13" s="26"/>
      <c r="T13" s="26"/>
      <c r="U13" s="26"/>
      <c r="V13" s="26"/>
      <c r="W13" s="27"/>
      <c r="X13" s="27"/>
      <c r="Y13" s="28"/>
      <c r="Z13" s="22"/>
      <c r="AA13" s="22"/>
      <c r="AB13" s="22"/>
      <c r="AC13" s="22"/>
      <c r="AD13" s="22"/>
      <c r="AE13" s="29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P13" s="30" t="s">
        <v>37</v>
      </c>
      <c r="BQ13" s="31"/>
      <c r="BR13" s="32"/>
      <c r="BS13" s="33" t="s">
        <v>15</v>
      </c>
      <c r="BT13" s="15"/>
      <c r="BU13" s="41" t="s">
        <v>38</v>
      </c>
      <c r="BV13" s="41"/>
      <c r="BW13" s="41"/>
      <c r="BX13" s="35"/>
      <c r="BY13" s="36" t="s">
        <v>21</v>
      </c>
    </row>
    <row r="14" spans="1:79" ht="17.25" x14ac:dyDescent="0.25">
      <c r="D14" s="24"/>
      <c r="E14" s="37"/>
      <c r="F14" s="18"/>
      <c r="G14" s="37"/>
      <c r="H14" s="18"/>
      <c r="I14" s="18"/>
      <c r="J14" s="37" t="s">
        <v>33</v>
      </c>
      <c r="K14" s="38"/>
      <c r="L14" s="38"/>
      <c r="M14" s="25"/>
      <c r="N14" s="18"/>
      <c r="O14" s="37"/>
      <c r="P14" s="37"/>
      <c r="Q14" s="19"/>
      <c r="R14" s="18"/>
      <c r="S14" s="18"/>
      <c r="T14" s="18"/>
      <c r="U14" s="18"/>
      <c r="V14" s="18"/>
      <c r="W14" s="39"/>
      <c r="X14" s="39"/>
      <c r="Y14" s="40"/>
      <c r="Z14" s="22"/>
      <c r="AA14" s="22"/>
      <c r="AB14" s="22"/>
      <c r="AC14" s="22"/>
      <c r="AD14" s="22"/>
      <c r="AE14" s="29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P14" s="30" t="s">
        <v>39</v>
      </c>
      <c r="BQ14" s="31"/>
      <c r="BR14" s="32"/>
      <c r="BS14" s="33" t="s">
        <v>16</v>
      </c>
      <c r="BT14" s="15"/>
      <c r="BU14" s="41" t="s">
        <v>40</v>
      </c>
      <c r="BV14" s="41"/>
      <c r="BW14" s="41"/>
      <c r="BX14" s="35"/>
      <c r="BY14" s="36" t="s">
        <v>41</v>
      </c>
    </row>
    <row r="15" spans="1:79" ht="17.25" x14ac:dyDescent="0.25">
      <c r="D15" s="42"/>
      <c r="E15" s="37"/>
      <c r="F15" s="18"/>
      <c r="G15" s="37"/>
      <c r="H15" s="18"/>
      <c r="I15" s="18"/>
      <c r="J15" s="37"/>
      <c r="K15" s="38"/>
      <c r="L15" s="38"/>
      <c r="M15" s="25"/>
      <c r="N15" s="19"/>
      <c r="O15" s="37"/>
      <c r="P15" s="37"/>
      <c r="Q15" s="19"/>
      <c r="R15" s="18"/>
      <c r="S15" s="18"/>
      <c r="T15" s="18"/>
      <c r="U15" s="18"/>
      <c r="V15" s="18"/>
      <c r="W15" s="39"/>
      <c r="X15" s="39"/>
      <c r="Y15" s="40"/>
      <c r="Z15" s="29"/>
      <c r="AA15" s="22"/>
      <c r="AB15" s="22"/>
      <c r="AC15" s="22"/>
      <c r="AD15" s="22"/>
      <c r="AE15" s="29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P15" s="30" t="s">
        <v>45</v>
      </c>
      <c r="BQ15" s="31"/>
      <c r="BR15" s="32"/>
      <c r="BS15" s="33" t="s">
        <v>17</v>
      </c>
      <c r="BT15" s="15"/>
      <c r="BU15" s="34" t="s">
        <v>46</v>
      </c>
      <c r="BV15" s="34"/>
      <c r="BW15" s="34"/>
      <c r="BX15" s="35"/>
      <c r="BY15" s="36" t="s">
        <v>23</v>
      </c>
    </row>
    <row r="16" spans="1:79" ht="17.25" x14ac:dyDescent="0.25">
      <c r="D16" s="43" t="s">
        <v>42</v>
      </c>
      <c r="E16" s="44"/>
      <c r="F16" s="15"/>
      <c r="G16" s="43"/>
      <c r="H16" s="18"/>
      <c r="I16" s="18"/>
      <c r="J16" s="37"/>
      <c r="K16" s="25"/>
      <c r="L16" s="38"/>
      <c r="M16" s="17" t="s">
        <v>43</v>
      </c>
      <c r="N16" s="18"/>
      <c r="O16" s="37"/>
      <c r="P16" s="19"/>
      <c r="Q16" s="18"/>
      <c r="R16" s="18"/>
      <c r="S16" s="18"/>
      <c r="T16" s="18"/>
      <c r="U16" s="18"/>
      <c r="V16" s="18"/>
      <c r="W16" s="17" t="s">
        <v>44</v>
      </c>
      <c r="X16" s="39"/>
      <c r="Y16" s="40"/>
      <c r="Z16" s="18"/>
      <c r="AA16" s="22"/>
      <c r="AB16" s="22"/>
      <c r="AC16" s="22"/>
      <c r="AD16" s="22"/>
      <c r="AE16" s="29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P16" s="30" t="s">
        <v>50</v>
      </c>
      <c r="BQ16" s="31"/>
      <c r="BR16" s="32"/>
      <c r="BS16" s="33" t="s">
        <v>18</v>
      </c>
      <c r="BT16" s="15"/>
      <c r="BU16" s="34" t="s">
        <v>51</v>
      </c>
      <c r="BV16" s="34"/>
      <c r="BW16" s="34"/>
      <c r="BX16" s="35"/>
      <c r="BY16" s="36" t="s">
        <v>24</v>
      </c>
    </row>
    <row r="17" spans="1:79" ht="17.25" x14ac:dyDescent="0.25">
      <c r="D17" s="43"/>
      <c r="E17" s="43" t="s">
        <v>47</v>
      </c>
      <c r="F17" s="42"/>
      <c r="G17" s="42"/>
      <c r="H17" s="18"/>
      <c r="I17" s="18"/>
      <c r="J17" s="17"/>
      <c r="K17" s="45"/>
      <c r="L17" s="45"/>
      <c r="M17" s="17" t="s">
        <v>48</v>
      </c>
      <c r="N17" s="17"/>
      <c r="O17" s="17"/>
      <c r="P17" s="19"/>
      <c r="Q17" s="17"/>
      <c r="R17" s="18"/>
      <c r="S17" s="18"/>
      <c r="T17" s="18"/>
      <c r="U17" s="18"/>
      <c r="V17" s="18"/>
      <c r="W17" s="17" t="s">
        <v>49</v>
      </c>
      <c r="X17" s="39"/>
      <c r="Y17" s="40"/>
      <c r="Z17" s="18"/>
      <c r="AA17" s="22"/>
      <c r="AB17" s="22"/>
      <c r="AC17" s="22"/>
      <c r="AD17" s="22"/>
      <c r="AE17" s="29" t="s">
        <v>33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P17" s="30" t="s">
        <v>52</v>
      </c>
      <c r="BQ17" s="31"/>
      <c r="BR17" s="32"/>
      <c r="BS17" s="33" t="s">
        <v>19</v>
      </c>
      <c r="BT17" s="15"/>
      <c r="BU17" s="15"/>
      <c r="BV17" s="15"/>
      <c r="BW17" s="15"/>
      <c r="BX17" s="15"/>
      <c r="BY17" s="15"/>
    </row>
    <row r="18" spans="1:79" ht="15.75" x14ac:dyDescent="0.25">
      <c r="D18" s="46"/>
      <c r="E18" s="46"/>
      <c r="F18" s="46"/>
      <c r="G18" s="46"/>
      <c r="H18" s="46"/>
      <c r="I18" s="4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46"/>
      <c r="AI18" s="46"/>
      <c r="AJ18" s="46"/>
      <c r="AK18" s="46"/>
      <c r="AL18" s="46"/>
      <c r="AM18" s="46"/>
      <c r="AN18" s="46"/>
      <c r="AO18" s="46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</row>
    <row r="19" spans="1:79" ht="75" customHeight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 spans="1:79" ht="21" customHeight="1" x14ac:dyDescent="0.25">
      <c r="A20" s="47">
        <v>1</v>
      </c>
      <c r="B20" s="9" t="s">
        <v>53</v>
      </c>
      <c r="C20" s="48" t="s">
        <v>54</v>
      </c>
      <c r="D20" s="65" t="s">
        <v>16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7"/>
      <c r="AX20" s="49"/>
      <c r="AY20" s="49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11">
        <f>BO20+BP20+BQ20+BR20+BS20+BV20+BT20+BU20</f>
        <v>0</v>
      </c>
      <c r="BO20" s="12">
        <f>COUNT(F20:BM20)/2</f>
        <v>0</v>
      </c>
      <c r="BP20" s="12">
        <f>COUNTIF(F20:BM20,"OFF")/2</f>
        <v>0</v>
      </c>
      <c r="BQ20" s="12">
        <f>COUNTIF(F20:BM20,"MC")/2</f>
        <v>0</v>
      </c>
      <c r="BR20" s="12">
        <f>COUNTIF(F20:BM20,"EL")/2</f>
        <v>0</v>
      </c>
      <c r="BS20" s="12">
        <f>COUNTIF(F20:BM20,"AL")/2</f>
        <v>0</v>
      </c>
      <c r="BT20" s="12">
        <f>COUNTIF(F20:BM20,"SUS")/2</f>
        <v>0</v>
      </c>
      <c r="BU20" s="12">
        <f>COUNTIF(F20:BM20,"FL")/2</f>
        <v>0</v>
      </c>
      <c r="BV20" s="12">
        <f>COUNTIF(F20:BM20,"Sick")/2</f>
        <v>0</v>
      </c>
      <c r="BW20" s="12">
        <f>COUNTIF(F20:BM20,"HD")/2</f>
        <v>0</v>
      </c>
      <c r="BX20" s="12">
        <f>COUNTIF(F20:BM20,"AB")/2</f>
        <v>0</v>
      </c>
      <c r="BY20" s="12">
        <f>COUNTIF(F20:BM20,"NL")/2</f>
        <v>0</v>
      </c>
      <c r="BZ20" s="12">
        <f>COUNTIF(F20:BM20,"SP")/2</f>
        <v>0</v>
      </c>
      <c r="CA20" s="9"/>
    </row>
    <row r="21" spans="1:79" ht="20.25" customHeight="1" x14ac:dyDescent="0.25">
      <c r="A21" s="8">
        <v>4</v>
      </c>
      <c r="B21" s="13" t="s">
        <v>63</v>
      </c>
      <c r="C21" s="10" t="s">
        <v>29</v>
      </c>
      <c r="D21" s="54">
        <v>0.30416666666666664</v>
      </c>
      <c r="E21" s="54">
        <v>0.89513888888888893</v>
      </c>
      <c r="F21" s="54">
        <v>0.2951388888888889</v>
      </c>
      <c r="G21" s="54">
        <v>0.87916666666666676</v>
      </c>
      <c r="H21" s="54">
        <v>0.29652777777777778</v>
      </c>
      <c r="I21" s="55">
        <v>1</v>
      </c>
      <c r="J21" s="54">
        <v>0.30208333333333331</v>
      </c>
      <c r="K21" s="54">
        <v>0.8930555555555556</v>
      </c>
      <c r="L21" s="56">
        <v>0.30624999999999997</v>
      </c>
      <c r="M21" s="56">
        <v>0.9819444444444444</v>
      </c>
      <c r="N21" s="54">
        <v>0.30624999999999997</v>
      </c>
      <c r="O21" s="54">
        <v>0.96666666666666667</v>
      </c>
      <c r="P21" s="54">
        <v>0.30208333333333331</v>
      </c>
      <c r="Q21" s="54">
        <v>0.93819444444444444</v>
      </c>
      <c r="R21" s="54">
        <v>0.30763888888888891</v>
      </c>
      <c r="S21" s="54">
        <v>0.9194444444444444</v>
      </c>
      <c r="T21" s="54">
        <v>0.29583333333333334</v>
      </c>
      <c r="U21" s="54">
        <v>0.91666666666666663</v>
      </c>
      <c r="V21" s="54">
        <v>0.29652777777777778</v>
      </c>
      <c r="W21" s="54">
        <v>0.89166666666666661</v>
      </c>
      <c r="X21" s="54">
        <v>0.30069444444444443</v>
      </c>
      <c r="Y21" s="54">
        <v>0.9</v>
      </c>
      <c r="Z21" s="56">
        <v>0.30555555555555552</v>
      </c>
      <c r="AA21" s="56">
        <v>0.90972222222222221</v>
      </c>
      <c r="AB21" s="53">
        <v>0.30902777777777779</v>
      </c>
      <c r="AC21" s="8">
        <v>1</v>
      </c>
      <c r="AD21" s="53">
        <v>0.30902777777777779</v>
      </c>
      <c r="AE21" s="8">
        <v>1</v>
      </c>
      <c r="AF21" s="8">
        <v>1</v>
      </c>
      <c r="AG21" s="8">
        <v>1</v>
      </c>
      <c r="AH21" s="53">
        <v>0.3611111111111111</v>
      </c>
      <c r="AI21" s="53">
        <v>0.88680555555555562</v>
      </c>
      <c r="AJ21" s="8">
        <v>1</v>
      </c>
      <c r="AK21" s="8">
        <v>1</v>
      </c>
      <c r="AL21" s="8">
        <v>1</v>
      </c>
      <c r="AM21" s="8">
        <v>1</v>
      </c>
      <c r="AN21" s="53">
        <v>0.34722222222222227</v>
      </c>
      <c r="AO21" s="53">
        <v>0.92638888888888893</v>
      </c>
      <c r="AP21" s="53">
        <v>0.3034722222222222</v>
      </c>
      <c r="AQ21" s="53">
        <v>0.89930555555555547</v>
      </c>
      <c r="AR21" s="53">
        <v>0.30416666666666664</v>
      </c>
      <c r="AS21" s="53">
        <v>0.88611111111111107</v>
      </c>
      <c r="AT21" s="53">
        <v>0.30486111111111108</v>
      </c>
      <c r="AU21" s="53">
        <v>0.91805555555555562</v>
      </c>
      <c r="AV21" s="53">
        <v>0.31458333333333333</v>
      </c>
      <c r="AW21" s="53">
        <v>0.90486111111111101</v>
      </c>
      <c r="AX21" s="53">
        <v>0.30555555555555552</v>
      </c>
      <c r="AY21" s="53">
        <v>0.90208333333333324</v>
      </c>
      <c r="AZ21" s="53">
        <v>0.30833333333333335</v>
      </c>
      <c r="BA21" s="53">
        <v>0.89722222222222225</v>
      </c>
      <c r="BB21" s="53">
        <v>0.36944444444444446</v>
      </c>
      <c r="BC21" s="53">
        <v>0.91388888888888886</v>
      </c>
      <c r="BD21" s="53">
        <v>0.30416666666666664</v>
      </c>
      <c r="BE21" s="53">
        <v>0.89583333333333337</v>
      </c>
      <c r="BF21" s="53">
        <v>0.3</v>
      </c>
      <c r="BG21" s="53">
        <v>0.91041666666666676</v>
      </c>
      <c r="BH21" s="53">
        <v>0.29375000000000001</v>
      </c>
      <c r="BI21" s="53">
        <v>0.90833333333333333</v>
      </c>
      <c r="BJ21" s="53">
        <v>0.3</v>
      </c>
      <c r="BK21" s="53">
        <v>0.9</v>
      </c>
      <c r="BL21" s="53">
        <v>0.30138888888888887</v>
      </c>
      <c r="BM21" s="8">
        <v>1</v>
      </c>
      <c r="BN21" s="11">
        <f>BO21+BP21+BQ21+BR21+BS21+BV21+BT21+BU21</f>
        <v>31</v>
      </c>
      <c r="BO21" s="12">
        <f>COUNT(D21:BM21)/2</f>
        <v>31</v>
      </c>
      <c r="BP21" s="12">
        <f>COUNTIF(D21:BM21,"OFF")/2</f>
        <v>0</v>
      </c>
      <c r="BQ21" s="12">
        <f>COUNTIF(D21:BM21,"MC")/2</f>
        <v>0</v>
      </c>
      <c r="BR21" s="12">
        <f>COUNTIF(D21:BM21,"EL")/2</f>
        <v>0</v>
      </c>
      <c r="BS21" s="12">
        <f>COUNTIF(D21:BM21,"AL")/2</f>
        <v>0</v>
      </c>
      <c r="BT21" s="12">
        <f>COUNTIF(D21:BM21,"SUS")/2</f>
        <v>0</v>
      </c>
      <c r="BU21" s="12">
        <f>COUNTIF(D21:BM21,"FL")/2</f>
        <v>0</v>
      </c>
      <c r="BV21" s="12">
        <f>COUNTIF(D21:BM21,"Sick")/2</f>
        <v>0</v>
      </c>
      <c r="BW21" s="12">
        <f>COUNTIF(D21:BM21,"HD")/2</f>
        <v>0</v>
      </c>
      <c r="BX21" s="12">
        <f>COUNTIF(D21:BM21,"AB")/2</f>
        <v>0</v>
      </c>
      <c r="BY21" s="12">
        <f>COUNTIF(D21:BM21,"NL")/2</f>
        <v>0</v>
      </c>
      <c r="BZ21" s="12">
        <f>COUNTIF(D21:BM21,"SP")/2</f>
        <v>0</v>
      </c>
      <c r="CA21" s="9"/>
    </row>
    <row r="22" spans="1:79" ht="20.25" customHeight="1" x14ac:dyDescent="0.25">
      <c r="A22" s="8">
        <v>1</v>
      </c>
      <c r="B22" s="9" t="s">
        <v>61</v>
      </c>
      <c r="C22" s="10" t="s">
        <v>26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8"/>
      <c r="BN22" s="11">
        <f>BO22+BP22+BQ22+BR22+BV22+BT22+BU22</f>
        <v>0</v>
      </c>
      <c r="BO22" s="12">
        <f>COUNT(D22:BM22)/2</f>
        <v>0</v>
      </c>
      <c r="BP22" s="12">
        <f>COUNTIF(D22:BM22,"OFF")/2</f>
        <v>0</v>
      </c>
      <c r="BQ22" s="12">
        <f>COUNTIF(D22:BM22,"MC")/2</f>
        <v>0</v>
      </c>
      <c r="BR22" s="12">
        <f>COUNTIF(D22:BM22,"EL")/2</f>
        <v>0</v>
      </c>
      <c r="BS22" s="12">
        <f>COUNTIF(D22:BM22,"AL")/2</f>
        <v>0</v>
      </c>
      <c r="BT22" s="12">
        <f>COUNTIF(D22:BM22,"SUS")/2</f>
        <v>0</v>
      </c>
      <c r="BU22" s="12">
        <f>COUNTIF(D22:BM22,"FL")/2</f>
        <v>0</v>
      </c>
      <c r="BV22" s="12">
        <f>COUNTIF(D22:BM22,"Sick")/2</f>
        <v>0</v>
      </c>
      <c r="BW22" s="12">
        <f>COUNTIF(D22:BM22,"HD")/2</f>
        <v>0</v>
      </c>
      <c r="BX22" s="12">
        <f>COUNTIF(D22:BM22,"AB")/2</f>
        <v>0</v>
      </c>
      <c r="BY22" s="12">
        <f>COUNTIF(D22:BM22,"NL")/2</f>
        <v>0</v>
      </c>
      <c r="BZ22" s="12">
        <f>COUNTIF(D22:BM22,"SP")/2</f>
        <v>0</v>
      </c>
      <c r="CA22" s="9"/>
    </row>
  </sheetData>
  <mergeCells count="68">
    <mergeCell ref="AH1:CA1"/>
    <mergeCell ref="AV2:AW2"/>
    <mergeCell ref="Z2:AA2"/>
    <mergeCell ref="A1:AG1"/>
    <mergeCell ref="AT2:AU2"/>
    <mergeCell ref="AB2:AC2"/>
    <mergeCell ref="AD2:AE2"/>
    <mergeCell ref="AF2:AG2"/>
    <mergeCell ref="AH2:AI2"/>
    <mergeCell ref="AJ2:AK2"/>
    <mergeCell ref="BJ2:BK2"/>
    <mergeCell ref="BN2:BN4"/>
    <mergeCell ref="BL3:BM3"/>
    <mergeCell ref="AN3:AO3"/>
    <mergeCell ref="AP3:AQ3"/>
    <mergeCell ref="AR3:AS3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L2:AM2"/>
    <mergeCell ref="AN2:AO2"/>
    <mergeCell ref="AP2:AQ2"/>
    <mergeCell ref="AR2:AS2"/>
    <mergeCell ref="BO2:CA2"/>
    <mergeCell ref="D3:E3"/>
    <mergeCell ref="F3:G3"/>
    <mergeCell ref="H3:I3"/>
    <mergeCell ref="J3:K3"/>
    <mergeCell ref="L3:M3"/>
    <mergeCell ref="N3:O3"/>
    <mergeCell ref="AZ2:BA2"/>
    <mergeCell ref="BB2:BC2"/>
    <mergeCell ref="BD2:BE2"/>
    <mergeCell ref="BF2:BG2"/>
    <mergeCell ref="BH2:BI2"/>
    <mergeCell ref="BL2:BM2"/>
    <mergeCell ref="AX2:AY2"/>
    <mergeCell ref="X2:Y2"/>
    <mergeCell ref="BH3:BI3"/>
    <mergeCell ref="AV3:AW3"/>
    <mergeCell ref="AX3:AY3"/>
    <mergeCell ref="BJ3:BK3"/>
    <mergeCell ref="BF3:BG3"/>
    <mergeCell ref="BD3:BE3"/>
    <mergeCell ref="AL3:AM3"/>
    <mergeCell ref="D20:AW20"/>
    <mergeCell ref="AZ3:BA3"/>
    <mergeCell ref="BB3:BC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T3:AU3"/>
  </mergeCells>
  <phoneticPr fontId="20" type="noConversion"/>
  <conditionalFormatting sqref="B10">
    <cfRule type="duplicateValues" dxfId="9" priority="2"/>
  </conditionalFormatting>
  <conditionalFormatting sqref="B20">
    <cfRule type="duplicateValues" dxfId="8" priority="3"/>
  </conditionalFormatting>
  <conditionalFormatting sqref="B21 B6:B9">
    <cfRule type="duplicateValues" dxfId="7" priority="11"/>
  </conditionalFormatting>
  <conditionalFormatting sqref="D4:BM4">
    <cfRule type="cellIs" dxfId="6" priority="5" operator="equal">
      <formula>"Sick"</formula>
    </cfRule>
    <cfRule type="cellIs" dxfId="5" priority="6" operator="equal">
      <formula>"AB"</formula>
    </cfRule>
    <cfRule type="cellIs" dxfId="4" priority="7" operator="equal">
      <formula>"OFF"</formula>
    </cfRule>
    <cfRule type="containsText" dxfId="3" priority="8" operator="containsText" text="AB">
      <formula>NOT(ISERROR(SEARCH("AB",#REF!)))</formula>
    </cfRule>
    <cfRule type="containsText" dxfId="2" priority="9" operator="containsText" text="HD">
      <formula>NOT(ISERROR(SEARCH("HD",#REF!)))</formula>
    </cfRule>
    <cfRule type="containsText" dxfId="1" priority="10" operator="containsText" text="S">
      <formula>NOT(ISERROR(SEARCH("S",#REF!)))</formula>
    </cfRule>
  </conditionalFormatting>
  <conditionalFormatting sqref="D21:BM22">
    <cfRule type="containsText" dxfId="0" priority="1" stopIfTrue="1" operator="containsText" text="SICK">
      <formula>NOT(ISERROR(SEARCH("SICK",D21)))</formula>
    </cfRule>
  </conditionalFormatting>
  <pageMargins left="0.7" right="0.7" top="0.75" bottom="0.75" header="0.3" footer="0.3"/>
  <pageSetup paperSize="9"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MadiGrand - Foreigns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2026-02-01T05:25:02Z</cp:lastPrinted>
  <dcterms:created xsi:type="dcterms:W3CDTF">2025-11-05T10:40:17Z</dcterms:created>
  <dcterms:modified xsi:type="dcterms:W3CDTF">2026-10-30T08:47:45Z</dcterms:modified>
</cp:coreProperties>
</file>