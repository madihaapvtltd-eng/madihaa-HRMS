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feb\"/>
    </mc:Choice>
  </mc:AlternateContent>
  <xr:revisionPtr revIDLastSave="0" documentId="8_{92EE9954-E0C6-4CED-9B1B-8BF121F32382}" xr6:coauthVersionLast="47" xr6:coauthVersionMax="47" xr10:uidLastSave="{00000000-0000-0000-0000-000000000000}"/>
  <bookViews>
    <workbookView xWindow="-120" yWindow="-120" windowWidth="29040" windowHeight="15840" xr2:uid="{F40E51D0-06DA-454F-A274-231ADDE8369D}"/>
  </bookViews>
  <sheets>
    <sheet name="MASTER" sheetId="1" r:id="rId1"/>
  </sheets>
  <externalReferences>
    <externalReference r:id="rId2"/>
  </externalReferences>
  <definedNames>
    <definedName name="_xlnm._FilterDatabase" localSheetId="0" hidden="1">MASTER!$CC$4:$CM$4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5" i="1" l="1"/>
  <c r="BL9" i="1"/>
  <c r="CM9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6" i="1"/>
  <c r="BL7" i="1"/>
  <c r="BL8" i="1"/>
  <c r="BL10" i="1"/>
  <c r="BL11" i="1"/>
  <c r="BM9" i="1"/>
  <c r="BN9" i="1"/>
  <c r="BO9" i="1"/>
  <c r="BP9" i="1"/>
  <c r="BQ9" i="1"/>
  <c r="BR9" i="1"/>
  <c r="BS9" i="1"/>
  <c r="BT9" i="1"/>
  <c r="BU9" i="1"/>
  <c r="BV9" i="1"/>
  <c r="BW9" i="1"/>
  <c r="BM37" i="1"/>
  <c r="BN37" i="1"/>
  <c r="BO37" i="1"/>
  <c r="BP37" i="1"/>
  <c r="BQ37" i="1"/>
  <c r="BR37" i="1"/>
  <c r="BS37" i="1"/>
  <c r="BT37" i="1"/>
  <c r="BU37" i="1"/>
  <c r="BV37" i="1"/>
  <c r="BW37" i="1"/>
  <c r="BM38" i="1"/>
  <c r="BN38" i="1"/>
  <c r="BO38" i="1"/>
  <c r="BP38" i="1"/>
  <c r="BQ38" i="1"/>
  <c r="BR38" i="1"/>
  <c r="BS38" i="1"/>
  <c r="BT38" i="1"/>
  <c r="BU38" i="1"/>
  <c r="BV38" i="1"/>
  <c r="BW38" i="1"/>
  <c r="BJ37" i="1" l="1"/>
  <c r="BJ38" i="1"/>
  <c r="BJ9" i="1"/>
  <c r="CM36" i="1"/>
  <c r="CM35" i="1"/>
  <c r="CM34" i="1"/>
  <c r="CM33" i="1"/>
  <c r="CM32" i="1"/>
  <c r="CM31" i="1"/>
  <c r="CM30" i="1"/>
  <c r="CM29" i="1"/>
  <c r="CM28" i="1"/>
  <c r="CM27" i="1"/>
  <c r="CM63" i="1"/>
  <c r="CM26" i="1"/>
  <c r="CM25" i="1"/>
  <c r="CM24" i="1"/>
  <c r="CM23" i="1"/>
  <c r="CM22" i="1"/>
  <c r="CM21" i="1"/>
  <c r="CM20" i="1"/>
  <c r="CM19" i="1"/>
  <c r="CM18" i="1"/>
  <c r="CM11" i="1"/>
  <c r="CM10" i="1"/>
  <c r="CM8" i="1"/>
  <c r="CM7" i="1"/>
  <c r="CM6" i="1"/>
  <c r="CM5" i="1"/>
  <c r="BM19" i="1" l="1"/>
  <c r="BN19" i="1"/>
  <c r="BO19" i="1"/>
  <c r="BP19" i="1"/>
  <c r="BQ19" i="1"/>
  <c r="BR19" i="1"/>
  <c r="BS19" i="1"/>
  <c r="BT19" i="1"/>
  <c r="BU19" i="1"/>
  <c r="BV19" i="1"/>
  <c r="BW19" i="1"/>
  <c r="BM20" i="1"/>
  <c r="BN20" i="1"/>
  <c r="BO20" i="1"/>
  <c r="BP20" i="1"/>
  <c r="BQ20" i="1"/>
  <c r="BR20" i="1"/>
  <c r="BS20" i="1"/>
  <c r="BT20" i="1"/>
  <c r="BU20" i="1"/>
  <c r="BV20" i="1"/>
  <c r="BW20" i="1"/>
  <c r="BM21" i="1"/>
  <c r="BN21" i="1"/>
  <c r="BO21" i="1"/>
  <c r="BP21" i="1"/>
  <c r="BQ21" i="1"/>
  <c r="BR21" i="1"/>
  <c r="BS21" i="1"/>
  <c r="BT21" i="1"/>
  <c r="BU21" i="1"/>
  <c r="BV21" i="1"/>
  <c r="BW21" i="1"/>
  <c r="BM22" i="1"/>
  <c r="BN22" i="1"/>
  <c r="BO22" i="1"/>
  <c r="BP22" i="1"/>
  <c r="BQ22" i="1"/>
  <c r="BR22" i="1"/>
  <c r="BS22" i="1"/>
  <c r="BT22" i="1"/>
  <c r="BU22" i="1"/>
  <c r="BV22" i="1"/>
  <c r="BW22" i="1"/>
  <c r="BM23" i="1"/>
  <c r="BN23" i="1"/>
  <c r="BO23" i="1"/>
  <c r="BP23" i="1"/>
  <c r="BQ23" i="1"/>
  <c r="BR23" i="1"/>
  <c r="BS23" i="1"/>
  <c r="BT23" i="1"/>
  <c r="BU23" i="1"/>
  <c r="BV23" i="1"/>
  <c r="BW23" i="1"/>
  <c r="BM24" i="1"/>
  <c r="BN24" i="1"/>
  <c r="BO24" i="1"/>
  <c r="BP24" i="1"/>
  <c r="BQ24" i="1"/>
  <c r="BR24" i="1"/>
  <c r="BS24" i="1"/>
  <c r="BT24" i="1"/>
  <c r="BU24" i="1"/>
  <c r="BV24" i="1"/>
  <c r="BW24" i="1"/>
  <c r="BM25" i="1"/>
  <c r="BN25" i="1"/>
  <c r="BO25" i="1"/>
  <c r="BP25" i="1"/>
  <c r="BQ25" i="1"/>
  <c r="BR25" i="1"/>
  <c r="BS25" i="1"/>
  <c r="BT25" i="1"/>
  <c r="BU25" i="1"/>
  <c r="BV25" i="1"/>
  <c r="BW25" i="1"/>
  <c r="BM26" i="1"/>
  <c r="BN26" i="1"/>
  <c r="BO26" i="1"/>
  <c r="BP26" i="1"/>
  <c r="BQ26" i="1"/>
  <c r="BR26" i="1"/>
  <c r="BS26" i="1"/>
  <c r="BT26" i="1"/>
  <c r="BU26" i="1"/>
  <c r="BV26" i="1"/>
  <c r="BW26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M27" i="1"/>
  <c r="BN27" i="1"/>
  <c r="BO27" i="1"/>
  <c r="BP27" i="1"/>
  <c r="BQ27" i="1"/>
  <c r="BR27" i="1"/>
  <c r="BS27" i="1"/>
  <c r="BT27" i="1"/>
  <c r="BU27" i="1"/>
  <c r="BV27" i="1"/>
  <c r="BW27" i="1"/>
  <c r="BM28" i="1"/>
  <c r="BN28" i="1"/>
  <c r="BO28" i="1"/>
  <c r="BP28" i="1"/>
  <c r="BQ28" i="1"/>
  <c r="BR28" i="1"/>
  <c r="BS28" i="1"/>
  <c r="BT28" i="1"/>
  <c r="BU28" i="1"/>
  <c r="BV28" i="1"/>
  <c r="BW28" i="1"/>
  <c r="BM29" i="1"/>
  <c r="BN29" i="1"/>
  <c r="BO29" i="1"/>
  <c r="BP29" i="1"/>
  <c r="BQ29" i="1"/>
  <c r="BR29" i="1"/>
  <c r="BS29" i="1"/>
  <c r="BT29" i="1"/>
  <c r="BU29" i="1"/>
  <c r="BV29" i="1"/>
  <c r="BW29" i="1"/>
  <c r="BM30" i="1"/>
  <c r="BN30" i="1"/>
  <c r="BO30" i="1"/>
  <c r="BP30" i="1"/>
  <c r="BQ30" i="1"/>
  <c r="BR30" i="1"/>
  <c r="BS30" i="1"/>
  <c r="BT30" i="1"/>
  <c r="BU30" i="1"/>
  <c r="BV30" i="1"/>
  <c r="BW30" i="1"/>
  <c r="BM31" i="1"/>
  <c r="BN31" i="1"/>
  <c r="BO31" i="1"/>
  <c r="BP31" i="1"/>
  <c r="BQ31" i="1"/>
  <c r="BR31" i="1"/>
  <c r="BS31" i="1"/>
  <c r="BT31" i="1"/>
  <c r="BU31" i="1"/>
  <c r="BV31" i="1"/>
  <c r="BW31" i="1"/>
  <c r="BM32" i="1"/>
  <c r="BN32" i="1"/>
  <c r="BO32" i="1"/>
  <c r="BP32" i="1"/>
  <c r="BQ32" i="1"/>
  <c r="BR32" i="1"/>
  <c r="BS32" i="1"/>
  <c r="BT32" i="1"/>
  <c r="BU32" i="1"/>
  <c r="BV32" i="1"/>
  <c r="BW32" i="1"/>
  <c r="BM33" i="1"/>
  <c r="BN33" i="1"/>
  <c r="BO33" i="1"/>
  <c r="BP33" i="1"/>
  <c r="BQ33" i="1"/>
  <c r="BR33" i="1"/>
  <c r="BS33" i="1"/>
  <c r="BT33" i="1"/>
  <c r="BU33" i="1"/>
  <c r="BV33" i="1"/>
  <c r="BW33" i="1"/>
  <c r="BM34" i="1"/>
  <c r="BN34" i="1"/>
  <c r="BO34" i="1"/>
  <c r="BP34" i="1"/>
  <c r="BQ34" i="1"/>
  <c r="BR34" i="1"/>
  <c r="BS34" i="1"/>
  <c r="BT34" i="1"/>
  <c r="BU34" i="1"/>
  <c r="BV34" i="1"/>
  <c r="BW34" i="1"/>
  <c r="BM35" i="1"/>
  <c r="BN35" i="1"/>
  <c r="BO35" i="1"/>
  <c r="BP35" i="1"/>
  <c r="BQ35" i="1"/>
  <c r="BR35" i="1"/>
  <c r="BS35" i="1"/>
  <c r="BT35" i="1"/>
  <c r="BU35" i="1"/>
  <c r="BV35" i="1"/>
  <c r="BW35" i="1"/>
  <c r="BM36" i="1"/>
  <c r="BN36" i="1"/>
  <c r="BO36" i="1"/>
  <c r="BP36" i="1"/>
  <c r="BQ36" i="1"/>
  <c r="BR36" i="1"/>
  <c r="BS36" i="1"/>
  <c r="BT36" i="1"/>
  <c r="BU36" i="1"/>
  <c r="BV36" i="1"/>
  <c r="BW36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M7" i="1"/>
  <c r="BN7" i="1"/>
  <c r="BO7" i="1"/>
  <c r="BP7" i="1"/>
  <c r="BQ7" i="1"/>
  <c r="BR7" i="1"/>
  <c r="BS7" i="1"/>
  <c r="BT7" i="1"/>
  <c r="BU7" i="1"/>
  <c r="BV7" i="1"/>
  <c r="BW7" i="1"/>
  <c r="BJ7" i="1" l="1"/>
  <c r="BJ36" i="1" l="1"/>
  <c r="BJ35" i="1"/>
  <c r="BL62" i="1" l="1"/>
  <c r="BM62" i="1"/>
  <c r="BN62" i="1"/>
  <c r="BO62" i="1"/>
  <c r="BP62" i="1"/>
  <c r="BQ62" i="1"/>
  <c r="BR62" i="1"/>
  <c r="BS62" i="1"/>
  <c r="BT62" i="1"/>
  <c r="BU62" i="1"/>
  <c r="BV62" i="1"/>
  <c r="BW62" i="1"/>
  <c r="BJ18" i="1" l="1"/>
  <c r="BJ27" i="1"/>
  <c r="BJ34" i="1"/>
  <c r="BJ30" i="1"/>
  <c r="BJ63" i="1"/>
  <c r="BJ24" i="1"/>
  <c r="BJ21" i="1"/>
  <c r="BJ32" i="1"/>
  <c r="BJ28" i="1"/>
  <c r="BJ33" i="1"/>
  <c r="BJ31" i="1"/>
  <c r="BJ29" i="1"/>
  <c r="BJ26" i="1"/>
  <c r="BJ25" i="1"/>
  <c r="BJ62" i="1"/>
  <c r="BJ23" i="1"/>
  <c r="BJ22" i="1"/>
  <c r="BJ20" i="1"/>
  <c r="BJ19" i="1"/>
  <c r="BW61" i="1" l="1"/>
  <c r="BV61" i="1"/>
  <c r="BU61" i="1"/>
  <c r="BT61" i="1"/>
  <c r="BS61" i="1"/>
  <c r="BR61" i="1"/>
  <c r="BQ61" i="1"/>
  <c r="BP61" i="1"/>
  <c r="BO61" i="1"/>
  <c r="BN61" i="1"/>
  <c r="BM61" i="1"/>
  <c r="BL61" i="1"/>
  <c r="B11" i="1"/>
  <c r="B10" i="1"/>
  <c r="B8" i="1"/>
  <c r="B6" i="1"/>
  <c r="B5" i="1"/>
  <c r="BO8" i="1" l="1"/>
  <c r="BS8" i="1"/>
  <c r="BW8" i="1"/>
  <c r="BM8" i="1"/>
  <c r="BP8" i="1"/>
  <c r="BT8" i="1"/>
  <c r="BU8" i="1"/>
  <c r="BN8" i="1"/>
  <c r="BR8" i="1"/>
  <c r="BV8" i="1"/>
  <c r="BQ8" i="1"/>
  <c r="BW5" i="1"/>
  <c r="BS5" i="1"/>
  <c r="BO5" i="1"/>
  <c r="BV5" i="1"/>
  <c r="BR5" i="1"/>
  <c r="BN5" i="1"/>
  <c r="BU5" i="1"/>
  <c r="BM5" i="1"/>
  <c r="BT5" i="1"/>
  <c r="BP5" i="1"/>
  <c r="BQ5" i="1"/>
  <c r="BO10" i="1"/>
  <c r="BS10" i="1"/>
  <c r="BW10" i="1"/>
  <c r="BM10" i="1"/>
  <c r="BP10" i="1"/>
  <c r="BT10" i="1"/>
  <c r="BU10" i="1"/>
  <c r="BN10" i="1"/>
  <c r="BR10" i="1"/>
  <c r="BV10" i="1"/>
  <c r="BQ10" i="1"/>
  <c r="BO6" i="1"/>
  <c r="BS6" i="1"/>
  <c r="BW6" i="1"/>
  <c r="BP6" i="1"/>
  <c r="BT6" i="1"/>
  <c r="BQ6" i="1"/>
  <c r="BM6" i="1"/>
  <c r="BN6" i="1"/>
  <c r="BR6" i="1"/>
  <c r="BV6" i="1"/>
  <c r="BU6" i="1"/>
  <c r="BO11" i="1"/>
  <c r="BS11" i="1"/>
  <c r="BW11" i="1"/>
  <c r="BM11" i="1"/>
  <c r="BP11" i="1"/>
  <c r="BT11" i="1"/>
  <c r="BQ11" i="1"/>
  <c r="BN11" i="1"/>
  <c r="BR11" i="1"/>
  <c r="BV11" i="1"/>
  <c r="BU11" i="1"/>
  <c r="BJ61" i="1"/>
  <c r="BJ6" i="1" l="1"/>
  <c r="BJ11" i="1"/>
  <c r="BJ8" i="1"/>
  <c r="BJ10" i="1"/>
  <c r="BJ5" i="1"/>
</calcChain>
</file>

<file path=xl/sharedStrings.xml><?xml version="1.0" encoding="utf-8"?>
<sst xmlns="http://schemas.openxmlformats.org/spreadsheetml/2006/main" count="366" uniqueCount="115">
  <si>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</si>
  <si>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</si>
  <si>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</si>
  <si>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</si>
  <si>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</si>
  <si>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</si>
  <si>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</si>
  <si>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</si>
  <si>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</si>
  <si>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</si>
  <si>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</si>
  <si>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</si>
  <si>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</si>
  <si>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</si>
  <si>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</si>
  <si>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</si>
  <si>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</si>
  <si>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</si>
  <si>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</si>
  <si>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</si>
  <si>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</si>
  <si>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</si>
  <si>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</si>
  <si>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</si>
  <si>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</si>
  <si>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</si>
  <si>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</si>
  <si>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MD Al Amin</t>
  </si>
  <si>
    <t>Akter Hossain</t>
  </si>
  <si>
    <t>MD Rasel</t>
  </si>
  <si>
    <t>Mohamed Rameez Kariapper</t>
  </si>
  <si>
    <t>Rathnasiri Perera Egodage</t>
  </si>
  <si>
    <t>James Chinnappan</t>
  </si>
  <si>
    <t>FOREIGN JUNIOR STAFFS</t>
  </si>
  <si>
    <t>MAD0246</t>
  </si>
  <si>
    <t>Sharif Uddin</t>
  </si>
  <si>
    <t>MAD0454</t>
  </si>
  <si>
    <t>Mohamed Hidayathulla Abdeen</t>
  </si>
  <si>
    <t>MAD0556</t>
  </si>
  <si>
    <t>GRAPESON EDWARD</t>
  </si>
  <si>
    <t>MAD0598</t>
  </si>
  <si>
    <t>MD Jihad Hossain</t>
  </si>
  <si>
    <t>MAD0600</t>
  </si>
  <si>
    <t>Kabir Hossain</t>
  </si>
  <si>
    <t>MAD0605</t>
  </si>
  <si>
    <t>MD Zahir Mia</t>
  </si>
  <si>
    <t>MAD0607</t>
  </si>
  <si>
    <t>MD MUKUL ALI</t>
  </si>
  <si>
    <t>MAD0621</t>
  </si>
  <si>
    <t>Manuyar Sekh</t>
  </si>
  <si>
    <t>MAD0627</t>
  </si>
  <si>
    <t>Manirul Laskar</t>
  </si>
  <si>
    <t>MAD0637</t>
  </si>
  <si>
    <t>Alisan</t>
  </si>
  <si>
    <t>MAD0654</t>
  </si>
  <si>
    <t>MAD0657</t>
  </si>
  <si>
    <t>Firoj Pawariya</t>
  </si>
  <si>
    <t>MAD0658</t>
  </si>
  <si>
    <t>Javed Alam</t>
  </si>
  <si>
    <t>MAD0671</t>
  </si>
  <si>
    <t>Najare Alam Ansari</t>
  </si>
  <si>
    <t>MAD0685</t>
  </si>
  <si>
    <t>MD ABDUS SAMAD</t>
  </si>
  <si>
    <t>MAD0207</t>
  </si>
  <si>
    <t>Abdul Hafiz</t>
  </si>
  <si>
    <t>MAD0691</t>
  </si>
  <si>
    <t>Sahadat Hossen</t>
  </si>
  <si>
    <t>MAD0692</t>
  </si>
  <si>
    <t>MD Aman Miea</t>
  </si>
  <si>
    <t>MAD0712</t>
  </si>
  <si>
    <t>MD Rumon Ali</t>
  </si>
  <si>
    <t>MAD0722</t>
  </si>
  <si>
    <t>Saddam Hossen</t>
  </si>
  <si>
    <t>Prepared By:</t>
  </si>
  <si>
    <t>Checked By: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</si>
  <si>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</si>
  <si>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</si>
  <si>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</si>
  <si>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</si>
  <si>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</si>
  <si>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</si>
  <si>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</si>
  <si>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</si>
  <si>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</si>
  <si>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</si>
  <si>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</si>
  <si>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</si>
  <si>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</si>
  <si>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</si>
  <si>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</si>
  <si>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</si>
  <si>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</si>
  <si>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</si>
  <si>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 xml:space="preserve"> </t>
  </si>
  <si>
    <t>Pls don’t Remove below data</t>
  </si>
  <si>
    <t xml:space="preserve">Used Leave Totals (Running Year, up to end of this month - Nov 2025) </t>
  </si>
  <si>
    <t>Total</t>
  </si>
  <si>
    <t>MD Imran Ali</t>
  </si>
  <si>
    <t>MDA0196</t>
  </si>
  <si>
    <t>MAD0745</t>
  </si>
  <si>
    <t>MAD0744</t>
  </si>
  <si>
    <t>Alamgir Hosain</t>
  </si>
  <si>
    <t>SICK</t>
  </si>
  <si>
    <t>Attendance for FEBRUARY 2026 - Hulhumale Foreign  Staff</t>
  </si>
  <si>
    <t>Attendance for  FEBRUARY 2026 - Hulhumale Junior  Staff</t>
  </si>
  <si>
    <t>Saddam Hossian</t>
  </si>
  <si>
    <t>MAD0760</t>
  </si>
  <si>
    <t>MD Tarikul Islam tarik</t>
  </si>
  <si>
    <t>JOINING ON 22 ND FEBRUARY 2026</t>
  </si>
  <si>
    <t>MAD0761</t>
  </si>
  <si>
    <t>MD Soriful Islam</t>
  </si>
  <si>
    <t>1000 MVR DEDUCT</t>
  </si>
  <si>
    <t>JOINING ON 25 ND FEBRUARY 2026</t>
  </si>
  <si>
    <t>need to pay Extra 2 fridays(He working full days)</t>
  </si>
  <si>
    <t>JOINING ON 25TH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</si>
</sst>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0"/>
      <color theme="1"/>
      <name val="Segoe UI"/>
      <family val="2"/>
      <charset val="1"/>
    </font>
    <font>
      <sz val="11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b/>
      <sz val="12"/>
      <color theme="1"/>
      <name val="Arial Black"/>
      <family val="2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2"/>
      <color theme="1"/>
      <name val="Segoe U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Segoe UI"/>
      <family val="2"/>
    </font>
    <font>
      <sz val="8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color rgb="FF1E293B"/>
      <name val="Arial"/>
      <family val="2"/>
    </font>
    <font>
      <sz val="8"/>
      <color theme="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133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vertical="center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14" fillId="7" borderId="2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20" fontId="0" fillId="4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0" fontId="0" fillId="4" borderId="2" xfId="0" applyNumberFormat="1" applyFill="1" applyBorder="1" applyAlignment="1">
      <alignment horizontal="center" vertical="center"/>
    </xf>
    <xf numFmtId="20" fontId="1" fillId="4" borderId="2" xfId="0" applyNumberFormat="1" applyFont="1" applyFill="1" applyBorder="1" applyAlignment="1">
      <alignment horizontal="center" vertical="center"/>
    </xf>
    <xf numFmtId="20" fontId="16" fillId="4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20" fontId="0" fillId="4" borderId="2" xfId="0" applyNumberFormat="1" applyFill="1" applyBorder="1" applyAlignment="1">
      <alignment horizontal="center" vertical="center" wrapText="1"/>
    </xf>
    <xf numFmtId="20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20" fontId="18" fillId="4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2" fillId="0" borderId="0" xfId="0" applyFont="1"/>
    <xf numFmtId="164" fontId="20" fillId="0" borderId="0" xfId="0" applyNumberFormat="1" applyFont="1" applyAlignment="1">
      <alignment horizontal="center" vertical="center"/>
    </xf>
    <xf numFmtId="164" fontId="22" fillId="0" borderId="0" xfId="0" applyNumberFormat="1" applyFont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0" borderId="0" xfId="0" applyFont="1"/>
    <xf numFmtId="0" fontId="22" fillId="0" borderId="0" xfId="0" applyFont="1" applyAlignment="1">
      <alignment vertical="center"/>
    </xf>
    <xf numFmtId="0" fontId="26" fillId="0" borderId="0" xfId="0" applyFont="1"/>
    <xf numFmtId="164" fontId="22" fillId="0" borderId="0" xfId="0" applyNumberFormat="1" applyFont="1" applyAlignment="1">
      <alignment horizontal="center" vertical="center"/>
    </xf>
    <xf numFmtId="0" fontId="27" fillId="10" borderId="0" xfId="0" applyFont="1" applyFill="1" applyAlignment="1">
      <alignment vertical="center"/>
    </xf>
    <xf numFmtId="0" fontId="27" fillId="1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7" fillId="11" borderId="0" xfId="0" applyFont="1" applyFill="1" applyAlignment="1">
      <alignment vertical="center"/>
    </xf>
    <xf numFmtId="0" fontId="27" fillId="11" borderId="0" xfId="0" applyFont="1" applyFill="1" applyAlignment="1">
      <alignment horizontal="left" vertical="center"/>
    </xf>
    <xf numFmtId="0" fontId="23" fillId="11" borderId="0" xfId="0" applyFont="1" applyFill="1"/>
    <xf numFmtId="0" fontId="28" fillId="0" borderId="0" xfId="0" applyFont="1" applyAlignment="1">
      <alignment vertical="center"/>
    </xf>
    <xf numFmtId="49" fontId="27" fillId="11" borderId="0" xfId="0" applyNumberFormat="1" applyFont="1" applyFill="1" applyAlignment="1">
      <alignment vertical="center"/>
    </xf>
    <xf numFmtId="49" fontId="27" fillId="11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15" fontId="7" fillId="3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1" fillId="3" borderId="4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15" fontId="1" fillId="4" borderId="8" xfId="0" applyNumberFormat="1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10" fillId="0" borderId="3" xfId="1" applyFont="1" applyBorder="1" applyAlignment="1">
      <alignment horizontal="left" vertical="center" wrapText="1"/>
    </xf>
    <xf numFmtId="20" fontId="0" fillId="4" borderId="4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" fontId="8" fillId="8" borderId="4" xfId="0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20" fontId="1" fillId="12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2" fillId="13" borderId="7" xfId="0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20" fontId="31" fillId="4" borderId="2" xfId="0" applyNumberFormat="1" applyFont="1" applyFill="1" applyBorder="1" applyAlignment="1">
      <alignment horizontal="center" vertical="center" wrapText="1"/>
    </xf>
    <xf numFmtId="0" fontId="31" fillId="4" borderId="2" xfId="0" applyFont="1" applyFill="1" applyBorder="1" applyAlignment="1">
      <alignment horizontal="center" vertical="center" wrapText="1"/>
    </xf>
    <xf numFmtId="20" fontId="32" fillId="12" borderId="2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3" fillId="4" borderId="10" xfId="0" applyFont="1" applyFill="1" applyBorder="1" applyAlignment="1">
      <alignment horizontal="center" vertical="center" wrapText="1"/>
    </xf>
    <xf numFmtId="0" fontId="33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vertical="center"/>
    </xf>
    <xf numFmtId="0" fontId="0" fillId="0" borderId="2" xfId="0" applyBorder="1"/>
    <xf numFmtId="0" fontId="0" fillId="4" borderId="0" xfId="0" applyFill="1"/>
    <xf numFmtId="20" fontId="31" fillId="4" borderId="5" xfId="0" applyNumberFormat="1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left" vertical="top" wrapText="1"/>
    </xf>
    <xf numFmtId="0" fontId="1" fillId="4" borderId="0" xfId="0" applyFont="1" applyFill="1" applyAlignment="1">
      <alignment vertical="center"/>
    </xf>
    <xf numFmtId="20" fontId="32" fillId="4" borderId="3" xfId="0" applyNumberFormat="1" applyFont="1" applyFill="1" applyBorder="1" applyAlignment="1">
      <alignment horizontal="center" vertical="center" wrapText="1"/>
    </xf>
    <xf numFmtId="20" fontId="32" fillId="4" borderId="13" xfId="0" applyNumberFormat="1" applyFont="1" applyFill="1" applyBorder="1" applyAlignment="1">
      <alignment horizontal="center" vertical="center" wrapText="1"/>
    </xf>
    <xf numFmtId="20" fontId="32" fillId="4" borderId="4" xfId="0" applyNumberFormat="1" applyFont="1" applyFill="1" applyBorder="1" applyAlignment="1">
      <alignment horizontal="center" vertical="center" wrapText="1"/>
    </xf>
    <xf numFmtId="20" fontId="32" fillId="4" borderId="14" xfId="0" applyNumberFormat="1" applyFont="1" applyFill="1" applyBorder="1" applyAlignment="1">
      <alignment horizontal="center" vertical="center" wrapText="1"/>
    </xf>
    <xf numFmtId="20" fontId="32" fillId="4" borderId="15" xfId="0" applyNumberFormat="1" applyFont="1" applyFill="1" applyBorder="1" applyAlignment="1">
      <alignment horizontal="center" vertical="center" wrapText="1"/>
    </xf>
    <xf numFmtId="20" fontId="32" fillId="4" borderId="16" xfId="0" applyNumberFormat="1" applyFont="1" applyFill="1" applyBorder="1" applyAlignment="1">
      <alignment horizontal="center" vertical="center" wrapText="1"/>
    </xf>
    <xf numFmtId="15" fontId="7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0" fontId="32" fillId="4" borderId="12" xfId="0" applyNumberFormat="1" applyFont="1" applyFill="1" applyBorder="1" applyAlignment="1">
      <alignment horizontal="center" vertical="center" wrapText="1"/>
    </xf>
    <xf numFmtId="20" fontId="32" fillId="4" borderId="0" xfId="0" applyNumberFormat="1" applyFont="1" applyFill="1" applyAlignment="1">
      <alignment horizontal="center" vertical="center" wrapText="1"/>
    </xf>
    <xf numFmtId="20" fontId="32" fillId="4" borderId="17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20" fontId="32" fillId="4" borderId="2" xfId="0" applyNumberFormat="1" applyFont="1" applyFill="1" applyBorder="1" applyAlignment="1">
      <alignment horizontal="center" vertical="center" wrapText="1"/>
    </xf>
    <xf numFmtId="0" fontId="30" fillId="9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F39DB161-B07E-461D-8D78-25E91806D304}"/>
  </cellStyles>
  <dxfs count="123"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HR&amp;Admin\0.%20ATTENDANCE\2025\10%20October%202025\Sep%20%202025%20-_Hulhumale%20Foreig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humale Staffs_ Sep 2025"/>
      <sheetName val="Food (1-15 Sep"/>
      <sheetName val="Food (16-30 Sep)"/>
    </sheetNames>
    <sheetDataSet>
      <sheetData sheetId="0">
        <row r="4">
          <cell r="I4" t="str">
            <v>OUT</v>
          </cell>
        </row>
        <row r="5">
          <cell r="B5" t="str">
            <v>MAD0244</v>
          </cell>
        </row>
        <row r="6">
          <cell r="B6" t="str">
            <v>MAD0226</v>
          </cell>
        </row>
        <row r="8">
          <cell r="B8" t="str">
            <v>MAD0457</v>
          </cell>
        </row>
        <row r="9">
          <cell r="B9" t="str">
            <v>MAD0569</v>
          </cell>
        </row>
        <row r="11">
          <cell r="B11" t="str">
            <v>MAD0699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E187-7A0C-4228-9444-8A342039E6A5}">
  <sheetPr>
    <pageSetUpPr fitToPage="1"/>
  </sheetPr>
  <dimension ref="A1:CM63"/>
  <sheetViews>
    <sheetView tabSelected="1"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B19" sqref="CB19"/>
    </sheetView>
  </sheetViews>
  <sheetFormatPr defaultRowHeight="15" x14ac:dyDescent="0.25"/>
  <cols>
    <col min="1" max="1" width="5" customWidth="1"/>
    <col min="2" max="2" width="10.85546875" style="22" customWidth="1"/>
    <col min="3" max="3" width="27.28515625" customWidth="1"/>
    <col min="4" max="33" width="6.42578125" customWidth="1"/>
    <col min="34" max="34" width="5.28515625" customWidth="1"/>
    <col min="35" max="35" width="5" customWidth="1"/>
    <col min="36" max="61" width="6.42578125" customWidth="1"/>
    <col min="62" max="75" width="5.140625" customWidth="1"/>
    <col min="76" max="76" width="20" customWidth="1"/>
    <col min="81" max="90" width="7.140625" customWidth="1"/>
  </cols>
  <sheetData>
    <row r="1" spans="1:91" ht="24" customHeight="1" x14ac:dyDescent="0.25">
      <c r="A1" s="121" t="s">
        <v>103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69"/>
      <c r="AI1" s="121" t="s">
        <v>103</v>
      </c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</row>
    <row r="2" spans="1:91" ht="18.75" x14ac:dyDescent="0.25">
      <c r="A2" s="129" t="s">
        <v>0</v>
      </c>
      <c r="B2" s="129"/>
      <c r="C2" s="129"/>
      <c r="D2" s="114" t="s">
        <v>5</v>
      </c>
      <c r="E2" s="114"/>
      <c r="F2" s="114" t="s">
        <v>6</v>
      </c>
      <c r="G2" s="114"/>
      <c r="H2" s="114" t="s">
        <v>7</v>
      </c>
      <c r="I2" s="114"/>
      <c r="J2" s="114" t="s">
        <v>1</v>
      </c>
      <c r="K2" s="114"/>
      <c r="L2" s="114" t="s">
        <v>2</v>
      </c>
      <c r="M2" s="114"/>
      <c r="N2" s="114" t="s">
        <v>3</v>
      </c>
      <c r="O2" s="114"/>
      <c r="P2" s="114" t="s">
        <v>4</v>
      </c>
      <c r="Q2" s="114"/>
      <c r="R2" s="114" t="s">
        <v>5</v>
      </c>
      <c r="S2" s="114"/>
      <c r="T2" s="114" t="s">
        <v>6</v>
      </c>
      <c r="U2" s="114"/>
      <c r="V2" s="114" t="s">
        <v>7</v>
      </c>
      <c r="W2" s="114"/>
      <c r="X2" s="114" t="s">
        <v>1</v>
      </c>
      <c r="Y2" s="114"/>
      <c r="Z2" s="114" t="s">
        <v>2</v>
      </c>
      <c r="AA2" s="114"/>
      <c r="AB2" s="114" t="s">
        <v>3</v>
      </c>
      <c r="AC2" s="114"/>
      <c r="AD2" s="114" t="s">
        <v>4</v>
      </c>
      <c r="AE2" s="114"/>
      <c r="AF2" s="114" t="s">
        <v>5</v>
      </c>
      <c r="AG2" s="114"/>
      <c r="AH2" s="70"/>
      <c r="AI2" s="35"/>
      <c r="AJ2" s="114" t="s">
        <v>6</v>
      </c>
      <c r="AK2" s="114"/>
      <c r="AL2" s="114" t="s">
        <v>7</v>
      </c>
      <c r="AM2" s="114"/>
      <c r="AN2" s="114" t="s">
        <v>1</v>
      </c>
      <c r="AO2" s="114"/>
      <c r="AP2" s="114" t="s">
        <v>2</v>
      </c>
      <c r="AQ2" s="114"/>
      <c r="AR2" s="114" t="s">
        <v>3</v>
      </c>
      <c r="AS2" s="114"/>
      <c r="AT2" s="114" t="s">
        <v>4</v>
      </c>
      <c r="AU2" s="114"/>
      <c r="AV2" s="114" t="s">
        <v>5</v>
      </c>
      <c r="AW2" s="114"/>
      <c r="AX2" s="114" t="s">
        <v>6</v>
      </c>
      <c r="AY2" s="114"/>
      <c r="AZ2" s="114" t="s">
        <v>7</v>
      </c>
      <c r="BA2" s="114"/>
      <c r="BB2" s="114" t="s">
        <v>1</v>
      </c>
      <c r="BC2" s="114"/>
      <c r="BD2" s="114" t="s">
        <v>2</v>
      </c>
      <c r="BE2" s="114"/>
      <c r="BF2" s="114" t="s">
        <v>3</v>
      </c>
      <c r="BG2" s="114"/>
      <c r="BH2" s="114" t="s">
        <v>4</v>
      </c>
      <c r="BI2" s="114"/>
      <c r="BJ2" s="122" t="s">
        <v>8</v>
      </c>
      <c r="BK2" s="122" t="s">
        <v>9</v>
      </c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CC2" s="131" t="s">
        <v>94</v>
      </c>
      <c r="CD2" s="131"/>
      <c r="CE2" s="131"/>
      <c r="CF2" s="131"/>
      <c r="CG2" s="131"/>
      <c r="CH2" s="131"/>
      <c r="CI2" s="131"/>
      <c r="CJ2" s="131"/>
      <c r="CK2" s="131"/>
      <c r="CL2" s="131"/>
      <c r="CM2" s="21"/>
    </row>
    <row r="3" spans="1:91" ht="18.75" x14ac:dyDescent="0.25">
      <c r="A3" s="129"/>
      <c r="B3" s="129"/>
      <c r="C3" s="129"/>
      <c r="D3" s="113">
        <v>46054</v>
      </c>
      <c r="E3" s="113"/>
      <c r="F3" s="113">
        <v>46055</v>
      </c>
      <c r="G3" s="113"/>
      <c r="H3" s="113">
        <v>46056</v>
      </c>
      <c r="I3" s="113"/>
      <c r="J3" s="113">
        <v>46057</v>
      </c>
      <c r="K3" s="113"/>
      <c r="L3" s="113">
        <v>46058</v>
      </c>
      <c r="M3" s="113"/>
      <c r="N3" s="113">
        <v>46059</v>
      </c>
      <c r="O3" s="113"/>
      <c r="P3" s="113">
        <v>46060</v>
      </c>
      <c r="Q3" s="113"/>
      <c r="R3" s="113">
        <v>46061</v>
      </c>
      <c r="S3" s="113"/>
      <c r="T3" s="113">
        <v>46062</v>
      </c>
      <c r="U3" s="113"/>
      <c r="V3" s="113">
        <v>46063</v>
      </c>
      <c r="W3" s="113"/>
      <c r="X3" s="113">
        <v>46064</v>
      </c>
      <c r="Y3" s="113"/>
      <c r="Z3" s="113">
        <v>46065</v>
      </c>
      <c r="AA3" s="113"/>
      <c r="AB3" s="113">
        <v>46066</v>
      </c>
      <c r="AC3" s="113"/>
      <c r="AD3" s="113">
        <v>46067</v>
      </c>
      <c r="AE3" s="113"/>
      <c r="AF3" s="113">
        <v>46068</v>
      </c>
      <c r="AG3" s="113"/>
      <c r="AH3" s="71"/>
      <c r="AI3" s="66"/>
      <c r="AJ3" s="113">
        <v>46069</v>
      </c>
      <c r="AK3" s="113"/>
      <c r="AL3" s="113">
        <v>46070</v>
      </c>
      <c r="AM3" s="113"/>
      <c r="AN3" s="113">
        <v>46071</v>
      </c>
      <c r="AO3" s="113"/>
      <c r="AP3" s="113">
        <v>46072</v>
      </c>
      <c r="AQ3" s="113"/>
      <c r="AR3" s="113">
        <v>46073</v>
      </c>
      <c r="AS3" s="113"/>
      <c r="AT3" s="113">
        <v>46074</v>
      </c>
      <c r="AU3" s="113"/>
      <c r="AV3" s="113">
        <v>46075</v>
      </c>
      <c r="AW3" s="113"/>
      <c r="AX3" s="113">
        <v>46076</v>
      </c>
      <c r="AY3" s="113"/>
      <c r="AZ3" s="113">
        <v>46077</v>
      </c>
      <c r="BA3" s="113"/>
      <c r="BB3" s="113">
        <v>46078</v>
      </c>
      <c r="BC3" s="113"/>
      <c r="BD3" s="113">
        <v>46079</v>
      </c>
      <c r="BE3" s="113"/>
      <c r="BF3" s="113">
        <v>46080</v>
      </c>
      <c r="BG3" s="113"/>
      <c r="BH3" s="113">
        <v>46081</v>
      </c>
      <c r="BI3" s="113"/>
      <c r="BJ3" s="122"/>
      <c r="BK3" s="122"/>
      <c r="BL3" s="2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4"/>
      <c r="CC3" s="84" t="s">
        <v>95</v>
      </c>
      <c r="CD3" s="84"/>
      <c r="CE3" s="84"/>
      <c r="CF3" s="84"/>
      <c r="CG3" s="84"/>
      <c r="CH3" s="84"/>
      <c r="CI3" s="84"/>
      <c r="CJ3" s="84"/>
      <c r="CK3" s="84"/>
      <c r="CL3" s="84"/>
      <c r="CM3" s="21"/>
    </row>
    <row r="4" spans="1:91" ht="18.75" customHeight="1" x14ac:dyDescent="0.25">
      <c r="A4" s="5" t="s">
        <v>10</v>
      </c>
      <c r="B4" s="5" t="s">
        <v>11</v>
      </c>
      <c r="C4" s="5" t="s">
        <v>12</v>
      </c>
      <c r="D4" s="80" t="s">
        <v>13</v>
      </c>
      <c r="E4" s="80" t="s">
        <v>14</v>
      </c>
      <c r="F4" s="80" t="s">
        <v>13</v>
      </c>
      <c r="G4" s="80" t="s">
        <v>14</v>
      </c>
      <c r="H4" s="80" t="s">
        <v>13</v>
      </c>
      <c r="I4" s="80" t="s">
        <v>14</v>
      </c>
      <c r="J4" s="80" t="s">
        <v>13</v>
      </c>
      <c r="K4" s="80" t="s">
        <v>14</v>
      </c>
      <c r="L4" s="80" t="s">
        <v>13</v>
      </c>
      <c r="M4" s="80" t="s">
        <v>14</v>
      </c>
      <c r="N4" s="80" t="s">
        <v>13</v>
      </c>
      <c r="O4" s="80" t="s">
        <v>14</v>
      </c>
      <c r="P4" s="13" t="s">
        <v>13</v>
      </c>
      <c r="Q4" s="13" t="s">
        <v>14</v>
      </c>
      <c r="R4" s="13" t="s">
        <v>13</v>
      </c>
      <c r="S4" s="13" t="s">
        <v>14</v>
      </c>
      <c r="T4" s="13" t="s">
        <v>13</v>
      </c>
      <c r="U4" s="13" t="s">
        <v>14</v>
      </c>
      <c r="V4" s="13" t="s">
        <v>13</v>
      </c>
      <c r="W4" s="13" t="s">
        <v>14</v>
      </c>
      <c r="X4" s="13" t="s">
        <v>13</v>
      </c>
      <c r="Y4" s="13" t="s">
        <v>14</v>
      </c>
      <c r="Z4" s="13" t="s">
        <v>13</v>
      </c>
      <c r="AA4" s="13" t="s">
        <v>14</v>
      </c>
      <c r="AB4" s="13" t="s">
        <v>13</v>
      </c>
      <c r="AC4" s="13" t="s">
        <v>14</v>
      </c>
      <c r="AD4" s="13" t="s">
        <v>13</v>
      </c>
      <c r="AE4" s="13" t="s">
        <v>14</v>
      </c>
      <c r="AF4" s="13" t="s">
        <v>13</v>
      </c>
      <c r="AG4" s="1" t="s">
        <v>14</v>
      </c>
      <c r="AH4" s="70"/>
      <c r="AI4" s="35"/>
      <c r="AJ4" s="13" t="s">
        <v>13</v>
      </c>
      <c r="AK4" s="13" t="s">
        <v>14</v>
      </c>
      <c r="AL4" s="13" t="s">
        <v>13</v>
      </c>
      <c r="AM4" s="13" t="s">
        <v>14</v>
      </c>
      <c r="AN4" s="13" t="s">
        <v>13</v>
      </c>
      <c r="AO4" s="13" t="s">
        <v>14</v>
      </c>
      <c r="AP4" s="13" t="s">
        <v>13</v>
      </c>
      <c r="AQ4" s="13" t="s">
        <v>14</v>
      </c>
      <c r="AR4" s="13" t="s">
        <v>13</v>
      </c>
      <c r="AS4" s="13" t="s">
        <v>14</v>
      </c>
      <c r="AT4" s="13" t="s">
        <v>13</v>
      </c>
      <c r="AU4" s="13" t="s">
        <v>14</v>
      </c>
      <c r="AV4" s="13" t="s">
        <v>13</v>
      </c>
      <c r="AW4" s="13" t="s">
        <v>14</v>
      </c>
      <c r="AX4" s="13" t="s">
        <v>13</v>
      </c>
      <c r="AY4" s="13" t="s">
        <v>14</v>
      </c>
      <c r="AZ4" s="13" t="s">
        <v>13</v>
      </c>
      <c r="BA4" s="13" t="s">
        <v>14</v>
      </c>
      <c r="BB4" s="13" t="s">
        <v>13</v>
      </c>
      <c r="BC4" s="13" t="s">
        <v>14</v>
      </c>
      <c r="BD4" s="13" t="s">
        <v>13</v>
      </c>
      <c r="BE4" s="13" t="s">
        <v>14</v>
      </c>
      <c r="BF4" s="13" t="s">
        <v>13</v>
      </c>
      <c r="BG4" s="13" t="s">
        <v>14</v>
      </c>
      <c r="BH4" s="13" t="s">
        <v>13</v>
      </c>
      <c r="BI4" s="13" t="s">
        <v>14</v>
      </c>
      <c r="BJ4" s="122"/>
      <c r="BK4" s="122"/>
      <c r="BL4" s="6"/>
      <c r="BM4" s="65" t="s">
        <v>15</v>
      </c>
      <c r="BN4" s="65" t="s">
        <v>16</v>
      </c>
      <c r="BO4" s="65" t="s">
        <v>17</v>
      </c>
      <c r="BP4" s="65" t="s">
        <v>18</v>
      </c>
      <c r="BQ4" s="65" t="s">
        <v>19</v>
      </c>
      <c r="BR4" s="65" t="s">
        <v>20</v>
      </c>
      <c r="BS4" s="65" t="s">
        <v>21</v>
      </c>
      <c r="BT4" s="65" t="s">
        <v>22</v>
      </c>
      <c r="BU4" s="65" t="s">
        <v>23</v>
      </c>
      <c r="BV4" s="65" t="s">
        <v>24</v>
      </c>
      <c r="BW4" s="65" t="s">
        <v>25</v>
      </c>
      <c r="BX4" s="7" t="s">
        <v>26</v>
      </c>
      <c r="CC4" s="85" t="s">
        <v>16</v>
      </c>
      <c r="CD4" s="86" t="s">
        <v>17</v>
      </c>
      <c r="CE4" s="86" t="s">
        <v>18</v>
      </c>
      <c r="CF4" s="86" t="s">
        <v>19</v>
      </c>
      <c r="CG4" s="86" t="s">
        <v>20</v>
      </c>
      <c r="CH4" s="86" t="s">
        <v>21</v>
      </c>
      <c r="CI4" s="86" t="s">
        <v>22</v>
      </c>
      <c r="CJ4" s="86" t="s">
        <v>23</v>
      </c>
      <c r="CK4" s="86" t="s">
        <v>24</v>
      </c>
      <c r="CL4" s="86" t="s">
        <v>25</v>
      </c>
      <c r="CM4" s="87" t="s">
        <v>96</v>
      </c>
    </row>
    <row r="5" spans="1:91" ht="22.5" customHeight="1" x14ac:dyDescent="0.25">
      <c r="A5" s="8">
        <v>1</v>
      </c>
      <c r="B5" s="9" t="str">
        <f>'[1]Hulhumale Staffs_ Sep 2025'!B5</f>
        <v>MAD0244</v>
      </c>
      <c r="C5" s="78" t="s">
        <v>27</v>
      </c>
      <c r="D5" s="95">
        <v>0.35902777777777778</v>
      </c>
      <c r="E5" s="96">
        <v>1</v>
      </c>
      <c r="F5" s="95">
        <v>0.35486111111111113</v>
      </c>
      <c r="G5" s="96">
        <v>1</v>
      </c>
      <c r="H5" s="95">
        <v>0.35625000000000001</v>
      </c>
      <c r="I5" s="96">
        <v>1</v>
      </c>
      <c r="J5" s="95">
        <v>0.35625000000000001</v>
      </c>
      <c r="K5" s="96">
        <v>1</v>
      </c>
      <c r="L5" s="95">
        <v>0.35694444444444445</v>
      </c>
      <c r="M5" s="96">
        <v>1</v>
      </c>
      <c r="N5" s="98" t="s">
        <v>15</v>
      </c>
      <c r="O5" s="98" t="s">
        <v>15</v>
      </c>
      <c r="P5" s="95">
        <v>0.3576388888888889</v>
      </c>
      <c r="Q5" s="96">
        <v>1</v>
      </c>
      <c r="R5" s="95">
        <v>0.3576388888888889</v>
      </c>
      <c r="S5" s="96">
        <v>1</v>
      </c>
      <c r="T5" s="95">
        <v>0.35833333333333334</v>
      </c>
      <c r="U5" s="96">
        <v>1</v>
      </c>
      <c r="V5" s="95">
        <v>0.35902777777777778</v>
      </c>
      <c r="W5" s="96">
        <v>1</v>
      </c>
      <c r="X5" s="95">
        <v>0.35833333333333334</v>
      </c>
      <c r="Y5" s="96">
        <v>1</v>
      </c>
      <c r="Z5" s="95">
        <v>0.35902777777777778</v>
      </c>
      <c r="AA5" s="96">
        <v>1</v>
      </c>
      <c r="AB5" s="97">
        <v>0.58124999999999993</v>
      </c>
      <c r="AC5" s="97">
        <v>1.1805555555555555E-2</v>
      </c>
      <c r="AD5" s="95">
        <v>0.35486111111111113</v>
      </c>
      <c r="AE5" s="96">
        <v>1</v>
      </c>
      <c r="AF5" s="95">
        <v>0.35625000000000001</v>
      </c>
      <c r="AG5" s="96">
        <v>1</v>
      </c>
      <c r="AH5" s="103"/>
      <c r="AI5" s="8">
        <v>1</v>
      </c>
      <c r="AJ5" s="95">
        <v>0.3576388888888889</v>
      </c>
      <c r="AK5" s="96">
        <v>1</v>
      </c>
      <c r="AL5" s="95">
        <v>0.35902777777777778</v>
      </c>
      <c r="AM5" s="96">
        <v>1</v>
      </c>
      <c r="AN5" s="95">
        <v>0.37291666666666662</v>
      </c>
      <c r="AO5" s="96">
        <v>1</v>
      </c>
      <c r="AP5" s="95">
        <v>0.3840277777777778</v>
      </c>
      <c r="AQ5" s="96">
        <v>1</v>
      </c>
      <c r="AR5" s="97">
        <v>0.59097222222222223</v>
      </c>
      <c r="AS5" s="98">
        <v>1</v>
      </c>
      <c r="AT5" s="95">
        <v>0.38194444444444442</v>
      </c>
      <c r="AU5" s="96">
        <v>1</v>
      </c>
      <c r="AV5" s="95">
        <v>0.37777777777777777</v>
      </c>
      <c r="AW5" s="96">
        <v>1</v>
      </c>
      <c r="AX5" s="95">
        <v>0.39513888888888887</v>
      </c>
      <c r="AY5" s="95">
        <v>0.12291666666666667</v>
      </c>
      <c r="AZ5" s="95">
        <v>0.3840277777777778</v>
      </c>
      <c r="BA5" s="96">
        <v>1</v>
      </c>
      <c r="BB5" s="95">
        <v>0.3833333333333333</v>
      </c>
      <c r="BC5" s="96">
        <v>1</v>
      </c>
      <c r="BD5" s="95">
        <v>0.39027777777777778</v>
      </c>
      <c r="BE5" s="96">
        <v>1</v>
      </c>
      <c r="BF5" s="97">
        <v>0.57916666666666672</v>
      </c>
      <c r="BG5" s="98">
        <v>1</v>
      </c>
      <c r="BH5" s="95">
        <v>0.38541666666666669</v>
      </c>
      <c r="BI5" s="96">
        <v>1</v>
      </c>
      <c r="BJ5" s="81">
        <f>BL5+BM5+BN5+BO5+BT5+BR5+BS5+BW5</f>
        <v>28</v>
      </c>
      <c r="BK5" s="82">
        <v>3</v>
      </c>
      <c r="BL5" s="17">
        <f>COUNT(D5:AG5)/2+COUNT(AJ5:BI5)/2</f>
        <v>27</v>
      </c>
      <c r="BM5" s="18">
        <f t="shared" ref="BM5:BM11" si="0">COUNTIF(B5:BI5,"OFF")/2</f>
        <v>1</v>
      </c>
      <c r="BN5" s="18">
        <f t="shared" ref="BN5:BN11" si="1">COUNTIF(B5:BI5,"MC")/2</f>
        <v>0</v>
      </c>
      <c r="BO5" s="18">
        <f t="shared" ref="BO5:BO11" si="2">COUNTIF(B5:BI5,"EL")/2</f>
        <v>0</v>
      </c>
      <c r="BP5" s="18">
        <f t="shared" ref="BP5:BP11" si="3">COUNTIF(B5:BI5,"AL")/2</f>
        <v>0</v>
      </c>
      <c r="BQ5" s="18">
        <f t="shared" ref="BQ5:BQ11" si="4">COUNTIF(B5:BI5,"SUS")/2</f>
        <v>0</v>
      </c>
      <c r="BR5" s="18">
        <f t="shared" ref="BR5:BR11" si="5">COUNTIF(B5:BI5,"FL")/2</f>
        <v>0</v>
      </c>
      <c r="BS5" s="18">
        <f t="shared" ref="BS5:BS11" si="6">COUNTIF(B5:BI5,"SICK")/2</f>
        <v>0</v>
      </c>
      <c r="BT5" s="18">
        <f t="shared" ref="BT5:BT11" si="7">COUNTIF(B5:BI5,"HD")/2</f>
        <v>0</v>
      </c>
      <c r="BU5" s="18">
        <f t="shared" ref="BU5:BU11" si="8">COUNTIF(B5:BI5,"AB")/2</f>
        <v>0</v>
      </c>
      <c r="BV5" s="18">
        <f t="shared" ref="BV5:BV11" si="9">COUNTIF(B5:BI5,"NL")/2</f>
        <v>0</v>
      </c>
      <c r="BW5" s="18">
        <f t="shared" ref="BW5:BW11" si="10">COUNTIF(B5:BI5,"SP")/2</f>
        <v>0</v>
      </c>
      <c r="BX5" s="19"/>
      <c r="CC5" s="90">
        <v>0</v>
      </c>
      <c r="CD5" s="90">
        <v>0</v>
      </c>
      <c r="CE5" s="90">
        <v>0</v>
      </c>
      <c r="CF5" s="90">
        <v>0</v>
      </c>
      <c r="CG5" s="90">
        <v>0</v>
      </c>
      <c r="CH5" s="90">
        <v>0</v>
      </c>
      <c r="CI5" s="90">
        <v>0</v>
      </c>
      <c r="CJ5" s="90">
        <v>0</v>
      </c>
      <c r="CK5" s="90">
        <v>0</v>
      </c>
      <c r="CL5" s="90">
        <v>0</v>
      </c>
      <c r="CM5" s="92">
        <f t="shared" ref="CM5:CM10" si="11">SUM(CC5:CL5)</f>
        <v>0</v>
      </c>
    </row>
    <row r="6" spans="1:91" ht="22.5" customHeight="1" x14ac:dyDescent="0.25">
      <c r="A6" s="8">
        <v>2</v>
      </c>
      <c r="B6" s="9" t="str">
        <f>'[1]Hulhumale Staffs_ Sep 2025'!B6</f>
        <v>MAD0226</v>
      </c>
      <c r="C6" s="78" t="s">
        <v>28</v>
      </c>
      <c r="D6" s="95">
        <v>0.33611111111111108</v>
      </c>
      <c r="E6" s="95">
        <v>0.96527777777777779</v>
      </c>
      <c r="F6" s="95">
        <v>0.3347222222222222</v>
      </c>
      <c r="G6" s="95">
        <v>0.98819444444444438</v>
      </c>
      <c r="H6" s="95">
        <v>0.33402777777777781</v>
      </c>
      <c r="I6" s="95">
        <v>0.96597222222222223</v>
      </c>
      <c r="J6" s="95">
        <v>0.33611111111111108</v>
      </c>
      <c r="K6" s="95">
        <v>0.96805555555555556</v>
      </c>
      <c r="L6" s="95">
        <v>0.33055555555555555</v>
      </c>
      <c r="M6" s="95">
        <v>0.98333333333333339</v>
      </c>
      <c r="N6" s="97">
        <v>0.56041666666666667</v>
      </c>
      <c r="O6" s="97">
        <v>0.98055555555555562</v>
      </c>
      <c r="P6" s="95">
        <v>0.33611111111111108</v>
      </c>
      <c r="Q6" s="95">
        <v>0.98541666666666661</v>
      </c>
      <c r="R6" s="95">
        <v>0.33333333333333331</v>
      </c>
      <c r="S6" s="95">
        <v>0.98541666666666661</v>
      </c>
      <c r="T6" s="95">
        <v>0.99722222222222223</v>
      </c>
      <c r="U6" s="96">
        <v>1</v>
      </c>
      <c r="V6" s="95">
        <v>0.3354166666666667</v>
      </c>
      <c r="W6" s="95">
        <v>0.97986111111111107</v>
      </c>
      <c r="X6" s="95">
        <v>0.33263888888888887</v>
      </c>
      <c r="Y6" s="95">
        <v>0.99097222222222225</v>
      </c>
      <c r="Z6" s="95">
        <v>0.33263888888888887</v>
      </c>
      <c r="AA6" s="95">
        <v>1.7361111111111112E-2</v>
      </c>
      <c r="AB6" s="97">
        <v>0.56111111111111112</v>
      </c>
      <c r="AC6" s="97">
        <v>1.3888888888888888E-2</v>
      </c>
      <c r="AD6" s="95">
        <v>0.3354166666666667</v>
      </c>
      <c r="AE6" s="95">
        <v>2.2222222222222223E-2</v>
      </c>
      <c r="AF6" s="95">
        <v>0.33611111111111108</v>
      </c>
      <c r="AG6" s="96">
        <v>1</v>
      </c>
      <c r="AI6" s="8">
        <v>2</v>
      </c>
      <c r="AJ6" s="95">
        <v>0.33749999999999997</v>
      </c>
      <c r="AK6" s="95">
        <v>3.3333333333333333E-2</v>
      </c>
      <c r="AL6" s="95">
        <v>0.3347222222222222</v>
      </c>
      <c r="AM6" s="95">
        <v>7.6388888888888895E-2</v>
      </c>
      <c r="AN6" s="95">
        <v>0.3611111111111111</v>
      </c>
      <c r="AO6" s="95">
        <v>6.3194444444444442E-2</v>
      </c>
      <c r="AP6" s="95">
        <v>0.3666666666666667</v>
      </c>
      <c r="AQ6" s="95">
        <v>5.347222222222222E-2</v>
      </c>
      <c r="AR6" s="97">
        <v>0.55972222222222223</v>
      </c>
      <c r="AS6" s="97">
        <v>7.0833333333333331E-2</v>
      </c>
      <c r="AT6" s="95">
        <v>0.35347222222222219</v>
      </c>
      <c r="AU6" s="96">
        <v>1</v>
      </c>
      <c r="AV6" s="95">
        <v>0.35833333333333334</v>
      </c>
      <c r="AW6" s="96">
        <v>1</v>
      </c>
      <c r="AX6" s="95">
        <v>0.35625000000000001</v>
      </c>
      <c r="AY6" s="95">
        <v>5.486111111111111E-2</v>
      </c>
      <c r="AZ6" s="95">
        <v>0.35833333333333334</v>
      </c>
      <c r="BA6" s="95">
        <v>0.35833333333333334</v>
      </c>
      <c r="BB6" s="95">
        <v>0.35833333333333334</v>
      </c>
      <c r="BC6" s="95">
        <v>4.5138888888888888E-2</v>
      </c>
      <c r="BD6" s="95">
        <v>0.35694444444444445</v>
      </c>
      <c r="BE6" s="95">
        <v>2.5694444444444447E-2</v>
      </c>
      <c r="BF6" s="97">
        <v>0.55763888888888891</v>
      </c>
      <c r="BG6" s="97">
        <v>3.7499999999999999E-2</v>
      </c>
      <c r="BH6" s="95">
        <v>0.35902777777777778</v>
      </c>
      <c r="BI6" s="95">
        <v>7.013888888888889E-2</v>
      </c>
      <c r="BJ6" s="81">
        <f t="shared" ref="BJ6:BJ11" si="12">BL6+BM6+BN6+BO6+BT6+BR6+BS6+BW6</f>
        <v>28</v>
      </c>
      <c r="BK6" s="82">
        <v>4</v>
      </c>
      <c r="BL6" s="17">
        <f t="shared" ref="BL6:BL11" si="13">COUNT(D6:AG6)/2+COUNT(AJ6:BI6)/2</f>
        <v>28</v>
      </c>
      <c r="BM6" s="18">
        <f t="shared" si="0"/>
        <v>0</v>
      </c>
      <c r="BN6" s="18">
        <f t="shared" si="1"/>
        <v>0</v>
      </c>
      <c r="BO6" s="18">
        <f t="shared" si="2"/>
        <v>0</v>
      </c>
      <c r="BP6" s="18">
        <f t="shared" si="3"/>
        <v>0</v>
      </c>
      <c r="BQ6" s="18">
        <f t="shared" si="4"/>
        <v>0</v>
      </c>
      <c r="BR6" s="18">
        <f t="shared" si="5"/>
        <v>0</v>
      </c>
      <c r="BS6" s="18">
        <f t="shared" si="6"/>
        <v>0</v>
      </c>
      <c r="BT6" s="18">
        <f t="shared" si="7"/>
        <v>0</v>
      </c>
      <c r="BU6" s="18">
        <f t="shared" si="8"/>
        <v>0</v>
      </c>
      <c r="BV6" s="18">
        <f t="shared" si="9"/>
        <v>0</v>
      </c>
      <c r="BW6" s="18">
        <f t="shared" si="10"/>
        <v>0</v>
      </c>
      <c r="BX6" s="19"/>
      <c r="CC6" s="89">
        <v>0</v>
      </c>
      <c r="CD6" s="89">
        <v>0</v>
      </c>
      <c r="CE6" s="89">
        <v>0</v>
      </c>
      <c r="CF6" s="89">
        <v>0</v>
      </c>
      <c r="CG6" s="89">
        <v>0</v>
      </c>
      <c r="CH6" s="89">
        <v>0</v>
      </c>
      <c r="CI6" s="89">
        <v>0</v>
      </c>
      <c r="CJ6" s="89">
        <v>0</v>
      </c>
      <c r="CK6" s="89">
        <v>0</v>
      </c>
      <c r="CL6" s="89">
        <v>0</v>
      </c>
      <c r="CM6" s="93">
        <f t="shared" si="11"/>
        <v>0</v>
      </c>
    </row>
    <row r="7" spans="1:91" ht="22.5" customHeight="1" x14ac:dyDescent="0.25">
      <c r="A7" s="8">
        <v>3</v>
      </c>
      <c r="B7" s="9" t="s">
        <v>98</v>
      </c>
      <c r="C7" s="78" t="s">
        <v>29</v>
      </c>
      <c r="D7" s="95">
        <v>0.33680555555555558</v>
      </c>
      <c r="E7" s="95">
        <v>0.96250000000000002</v>
      </c>
      <c r="F7" s="95">
        <v>0.3354166666666667</v>
      </c>
      <c r="G7" s="95">
        <v>0.98402777777777783</v>
      </c>
      <c r="H7" s="95">
        <v>0.33402777777777781</v>
      </c>
      <c r="I7" s="95">
        <v>0.96597222222222223</v>
      </c>
      <c r="J7" s="95">
        <v>0.33680555555555558</v>
      </c>
      <c r="K7" s="96">
        <v>1</v>
      </c>
      <c r="L7" s="95">
        <v>0.33124999999999999</v>
      </c>
      <c r="M7" s="95">
        <v>0.9819444444444444</v>
      </c>
      <c r="N7" s="98" t="s">
        <v>15</v>
      </c>
      <c r="O7" s="98" t="s">
        <v>15</v>
      </c>
      <c r="P7" s="95">
        <v>0.33611111111111108</v>
      </c>
      <c r="Q7" s="95">
        <v>0.98541666666666661</v>
      </c>
      <c r="R7" s="95">
        <v>0.33402777777777781</v>
      </c>
      <c r="S7" s="96">
        <v>1</v>
      </c>
      <c r="T7" s="95">
        <v>0.33680555555555558</v>
      </c>
      <c r="U7" s="95">
        <v>0.99722222222222223</v>
      </c>
      <c r="V7" s="95">
        <v>0.3347222222222222</v>
      </c>
      <c r="W7" s="95">
        <v>0.97986111111111107</v>
      </c>
      <c r="X7" s="95">
        <v>0.33263888888888887</v>
      </c>
      <c r="Y7" s="95">
        <v>0.99097222222222225</v>
      </c>
      <c r="Z7" s="95">
        <v>0.33194444444444443</v>
      </c>
      <c r="AA7" s="95">
        <v>1.6666666666666666E-2</v>
      </c>
      <c r="AB7" s="97">
        <v>0.56111111111111112</v>
      </c>
      <c r="AC7" s="97">
        <v>1.4583333333333332E-2</v>
      </c>
      <c r="AD7" s="95">
        <v>0.33749999999999997</v>
      </c>
      <c r="AE7" s="96">
        <v>1</v>
      </c>
      <c r="AF7" s="95">
        <v>0.33611111111111108</v>
      </c>
      <c r="AG7" s="96">
        <v>1</v>
      </c>
      <c r="AI7" s="8">
        <v>3</v>
      </c>
      <c r="AJ7" s="95">
        <v>0.33749999999999997</v>
      </c>
      <c r="AK7" s="95">
        <v>3.3333333333333333E-2</v>
      </c>
      <c r="AL7" s="95">
        <v>0.33680555555555558</v>
      </c>
      <c r="AM7" s="95">
        <v>7.6388888888888895E-2</v>
      </c>
      <c r="AN7" s="95">
        <v>0.36041666666666666</v>
      </c>
      <c r="AO7" s="95">
        <v>6.3194444444444442E-2</v>
      </c>
      <c r="AP7" s="95">
        <v>0.36736111111111108</v>
      </c>
      <c r="AQ7" s="95">
        <v>5.2777777777777778E-2</v>
      </c>
      <c r="AR7" s="97">
        <v>0.56111111111111112</v>
      </c>
      <c r="AS7" s="97">
        <v>7.0833333333333331E-2</v>
      </c>
      <c r="AT7" s="95">
        <v>0.34652777777777777</v>
      </c>
      <c r="AU7" s="95">
        <v>2.6388888888888889E-2</v>
      </c>
      <c r="AV7" s="95">
        <v>0.35833333333333334</v>
      </c>
      <c r="AW7" s="96">
        <v>1</v>
      </c>
      <c r="AX7" s="95">
        <v>0.35625000000000001</v>
      </c>
      <c r="AY7" s="95">
        <v>5.9027777777777783E-2</v>
      </c>
      <c r="AZ7" s="95">
        <v>0.35902777777777778</v>
      </c>
      <c r="BA7" s="96">
        <v>1</v>
      </c>
      <c r="BB7" s="95">
        <v>0.35833333333333334</v>
      </c>
      <c r="BC7" s="96">
        <v>1</v>
      </c>
      <c r="BD7" s="95">
        <v>0.35694444444444445</v>
      </c>
      <c r="BE7" s="96">
        <v>1</v>
      </c>
      <c r="BF7" s="97">
        <v>0.5625</v>
      </c>
      <c r="BG7" s="97">
        <v>5.1388888888888894E-2</v>
      </c>
      <c r="BH7" s="95">
        <v>0.35902777777777778</v>
      </c>
      <c r="BI7" s="95">
        <v>4.7222222222222221E-2</v>
      </c>
      <c r="BJ7" s="81">
        <f t="shared" si="12"/>
        <v>28</v>
      </c>
      <c r="BK7" s="82">
        <v>3</v>
      </c>
      <c r="BL7" s="17">
        <f t="shared" si="13"/>
        <v>27</v>
      </c>
      <c r="BM7" s="18">
        <f t="shared" si="0"/>
        <v>1</v>
      </c>
      <c r="BN7" s="18">
        <f t="shared" si="1"/>
        <v>0</v>
      </c>
      <c r="BO7" s="18">
        <f t="shared" si="2"/>
        <v>0</v>
      </c>
      <c r="BP7" s="18">
        <f t="shared" si="3"/>
        <v>0</v>
      </c>
      <c r="BQ7" s="18">
        <f t="shared" si="4"/>
        <v>0</v>
      </c>
      <c r="BR7" s="18">
        <f t="shared" si="5"/>
        <v>0</v>
      </c>
      <c r="BS7" s="18">
        <f t="shared" si="6"/>
        <v>0</v>
      </c>
      <c r="BT7" s="18">
        <f t="shared" si="7"/>
        <v>0</v>
      </c>
      <c r="BU7" s="18">
        <f t="shared" si="8"/>
        <v>0</v>
      </c>
      <c r="BV7" s="18">
        <f t="shared" si="9"/>
        <v>0</v>
      </c>
      <c r="BW7" s="18">
        <f t="shared" si="10"/>
        <v>0</v>
      </c>
      <c r="BX7" s="3"/>
      <c r="CC7" s="90">
        <v>0</v>
      </c>
      <c r="CD7" s="90">
        <v>0</v>
      </c>
      <c r="CE7" s="90">
        <v>60</v>
      </c>
      <c r="CF7" s="90">
        <v>0</v>
      </c>
      <c r="CG7" s="90">
        <v>0</v>
      </c>
      <c r="CH7" s="90">
        <v>0</v>
      </c>
      <c r="CI7" s="90">
        <v>0</v>
      </c>
      <c r="CJ7" s="90">
        <v>0</v>
      </c>
      <c r="CK7" s="90">
        <v>0</v>
      </c>
      <c r="CL7" s="90">
        <v>0</v>
      </c>
      <c r="CM7" s="92">
        <f t="shared" si="11"/>
        <v>60</v>
      </c>
    </row>
    <row r="8" spans="1:91" ht="22.5" customHeight="1" x14ac:dyDescent="0.25">
      <c r="A8" s="8">
        <v>4</v>
      </c>
      <c r="B8" s="9" t="str">
        <f>'[1]Hulhumale Staffs_ Sep 2025'!B8</f>
        <v>MAD0457</v>
      </c>
      <c r="C8" s="78" t="s">
        <v>30</v>
      </c>
      <c r="D8" s="95">
        <v>0.35069444444444442</v>
      </c>
      <c r="E8" s="95">
        <v>0.92499999999999993</v>
      </c>
      <c r="F8" s="95">
        <v>0.3444444444444445</v>
      </c>
      <c r="G8" s="95">
        <v>0.90902777777777777</v>
      </c>
      <c r="H8" s="95">
        <v>0.3444444444444445</v>
      </c>
      <c r="I8" s="95">
        <v>0.95416666666666661</v>
      </c>
      <c r="J8" s="95">
        <v>0.35000000000000003</v>
      </c>
      <c r="K8" s="95">
        <v>0.97986111111111107</v>
      </c>
      <c r="L8" s="95">
        <v>0.35625000000000001</v>
      </c>
      <c r="M8" s="95">
        <v>5.5555555555555558E-3</v>
      </c>
      <c r="N8" s="97">
        <v>0.34930555555555554</v>
      </c>
      <c r="O8" s="97">
        <v>0.59166666666666667</v>
      </c>
      <c r="P8" s="95">
        <v>0.35347222222222219</v>
      </c>
      <c r="Q8" s="95">
        <v>0.93055555555555547</v>
      </c>
      <c r="R8" s="95">
        <v>0.28819444444444448</v>
      </c>
      <c r="S8" s="95">
        <v>0.91319444444444453</v>
      </c>
      <c r="T8" s="95">
        <v>0.34722222222222227</v>
      </c>
      <c r="U8" s="95">
        <v>0.93888888888888899</v>
      </c>
      <c r="V8" s="95">
        <v>0.35486111111111113</v>
      </c>
      <c r="W8" s="96">
        <v>1</v>
      </c>
      <c r="X8" s="95">
        <v>0.32708333333333334</v>
      </c>
      <c r="Y8" s="95">
        <v>0.96666666666666667</v>
      </c>
      <c r="Z8" s="95">
        <v>0.34166666666666662</v>
      </c>
      <c r="AA8" s="95">
        <v>0.92986111111111114</v>
      </c>
      <c r="AB8" s="97">
        <v>0.35833333333333334</v>
      </c>
      <c r="AC8" s="97">
        <v>0.91180555555555554</v>
      </c>
      <c r="AD8" s="95">
        <v>0.34027777777777773</v>
      </c>
      <c r="AE8" s="95">
        <v>0.93611111111111101</v>
      </c>
      <c r="AF8" s="95">
        <v>0.35694444444444445</v>
      </c>
      <c r="AG8" s="95">
        <v>0.93333333333333324</v>
      </c>
      <c r="AI8" s="8">
        <v>4</v>
      </c>
      <c r="AJ8" s="95">
        <v>0.34861111111111115</v>
      </c>
      <c r="AK8" s="95">
        <v>0.96250000000000002</v>
      </c>
      <c r="AL8" s="95">
        <v>0.35069444444444442</v>
      </c>
      <c r="AM8" s="95">
        <v>0.95208333333333339</v>
      </c>
      <c r="AN8" s="95">
        <v>0.37638888888888888</v>
      </c>
      <c r="AO8" s="95">
        <v>2.4999999999999998E-2</v>
      </c>
      <c r="AP8" s="95">
        <v>0.3520833333333333</v>
      </c>
      <c r="AQ8" s="95">
        <v>4.1666666666666664E-2</v>
      </c>
      <c r="AR8" s="97">
        <v>0.54652777777777783</v>
      </c>
      <c r="AS8" s="97">
        <v>1.9444444444444445E-2</v>
      </c>
      <c r="AT8" s="95">
        <v>0.37291666666666662</v>
      </c>
      <c r="AU8" s="95">
        <v>0.11458333333333333</v>
      </c>
      <c r="AV8" s="95">
        <v>0.40277777777777773</v>
      </c>
      <c r="AW8" s="95">
        <v>0.40486111111111112</v>
      </c>
      <c r="AX8" s="95">
        <v>0.36458333333333331</v>
      </c>
      <c r="AY8" s="95">
        <v>0.13125000000000001</v>
      </c>
      <c r="AZ8" s="95">
        <v>0.39027777777777778</v>
      </c>
      <c r="BA8" s="95">
        <v>5.9722222222222225E-2</v>
      </c>
      <c r="BB8" s="95">
        <v>0.37777777777777777</v>
      </c>
      <c r="BC8" s="95">
        <v>8.3333333333333332E-3</v>
      </c>
      <c r="BD8" s="95">
        <v>0.36249999999999999</v>
      </c>
      <c r="BE8" s="95">
        <v>2.7777777777777776E-2</v>
      </c>
      <c r="BF8" s="97">
        <v>0.44444444444444442</v>
      </c>
      <c r="BG8" s="97">
        <v>0.65</v>
      </c>
      <c r="BH8" s="95">
        <v>0.40347222222222223</v>
      </c>
      <c r="BI8" s="95">
        <v>2.5694444444444447E-2</v>
      </c>
      <c r="BJ8" s="81">
        <f t="shared" si="12"/>
        <v>28</v>
      </c>
      <c r="BK8" s="82">
        <v>6</v>
      </c>
      <c r="BL8" s="17">
        <f t="shared" si="13"/>
        <v>28</v>
      </c>
      <c r="BM8" s="18">
        <f t="shared" si="0"/>
        <v>0</v>
      </c>
      <c r="BN8" s="18">
        <f t="shared" si="1"/>
        <v>0</v>
      </c>
      <c r="BO8" s="18">
        <f t="shared" si="2"/>
        <v>0</v>
      </c>
      <c r="BP8" s="18">
        <f t="shared" si="3"/>
        <v>0</v>
      </c>
      <c r="BQ8" s="18">
        <f t="shared" si="4"/>
        <v>0</v>
      </c>
      <c r="BR8" s="18">
        <f t="shared" si="5"/>
        <v>0</v>
      </c>
      <c r="BS8" s="18">
        <f t="shared" si="6"/>
        <v>0</v>
      </c>
      <c r="BT8" s="18">
        <f t="shared" si="7"/>
        <v>0</v>
      </c>
      <c r="BU8" s="18">
        <f t="shared" si="8"/>
        <v>0</v>
      </c>
      <c r="BV8" s="18">
        <f t="shared" si="9"/>
        <v>0</v>
      </c>
      <c r="BW8" s="18">
        <f t="shared" si="10"/>
        <v>0</v>
      </c>
      <c r="BX8" s="105" t="s">
        <v>113</v>
      </c>
      <c r="CC8" s="89">
        <v>0</v>
      </c>
      <c r="CD8" s="89">
        <v>0</v>
      </c>
      <c r="CE8" s="89">
        <v>0</v>
      </c>
      <c r="CF8" s="89">
        <v>0</v>
      </c>
      <c r="CG8" s="89">
        <v>0</v>
      </c>
      <c r="CH8" s="89">
        <v>0</v>
      </c>
      <c r="CI8" s="89">
        <v>0</v>
      </c>
      <c r="CJ8" s="89">
        <v>0</v>
      </c>
      <c r="CK8" s="89">
        <v>0</v>
      </c>
      <c r="CL8" s="89">
        <v>0</v>
      </c>
      <c r="CM8" s="93">
        <f t="shared" si="11"/>
        <v>0</v>
      </c>
    </row>
    <row r="9" spans="1:91" ht="22.5" customHeight="1" x14ac:dyDescent="0.25">
      <c r="A9" s="8">
        <v>5</v>
      </c>
      <c r="B9" s="9" t="s">
        <v>38</v>
      </c>
      <c r="C9" s="78" t="s">
        <v>39</v>
      </c>
      <c r="D9" s="107" t="s">
        <v>114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9"/>
      <c r="AI9" s="8">
        <v>5</v>
      </c>
      <c r="AJ9" s="115" t="s">
        <v>114</v>
      </c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7"/>
      <c r="BB9" s="95">
        <v>0.35902777777777778</v>
      </c>
      <c r="BC9" s="95">
        <v>0.87986111111111109</v>
      </c>
      <c r="BD9" s="95">
        <v>0.3611111111111111</v>
      </c>
      <c r="BE9" s="95">
        <v>0.9277777777777777</v>
      </c>
      <c r="BF9" s="97">
        <v>0.57430555555555551</v>
      </c>
      <c r="BG9" s="97">
        <v>0.87708333333333333</v>
      </c>
      <c r="BH9" s="95">
        <v>0.36180555555555555</v>
      </c>
      <c r="BI9" s="95">
        <v>0.91180555555555554</v>
      </c>
      <c r="BJ9" s="81">
        <f t="shared" si="12"/>
        <v>4</v>
      </c>
      <c r="BK9" s="82">
        <v>1</v>
      </c>
      <c r="BL9" s="17">
        <f>COUNT(D9:AG9)/2+COUNT(AJ9:BI9)/2</f>
        <v>4</v>
      </c>
      <c r="BM9" s="18">
        <f t="shared" ref="BM9" si="14">COUNTIF(B9:BI9,"OFF")/2</f>
        <v>0</v>
      </c>
      <c r="BN9" s="18">
        <f t="shared" ref="BN9" si="15">COUNTIF(B9:BI9,"MC")/2</f>
        <v>0</v>
      </c>
      <c r="BO9" s="18">
        <f t="shared" ref="BO9" si="16">COUNTIF(B9:BI9,"EL")/2</f>
        <v>0</v>
      </c>
      <c r="BP9" s="18">
        <f t="shared" ref="BP9" si="17">COUNTIF(B9:BI9,"AL")/2</f>
        <v>0</v>
      </c>
      <c r="BQ9" s="18">
        <f t="shared" ref="BQ9" si="18">COUNTIF(B9:BI9,"SUS")/2</f>
        <v>0</v>
      </c>
      <c r="BR9" s="18">
        <f t="shared" ref="BR9" si="19">COUNTIF(B9:BI9,"FL")/2</f>
        <v>0</v>
      </c>
      <c r="BS9" s="18">
        <f t="shared" ref="BS9" si="20">COUNTIF(B9:BI9,"SICK")/2</f>
        <v>0</v>
      </c>
      <c r="BT9" s="18">
        <f t="shared" ref="BT9" si="21">COUNTIF(B9:BI9,"HD")/2</f>
        <v>0</v>
      </c>
      <c r="BU9" s="18">
        <f t="shared" ref="BU9" si="22">COUNTIF(B9:BI9,"AB")/2</f>
        <v>0</v>
      </c>
      <c r="BV9" s="18">
        <f t="shared" ref="BV9" si="23">COUNTIF(B9:BI9,"NL")/2</f>
        <v>0</v>
      </c>
      <c r="BW9" s="18">
        <f t="shared" ref="BW9" si="24">COUNTIF(B9:BI9,"SP")/2</f>
        <v>0</v>
      </c>
      <c r="BX9" s="19"/>
      <c r="CC9" s="89">
        <v>0</v>
      </c>
      <c r="CD9" s="89">
        <v>0</v>
      </c>
      <c r="CE9" s="89">
        <v>0</v>
      </c>
      <c r="CF9" s="89">
        <v>0</v>
      </c>
      <c r="CG9" s="89">
        <v>0</v>
      </c>
      <c r="CH9" s="89">
        <v>0</v>
      </c>
      <c r="CI9" s="89">
        <v>0</v>
      </c>
      <c r="CJ9" s="89">
        <v>0</v>
      </c>
      <c r="CK9" s="89">
        <v>0</v>
      </c>
      <c r="CL9" s="89">
        <v>0</v>
      </c>
      <c r="CM9" s="93">
        <f t="shared" ref="CM9" si="25">SUM(CC9:CL9)</f>
        <v>0</v>
      </c>
    </row>
    <row r="10" spans="1:91" ht="22.5" customHeight="1" x14ac:dyDescent="0.25">
      <c r="A10" s="8">
        <v>6</v>
      </c>
      <c r="B10" s="9" t="str">
        <f>'[1]Hulhumale Staffs_ Sep 2025'!B9</f>
        <v>MAD0569</v>
      </c>
      <c r="C10" s="78" t="s">
        <v>31</v>
      </c>
      <c r="D10" s="95">
        <v>0.3444444444444445</v>
      </c>
      <c r="E10" s="95">
        <v>0.87916666666666676</v>
      </c>
      <c r="F10" s="95">
        <v>0.32222222222222224</v>
      </c>
      <c r="G10" s="95">
        <v>0.88888888888888884</v>
      </c>
      <c r="H10" s="95">
        <v>0.31736111111111115</v>
      </c>
      <c r="I10" s="95">
        <v>0.89930555555555547</v>
      </c>
      <c r="J10" s="95">
        <v>0.3298611111111111</v>
      </c>
      <c r="K10" s="95">
        <v>0.89722222222222225</v>
      </c>
      <c r="L10" s="95">
        <v>0.32083333333333336</v>
      </c>
      <c r="M10" s="95">
        <v>0.89583333333333337</v>
      </c>
      <c r="N10" s="97">
        <v>0.29791666666666666</v>
      </c>
      <c r="O10" s="97">
        <v>0.88958333333333339</v>
      </c>
      <c r="P10" s="95">
        <v>0.3298611111111111</v>
      </c>
      <c r="Q10" s="95">
        <v>0.88194444444444453</v>
      </c>
      <c r="R10" s="95">
        <v>0.32569444444444445</v>
      </c>
      <c r="S10" s="95">
        <v>0.88750000000000007</v>
      </c>
      <c r="T10" s="95">
        <v>0.32500000000000001</v>
      </c>
      <c r="U10" s="95">
        <v>0.97499999999999998</v>
      </c>
      <c r="V10" s="95">
        <v>0.34583333333333338</v>
      </c>
      <c r="W10" s="95">
        <v>0.86875000000000002</v>
      </c>
      <c r="X10" s="95">
        <v>0.32777777777777778</v>
      </c>
      <c r="Y10" s="95">
        <v>0.87361111111111101</v>
      </c>
      <c r="Z10" s="95">
        <v>0.31666666666666665</v>
      </c>
      <c r="AA10" s="95">
        <v>0.87430555555555556</v>
      </c>
      <c r="AB10" s="97">
        <v>0.58124999999999993</v>
      </c>
      <c r="AC10" s="97">
        <v>0.87222222222222223</v>
      </c>
      <c r="AD10" s="95">
        <v>0.32777777777777778</v>
      </c>
      <c r="AE10" s="95">
        <v>0.93194444444444446</v>
      </c>
      <c r="AF10" s="95">
        <v>0.32569444444444445</v>
      </c>
      <c r="AG10" s="95">
        <v>0.88402777777777775</v>
      </c>
      <c r="AI10" s="8">
        <v>6</v>
      </c>
      <c r="AJ10" s="95">
        <v>0.31875000000000003</v>
      </c>
      <c r="AK10" s="95">
        <v>0.87083333333333324</v>
      </c>
      <c r="AL10" s="95">
        <v>0.3263888888888889</v>
      </c>
      <c r="AM10" s="95">
        <v>0.8847222222222223</v>
      </c>
      <c r="AN10" s="95">
        <v>0.3354166666666667</v>
      </c>
      <c r="AO10" s="95">
        <v>1.7361111111111112E-2</v>
      </c>
      <c r="AP10" s="95">
        <v>0.34652777777777777</v>
      </c>
      <c r="AQ10" s="95">
        <v>0.99722222222222223</v>
      </c>
      <c r="AR10" s="97">
        <v>0.35138888888888892</v>
      </c>
      <c r="AS10" s="97">
        <v>2.0833333333333333E-3</v>
      </c>
      <c r="AT10" s="95">
        <v>0.33055555555555555</v>
      </c>
      <c r="AU10" s="95">
        <v>2.7777777777777779E-3</v>
      </c>
      <c r="AV10" s="95">
        <v>0.3520833333333333</v>
      </c>
      <c r="AW10" s="95">
        <v>0.99305555555555547</v>
      </c>
      <c r="AX10" s="95">
        <v>0.33749999999999997</v>
      </c>
      <c r="AY10" s="95">
        <v>0.11458333333333333</v>
      </c>
      <c r="AZ10" s="95">
        <v>0.3444444444444445</v>
      </c>
      <c r="BA10" s="95">
        <v>0.99305555555555547</v>
      </c>
      <c r="BB10" s="95">
        <v>0.3347222222222222</v>
      </c>
      <c r="BC10" s="95">
        <v>4.1666666666666666E-3</v>
      </c>
      <c r="BD10" s="95">
        <v>0.3347222222222222</v>
      </c>
      <c r="BE10" s="95">
        <v>0.98819444444444438</v>
      </c>
      <c r="BF10" s="97">
        <v>0.57708333333333328</v>
      </c>
      <c r="BG10" s="97">
        <v>0.99444444444444446</v>
      </c>
      <c r="BH10" s="95">
        <v>0.33055555555555555</v>
      </c>
      <c r="BI10" s="95">
        <v>6.9444444444444447E-4</v>
      </c>
      <c r="BJ10" s="81">
        <f t="shared" si="12"/>
        <v>28</v>
      </c>
      <c r="BK10" s="82">
        <v>4</v>
      </c>
      <c r="BL10" s="17">
        <f t="shared" si="13"/>
        <v>28</v>
      </c>
      <c r="BM10" s="18">
        <f t="shared" si="0"/>
        <v>0</v>
      </c>
      <c r="BN10" s="18">
        <f t="shared" si="1"/>
        <v>0</v>
      </c>
      <c r="BO10" s="18">
        <f t="shared" si="2"/>
        <v>0</v>
      </c>
      <c r="BP10" s="18">
        <f t="shared" si="3"/>
        <v>0</v>
      </c>
      <c r="BQ10" s="18">
        <f t="shared" si="4"/>
        <v>0</v>
      </c>
      <c r="BR10" s="18">
        <f t="shared" si="5"/>
        <v>0</v>
      </c>
      <c r="BS10" s="18">
        <f t="shared" si="6"/>
        <v>0</v>
      </c>
      <c r="BT10" s="18">
        <f t="shared" si="7"/>
        <v>0</v>
      </c>
      <c r="BU10" s="18">
        <f t="shared" si="8"/>
        <v>0</v>
      </c>
      <c r="BV10" s="18">
        <f t="shared" si="9"/>
        <v>0</v>
      </c>
      <c r="BW10" s="18">
        <f t="shared" si="10"/>
        <v>0</v>
      </c>
      <c r="BX10" s="19"/>
      <c r="CC10" s="90">
        <v>0</v>
      </c>
      <c r="CD10" s="90">
        <v>0</v>
      </c>
      <c r="CE10" s="90">
        <v>0</v>
      </c>
      <c r="CF10" s="90">
        <v>0</v>
      </c>
      <c r="CG10" s="90">
        <v>0</v>
      </c>
      <c r="CH10" s="90">
        <v>0</v>
      </c>
      <c r="CI10" s="90">
        <v>0</v>
      </c>
      <c r="CJ10" s="90">
        <v>0</v>
      </c>
      <c r="CK10" s="90">
        <v>0</v>
      </c>
      <c r="CL10" s="90">
        <v>0</v>
      </c>
      <c r="CM10" s="92">
        <f t="shared" si="11"/>
        <v>0</v>
      </c>
    </row>
    <row r="11" spans="1:91" ht="22.5" customHeight="1" x14ac:dyDescent="0.25">
      <c r="A11" s="8">
        <v>7</v>
      </c>
      <c r="B11" s="9" t="str">
        <f>'[1]Hulhumale Staffs_ Sep 2025'!B11</f>
        <v>MAD0699</v>
      </c>
      <c r="C11" s="78" t="s">
        <v>32</v>
      </c>
      <c r="D11" s="95">
        <v>0.33819444444444446</v>
      </c>
      <c r="E11" s="95">
        <v>1.3194444444444444E-2</v>
      </c>
      <c r="F11" s="95">
        <v>0.34861111111111115</v>
      </c>
      <c r="G11" s="96">
        <v>1</v>
      </c>
      <c r="H11" s="95">
        <v>0.34027777777777773</v>
      </c>
      <c r="I11" s="96">
        <v>1</v>
      </c>
      <c r="J11" s="95">
        <v>0.34930555555555554</v>
      </c>
      <c r="K11" s="95">
        <v>0.9819444444444444</v>
      </c>
      <c r="L11" s="95">
        <v>0.34930555555555554</v>
      </c>
      <c r="M11" s="95">
        <v>0.97499999999999998</v>
      </c>
      <c r="N11" s="97">
        <v>0.5805555555555556</v>
      </c>
      <c r="O11" s="98">
        <v>1</v>
      </c>
      <c r="P11" s="95">
        <v>0.3430555555555555</v>
      </c>
      <c r="Q11" s="95">
        <v>3.5416666666666666E-2</v>
      </c>
      <c r="R11" s="95">
        <v>0.33611111111111108</v>
      </c>
      <c r="S11" s="95">
        <v>0.97361111111111109</v>
      </c>
      <c r="T11" s="95">
        <v>0.34791666666666665</v>
      </c>
      <c r="U11" s="96">
        <v>1</v>
      </c>
      <c r="V11" s="95">
        <v>0.34861111111111115</v>
      </c>
      <c r="W11" s="96">
        <v>1</v>
      </c>
      <c r="X11" s="95">
        <v>0.33680555555555558</v>
      </c>
      <c r="Y11" s="95">
        <v>3.472222222222222E-3</v>
      </c>
      <c r="Z11" s="95">
        <v>0.34791666666666665</v>
      </c>
      <c r="AA11" s="96">
        <v>1</v>
      </c>
      <c r="AB11" s="97">
        <v>0.56874999999999998</v>
      </c>
      <c r="AC11" s="97">
        <v>1.3888888888888889E-3</v>
      </c>
      <c r="AD11" s="95">
        <v>0.34652777777777777</v>
      </c>
      <c r="AE11" s="96">
        <v>1</v>
      </c>
      <c r="AF11" s="95">
        <v>0.34722222222222227</v>
      </c>
      <c r="AG11" s="96">
        <v>1</v>
      </c>
      <c r="AH11" s="101"/>
      <c r="AI11" s="8">
        <v>7</v>
      </c>
      <c r="AJ11" s="95">
        <v>0.34513888888888888</v>
      </c>
      <c r="AK11" s="95">
        <v>3.7499999999999999E-2</v>
      </c>
      <c r="AL11" s="95">
        <v>0.34583333333333338</v>
      </c>
      <c r="AM11" s="96">
        <v>1</v>
      </c>
      <c r="AN11" s="95">
        <v>0.34722222222222227</v>
      </c>
      <c r="AO11" s="95">
        <v>2.8472222222222222E-2</v>
      </c>
      <c r="AP11" s="95">
        <v>0.36388888888888887</v>
      </c>
      <c r="AQ11" s="96">
        <v>1</v>
      </c>
      <c r="AR11" s="97">
        <v>0.56805555555555554</v>
      </c>
      <c r="AS11" s="97">
        <v>4.9305555555555554E-2</v>
      </c>
      <c r="AT11" s="95">
        <v>0.36249999999999999</v>
      </c>
      <c r="AU11" s="95">
        <v>0.12569444444444444</v>
      </c>
      <c r="AV11" s="95">
        <v>0.3659722222222222</v>
      </c>
      <c r="AW11" s="96">
        <v>1</v>
      </c>
      <c r="AX11" s="95">
        <v>0.36180555555555555</v>
      </c>
      <c r="AY11" s="96">
        <v>1</v>
      </c>
      <c r="AZ11" s="95">
        <v>0.3444444444444445</v>
      </c>
      <c r="BA11" s="96">
        <v>1</v>
      </c>
      <c r="BB11" s="95">
        <v>0.3666666666666667</v>
      </c>
      <c r="BC11" s="96">
        <v>1</v>
      </c>
      <c r="BD11" s="95">
        <v>0.35972222222222222</v>
      </c>
      <c r="BE11" s="96">
        <v>1</v>
      </c>
      <c r="BF11" s="97">
        <v>0.57222222222222219</v>
      </c>
      <c r="BG11" s="97">
        <v>1.6666666666666666E-2</v>
      </c>
      <c r="BH11" s="95">
        <v>0.36874999999999997</v>
      </c>
      <c r="BI11" s="95">
        <v>7.013888888888889E-2</v>
      </c>
      <c r="BJ11" s="81">
        <f t="shared" si="12"/>
        <v>28</v>
      </c>
      <c r="BK11" s="82">
        <v>4</v>
      </c>
      <c r="BL11" s="17">
        <f t="shared" si="13"/>
        <v>28</v>
      </c>
      <c r="BM11" s="18">
        <f t="shared" si="0"/>
        <v>0</v>
      </c>
      <c r="BN11" s="18">
        <f t="shared" si="1"/>
        <v>0</v>
      </c>
      <c r="BO11" s="18">
        <f t="shared" si="2"/>
        <v>0</v>
      </c>
      <c r="BP11" s="18">
        <f t="shared" si="3"/>
        <v>0</v>
      </c>
      <c r="BQ11" s="18">
        <f t="shared" si="4"/>
        <v>0</v>
      </c>
      <c r="BR11" s="18">
        <f t="shared" si="5"/>
        <v>0</v>
      </c>
      <c r="BS11" s="18">
        <f t="shared" si="6"/>
        <v>0</v>
      </c>
      <c r="BT11" s="18">
        <f t="shared" si="7"/>
        <v>0</v>
      </c>
      <c r="BU11" s="18">
        <f t="shared" si="8"/>
        <v>0</v>
      </c>
      <c r="BV11" s="18">
        <f t="shared" si="9"/>
        <v>0</v>
      </c>
      <c r="BW11" s="18">
        <f t="shared" si="10"/>
        <v>0</v>
      </c>
      <c r="BX11" s="19"/>
      <c r="CC11" s="89">
        <v>0</v>
      </c>
      <c r="CD11" s="89">
        <v>0</v>
      </c>
      <c r="CE11" s="89">
        <v>0</v>
      </c>
      <c r="CF11" s="89">
        <v>0</v>
      </c>
      <c r="CG11" s="89">
        <v>0</v>
      </c>
      <c r="CH11" s="89">
        <v>2</v>
      </c>
      <c r="CI11" s="89">
        <v>0</v>
      </c>
      <c r="CJ11" s="89">
        <v>0</v>
      </c>
      <c r="CK11" s="89">
        <v>0</v>
      </c>
      <c r="CL11" s="89">
        <v>0</v>
      </c>
      <c r="CM11" s="93">
        <f t="shared" ref="CM11" si="26">SUM(CC11:CL11)</f>
        <v>2</v>
      </c>
    </row>
    <row r="12" spans="1:91" x14ac:dyDescent="0.25">
      <c r="A12" s="10"/>
      <c r="B12" s="2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71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6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</row>
    <row r="13" spans="1:91" x14ac:dyDescent="0.25">
      <c r="A13" s="10"/>
      <c r="B13" s="2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72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</row>
    <row r="14" spans="1:91" ht="24" customHeight="1" x14ac:dyDescent="0.25">
      <c r="A14" s="118" t="s">
        <v>104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20"/>
      <c r="AH14" s="73"/>
      <c r="AI14" s="121" t="s">
        <v>104</v>
      </c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</row>
    <row r="15" spans="1:91" ht="18.75" customHeight="1" x14ac:dyDescent="0.25">
      <c r="A15" s="123" t="s">
        <v>33</v>
      </c>
      <c r="B15" s="124"/>
      <c r="C15" s="125"/>
      <c r="D15" s="114" t="s">
        <v>5</v>
      </c>
      <c r="E15" s="114"/>
      <c r="F15" s="114" t="s">
        <v>6</v>
      </c>
      <c r="G15" s="114"/>
      <c r="H15" s="114" t="s">
        <v>7</v>
      </c>
      <c r="I15" s="114"/>
      <c r="J15" s="114" t="s">
        <v>1</v>
      </c>
      <c r="K15" s="114"/>
      <c r="L15" s="114" t="s">
        <v>2</v>
      </c>
      <c r="M15" s="114"/>
      <c r="N15" s="114" t="s">
        <v>3</v>
      </c>
      <c r="O15" s="114"/>
      <c r="P15" s="114" t="s">
        <v>4</v>
      </c>
      <c r="Q15" s="114"/>
      <c r="R15" s="114" t="s">
        <v>5</v>
      </c>
      <c r="S15" s="114"/>
      <c r="T15" s="114" t="s">
        <v>6</v>
      </c>
      <c r="U15" s="114"/>
      <c r="V15" s="114" t="s">
        <v>7</v>
      </c>
      <c r="W15" s="114"/>
      <c r="X15" s="114" t="s">
        <v>1</v>
      </c>
      <c r="Y15" s="114"/>
      <c r="Z15" s="114" t="s">
        <v>2</v>
      </c>
      <c r="AA15" s="114"/>
      <c r="AB15" s="114" t="s">
        <v>3</v>
      </c>
      <c r="AC15" s="114"/>
      <c r="AD15" s="114" t="s">
        <v>4</v>
      </c>
      <c r="AE15" s="114"/>
      <c r="AF15" s="114" t="s">
        <v>5</v>
      </c>
      <c r="AG15" s="114"/>
      <c r="AH15" s="74"/>
      <c r="AI15" s="35"/>
      <c r="AJ15" s="114" t="s">
        <v>6</v>
      </c>
      <c r="AK15" s="114"/>
      <c r="AL15" s="114" t="s">
        <v>7</v>
      </c>
      <c r="AM15" s="114"/>
      <c r="AN15" s="114" t="s">
        <v>1</v>
      </c>
      <c r="AO15" s="114"/>
      <c r="AP15" s="114" t="s">
        <v>2</v>
      </c>
      <c r="AQ15" s="114"/>
      <c r="AR15" s="114" t="s">
        <v>3</v>
      </c>
      <c r="AS15" s="114"/>
      <c r="AT15" s="114" t="s">
        <v>4</v>
      </c>
      <c r="AU15" s="114"/>
      <c r="AV15" s="114" t="s">
        <v>5</v>
      </c>
      <c r="AW15" s="114"/>
      <c r="AX15" s="114" t="s">
        <v>6</v>
      </c>
      <c r="AY15" s="114"/>
      <c r="AZ15" s="114" t="s">
        <v>7</v>
      </c>
      <c r="BA15" s="114"/>
      <c r="BB15" s="114" t="s">
        <v>1</v>
      </c>
      <c r="BC15" s="114"/>
      <c r="BD15" s="114" t="s">
        <v>2</v>
      </c>
      <c r="BE15" s="114"/>
      <c r="BF15" s="114" t="s">
        <v>3</v>
      </c>
      <c r="BG15" s="114"/>
      <c r="BH15" s="114" t="s">
        <v>4</v>
      </c>
      <c r="BI15" s="114"/>
      <c r="BJ15" s="122" t="s">
        <v>8</v>
      </c>
      <c r="BK15" s="122" t="s">
        <v>9</v>
      </c>
      <c r="BL15" s="15"/>
      <c r="BM15" s="15"/>
      <c r="BN15" s="15"/>
      <c r="BO15" s="15"/>
      <c r="BP15" s="15"/>
      <c r="BQ15" s="15"/>
      <c r="BR15" s="15"/>
      <c r="BS15" s="15"/>
      <c r="BT15" s="33"/>
      <c r="BU15" s="33"/>
      <c r="BV15" s="15"/>
      <c r="BW15" s="34"/>
      <c r="BX15" s="34"/>
      <c r="CC15" s="131" t="s">
        <v>94</v>
      </c>
      <c r="CD15" s="131"/>
      <c r="CE15" s="131"/>
      <c r="CF15" s="131"/>
      <c r="CG15" s="131"/>
      <c r="CH15" s="131"/>
      <c r="CI15" s="131"/>
      <c r="CJ15" s="131"/>
      <c r="CK15" s="131"/>
      <c r="CL15" s="131"/>
      <c r="CM15" s="21"/>
    </row>
    <row r="16" spans="1:91" ht="18.75" customHeight="1" x14ac:dyDescent="0.25">
      <c r="A16" s="126"/>
      <c r="B16" s="127"/>
      <c r="C16" s="128"/>
      <c r="D16" s="113">
        <v>46054</v>
      </c>
      <c r="E16" s="113"/>
      <c r="F16" s="113">
        <v>46055</v>
      </c>
      <c r="G16" s="113"/>
      <c r="H16" s="113">
        <v>46056</v>
      </c>
      <c r="I16" s="113"/>
      <c r="J16" s="113">
        <v>46057</v>
      </c>
      <c r="K16" s="113"/>
      <c r="L16" s="113">
        <v>46058</v>
      </c>
      <c r="M16" s="113"/>
      <c r="N16" s="113">
        <v>46059</v>
      </c>
      <c r="O16" s="113"/>
      <c r="P16" s="113">
        <v>46060</v>
      </c>
      <c r="Q16" s="113"/>
      <c r="R16" s="113">
        <v>46061</v>
      </c>
      <c r="S16" s="113"/>
      <c r="T16" s="113">
        <v>46062</v>
      </c>
      <c r="U16" s="113"/>
      <c r="V16" s="113">
        <v>46063</v>
      </c>
      <c r="W16" s="113"/>
      <c r="X16" s="113">
        <v>46064</v>
      </c>
      <c r="Y16" s="113"/>
      <c r="Z16" s="113">
        <v>46065</v>
      </c>
      <c r="AA16" s="113"/>
      <c r="AB16" s="113">
        <v>46066</v>
      </c>
      <c r="AC16" s="113"/>
      <c r="AD16" s="113">
        <v>46067</v>
      </c>
      <c r="AE16" s="113"/>
      <c r="AF16" s="113">
        <v>46068</v>
      </c>
      <c r="AG16" s="113"/>
      <c r="AH16" s="74"/>
      <c r="AI16" s="68"/>
      <c r="AJ16" s="113">
        <v>46069</v>
      </c>
      <c r="AK16" s="113"/>
      <c r="AL16" s="113">
        <v>46070</v>
      </c>
      <c r="AM16" s="113"/>
      <c r="AN16" s="113">
        <v>46071</v>
      </c>
      <c r="AO16" s="113"/>
      <c r="AP16" s="113">
        <v>46072</v>
      </c>
      <c r="AQ16" s="113"/>
      <c r="AR16" s="113">
        <v>46073</v>
      </c>
      <c r="AS16" s="113"/>
      <c r="AT16" s="113">
        <v>46074</v>
      </c>
      <c r="AU16" s="113"/>
      <c r="AV16" s="113">
        <v>46075</v>
      </c>
      <c r="AW16" s="113"/>
      <c r="AX16" s="113">
        <v>46076</v>
      </c>
      <c r="AY16" s="113"/>
      <c r="AZ16" s="113">
        <v>46077</v>
      </c>
      <c r="BA16" s="113"/>
      <c r="BB16" s="113">
        <v>46078</v>
      </c>
      <c r="BC16" s="113"/>
      <c r="BD16" s="113">
        <v>46079</v>
      </c>
      <c r="BE16" s="113"/>
      <c r="BF16" s="113">
        <v>46080</v>
      </c>
      <c r="BG16" s="113"/>
      <c r="BH16" s="113">
        <v>46081</v>
      </c>
      <c r="BI16" s="113"/>
      <c r="BJ16" s="122"/>
      <c r="BK16" s="12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CC16" s="84" t="s">
        <v>95</v>
      </c>
      <c r="CD16" s="84"/>
      <c r="CE16" s="84"/>
      <c r="CF16" s="84"/>
      <c r="CG16" s="84"/>
      <c r="CH16" s="84"/>
      <c r="CI16" s="84"/>
      <c r="CJ16" s="84"/>
      <c r="CK16" s="84"/>
      <c r="CL16" s="84"/>
      <c r="CM16" s="21"/>
    </row>
    <row r="17" spans="1:91" ht="18.75" customHeight="1" x14ac:dyDescent="0.25">
      <c r="A17" s="5" t="s">
        <v>10</v>
      </c>
      <c r="B17" s="5" t="s">
        <v>11</v>
      </c>
      <c r="C17" s="5" t="s">
        <v>12</v>
      </c>
      <c r="D17" s="80" t="s">
        <v>13</v>
      </c>
      <c r="E17" s="80" t="s">
        <v>14</v>
      </c>
      <c r="F17" s="80" t="s">
        <v>13</v>
      </c>
      <c r="G17" s="80" t="s">
        <v>14</v>
      </c>
      <c r="H17" s="80" t="s">
        <v>13</v>
      </c>
      <c r="I17" s="80" t="s">
        <v>14</v>
      </c>
      <c r="J17" s="80" t="s">
        <v>13</v>
      </c>
      <c r="K17" s="80" t="s">
        <v>14</v>
      </c>
      <c r="L17" s="80" t="s">
        <v>13</v>
      </c>
      <c r="M17" s="80" t="s">
        <v>14</v>
      </c>
      <c r="N17" s="80" t="s">
        <v>13</v>
      </c>
      <c r="O17" s="80" t="s">
        <v>14</v>
      </c>
      <c r="P17" s="13" t="s">
        <v>13</v>
      </c>
      <c r="Q17" s="13" t="s">
        <v>14</v>
      </c>
      <c r="R17" s="13" t="s">
        <v>13</v>
      </c>
      <c r="S17" s="13" t="s">
        <v>14</v>
      </c>
      <c r="T17" s="13" t="s">
        <v>13</v>
      </c>
      <c r="U17" s="13" t="s">
        <v>14</v>
      </c>
      <c r="V17" s="13" t="s">
        <v>13</v>
      </c>
      <c r="W17" s="13" t="s">
        <v>14</v>
      </c>
      <c r="X17" s="13" t="s">
        <v>13</v>
      </c>
      <c r="Y17" s="13" t="s">
        <v>14</v>
      </c>
      <c r="Z17" s="13" t="s">
        <v>13</v>
      </c>
      <c r="AA17" s="13" t="s">
        <v>14</v>
      </c>
      <c r="AB17" s="13" t="s">
        <v>13</v>
      </c>
      <c r="AC17" s="13" t="s">
        <v>14</v>
      </c>
      <c r="AD17" s="13" t="s">
        <v>13</v>
      </c>
      <c r="AE17" s="13" t="s">
        <v>14</v>
      </c>
      <c r="AF17" s="13" t="s">
        <v>13</v>
      </c>
      <c r="AG17" s="1" t="s">
        <v>14</v>
      </c>
      <c r="AH17" s="75"/>
      <c r="AI17" s="35"/>
      <c r="AJ17" s="13" t="s">
        <v>13</v>
      </c>
      <c r="AK17" s="13" t="s">
        <v>14</v>
      </c>
      <c r="AL17" s="13" t="s">
        <v>13</v>
      </c>
      <c r="AM17" s="13" t="s">
        <v>14</v>
      </c>
      <c r="AN17" s="13" t="s">
        <v>13</v>
      </c>
      <c r="AO17" s="13" t="s">
        <v>14</v>
      </c>
      <c r="AP17" s="13" t="s">
        <v>13</v>
      </c>
      <c r="AQ17" s="13" t="s">
        <v>14</v>
      </c>
      <c r="AR17" s="13" t="s">
        <v>13</v>
      </c>
      <c r="AS17" s="13" t="s">
        <v>14</v>
      </c>
      <c r="AT17" s="13" t="s">
        <v>13</v>
      </c>
      <c r="AU17" s="13" t="s">
        <v>14</v>
      </c>
      <c r="AV17" s="13" t="s">
        <v>13</v>
      </c>
      <c r="AW17" s="13" t="s">
        <v>14</v>
      </c>
      <c r="AX17" s="13" t="s">
        <v>13</v>
      </c>
      <c r="AY17" s="13" t="s">
        <v>14</v>
      </c>
      <c r="AZ17" s="13" t="s">
        <v>13</v>
      </c>
      <c r="BA17" s="13" t="s">
        <v>14</v>
      </c>
      <c r="BB17" s="13" t="s">
        <v>13</v>
      </c>
      <c r="BC17" s="13" t="s">
        <v>14</v>
      </c>
      <c r="BD17" s="13" t="s">
        <v>13</v>
      </c>
      <c r="BE17" s="13" t="s">
        <v>14</v>
      </c>
      <c r="BF17" s="13" t="s">
        <v>13</v>
      </c>
      <c r="BG17" s="13" t="s">
        <v>14</v>
      </c>
      <c r="BH17" s="13" t="s">
        <v>13</v>
      </c>
      <c r="BI17" s="13" t="s">
        <v>14</v>
      </c>
      <c r="BJ17" s="122"/>
      <c r="BK17" s="122"/>
      <c r="BL17" s="14"/>
      <c r="BM17" s="65" t="s">
        <v>15</v>
      </c>
      <c r="BN17" s="65" t="s">
        <v>16</v>
      </c>
      <c r="BO17" s="65" t="s">
        <v>17</v>
      </c>
      <c r="BP17" s="65" t="s">
        <v>18</v>
      </c>
      <c r="BQ17" s="65" t="s">
        <v>19</v>
      </c>
      <c r="BR17" s="65" t="s">
        <v>20</v>
      </c>
      <c r="BS17" s="65" t="s">
        <v>21</v>
      </c>
      <c r="BT17" s="65" t="s">
        <v>22</v>
      </c>
      <c r="BU17" s="65" t="s">
        <v>23</v>
      </c>
      <c r="BV17" s="65" t="s">
        <v>24</v>
      </c>
      <c r="BW17" s="65" t="s">
        <v>25</v>
      </c>
      <c r="BX17" s="15" t="s">
        <v>26</v>
      </c>
      <c r="CC17" s="94" t="s">
        <v>16</v>
      </c>
      <c r="CD17" s="94" t="s">
        <v>17</v>
      </c>
      <c r="CE17" s="94" t="s">
        <v>18</v>
      </c>
      <c r="CF17" s="94" t="s">
        <v>19</v>
      </c>
      <c r="CG17" s="94" t="s">
        <v>20</v>
      </c>
      <c r="CH17" s="94" t="s">
        <v>21</v>
      </c>
      <c r="CI17" s="94" t="s">
        <v>22</v>
      </c>
      <c r="CJ17" s="94" t="s">
        <v>23</v>
      </c>
      <c r="CK17" s="94" t="s">
        <v>24</v>
      </c>
      <c r="CL17" s="94" t="s">
        <v>25</v>
      </c>
      <c r="CM17" s="94" t="s">
        <v>96</v>
      </c>
    </row>
    <row r="18" spans="1:91" ht="22.5" customHeight="1" x14ac:dyDescent="0.25">
      <c r="A18" s="8">
        <v>8</v>
      </c>
      <c r="B18" s="9" t="s">
        <v>34</v>
      </c>
      <c r="C18" s="78" t="s">
        <v>35</v>
      </c>
      <c r="D18" s="95">
        <v>0.34861111111111115</v>
      </c>
      <c r="E18" s="96">
        <v>1</v>
      </c>
      <c r="F18" s="95">
        <v>0.35625000000000001</v>
      </c>
      <c r="G18" s="96">
        <v>1</v>
      </c>
      <c r="H18" s="95">
        <v>0.35138888888888892</v>
      </c>
      <c r="I18" s="96">
        <v>1</v>
      </c>
      <c r="J18" s="95">
        <v>0.35347222222222219</v>
      </c>
      <c r="K18" s="96">
        <v>1</v>
      </c>
      <c r="L18" s="95">
        <v>0.35347222222222219</v>
      </c>
      <c r="M18" s="96">
        <v>1</v>
      </c>
      <c r="N18" s="98" t="s">
        <v>15</v>
      </c>
      <c r="O18" s="98" t="s">
        <v>15</v>
      </c>
      <c r="P18" s="95">
        <v>0.35555555555555557</v>
      </c>
      <c r="Q18" s="96">
        <v>1</v>
      </c>
      <c r="R18" s="95">
        <v>0.34861111111111115</v>
      </c>
      <c r="S18" s="96">
        <v>1</v>
      </c>
      <c r="T18" s="95">
        <v>0.3527777777777778</v>
      </c>
      <c r="U18" s="96">
        <v>1</v>
      </c>
      <c r="V18" s="95">
        <v>0.35069444444444442</v>
      </c>
      <c r="W18" s="96">
        <v>1</v>
      </c>
      <c r="X18" s="95">
        <v>0.35555555555555557</v>
      </c>
      <c r="Y18" s="96">
        <v>1</v>
      </c>
      <c r="Z18" s="95">
        <v>0.3520833333333333</v>
      </c>
      <c r="AA18" s="96">
        <v>1</v>
      </c>
      <c r="AB18" s="97">
        <v>0.58194444444444449</v>
      </c>
      <c r="AC18" s="98">
        <v>1</v>
      </c>
      <c r="AD18" s="95">
        <v>0.35416666666666669</v>
      </c>
      <c r="AE18" s="96">
        <v>1</v>
      </c>
      <c r="AF18" s="95">
        <v>0.35416666666666669</v>
      </c>
      <c r="AG18" s="96">
        <v>1</v>
      </c>
      <c r="AH18" s="103"/>
      <c r="AI18" s="8">
        <v>8</v>
      </c>
      <c r="AJ18" s="95">
        <v>0.35000000000000003</v>
      </c>
      <c r="AK18" s="96">
        <v>1</v>
      </c>
      <c r="AL18" s="95">
        <v>0.35486111111111113</v>
      </c>
      <c r="AM18" s="96">
        <v>1</v>
      </c>
      <c r="AN18" s="95">
        <v>0.39374999999999999</v>
      </c>
      <c r="AO18" s="96">
        <v>1</v>
      </c>
      <c r="AP18" s="95">
        <v>0.39444444444444443</v>
      </c>
      <c r="AQ18" s="96">
        <v>1</v>
      </c>
      <c r="AR18" s="97">
        <v>0.5756944444444444</v>
      </c>
      <c r="AS18" s="98">
        <v>1</v>
      </c>
      <c r="AT18" s="95">
        <v>0.39444444444444443</v>
      </c>
      <c r="AU18" s="96">
        <v>1</v>
      </c>
      <c r="AV18" s="95">
        <v>0.39305555555555555</v>
      </c>
      <c r="AW18" s="96">
        <v>1</v>
      </c>
      <c r="AX18" s="95">
        <v>0.39583333333333331</v>
      </c>
      <c r="AY18" s="96">
        <v>1</v>
      </c>
      <c r="AZ18" s="95">
        <v>0.39027777777777778</v>
      </c>
      <c r="BA18" s="96">
        <v>1</v>
      </c>
      <c r="BB18" s="95">
        <v>0.39374999999999999</v>
      </c>
      <c r="BC18" s="96">
        <v>1</v>
      </c>
      <c r="BD18" s="95">
        <v>0.39305555555555555</v>
      </c>
      <c r="BE18" s="96">
        <v>1</v>
      </c>
      <c r="BF18" s="97">
        <v>0.57986111111111105</v>
      </c>
      <c r="BG18" s="98">
        <v>1</v>
      </c>
      <c r="BH18" s="95">
        <v>0.39305555555555555</v>
      </c>
      <c r="BI18" s="96">
        <v>1</v>
      </c>
      <c r="BJ18" s="81">
        <f>BL18+BM18+BN18+BO18+BT18+BR18+BS18+BW18</f>
        <v>28</v>
      </c>
      <c r="BK18" s="82">
        <v>3</v>
      </c>
      <c r="BL18" s="17">
        <f t="shared" ref="BL18:BL38" si="27">COUNT(B18:AG18)/2+COUNT(AJ18:BI18)/2</f>
        <v>27</v>
      </c>
      <c r="BM18" s="18">
        <f t="shared" ref="BM18:BM35" si="28">COUNTIF(B18:BI18,"OFF")/2</f>
        <v>1</v>
      </c>
      <c r="BN18" s="18">
        <f t="shared" ref="BN18:BN35" si="29">COUNTIF(B18:BI18,"MC")/2</f>
        <v>0</v>
      </c>
      <c r="BO18" s="18">
        <f t="shared" ref="BO18:BO35" si="30">COUNTIF(B18:BI18,"EL")/2</f>
        <v>0</v>
      </c>
      <c r="BP18" s="18">
        <f t="shared" ref="BP18:BP35" si="31">COUNTIF(B18:BI18,"AL")/2</f>
        <v>0</v>
      </c>
      <c r="BQ18" s="18">
        <f t="shared" ref="BQ18:BQ35" si="32">COUNTIF(B18:BI18,"SUS")/2</f>
        <v>0</v>
      </c>
      <c r="BR18" s="18">
        <f t="shared" ref="BR18:BR35" si="33">COUNTIF(B18:BI18,"FL")/2</f>
        <v>0</v>
      </c>
      <c r="BS18" s="18">
        <f t="shared" ref="BS18:BS35" si="34">COUNTIF(B18:BI18,"SICK")/2</f>
        <v>0</v>
      </c>
      <c r="BT18" s="18">
        <f t="shared" ref="BT18:BT35" si="35">COUNTIF(B18:BI18,"HD")/2</f>
        <v>0</v>
      </c>
      <c r="BU18" s="18">
        <f t="shared" ref="BU18:BU35" si="36">COUNTIF(B18:BI18,"AB")/2</f>
        <v>0</v>
      </c>
      <c r="BV18" s="18">
        <f t="shared" ref="BV18:BV35" si="37">COUNTIF(B18:BI18,"NL")/2</f>
        <v>0</v>
      </c>
      <c r="BW18" s="18">
        <f t="shared" ref="BW18:BW35" si="38">COUNTIF(B18:BI18,"SP")/2</f>
        <v>0</v>
      </c>
      <c r="BX18" s="19"/>
      <c r="CC18" s="90">
        <v>0</v>
      </c>
      <c r="CD18" s="90">
        <v>0</v>
      </c>
      <c r="CE18" s="90">
        <v>0</v>
      </c>
      <c r="CF18" s="90">
        <v>0</v>
      </c>
      <c r="CG18" s="90">
        <v>0</v>
      </c>
      <c r="CH18" s="90">
        <v>1</v>
      </c>
      <c r="CI18" s="91">
        <v>0</v>
      </c>
      <c r="CJ18" s="91">
        <v>0</v>
      </c>
      <c r="CK18" s="91">
        <v>0</v>
      </c>
      <c r="CL18" s="91">
        <v>0</v>
      </c>
      <c r="CM18" s="92">
        <f t="shared" ref="CM18:CM19" si="39">SUM(CC18:CL18)</f>
        <v>1</v>
      </c>
    </row>
    <row r="19" spans="1:91" ht="22.5" customHeight="1" x14ac:dyDescent="0.25">
      <c r="A19" s="8">
        <v>9</v>
      </c>
      <c r="B19" s="9" t="s">
        <v>36</v>
      </c>
      <c r="C19" s="78" t="s">
        <v>37</v>
      </c>
      <c r="D19" s="95">
        <v>0.3527777777777778</v>
      </c>
      <c r="E19" s="95">
        <v>0.9375</v>
      </c>
      <c r="F19" s="95">
        <v>0.35069444444444442</v>
      </c>
      <c r="G19" s="95">
        <v>0.94027777777777777</v>
      </c>
      <c r="H19" s="95">
        <v>0.3520833333333333</v>
      </c>
      <c r="I19" s="95">
        <v>0.93402777777777779</v>
      </c>
      <c r="J19" s="95">
        <v>0.3527777777777778</v>
      </c>
      <c r="K19" s="95">
        <v>0.92361111111111116</v>
      </c>
      <c r="L19" s="95">
        <v>0.34513888888888888</v>
      </c>
      <c r="M19" s="95">
        <v>0.9458333333333333</v>
      </c>
      <c r="N19" s="98" t="s">
        <v>15</v>
      </c>
      <c r="O19" s="98" t="s">
        <v>15</v>
      </c>
      <c r="P19" s="95">
        <v>0.34930555555555554</v>
      </c>
      <c r="Q19" s="95">
        <v>0.94305555555555554</v>
      </c>
      <c r="R19" s="95">
        <v>0.34861111111111115</v>
      </c>
      <c r="S19" s="95">
        <v>0.92986111111111114</v>
      </c>
      <c r="T19" s="95">
        <v>0.3520833333333333</v>
      </c>
      <c r="U19" s="95">
        <v>0.93333333333333324</v>
      </c>
      <c r="V19" s="95">
        <v>0.3520833333333333</v>
      </c>
      <c r="W19" s="95">
        <v>0.93194444444444446</v>
      </c>
      <c r="X19" s="95">
        <v>0.35000000000000003</v>
      </c>
      <c r="Y19" s="95">
        <v>0.94027777777777777</v>
      </c>
      <c r="Z19" s="95">
        <v>0.34791666666666665</v>
      </c>
      <c r="AA19" s="95">
        <v>0.9506944444444444</v>
      </c>
      <c r="AB19" s="97">
        <v>0.58124999999999993</v>
      </c>
      <c r="AC19" s="98">
        <v>1</v>
      </c>
      <c r="AD19" s="95">
        <v>0.3576388888888889</v>
      </c>
      <c r="AE19" s="95">
        <v>0.9604166666666667</v>
      </c>
      <c r="AF19" s="95">
        <v>0.3520833333333333</v>
      </c>
      <c r="AG19" s="95">
        <v>0.95694444444444438</v>
      </c>
      <c r="AH19" s="103"/>
      <c r="AI19" s="8">
        <v>9</v>
      </c>
      <c r="AJ19" s="95">
        <v>0.35138888888888892</v>
      </c>
      <c r="AK19" s="95">
        <v>0.93541666666666667</v>
      </c>
      <c r="AL19" s="95">
        <v>0.3527777777777778</v>
      </c>
      <c r="AM19" s="95">
        <v>2.7777777777777776E-2</v>
      </c>
      <c r="AN19" s="95">
        <v>0.38125000000000003</v>
      </c>
      <c r="AO19" s="95">
        <v>3.4027777777777775E-2</v>
      </c>
      <c r="AP19" s="95">
        <v>0.38125000000000003</v>
      </c>
      <c r="AQ19" s="95">
        <v>1.8055555555555557E-2</v>
      </c>
      <c r="AR19" s="97">
        <v>0.5756944444444444</v>
      </c>
      <c r="AS19" s="97">
        <v>5.5555555555555558E-3</v>
      </c>
      <c r="AT19" s="95">
        <v>0.37152777777777773</v>
      </c>
      <c r="AU19" s="95">
        <v>0.99652777777777779</v>
      </c>
      <c r="AV19" s="95">
        <v>0.37291666666666662</v>
      </c>
      <c r="AW19" s="95">
        <v>2.0833333333333333E-3</v>
      </c>
      <c r="AX19" s="95">
        <v>0.37083333333333335</v>
      </c>
      <c r="AY19" s="95">
        <v>0.99444444444444446</v>
      </c>
      <c r="AZ19" s="95">
        <v>0.37361111111111112</v>
      </c>
      <c r="BA19" s="95">
        <v>0.99305555555555547</v>
      </c>
      <c r="BB19" s="95">
        <v>0.37361111111111112</v>
      </c>
      <c r="BC19" s="95">
        <v>0.98472222222222217</v>
      </c>
      <c r="BD19" s="95">
        <v>0.37777777777777777</v>
      </c>
      <c r="BE19" s="95">
        <v>0.98055555555555562</v>
      </c>
      <c r="BF19" s="97">
        <v>0.57500000000000007</v>
      </c>
      <c r="BG19" s="97">
        <v>0.9868055555555556</v>
      </c>
      <c r="BH19" s="95">
        <v>0.37291666666666662</v>
      </c>
      <c r="BI19" s="95">
        <v>4.0972222222222222E-2</v>
      </c>
      <c r="BJ19" s="81">
        <f t="shared" ref="BJ19:BJ33" si="40">BL19+BM19+BN19+BO19+BT19+BR19+BS19+BW19</f>
        <v>28</v>
      </c>
      <c r="BK19" s="82">
        <v>3</v>
      </c>
      <c r="BL19" s="17">
        <f t="shared" si="27"/>
        <v>27</v>
      </c>
      <c r="BM19" s="18">
        <f t="shared" si="28"/>
        <v>1</v>
      </c>
      <c r="BN19" s="18">
        <f t="shared" si="29"/>
        <v>0</v>
      </c>
      <c r="BO19" s="18">
        <f t="shared" si="30"/>
        <v>0</v>
      </c>
      <c r="BP19" s="18">
        <f t="shared" si="31"/>
        <v>0</v>
      </c>
      <c r="BQ19" s="18">
        <f t="shared" si="32"/>
        <v>0</v>
      </c>
      <c r="BR19" s="18">
        <f t="shared" si="33"/>
        <v>0</v>
      </c>
      <c r="BS19" s="18">
        <f t="shared" si="34"/>
        <v>0</v>
      </c>
      <c r="BT19" s="18">
        <f t="shared" si="35"/>
        <v>0</v>
      </c>
      <c r="BU19" s="18">
        <f t="shared" si="36"/>
        <v>0</v>
      </c>
      <c r="BV19" s="18">
        <f t="shared" si="37"/>
        <v>0</v>
      </c>
      <c r="BW19" s="18">
        <f t="shared" si="38"/>
        <v>0</v>
      </c>
      <c r="BX19" s="19"/>
      <c r="CC19" s="89">
        <v>0</v>
      </c>
      <c r="CD19" s="89">
        <v>0</v>
      </c>
      <c r="CE19" s="89">
        <v>0</v>
      </c>
      <c r="CF19" s="88">
        <v>0</v>
      </c>
      <c r="CG19" s="88">
        <v>0</v>
      </c>
      <c r="CH19" s="88">
        <v>0</v>
      </c>
      <c r="CI19" s="88">
        <v>0</v>
      </c>
      <c r="CJ19" s="88">
        <v>0</v>
      </c>
      <c r="CK19" s="88">
        <v>0</v>
      </c>
      <c r="CL19" s="88">
        <v>0</v>
      </c>
      <c r="CM19" s="93">
        <f t="shared" si="39"/>
        <v>0</v>
      </c>
    </row>
    <row r="20" spans="1:91" ht="22.5" customHeight="1" x14ac:dyDescent="0.25">
      <c r="A20" s="8">
        <v>10</v>
      </c>
      <c r="B20" s="9" t="s">
        <v>40</v>
      </c>
      <c r="C20" s="78" t="s">
        <v>41</v>
      </c>
      <c r="D20" s="95">
        <v>0.35347222222222219</v>
      </c>
      <c r="E20" s="96">
        <v>1</v>
      </c>
      <c r="F20" s="95">
        <v>0.35694444444444445</v>
      </c>
      <c r="G20" s="96">
        <v>1</v>
      </c>
      <c r="H20" s="95">
        <v>0.35555555555555557</v>
      </c>
      <c r="I20" s="96">
        <v>1</v>
      </c>
      <c r="J20" s="95">
        <v>0.3576388888888889</v>
      </c>
      <c r="K20" s="95">
        <v>0.92569444444444438</v>
      </c>
      <c r="L20" s="95">
        <v>0.35694444444444445</v>
      </c>
      <c r="M20" s="96">
        <v>1</v>
      </c>
      <c r="N20" s="97">
        <v>0.58263888888888882</v>
      </c>
      <c r="O20" s="97">
        <v>0.96180555555555547</v>
      </c>
      <c r="P20" s="95">
        <v>0.35486111111111113</v>
      </c>
      <c r="Q20" s="95">
        <v>0.93958333333333333</v>
      </c>
      <c r="R20" s="95">
        <v>0.35694444444444445</v>
      </c>
      <c r="S20" s="95">
        <v>0.93472222222222223</v>
      </c>
      <c r="T20" s="95">
        <v>0.35625000000000001</v>
      </c>
      <c r="U20" s="96">
        <v>1</v>
      </c>
      <c r="V20" s="95">
        <v>0.35694444444444445</v>
      </c>
      <c r="W20" s="95">
        <v>0.94097222222222221</v>
      </c>
      <c r="X20" s="95">
        <v>0.36180555555555555</v>
      </c>
      <c r="Y20" s="95">
        <v>0.95833333333333337</v>
      </c>
      <c r="Z20" s="95">
        <v>0.35833333333333334</v>
      </c>
      <c r="AA20" s="95">
        <v>0.97986111111111107</v>
      </c>
      <c r="AB20" s="97">
        <v>0.58263888888888882</v>
      </c>
      <c r="AC20" s="98">
        <v>1</v>
      </c>
      <c r="AD20" s="95">
        <v>0.3611111111111111</v>
      </c>
      <c r="AE20" s="95">
        <v>0.97291666666666676</v>
      </c>
      <c r="AF20" s="95">
        <v>0.36527777777777781</v>
      </c>
      <c r="AG20" s="95">
        <v>0.94236111111111109</v>
      </c>
      <c r="AH20" s="103"/>
      <c r="AI20" s="8">
        <v>10</v>
      </c>
      <c r="AJ20" s="95">
        <v>0.3576388888888889</v>
      </c>
      <c r="AK20" s="95">
        <v>0.97291666666666676</v>
      </c>
      <c r="AL20" s="95">
        <v>0.36180555555555555</v>
      </c>
      <c r="AM20" s="95">
        <v>3.4722222222222224E-2</v>
      </c>
      <c r="AN20" s="95">
        <v>0.38194444444444442</v>
      </c>
      <c r="AO20" s="95">
        <v>3.4722222222222224E-2</v>
      </c>
      <c r="AP20" s="95">
        <v>0.38194444444444442</v>
      </c>
      <c r="AQ20" s="95">
        <v>3.4722222222222224E-2</v>
      </c>
      <c r="AR20" s="97">
        <v>0.5756944444444444</v>
      </c>
      <c r="AS20" s="97">
        <v>2.0833333333333333E-3</v>
      </c>
      <c r="AT20" s="95">
        <v>0.37777777777777777</v>
      </c>
      <c r="AU20" s="95">
        <v>0.99722222222222223</v>
      </c>
      <c r="AV20" s="95">
        <v>0.3756944444444445</v>
      </c>
      <c r="AW20" s="96">
        <v>1</v>
      </c>
      <c r="AX20" s="95">
        <v>0.37847222222222227</v>
      </c>
      <c r="AY20" s="95">
        <v>0.98611111111111116</v>
      </c>
      <c r="AZ20" s="95">
        <v>0.37777777777777777</v>
      </c>
      <c r="BA20" s="96">
        <v>1</v>
      </c>
      <c r="BB20" s="95">
        <v>0.37638888888888888</v>
      </c>
      <c r="BC20" s="95">
        <v>0.99375000000000002</v>
      </c>
      <c r="BD20" s="95">
        <v>0.37847222222222227</v>
      </c>
      <c r="BE20" s="95">
        <v>0.98125000000000007</v>
      </c>
      <c r="BF20" s="97">
        <v>0.57500000000000007</v>
      </c>
      <c r="BG20" s="97">
        <v>0.98819444444444438</v>
      </c>
      <c r="BH20" s="95">
        <v>0.37291666666666662</v>
      </c>
      <c r="BI20" s="96">
        <v>1</v>
      </c>
      <c r="BJ20" s="81">
        <f t="shared" si="40"/>
        <v>28</v>
      </c>
      <c r="BK20" s="82">
        <v>4</v>
      </c>
      <c r="BL20" s="17">
        <f t="shared" si="27"/>
        <v>28</v>
      </c>
      <c r="BM20" s="18">
        <f t="shared" si="28"/>
        <v>0</v>
      </c>
      <c r="BN20" s="18">
        <f t="shared" si="29"/>
        <v>0</v>
      </c>
      <c r="BO20" s="18">
        <f t="shared" si="30"/>
        <v>0</v>
      </c>
      <c r="BP20" s="18">
        <f t="shared" si="31"/>
        <v>0</v>
      </c>
      <c r="BQ20" s="18">
        <f t="shared" si="32"/>
        <v>0</v>
      </c>
      <c r="BR20" s="18">
        <f t="shared" si="33"/>
        <v>0</v>
      </c>
      <c r="BS20" s="18">
        <f t="shared" si="34"/>
        <v>0</v>
      </c>
      <c r="BT20" s="18">
        <f t="shared" si="35"/>
        <v>0</v>
      </c>
      <c r="BU20" s="18">
        <f t="shared" si="36"/>
        <v>0</v>
      </c>
      <c r="BV20" s="18">
        <f t="shared" si="37"/>
        <v>0</v>
      </c>
      <c r="BW20" s="18">
        <f t="shared" si="38"/>
        <v>0</v>
      </c>
      <c r="BX20" s="19" t="s">
        <v>111</v>
      </c>
      <c r="CC20" s="90">
        <v>0</v>
      </c>
      <c r="CD20" s="90">
        <v>0</v>
      </c>
      <c r="CE20" s="90">
        <v>0</v>
      </c>
      <c r="CF20" s="90">
        <v>0</v>
      </c>
      <c r="CG20" s="90">
        <v>0</v>
      </c>
      <c r="CH20" s="90">
        <v>6</v>
      </c>
      <c r="CI20" s="91">
        <v>2</v>
      </c>
      <c r="CJ20" s="91">
        <v>3</v>
      </c>
      <c r="CK20" s="91">
        <v>0</v>
      </c>
      <c r="CL20" s="91">
        <v>0</v>
      </c>
      <c r="CM20" s="92">
        <f t="shared" ref="CM20:CM33" si="41">SUM(CC20:CL20)</f>
        <v>11</v>
      </c>
    </row>
    <row r="21" spans="1:91" ht="22.5" customHeight="1" x14ac:dyDescent="0.25">
      <c r="A21" s="8">
        <v>11</v>
      </c>
      <c r="B21" s="9" t="s">
        <v>42</v>
      </c>
      <c r="C21" s="78" t="s">
        <v>43</v>
      </c>
      <c r="D21" s="95">
        <v>0.35347222222222219</v>
      </c>
      <c r="E21" s="95">
        <v>0.8930555555555556</v>
      </c>
      <c r="F21" s="95">
        <v>0.35486111111111113</v>
      </c>
      <c r="G21" s="95">
        <v>0.95694444444444438</v>
      </c>
      <c r="H21" s="95">
        <v>0.35347222222222219</v>
      </c>
      <c r="I21" s="95">
        <v>0.8534722222222223</v>
      </c>
      <c r="J21" s="95">
        <v>0.3520833333333333</v>
      </c>
      <c r="K21" s="95">
        <v>0.84861111111111109</v>
      </c>
      <c r="L21" s="95">
        <v>0.3520833333333333</v>
      </c>
      <c r="M21" s="95">
        <v>0.87986111111111109</v>
      </c>
      <c r="N21" s="98" t="s">
        <v>15</v>
      </c>
      <c r="O21" s="98" t="s">
        <v>15</v>
      </c>
      <c r="P21" s="95">
        <v>0.3520833333333333</v>
      </c>
      <c r="Q21" s="95">
        <v>0.84861111111111109</v>
      </c>
      <c r="R21" s="95">
        <v>0.35416666666666669</v>
      </c>
      <c r="S21" s="95">
        <v>0.90694444444444444</v>
      </c>
      <c r="T21" s="95">
        <v>0.35555555555555557</v>
      </c>
      <c r="U21" s="95">
        <v>0.93888888888888899</v>
      </c>
      <c r="V21" s="95">
        <v>0.35347222222222219</v>
      </c>
      <c r="W21" s="95">
        <v>0.83333333333333337</v>
      </c>
      <c r="X21" s="95">
        <v>0.34791666666666665</v>
      </c>
      <c r="Y21" s="95">
        <v>0.86041666666666661</v>
      </c>
      <c r="Z21" s="95">
        <v>0.3520833333333333</v>
      </c>
      <c r="AA21" s="95">
        <v>0.8569444444444444</v>
      </c>
      <c r="AB21" s="97">
        <v>0.5805555555555556</v>
      </c>
      <c r="AC21" s="97">
        <v>0.83611111111111114</v>
      </c>
      <c r="AD21" s="95">
        <v>0.35486111111111113</v>
      </c>
      <c r="AE21" s="95">
        <v>0.97083333333333333</v>
      </c>
      <c r="AF21" s="95">
        <v>0.3527777777777778</v>
      </c>
      <c r="AG21" s="96">
        <v>1</v>
      </c>
      <c r="AI21" s="8">
        <v>11</v>
      </c>
      <c r="AJ21" s="95">
        <v>0.35000000000000003</v>
      </c>
      <c r="AK21" s="96">
        <v>1</v>
      </c>
      <c r="AL21" s="95">
        <v>0.35000000000000003</v>
      </c>
      <c r="AM21" s="95">
        <v>0.92847222222222225</v>
      </c>
      <c r="AN21" s="95">
        <v>0.37291666666666662</v>
      </c>
      <c r="AO21" s="95">
        <v>0.99861111111111101</v>
      </c>
      <c r="AP21" s="95">
        <v>0.37986111111111115</v>
      </c>
      <c r="AQ21" s="95">
        <v>1.7361111111111112E-2</v>
      </c>
      <c r="AR21" s="97">
        <v>0.58194444444444449</v>
      </c>
      <c r="AS21" s="97">
        <v>0.99861111111111101</v>
      </c>
      <c r="AT21" s="95">
        <v>0.37916666666666665</v>
      </c>
      <c r="AU21" s="95">
        <v>0.12222222222222223</v>
      </c>
      <c r="AV21" s="95">
        <v>0.35902777777777778</v>
      </c>
      <c r="AW21" s="95">
        <v>2.0833333333333333E-3</v>
      </c>
      <c r="AX21" s="95">
        <v>0.37361111111111112</v>
      </c>
      <c r="AY21" s="96">
        <v>1</v>
      </c>
      <c r="AZ21" s="95">
        <v>0.36527777777777781</v>
      </c>
      <c r="BA21" s="96">
        <v>1</v>
      </c>
      <c r="BB21" s="95">
        <v>0.37361111111111112</v>
      </c>
      <c r="BC21" s="96">
        <v>1</v>
      </c>
      <c r="BD21" s="95">
        <v>0.38541666666666669</v>
      </c>
      <c r="BE21" s="95">
        <v>2.2916666666666669E-2</v>
      </c>
      <c r="BF21" s="97">
        <v>0.57916666666666672</v>
      </c>
      <c r="BG21" s="97">
        <v>0.99861111111111101</v>
      </c>
      <c r="BH21" s="95">
        <v>0.37986111111111115</v>
      </c>
      <c r="BI21" s="95">
        <v>4.1666666666666666E-3</v>
      </c>
      <c r="BJ21" s="81">
        <f t="shared" si="40"/>
        <v>28</v>
      </c>
      <c r="BK21" s="82">
        <v>3</v>
      </c>
      <c r="BL21" s="17">
        <f t="shared" si="27"/>
        <v>27</v>
      </c>
      <c r="BM21" s="18">
        <f t="shared" si="28"/>
        <v>1</v>
      </c>
      <c r="BN21" s="18">
        <f t="shared" si="29"/>
        <v>0</v>
      </c>
      <c r="BO21" s="18">
        <f t="shared" si="30"/>
        <v>0</v>
      </c>
      <c r="BP21" s="18">
        <f t="shared" si="31"/>
        <v>0</v>
      </c>
      <c r="BQ21" s="18">
        <f t="shared" si="32"/>
        <v>0</v>
      </c>
      <c r="BR21" s="18">
        <f t="shared" si="33"/>
        <v>0</v>
      </c>
      <c r="BS21" s="18">
        <f t="shared" si="34"/>
        <v>0</v>
      </c>
      <c r="BT21" s="18">
        <f t="shared" si="35"/>
        <v>0</v>
      </c>
      <c r="BU21" s="18">
        <f t="shared" si="36"/>
        <v>0</v>
      </c>
      <c r="BV21" s="18">
        <f t="shared" si="37"/>
        <v>0</v>
      </c>
      <c r="BW21" s="18">
        <f t="shared" si="38"/>
        <v>0</v>
      </c>
      <c r="BX21" s="19"/>
      <c r="CC21" s="89">
        <v>0</v>
      </c>
      <c r="CD21" s="89">
        <v>0</v>
      </c>
      <c r="CE21" s="89">
        <v>0</v>
      </c>
      <c r="CF21" s="89">
        <v>0</v>
      </c>
      <c r="CG21" s="89">
        <v>0</v>
      </c>
      <c r="CH21" s="88">
        <v>3</v>
      </c>
      <c r="CI21" s="89">
        <v>0</v>
      </c>
      <c r="CJ21" s="89">
        <v>0</v>
      </c>
      <c r="CK21" s="89">
        <v>0</v>
      </c>
      <c r="CL21" s="89">
        <v>0</v>
      </c>
      <c r="CM21" s="93">
        <f t="shared" si="41"/>
        <v>3</v>
      </c>
    </row>
    <row r="22" spans="1:91" ht="22.5" customHeight="1" x14ac:dyDescent="0.25">
      <c r="A22" s="8">
        <v>12</v>
      </c>
      <c r="B22" s="9" t="s">
        <v>44</v>
      </c>
      <c r="C22" s="78" t="s">
        <v>45</v>
      </c>
      <c r="D22" s="95">
        <v>0.35347222222222219</v>
      </c>
      <c r="E22" s="95">
        <v>0.93611111111111101</v>
      </c>
      <c r="F22" s="95">
        <v>0.35069444444444442</v>
      </c>
      <c r="G22" s="95">
        <v>0.93958333333333333</v>
      </c>
      <c r="H22" s="95">
        <v>0.3527777777777778</v>
      </c>
      <c r="I22" s="95">
        <v>0.93819444444444444</v>
      </c>
      <c r="J22" s="95">
        <v>0.3527777777777778</v>
      </c>
      <c r="K22" s="95">
        <v>0.92499999999999993</v>
      </c>
      <c r="L22" s="95">
        <v>0.34513888888888888</v>
      </c>
      <c r="M22" s="95">
        <v>0.94791666666666663</v>
      </c>
      <c r="N22" s="97">
        <v>0.58194444444444449</v>
      </c>
      <c r="O22" s="97">
        <v>0.9506944444444444</v>
      </c>
      <c r="P22" s="95">
        <v>0.35000000000000003</v>
      </c>
      <c r="Q22" s="95">
        <v>0.94444444444444453</v>
      </c>
      <c r="R22" s="95">
        <v>0.34861111111111115</v>
      </c>
      <c r="S22" s="95">
        <v>0.93541666666666667</v>
      </c>
      <c r="T22" s="95">
        <v>0.3527777777777778</v>
      </c>
      <c r="U22" s="95">
        <v>0.93680555555555556</v>
      </c>
      <c r="V22" s="95">
        <v>0.35347222222222219</v>
      </c>
      <c r="W22" s="95">
        <v>0.93402777777777779</v>
      </c>
      <c r="X22" s="95">
        <v>0.35069444444444442</v>
      </c>
      <c r="Y22" s="95">
        <v>0.94236111111111109</v>
      </c>
      <c r="Z22" s="95">
        <v>0.34930555555555554</v>
      </c>
      <c r="AA22" s="95">
        <v>0.9506944444444444</v>
      </c>
      <c r="AB22" s="97">
        <v>0.58194444444444449</v>
      </c>
      <c r="AC22" s="97">
        <v>0.99236111111111114</v>
      </c>
      <c r="AD22" s="95">
        <v>0.35833333333333334</v>
      </c>
      <c r="AE22" s="95">
        <v>0.35833333333333334</v>
      </c>
      <c r="AF22" s="95">
        <v>0.3520833333333333</v>
      </c>
      <c r="AG22" s="95">
        <v>0.93958333333333333</v>
      </c>
      <c r="AI22" s="8">
        <v>12</v>
      </c>
      <c r="AJ22" s="95">
        <v>0.3520833333333333</v>
      </c>
      <c r="AK22" s="95">
        <v>0.93680555555555556</v>
      </c>
      <c r="AL22" s="95">
        <v>0.3527777777777778</v>
      </c>
      <c r="AM22" s="95">
        <v>6.9444444444444441E-3</v>
      </c>
      <c r="AN22" s="95">
        <v>0.38194444444444442</v>
      </c>
      <c r="AO22" s="95">
        <v>2.8472222222222222E-2</v>
      </c>
      <c r="AP22" s="95">
        <v>0.38194444444444442</v>
      </c>
      <c r="AQ22" s="95">
        <v>1.9444444444444445E-2</v>
      </c>
      <c r="AR22" s="97">
        <v>0.57638888888888895</v>
      </c>
      <c r="AS22" s="97">
        <v>6.9444444444444441E-3</v>
      </c>
      <c r="AT22" s="95">
        <v>0.37361111111111112</v>
      </c>
      <c r="AU22" s="95">
        <v>0.85277777777777775</v>
      </c>
      <c r="AV22" s="95">
        <v>0.37361111111111112</v>
      </c>
      <c r="AW22" s="95">
        <v>0.37361111111111112</v>
      </c>
      <c r="AX22" s="95">
        <v>0.37916666666666665</v>
      </c>
      <c r="AY22" s="95">
        <v>0.99444444444444446</v>
      </c>
      <c r="AZ22" s="95">
        <v>0.37777777777777777</v>
      </c>
      <c r="BA22" s="95">
        <v>0.99236111111111114</v>
      </c>
      <c r="BB22" s="95">
        <v>0.37361111111111112</v>
      </c>
      <c r="BC22" s="95">
        <v>0.98541666666666661</v>
      </c>
      <c r="BD22" s="95">
        <v>0.37847222222222227</v>
      </c>
      <c r="BE22" s="95">
        <v>0.97916666666666663</v>
      </c>
      <c r="BF22" s="97">
        <v>0.5756944444444444</v>
      </c>
      <c r="BG22" s="97">
        <v>0.98888888888888893</v>
      </c>
      <c r="BH22" s="95">
        <v>0.37361111111111112</v>
      </c>
      <c r="BI22" s="95">
        <v>0.84722222222222221</v>
      </c>
      <c r="BJ22" s="81">
        <f t="shared" si="40"/>
        <v>28</v>
      </c>
      <c r="BK22" s="82">
        <v>4</v>
      </c>
      <c r="BL22" s="17">
        <f t="shared" si="27"/>
        <v>28</v>
      </c>
      <c r="BM22" s="18">
        <f t="shared" si="28"/>
        <v>0</v>
      </c>
      <c r="BN22" s="18">
        <f t="shared" si="29"/>
        <v>0</v>
      </c>
      <c r="BO22" s="18">
        <f t="shared" si="30"/>
        <v>0</v>
      </c>
      <c r="BP22" s="18">
        <f t="shared" si="31"/>
        <v>0</v>
      </c>
      <c r="BQ22" s="18">
        <f t="shared" si="32"/>
        <v>0</v>
      </c>
      <c r="BR22" s="18">
        <f t="shared" si="33"/>
        <v>0</v>
      </c>
      <c r="BS22" s="18">
        <f t="shared" si="34"/>
        <v>0</v>
      </c>
      <c r="BT22" s="18">
        <f t="shared" si="35"/>
        <v>0</v>
      </c>
      <c r="BU22" s="18">
        <f t="shared" si="36"/>
        <v>0</v>
      </c>
      <c r="BV22" s="18">
        <f t="shared" si="37"/>
        <v>0</v>
      </c>
      <c r="BW22" s="18">
        <f t="shared" si="38"/>
        <v>0</v>
      </c>
      <c r="BX22" s="19"/>
      <c r="CC22" s="90">
        <v>0</v>
      </c>
      <c r="CD22" s="90">
        <v>0</v>
      </c>
      <c r="CE22" s="90">
        <v>0</v>
      </c>
      <c r="CF22" s="90">
        <v>0</v>
      </c>
      <c r="CG22" s="90">
        <v>0</v>
      </c>
      <c r="CH22" s="90">
        <v>4</v>
      </c>
      <c r="CI22" s="91">
        <v>0</v>
      </c>
      <c r="CJ22" s="91">
        <v>0</v>
      </c>
      <c r="CK22" s="91">
        <v>0</v>
      </c>
      <c r="CL22" s="91">
        <v>0</v>
      </c>
      <c r="CM22" s="92">
        <f t="shared" si="41"/>
        <v>4</v>
      </c>
    </row>
    <row r="23" spans="1:91" ht="22.5" customHeight="1" x14ac:dyDescent="0.25">
      <c r="A23" s="8">
        <v>13</v>
      </c>
      <c r="B23" s="9" t="s">
        <v>46</v>
      </c>
      <c r="C23" s="78" t="s">
        <v>47</v>
      </c>
      <c r="D23" s="95">
        <v>0.35625000000000001</v>
      </c>
      <c r="E23" s="95">
        <v>0.93888888888888899</v>
      </c>
      <c r="F23" s="95">
        <v>0.35416666666666669</v>
      </c>
      <c r="G23" s="95">
        <v>0.9375</v>
      </c>
      <c r="H23" s="95">
        <v>0.35625000000000001</v>
      </c>
      <c r="I23" s="95">
        <v>0.94097222222222221</v>
      </c>
      <c r="J23" s="95">
        <v>0.35625000000000001</v>
      </c>
      <c r="K23" s="95">
        <v>0.93472222222222223</v>
      </c>
      <c r="L23" s="95">
        <v>0.3527777777777778</v>
      </c>
      <c r="M23" s="95">
        <v>0.95347222222222217</v>
      </c>
      <c r="N23" s="97">
        <v>0.58611111111111114</v>
      </c>
      <c r="O23" s="97">
        <v>0.94027777777777777</v>
      </c>
      <c r="P23" s="95">
        <v>0.35347222222222219</v>
      </c>
      <c r="Q23" s="95">
        <v>0.9506944444444444</v>
      </c>
      <c r="R23" s="95">
        <v>0.35416666666666669</v>
      </c>
      <c r="S23" s="95">
        <v>0.93472222222222223</v>
      </c>
      <c r="T23" s="95">
        <v>0.35625000000000001</v>
      </c>
      <c r="U23" s="95">
        <v>0.9375</v>
      </c>
      <c r="V23" s="95">
        <v>0.35625000000000001</v>
      </c>
      <c r="W23" s="95">
        <v>0.93402777777777779</v>
      </c>
      <c r="X23" s="95">
        <v>0.35416666666666669</v>
      </c>
      <c r="Y23" s="95">
        <v>0.9458333333333333</v>
      </c>
      <c r="Z23" s="95">
        <v>0.35347222222222219</v>
      </c>
      <c r="AA23" s="96">
        <v>1</v>
      </c>
      <c r="AB23" s="97">
        <v>0.5854166666666667</v>
      </c>
      <c r="AC23" s="97">
        <v>0.93819444444444444</v>
      </c>
      <c r="AD23" s="95">
        <v>0.36249999999999999</v>
      </c>
      <c r="AE23" s="95">
        <v>0.95694444444444438</v>
      </c>
      <c r="AF23" s="95">
        <v>0.35694444444444445</v>
      </c>
      <c r="AG23" s="95">
        <v>0.95000000000000007</v>
      </c>
      <c r="AI23" s="8">
        <v>13</v>
      </c>
      <c r="AJ23" s="95">
        <v>0.35625000000000001</v>
      </c>
      <c r="AK23" s="96">
        <v>1</v>
      </c>
      <c r="AL23" s="95">
        <v>0.35694444444444445</v>
      </c>
      <c r="AM23" s="95">
        <v>1.8749999999999999E-2</v>
      </c>
      <c r="AN23" s="95">
        <v>0.39166666666666666</v>
      </c>
      <c r="AO23" s="95">
        <v>6.9444444444444441E-3</v>
      </c>
      <c r="AP23" s="95">
        <v>0.40208333333333335</v>
      </c>
      <c r="AQ23" s="95">
        <v>0.40277777777777773</v>
      </c>
      <c r="AR23" s="97">
        <v>0.57986111111111105</v>
      </c>
      <c r="AS23" s="97">
        <v>2.8472222222222222E-2</v>
      </c>
      <c r="AT23" s="95">
        <v>0.40277777777777773</v>
      </c>
      <c r="AU23" s="95">
        <v>6.9444444444444441E-3</v>
      </c>
      <c r="AV23" s="95">
        <v>0.40347222222222223</v>
      </c>
      <c r="AW23" s="95">
        <v>2.8472222222222222E-2</v>
      </c>
      <c r="AX23" s="95">
        <v>0.36736111111111108</v>
      </c>
      <c r="AY23" s="95">
        <v>7.1527777777777787E-2</v>
      </c>
      <c r="AZ23" s="95">
        <v>0.37291666666666662</v>
      </c>
      <c r="BA23" s="95">
        <v>5.2777777777777778E-2</v>
      </c>
      <c r="BB23" s="95">
        <v>0.37291666666666662</v>
      </c>
      <c r="BC23" s="95">
        <v>6.458333333333334E-2</v>
      </c>
      <c r="BD23" s="95">
        <v>0.39513888888888887</v>
      </c>
      <c r="BE23" s="95">
        <v>3.125E-2</v>
      </c>
      <c r="BF23" s="97">
        <v>0.58263888888888882</v>
      </c>
      <c r="BG23" s="97">
        <v>5.2777777777777778E-2</v>
      </c>
      <c r="BH23" s="95">
        <v>0.3743055555555555</v>
      </c>
      <c r="BI23" s="95">
        <v>0.1013888888888889</v>
      </c>
      <c r="BJ23" s="81">
        <f t="shared" si="40"/>
        <v>28</v>
      </c>
      <c r="BK23" s="82">
        <v>4</v>
      </c>
      <c r="BL23" s="17">
        <f t="shared" si="27"/>
        <v>28</v>
      </c>
      <c r="BM23" s="18">
        <f t="shared" si="28"/>
        <v>0</v>
      </c>
      <c r="BN23" s="18">
        <f t="shared" si="29"/>
        <v>0</v>
      </c>
      <c r="BO23" s="18">
        <f t="shared" si="30"/>
        <v>0</v>
      </c>
      <c r="BP23" s="18">
        <f t="shared" si="31"/>
        <v>0</v>
      </c>
      <c r="BQ23" s="18">
        <f t="shared" si="32"/>
        <v>0</v>
      </c>
      <c r="BR23" s="18">
        <f t="shared" si="33"/>
        <v>0</v>
      </c>
      <c r="BS23" s="18">
        <f t="shared" si="34"/>
        <v>0</v>
      </c>
      <c r="BT23" s="18">
        <f t="shared" si="35"/>
        <v>0</v>
      </c>
      <c r="BU23" s="18">
        <f t="shared" si="36"/>
        <v>0</v>
      </c>
      <c r="BV23" s="18">
        <f t="shared" si="37"/>
        <v>0</v>
      </c>
      <c r="BW23" s="18">
        <f t="shared" si="38"/>
        <v>0</v>
      </c>
      <c r="BX23" s="19"/>
      <c r="CC23" s="89">
        <v>0</v>
      </c>
      <c r="CD23" s="89">
        <v>0</v>
      </c>
      <c r="CE23" s="89">
        <v>0</v>
      </c>
      <c r="CF23" s="89">
        <v>0</v>
      </c>
      <c r="CG23" s="89">
        <v>0</v>
      </c>
      <c r="CH23" s="89">
        <v>0</v>
      </c>
      <c r="CI23" s="89">
        <v>0</v>
      </c>
      <c r="CJ23" s="89">
        <v>0</v>
      </c>
      <c r="CK23" s="89">
        <v>0</v>
      </c>
      <c r="CL23" s="89">
        <v>0</v>
      </c>
      <c r="CM23" s="93">
        <f t="shared" si="41"/>
        <v>0</v>
      </c>
    </row>
    <row r="24" spans="1:91" ht="22.5" customHeight="1" x14ac:dyDescent="0.25">
      <c r="A24" s="8">
        <v>14</v>
      </c>
      <c r="B24" s="9" t="s">
        <v>50</v>
      </c>
      <c r="C24" s="78" t="s">
        <v>51</v>
      </c>
      <c r="D24" s="95">
        <v>0.35347222222222219</v>
      </c>
      <c r="E24" s="95">
        <v>0.93611111111111101</v>
      </c>
      <c r="F24" s="95">
        <v>0.35069444444444442</v>
      </c>
      <c r="G24" s="95">
        <v>0.94305555555555554</v>
      </c>
      <c r="H24" s="95">
        <v>0.67083333333333339</v>
      </c>
      <c r="I24" s="95">
        <v>0.93888888888888899</v>
      </c>
      <c r="J24" s="95">
        <v>0.3527777777777778</v>
      </c>
      <c r="K24" s="95">
        <v>0.92638888888888893</v>
      </c>
      <c r="L24" s="95">
        <v>0.34861111111111115</v>
      </c>
      <c r="M24" s="95">
        <v>0.94652777777777775</v>
      </c>
      <c r="N24" s="98" t="s">
        <v>15</v>
      </c>
      <c r="O24" s="98" t="s">
        <v>15</v>
      </c>
      <c r="P24" s="95">
        <v>0.34930555555555554</v>
      </c>
      <c r="Q24" s="95">
        <v>0.94374999999999998</v>
      </c>
      <c r="R24" s="95">
        <v>0.34861111111111115</v>
      </c>
      <c r="S24" s="95">
        <v>0.93472222222222223</v>
      </c>
      <c r="T24" s="95">
        <v>0.3520833333333333</v>
      </c>
      <c r="U24" s="95">
        <v>0.93680555555555556</v>
      </c>
      <c r="V24" s="95">
        <v>0.3527777777777778</v>
      </c>
      <c r="W24" s="95">
        <v>0.94027777777777777</v>
      </c>
      <c r="X24" s="95">
        <v>0.35000000000000003</v>
      </c>
      <c r="Y24" s="95">
        <v>0.94027777777777777</v>
      </c>
      <c r="Z24" s="95">
        <v>0.34861111111111115</v>
      </c>
      <c r="AA24" s="95">
        <v>0.95138888888888884</v>
      </c>
      <c r="AB24" s="97">
        <v>0.58194444444444449</v>
      </c>
      <c r="AC24" s="97">
        <v>0.58194444444444449</v>
      </c>
      <c r="AD24" s="95">
        <v>0.35833333333333334</v>
      </c>
      <c r="AE24" s="95">
        <v>0.96180555555555547</v>
      </c>
      <c r="AF24" s="95">
        <v>0.3527777777777778</v>
      </c>
      <c r="AG24" s="95">
        <v>0.9590277777777777</v>
      </c>
      <c r="AH24" s="103"/>
      <c r="AI24" s="8">
        <v>14</v>
      </c>
      <c r="AJ24" s="95">
        <v>0.3520833333333333</v>
      </c>
      <c r="AK24" s="95">
        <v>0.3520833333333333</v>
      </c>
      <c r="AL24" s="95">
        <v>0.35416666666666669</v>
      </c>
      <c r="AM24" s="95">
        <v>2.7777777777777776E-2</v>
      </c>
      <c r="AN24" s="95">
        <v>0.38194444444444442</v>
      </c>
      <c r="AO24" s="95">
        <v>3.4027777777777775E-2</v>
      </c>
      <c r="AP24" s="95">
        <v>0.38194444444444442</v>
      </c>
      <c r="AQ24" s="95">
        <v>1.8055555555555557E-2</v>
      </c>
      <c r="AR24" s="97">
        <v>0.57638888888888895</v>
      </c>
      <c r="AS24" s="97">
        <v>5.5555555555555558E-3</v>
      </c>
      <c r="AT24" s="95">
        <v>0.37152777777777773</v>
      </c>
      <c r="AU24" s="95">
        <v>0.99722222222222223</v>
      </c>
      <c r="AV24" s="95">
        <v>0.37291666666666662</v>
      </c>
      <c r="AW24" s="95">
        <v>0.85486111111111107</v>
      </c>
      <c r="AX24" s="95">
        <v>0.37222222222222223</v>
      </c>
      <c r="AY24" s="95">
        <v>0.99513888888888891</v>
      </c>
      <c r="AZ24" s="95">
        <v>0.37916666666666665</v>
      </c>
      <c r="BA24" s="95">
        <v>0.99513888888888891</v>
      </c>
      <c r="BB24" s="95">
        <v>0.3743055555555555</v>
      </c>
      <c r="BC24" s="95">
        <v>0.98541666666666661</v>
      </c>
      <c r="BD24" s="95">
        <v>0.37916666666666665</v>
      </c>
      <c r="BE24" s="95">
        <v>0.9819444444444444</v>
      </c>
      <c r="BF24" s="97">
        <v>0.5756944444444444</v>
      </c>
      <c r="BG24" s="97">
        <v>0.9868055555555556</v>
      </c>
      <c r="BH24" s="95">
        <v>0.37916666666666665</v>
      </c>
      <c r="BI24" s="95">
        <v>4.0972222222222222E-2</v>
      </c>
      <c r="BJ24" s="81">
        <f t="shared" si="40"/>
        <v>28</v>
      </c>
      <c r="BK24" s="82">
        <v>3</v>
      </c>
      <c r="BL24" s="17">
        <f t="shared" si="27"/>
        <v>27</v>
      </c>
      <c r="BM24" s="18">
        <f t="shared" si="28"/>
        <v>1</v>
      </c>
      <c r="BN24" s="18">
        <f t="shared" si="29"/>
        <v>0</v>
      </c>
      <c r="BO24" s="18">
        <f t="shared" si="30"/>
        <v>0</v>
      </c>
      <c r="BP24" s="18">
        <f t="shared" si="31"/>
        <v>0</v>
      </c>
      <c r="BQ24" s="18">
        <f t="shared" si="32"/>
        <v>0</v>
      </c>
      <c r="BR24" s="18">
        <f t="shared" si="33"/>
        <v>0</v>
      </c>
      <c r="BS24" s="18">
        <f t="shared" si="34"/>
        <v>0</v>
      </c>
      <c r="BT24" s="18">
        <f t="shared" si="35"/>
        <v>0</v>
      </c>
      <c r="BU24" s="18">
        <f t="shared" si="36"/>
        <v>0</v>
      </c>
      <c r="BV24" s="18">
        <f t="shared" si="37"/>
        <v>0</v>
      </c>
      <c r="BW24" s="18">
        <f t="shared" si="38"/>
        <v>0</v>
      </c>
      <c r="BX24" s="19"/>
      <c r="CC24" s="90">
        <v>0</v>
      </c>
      <c r="CD24" s="90">
        <v>0</v>
      </c>
      <c r="CE24" s="90">
        <v>0</v>
      </c>
      <c r="CF24" s="90">
        <v>0</v>
      </c>
      <c r="CG24" s="90">
        <v>0</v>
      </c>
      <c r="CH24" s="90">
        <v>16</v>
      </c>
      <c r="CI24" s="91">
        <v>0</v>
      </c>
      <c r="CJ24" s="91">
        <v>1</v>
      </c>
      <c r="CK24" s="91">
        <v>0</v>
      </c>
      <c r="CL24" s="91">
        <v>0</v>
      </c>
      <c r="CM24" s="92">
        <f t="shared" si="41"/>
        <v>17</v>
      </c>
    </row>
    <row r="25" spans="1:91" ht="22.5" customHeight="1" x14ac:dyDescent="0.25">
      <c r="A25" s="8">
        <v>15</v>
      </c>
      <c r="B25" s="9" t="s">
        <v>52</v>
      </c>
      <c r="C25" s="78" t="s">
        <v>53</v>
      </c>
      <c r="D25" s="95">
        <v>0.35625000000000001</v>
      </c>
      <c r="E25" s="95">
        <v>0.9375</v>
      </c>
      <c r="F25" s="95">
        <v>0.66249999999999998</v>
      </c>
      <c r="G25" s="95">
        <v>0.9375</v>
      </c>
      <c r="H25" s="95">
        <v>0.35555555555555557</v>
      </c>
      <c r="I25" s="96">
        <v>1</v>
      </c>
      <c r="J25" s="95">
        <v>0.35555555555555557</v>
      </c>
      <c r="K25" s="95">
        <v>0.93402777777777779</v>
      </c>
      <c r="L25" s="95">
        <v>0.3527777777777778</v>
      </c>
      <c r="M25" s="95">
        <v>0.95486111111111116</v>
      </c>
      <c r="N25" s="98" t="s">
        <v>15</v>
      </c>
      <c r="O25" s="98" t="s">
        <v>15</v>
      </c>
      <c r="P25" s="95">
        <v>0.35347222222222219</v>
      </c>
      <c r="Q25" s="96">
        <v>1</v>
      </c>
      <c r="R25" s="95">
        <v>0.35000000000000003</v>
      </c>
      <c r="S25" s="95">
        <v>0.93541666666666667</v>
      </c>
      <c r="T25" s="95">
        <v>0.34861111111111115</v>
      </c>
      <c r="U25" s="95">
        <v>0.93680555555555556</v>
      </c>
      <c r="V25" s="95">
        <v>0.35555555555555557</v>
      </c>
      <c r="W25" s="95">
        <v>0.93402777777777779</v>
      </c>
      <c r="X25" s="95">
        <v>0.35416666666666669</v>
      </c>
      <c r="Y25" s="95">
        <v>0.9458333333333333</v>
      </c>
      <c r="Z25" s="95">
        <v>0.3527777777777778</v>
      </c>
      <c r="AA25" s="95">
        <v>0.97569444444444453</v>
      </c>
      <c r="AB25" s="97">
        <v>0.5854166666666667</v>
      </c>
      <c r="AC25" s="97">
        <v>0.93611111111111101</v>
      </c>
      <c r="AD25" s="95">
        <v>0.36249999999999999</v>
      </c>
      <c r="AE25" s="95">
        <v>0.95624999999999993</v>
      </c>
      <c r="AF25" s="95">
        <v>0.35694444444444445</v>
      </c>
      <c r="AG25" s="95">
        <v>0.95000000000000007</v>
      </c>
      <c r="AI25" s="8">
        <v>15</v>
      </c>
      <c r="AJ25" s="95">
        <v>0.35555555555555557</v>
      </c>
      <c r="AK25" s="95">
        <v>0.94166666666666676</v>
      </c>
      <c r="AL25" s="95">
        <v>0.35694444444444445</v>
      </c>
      <c r="AM25" s="95">
        <v>1.8749999999999999E-2</v>
      </c>
      <c r="AN25" s="95">
        <v>0.39166666666666666</v>
      </c>
      <c r="AO25" s="95">
        <v>2.013888888888889E-2</v>
      </c>
      <c r="AP25" s="95">
        <v>0.38472222222222219</v>
      </c>
      <c r="AQ25" s="95">
        <v>2.2222222222222223E-2</v>
      </c>
      <c r="AR25" s="97">
        <v>0.57916666666666672</v>
      </c>
      <c r="AS25" s="97">
        <v>1.8055555555555557E-2</v>
      </c>
      <c r="AT25" s="95">
        <v>0.38680555555555557</v>
      </c>
      <c r="AU25" s="95">
        <v>2.7777777777777779E-3</v>
      </c>
      <c r="AV25" s="95">
        <v>0.36527777777777781</v>
      </c>
      <c r="AW25" s="96">
        <v>1</v>
      </c>
      <c r="AX25" s="95">
        <v>0.37361111111111112</v>
      </c>
      <c r="AY25" s="96">
        <v>1</v>
      </c>
      <c r="AZ25" s="95">
        <v>0.37152777777777773</v>
      </c>
      <c r="BA25" s="95">
        <v>9.0277777777777787E-3</v>
      </c>
      <c r="BB25" s="95">
        <v>0.37847222222222227</v>
      </c>
      <c r="BC25" s="95">
        <v>6.2499999999999995E-3</v>
      </c>
      <c r="BD25" s="95">
        <v>0.37013888888888885</v>
      </c>
      <c r="BE25" s="96">
        <v>1</v>
      </c>
      <c r="BF25" s="97">
        <v>0.58263888888888882</v>
      </c>
      <c r="BG25" s="97">
        <v>0.99583333333333324</v>
      </c>
      <c r="BH25" s="95">
        <v>0.38194444444444442</v>
      </c>
      <c r="BI25" s="95">
        <v>2.9861111111111113E-2</v>
      </c>
      <c r="BJ25" s="81">
        <f t="shared" si="40"/>
        <v>28</v>
      </c>
      <c r="BK25" s="82">
        <v>3</v>
      </c>
      <c r="BL25" s="17">
        <f t="shared" si="27"/>
        <v>27</v>
      </c>
      <c r="BM25" s="18">
        <f t="shared" si="28"/>
        <v>1</v>
      </c>
      <c r="BN25" s="18">
        <f t="shared" si="29"/>
        <v>0</v>
      </c>
      <c r="BO25" s="18">
        <f t="shared" si="30"/>
        <v>0</v>
      </c>
      <c r="BP25" s="18">
        <f t="shared" si="31"/>
        <v>0</v>
      </c>
      <c r="BQ25" s="18">
        <f t="shared" si="32"/>
        <v>0</v>
      </c>
      <c r="BR25" s="18">
        <f t="shared" si="33"/>
        <v>0</v>
      </c>
      <c r="BS25" s="18">
        <f t="shared" si="34"/>
        <v>0</v>
      </c>
      <c r="BT25" s="18">
        <f t="shared" si="35"/>
        <v>0</v>
      </c>
      <c r="BU25" s="18">
        <f t="shared" si="36"/>
        <v>0</v>
      </c>
      <c r="BV25" s="18">
        <f t="shared" si="37"/>
        <v>0</v>
      </c>
      <c r="BW25" s="18">
        <f t="shared" si="38"/>
        <v>0</v>
      </c>
      <c r="BX25" s="19"/>
      <c r="CC25" s="89">
        <v>0</v>
      </c>
      <c r="CD25" s="89">
        <v>0</v>
      </c>
      <c r="CE25" s="89">
        <v>0</v>
      </c>
      <c r="CF25" s="89">
        <v>0</v>
      </c>
      <c r="CG25" s="89">
        <v>0</v>
      </c>
      <c r="CH25" s="88">
        <v>3</v>
      </c>
      <c r="CI25" s="89">
        <v>0</v>
      </c>
      <c r="CJ25" s="89">
        <v>0</v>
      </c>
      <c r="CK25" s="89">
        <v>0</v>
      </c>
      <c r="CL25" s="89">
        <v>0</v>
      </c>
      <c r="CM25" s="93">
        <f t="shared" si="41"/>
        <v>3</v>
      </c>
    </row>
    <row r="26" spans="1:91" ht="22.5" customHeight="1" x14ac:dyDescent="0.25">
      <c r="A26" s="8">
        <v>16</v>
      </c>
      <c r="B26" s="9" t="s">
        <v>54</v>
      </c>
      <c r="C26" s="78" t="s">
        <v>97</v>
      </c>
      <c r="D26" s="95">
        <v>0.4291666666666667</v>
      </c>
      <c r="E26" s="95">
        <v>0.85277777777777775</v>
      </c>
      <c r="F26" s="95">
        <v>0.37638888888888888</v>
      </c>
      <c r="G26" s="95">
        <v>0.86458333333333337</v>
      </c>
      <c r="H26" s="95">
        <v>0.3840277777777778</v>
      </c>
      <c r="I26" s="95">
        <v>0.86111111111111116</v>
      </c>
      <c r="J26" s="95">
        <v>0.4291666666666667</v>
      </c>
      <c r="K26" s="95">
        <v>0.86736111111111114</v>
      </c>
      <c r="L26" s="95">
        <v>0.39513888888888887</v>
      </c>
      <c r="M26" s="95">
        <v>0.39513888888888887</v>
      </c>
      <c r="N26" s="97">
        <v>0.85277777777777775</v>
      </c>
      <c r="O26" s="97">
        <v>0.85277777777777775</v>
      </c>
      <c r="P26" s="95">
        <v>0.39861111111111108</v>
      </c>
      <c r="Q26" s="95">
        <v>0.83750000000000002</v>
      </c>
      <c r="R26" s="95">
        <v>0.38819444444444445</v>
      </c>
      <c r="S26" s="95">
        <v>0.83194444444444438</v>
      </c>
      <c r="T26" s="95">
        <v>0.37708333333333338</v>
      </c>
      <c r="U26" s="95">
        <v>0.84791666666666676</v>
      </c>
      <c r="V26" s="95">
        <v>0.37916666666666665</v>
      </c>
      <c r="W26" s="95">
        <v>0.87222222222222223</v>
      </c>
      <c r="X26" s="95">
        <v>0.37638888888888888</v>
      </c>
      <c r="Y26" s="95">
        <v>0.86111111111111116</v>
      </c>
      <c r="Z26" s="95">
        <v>0.38055555555555554</v>
      </c>
      <c r="AA26" s="95">
        <v>0.91388888888888886</v>
      </c>
      <c r="AB26" s="97">
        <v>0.32916666666666666</v>
      </c>
      <c r="AC26" s="97">
        <v>0.87152777777777779</v>
      </c>
      <c r="AD26" s="95">
        <v>0.37708333333333338</v>
      </c>
      <c r="AE26" s="95">
        <v>0.84791666666666676</v>
      </c>
      <c r="AF26" s="95">
        <v>0.37777777777777777</v>
      </c>
      <c r="AG26" s="95">
        <v>0.84791666666666676</v>
      </c>
      <c r="AI26" s="8">
        <v>16</v>
      </c>
      <c r="AJ26" s="95">
        <v>0.37638888888888888</v>
      </c>
      <c r="AK26" s="95">
        <v>0.87291666666666667</v>
      </c>
      <c r="AL26" s="95">
        <v>0.45763888888888887</v>
      </c>
      <c r="AM26" s="95">
        <v>0.87152777777777779</v>
      </c>
      <c r="AN26" s="95">
        <v>0.4368055555555555</v>
      </c>
      <c r="AO26" s="95">
        <v>0.87569444444444444</v>
      </c>
      <c r="AP26" s="95">
        <v>0.37638888888888888</v>
      </c>
      <c r="AQ26" s="95">
        <v>0.83888888888888891</v>
      </c>
      <c r="AR26" s="97">
        <v>0.32777777777777778</v>
      </c>
      <c r="AS26" s="97">
        <v>0.83611111111111114</v>
      </c>
      <c r="AT26" s="95">
        <v>0.42083333333333334</v>
      </c>
      <c r="AU26" s="95">
        <v>0.84166666666666667</v>
      </c>
      <c r="AV26" s="95">
        <v>0.38055555555555554</v>
      </c>
      <c r="AW26" s="95">
        <v>0.8569444444444444</v>
      </c>
      <c r="AX26" s="95">
        <v>0.375</v>
      </c>
      <c r="AY26" s="95">
        <v>0.84444444444444444</v>
      </c>
      <c r="AZ26" s="95">
        <v>0.37638888888888888</v>
      </c>
      <c r="BA26" s="95">
        <v>0.87152777777777779</v>
      </c>
      <c r="BB26" s="95">
        <v>0.3743055555555555</v>
      </c>
      <c r="BC26" s="95">
        <v>0.86319444444444438</v>
      </c>
      <c r="BD26" s="95">
        <v>0.3756944444444445</v>
      </c>
      <c r="BE26" s="95">
        <v>0.8569444444444444</v>
      </c>
      <c r="BF26" s="97">
        <v>0.32777777777777778</v>
      </c>
      <c r="BG26" s="97">
        <v>0.84791666666666676</v>
      </c>
      <c r="BH26" s="95">
        <v>0.37708333333333338</v>
      </c>
      <c r="BI26" s="95">
        <v>0.87361111111111101</v>
      </c>
      <c r="BJ26" s="81">
        <f t="shared" si="40"/>
        <v>28</v>
      </c>
      <c r="BK26" s="82">
        <v>4</v>
      </c>
      <c r="BL26" s="17">
        <f t="shared" si="27"/>
        <v>28</v>
      </c>
      <c r="BM26" s="18">
        <f t="shared" si="28"/>
        <v>0</v>
      </c>
      <c r="BN26" s="18">
        <f t="shared" si="29"/>
        <v>0</v>
      </c>
      <c r="BO26" s="18">
        <f t="shared" si="30"/>
        <v>0</v>
      </c>
      <c r="BP26" s="18">
        <f t="shared" si="31"/>
        <v>0</v>
      </c>
      <c r="BQ26" s="18">
        <f t="shared" si="32"/>
        <v>0</v>
      </c>
      <c r="BR26" s="18">
        <f t="shared" si="33"/>
        <v>0</v>
      </c>
      <c r="BS26" s="18">
        <f t="shared" si="34"/>
        <v>0</v>
      </c>
      <c r="BT26" s="18">
        <f t="shared" si="35"/>
        <v>0</v>
      </c>
      <c r="BU26" s="18">
        <f t="shared" si="36"/>
        <v>0</v>
      </c>
      <c r="BV26" s="18">
        <f t="shared" si="37"/>
        <v>0</v>
      </c>
      <c r="BW26" s="18">
        <f t="shared" si="38"/>
        <v>0</v>
      </c>
      <c r="BX26" s="19"/>
      <c r="CC26" s="90">
        <v>0</v>
      </c>
      <c r="CD26" s="90">
        <v>0</v>
      </c>
      <c r="CE26" s="90">
        <v>0</v>
      </c>
      <c r="CF26" s="90">
        <v>0</v>
      </c>
      <c r="CG26" s="90">
        <v>0</v>
      </c>
      <c r="CH26" s="90">
        <v>0</v>
      </c>
      <c r="CI26" s="90">
        <v>0</v>
      </c>
      <c r="CJ26" s="91">
        <v>1</v>
      </c>
      <c r="CK26" s="91">
        <v>0</v>
      </c>
      <c r="CL26" s="91">
        <v>0</v>
      </c>
      <c r="CM26" s="92">
        <f t="shared" si="41"/>
        <v>1</v>
      </c>
    </row>
    <row r="27" spans="1:91" ht="22.5" customHeight="1" x14ac:dyDescent="0.25">
      <c r="A27" s="8">
        <v>17</v>
      </c>
      <c r="B27" s="9" t="s">
        <v>57</v>
      </c>
      <c r="C27" s="78" t="s">
        <v>58</v>
      </c>
      <c r="D27" s="95">
        <v>0.34583333333333338</v>
      </c>
      <c r="E27" s="95">
        <v>0.8930555555555556</v>
      </c>
      <c r="F27" s="95">
        <v>0.34513888888888888</v>
      </c>
      <c r="G27" s="95">
        <v>0.95624999999999993</v>
      </c>
      <c r="H27" s="95">
        <v>0.33819444444444446</v>
      </c>
      <c r="I27" s="95">
        <v>0.8520833333333333</v>
      </c>
      <c r="J27" s="95">
        <v>0.3527777777777778</v>
      </c>
      <c r="K27" s="95">
        <v>0.84861111111111109</v>
      </c>
      <c r="L27" s="95">
        <v>0.33402777777777781</v>
      </c>
      <c r="M27" s="95">
        <v>0.87916666666666676</v>
      </c>
      <c r="N27" s="97">
        <v>0.58263888888888882</v>
      </c>
      <c r="O27" s="98">
        <v>1</v>
      </c>
      <c r="P27" s="95">
        <v>0.34583333333333338</v>
      </c>
      <c r="Q27" s="95">
        <v>0.84930555555555554</v>
      </c>
      <c r="R27" s="95">
        <v>0.34930555555555554</v>
      </c>
      <c r="S27" s="95">
        <v>0.90555555555555556</v>
      </c>
      <c r="T27" s="95">
        <v>0.33749999999999997</v>
      </c>
      <c r="U27" s="95">
        <v>0.93888888888888899</v>
      </c>
      <c r="V27" s="95">
        <v>0.34930555555555554</v>
      </c>
      <c r="W27" s="95">
        <v>0.83263888888888893</v>
      </c>
      <c r="X27" s="95">
        <v>0.32777777777777778</v>
      </c>
      <c r="Y27" s="95">
        <v>0.85972222222222217</v>
      </c>
      <c r="Z27" s="95">
        <v>0.34722222222222227</v>
      </c>
      <c r="AA27" s="95">
        <v>0.85763888888888884</v>
      </c>
      <c r="AB27" s="97">
        <v>0.58194444444444449</v>
      </c>
      <c r="AC27" s="97">
        <v>0.8354166666666667</v>
      </c>
      <c r="AD27" s="95">
        <v>0.33958333333333335</v>
      </c>
      <c r="AE27" s="95">
        <v>0.97083333333333333</v>
      </c>
      <c r="AF27" s="95">
        <v>0.3354166666666667</v>
      </c>
      <c r="AG27" s="96">
        <v>1</v>
      </c>
      <c r="AI27" s="8">
        <v>17</v>
      </c>
      <c r="AJ27" s="95">
        <v>0.33749999999999997</v>
      </c>
      <c r="AK27" s="96">
        <v>1</v>
      </c>
      <c r="AL27" s="95">
        <v>0.34236111111111112</v>
      </c>
      <c r="AM27" s="95">
        <v>0.9291666666666667</v>
      </c>
      <c r="AN27" s="95">
        <v>0.3756944444444445</v>
      </c>
      <c r="AO27" s="95">
        <v>0.99930555555555556</v>
      </c>
      <c r="AP27" s="95">
        <v>0.38125000000000003</v>
      </c>
      <c r="AQ27" s="95">
        <v>1.7361111111111112E-2</v>
      </c>
      <c r="AR27" s="97">
        <v>0.57986111111111105</v>
      </c>
      <c r="AS27" s="97">
        <v>0.99861111111111101</v>
      </c>
      <c r="AT27" s="95">
        <v>0.36388888888888887</v>
      </c>
      <c r="AU27" s="95">
        <v>0.12222222222222223</v>
      </c>
      <c r="AV27" s="95">
        <v>0.35694444444444445</v>
      </c>
      <c r="AW27" s="95">
        <v>0.99722222222222223</v>
      </c>
      <c r="AX27" s="95">
        <v>0.3666666666666667</v>
      </c>
      <c r="AY27" s="95">
        <v>0.11319444444444444</v>
      </c>
      <c r="AZ27" s="95">
        <v>0.3527777777777778</v>
      </c>
      <c r="BA27" s="96">
        <v>1</v>
      </c>
      <c r="BB27" s="95">
        <v>0.37152777777777773</v>
      </c>
      <c r="BC27" s="95">
        <v>5.5555555555555558E-3</v>
      </c>
      <c r="BD27" s="95">
        <v>0.37638888888888888</v>
      </c>
      <c r="BE27" s="95">
        <v>2.2222222222222223E-2</v>
      </c>
      <c r="BF27" s="97">
        <v>0.57847222222222217</v>
      </c>
      <c r="BG27" s="97">
        <v>0.99791666666666667</v>
      </c>
      <c r="BH27" s="95">
        <v>0.37847222222222227</v>
      </c>
      <c r="BI27" s="95">
        <v>4.1666666666666666E-3</v>
      </c>
      <c r="BJ27" s="81">
        <f t="shared" si="40"/>
        <v>28</v>
      </c>
      <c r="BK27" s="82">
        <v>4</v>
      </c>
      <c r="BL27" s="17">
        <f t="shared" si="27"/>
        <v>28</v>
      </c>
      <c r="BM27" s="18">
        <f t="shared" si="28"/>
        <v>0</v>
      </c>
      <c r="BN27" s="18">
        <f t="shared" si="29"/>
        <v>0</v>
      </c>
      <c r="BO27" s="18">
        <f t="shared" si="30"/>
        <v>0</v>
      </c>
      <c r="BP27" s="18">
        <f t="shared" si="31"/>
        <v>0</v>
      </c>
      <c r="BQ27" s="18">
        <f t="shared" si="32"/>
        <v>0</v>
      </c>
      <c r="BR27" s="18">
        <f t="shared" si="33"/>
        <v>0</v>
      </c>
      <c r="BS27" s="18">
        <f t="shared" si="34"/>
        <v>0</v>
      </c>
      <c r="BT27" s="18">
        <f t="shared" si="35"/>
        <v>0</v>
      </c>
      <c r="BU27" s="18">
        <f t="shared" si="36"/>
        <v>0</v>
      </c>
      <c r="BV27" s="18">
        <f t="shared" si="37"/>
        <v>0</v>
      </c>
      <c r="BW27" s="18">
        <f t="shared" si="38"/>
        <v>0</v>
      </c>
      <c r="BX27" s="19"/>
      <c r="CC27" s="90">
        <v>0</v>
      </c>
      <c r="CD27" s="90">
        <v>0</v>
      </c>
      <c r="CE27" s="90">
        <v>1</v>
      </c>
      <c r="CF27" s="91">
        <v>0</v>
      </c>
      <c r="CG27" s="91">
        <v>0</v>
      </c>
      <c r="CH27" s="90">
        <v>6</v>
      </c>
      <c r="CI27" s="91">
        <v>0</v>
      </c>
      <c r="CJ27" s="91">
        <v>1</v>
      </c>
      <c r="CK27" s="91">
        <v>0</v>
      </c>
      <c r="CL27" s="91">
        <v>0</v>
      </c>
      <c r="CM27" s="92">
        <f t="shared" si="41"/>
        <v>8</v>
      </c>
    </row>
    <row r="28" spans="1:91" ht="22.5" customHeight="1" x14ac:dyDescent="0.25">
      <c r="A28" s="8">
        <v>18</v>
      </c>
      <c r="B28" s="9" t="s">
        <v>59</v>
      </c>
      <c r="C28" s="78" t="s">
        <v>60</v>
      </c>
      <c r="D28" s="95">
        <v>0.35625000000000001</v>
      </c>
      <c r="E28" s="95">
        <v>0.9375</v>
      </c>
      <c r="F28" s="95">
        <v>0.35416666666666669</v>
      </c>
      <c r="G28" s="95">
        <v>0.9375</v>
      </c>
      <c r="H28" s="95">
        <v>0.35555555555555557</v>
      </c>
      <c r="I28" s="95">
        <v>0.94097222222222221</v>
      </c>
      <c r="J28" s="95">
        <v>0.35555555555555557</v>
      </c>
      <c r="K28" s="95">
        <v>0.93402777777777779</v>
      </c>
      <c r="L28" s="95">
        <v>0.3527777777777778</v>
      </c>
      <c r="M28" s="95">
        <v>0.95347222222222217</v>
      </c>
      <c r="N28" s="97">
        <v>0.58680555555555558</v>
      </c>
      <c r="O28" s="97">
        <v>0.94027777777777777</v>
      </c>
      <c r="P28" s="95">
        <v>0.35347222222222219</v>
      </c>
      <c r="Q28" s="95">
        <v>0.95000000000000007</v>
      </c>
      <c r="R28" s="95" t="s">
        <v>102</v>
      </c>
      <c r="S28" s="95" t="s">
        <v>102</v>
      </c>
      <c r="T28" s="95">
        <v>0.35625000000000001</v>
      </c>
      <c r="U28" s="95">
        <v>0.93472222222222223</v>
      </c>
      <c r="V28" s="95">
        <v>0.35625000000000001</v>
      </c>
      <c r="W28" s="95">
        <v>0.93402777777777779</v>
      </c>
      <c r="X28" s="95">
        <v>0.35416666666666669</v>
      </c>
      <c r="Y28" s="95">
        <v>0.9458333333333333</v>
      </c>
      <c r="Z28" s="95">
        <v>0.35347222222222219</v>
      </c>
      <c r="AA28" s="96">
        <v>1</v>
      </c>
      <c r="AB28" s="97">
        <v>0.5854166666666667</v>
      </c>
      <c r="AC28" s="97">
        <v>0.9375</v>
      </c>
      <c r="AD28" s="95">
        <v>0.36249999999999999</v>
      </c>
      <c r="AE28" s="95">
        <v>0.95624999999999993</v>
      </c>
      <c r="AF28" s="95">
        <v>0.35694444444444445</v>
      </c>
      <c r="AG28" s="95">
        <v>0.95000000000000007</v>
      </c>
      <c r="AI28" s="8">
        <v>18</v>
      </c>
      <c r="AJ28" s="95">
        <v>0.35625000000000001</v>
      </c>
      <c r="AK28" s="96">
        <v>1</v>
      </c>
      <c r="AL28" s="95">
        <v>0.35694444444444445</v>
      </c>
      <c r="AM28" s="95">
        <v>1.8749999999999999E-2</v>
      </c>
      <c r="AN28" s="95">
        <v>0.39166666666666666</v>
      </c>
      <c r="AO28" s="95">
        <v>2.013888888888889E-2</v>
      </c>
      <c r="AP28" s="95">
        <v>0.38541666666666669</v>
      </c>
      <c r="AQ28" s="95">
        <v>2.2916666666666669E-2</v>
      </c>
      <c r="AR28" s="97">
        <v>0.59305555555555556</v>
      </c>
      <c r="AS28" s="97">
        <v>1.8749999999999999E-2</v>
      </c>
      <c r="AT28" s="95" t="s">
        <v>102</v>
      </c>
      <c r="AU28" s="95" t="s">
        <v>102</v>
      </c>
      <c r="AV28" s="95">
        <v>0.37638888888888888</v>
      </c>
      <c r="AW28" s="95">
        <v>2.2916666666666669E-2</v>
      </c>
      <c r="AX28" s="95">
        <v>0.375</v>
      </c>
      <c r="AY28" s="96">
        <v>1</v>
      </c>
      <c r="AZ28" s="95">
        <v>0.37777777777777777</v>
      </c>
      <c r="BA28" s="95">
        <v>9.7222222222222224E-3</v>
      </c>
      <c r="BB28" s="95">
        <v>0.37847222222222227</v>
      </c>
      <c r="BC28" s="95">
        <v>0.99722222222222223</v>
      </c>
      <c r="BD28" s="95">
        <v>0.38125000000000003</v>
      </c>
      <c r="BE28" s="95">
        <v>1.3888888888888889E-3</v>
      </c>
      <c r="BF28" s="97">
        <v>0.58263888888888882</v>
      </c>
      <c r="BG28" s="97">
        <v>0.99583333333333324</v>
      </c>
      <c r="BH28" s="95">
        <v>0.40208333333333335</v>
      </c>
      <c r="BI28" s="95">
        <v>3.0555555555555555E-2</v>
      </c>
      <c r="BJ28" s="81">
        <f t="shared" si="40"/>
        <v>28</v>
      </c>
      <c r="BK28" s="82">
        <v>4</v>
      </c>
      <c r="BL28" s="17">
        <f t="shared" si="27"/>
        <v>26</v>
      </c>
      <c r="BM28" s="18">
        <f t="shared" si="28"/>
        <v>0</v>
      </c>
      <c r="BN28" s="18">
        <f t="shared" si="29"/>
        <v>0</v>
      </c>
      <c r="BO28" s="18">
        <f t="shared" si="30"/>
        <v>0</v>
      </c>
      <c r="BP28" s="18">
        <f t="shared" si="31"/>
        <v>0</v>
      </c>
      <c r="BQ28" s="18">
        <f t="shared" si="32"/>
        <v>0</v>
      </c>
      <c r="BR28" s="18">
        <f t="shared" si="33"/>
        <v>0</v>
      </c>
      <c r="BS28" s="18">
        <f t="shared" si="34"/>
        <v>2</v>
      </c>
      <c r="BT28" s="18">
        <f t="shared" si="35"/>
        <v>0</v>
      </c>
      <c r="BU28" s="18">
        <f t="shared" si="36"/>
        <v>0</v>
      </c>
      <c r="BV28" s="18">
        <f t="shared" si="37"/>
        <v>0</v>
      </c>
      <c r="BW28" s="18">
        <f t="shared" si="38"/>
        <v>0</v>
      </c>
      <c r="BX28" s="19"/>
      <c r="CC28" s="89">
        <v>0</v>
      </c>
      <c r="CD28" s="89">
        <v>0</v>
      </c>
      <c r="CE28" s="89">
        <v>0</v>
      </c>
      <c r="CF28" s="89">
        <v>0</v>
      </c>
      <c r="CG28" s="89">
        <v>0</v>
      </c>
      <c r="CH28" s="88">
        <v>6</v>
      </c>
      <c r="CI28" s="89">
        <v>0</v>
      </c>
      <c r="CJ28" s="88">
        <v>1</v>
      </c>
      <c r="CK28" s="88">
        <v>0</v>
      </c>
      <c r="CL28" s="88">
        <v>0</v>
      </c>
      <c r="CM28" s="93">
        <f t="shared" si="41"/>
        <v>7</v>
      </c>
    </row>
    <row r="29" spans="1:91" ht="22.5" customHeight="1" x14ac:dyDescent="0.25">
      <c r="A29" s="8">
        <v>19</v>
      </c>
      <c r="B29" s="9" t="s">
        <v>61</v>
      </c>
      <c r="C29" s="78" t="s">
        <v>62</v>
      </c>
      <c r="D29" s="95">
        <v>0.35625000000000001</v>
      </c>
      <c r="E29" s="95">
        <v>0.93958333333333333</v>
      </c>
      <c r="F29" s="95">
        <v>0.35416666666666669</v>
      </c>
      <c r="G29" s="95">
        <v>0.9375</v>
      </c>
      <c r="H29" s="95">
        <v>0.35555555555555557</v>
      </c>
      <c r="I29" s="95">
        <v>0.94097222222222221</v>
      </c>
      <c r="J29" s="95">
        <v>0.35625000000000001</v>
      </c>
      <c r="K29" s="95">
        <v>0.93402777777777779</v>
      </c>
      <c r="L29" s="95">
        <v>0.3527777777777778</v>
      </c>
      <c r="M29" s="95">
        <v>0.95416666666666661</v>
      </c>
      <c r="N29" s="97">
        <v>0.58611111111111114</v>
      </c>
      <c r="O29" s="97">
        <v>0.94027777777777777</v>
      </c>
      <c r="P29" s="95">
        <v>0.3527777777777778</v>
      </c>
      <c r="Q29" s="95">
        <v>0.95000000000000007</v>
      </c>
      <c r="R29" s="95">
        <v>0.35416666666666669</v>
      </c>
      <c r="S29" s="95">
        <v>0.93472222222222223</v>
      </c>
      <c r="T29" s="95">
        <v>0.35625000000000001</v>
      </c>
      <c r="U29" s="95">
        <v>0.93263888888888891</v>
      </c>
      <c r="V29" s="95">
        <v>0.35625000000000001</v>
      </c>
      <c r="W29" s="95">
        <v>0.93541666666666667</v>
      </c>
      <c r="X29" s="95">
        <v>0.35347222222222219</v>
      </c>
      <c r="Y29" s="95">
        <v>0.9458333333333333</v>
      </c>
      <c r="Z29" s="95">
        <v>0.35347222222222219</v>
      </c>
      <c r="AA29" s="95">
        <v>0.97083333333333333</v>
      </c>
      <c r="AB29" s="97">
        <v>0.58472222222222225</v>
      </c>
      <c r="AC29" s="97">
        <v>0.93888888888888899</v>
      </c>
      <c r="AD29" s="95">
        <v>0.36180555555555555</v>
      </c>
      <c r="AE29" s="95">
        <v>0.95624999999999993</v>
      </c>
      <c r="AF29" s="95">
        <v>0.35625000000000001</v>
      </c>
      <c r="AG29" s="95">
        <v>0.95000000000000007</v>
      </c>
      <c r="AI29" s="8">
        <v>19</v>
      </c>
      <c r="AJ29" s="95">
        <v>0.35555555555555557</v>
      </c>
      <c r="AK29" s="95">
        <v>0.94236111111111109</v>
      </c>
      <c r="AL29" s="95">
        <v>0.35625000000000001</v>
      </c>
      <c r="AM29" s="95">
        <v>1.8055555555555557E-2</v>
      </c>
      <c r="AN29" s="95">
        <v>0.39166666666666666</v>
      </c>
      <c r="AO29" s="95">
        <v>1.1805555555555555E-2</v>
      </c>
      <c r="AP29" s="95">
        <v>0.38472222222222219</v>
      </c>
      <c r="AQ29" s="95">
        <v>2.013888888888889E-2</v>
      </c>
      <c r="AR29" s="97">
        <v>0.57916666666666672</v>
      </c>
      <c r="AS29" s="97">
        <v>1.8749999999999999E-2</v>
      </c>
      <c r="AT29" s="95">
        <v>0.37638888888888888</v>
      </c>
      <c r="AU29" s="95">
        <v>8.3333333333333332E-3</v>
      </c>
      <c r="AV29" s="95">
        <v>0.37638888888888888</v>
      </c>
      <c r="AW29" s="95">
        <v>2.2916666666666669E-2</v>
      </c>
      <c r="AX29" s="95">
        <v>0.375</v>
      </c>
      <c r="AY29" s="95">
        <v>6.2499999999999995E-3</v>
      </c>
      <c r="AZ29" s="95">
        <v>0.37777777777777777</v>
      </c>
      <c r="BA29" s="95">
        <v>9.0277777777777787E-3</v>
      </c>
      <c r="BB29" s="95">
        <v>0.37777777777777777</v>
      </c>
      <c r="BC29" s="95">
        <v>0.99861111111111101</v>
      </c>
      <c r="BD29" s="95">
        <v>0.38125000000000003</v>
      </c>
      <c r="BE29" s="95">
        <v>6.9444444444444447E-4</v>
      </c>
      <c r="BF29" s="97">
        <v>0.58194444444444449</v>
      </c>
      <c r="BG29" s="97">
        <v>0.99444444444444446</v>
      </c>
      <c r="BH29" s="95">
        <v>0.37638888888888888</v>
      </c>
      <c r="BI29" s="95">
        <v>3.0555555555555555E-2</v>
      </c>
      <c r="BJ29" s="81">
        <f t="shared" si="40"/>
        <v>28</v>
      </c>
      <c r="BK29" s="82">
        <v>4</v>
      </c>
      <c r="BL29" s="17">
        <f t="shared" si="27"/>
        <v>28</v>
      </c>
      <c r="BM29" s="18">
        <f t="shared" si="28"/>
        <v>0</v>
      </c>
      <c r="BN29" s="18">
        <f t="shared" si="29"/>
        <v>0</v>
      </c>
      <c r="BO29" s="18">
        <f t="shared" si="30"/>
        <v>0</v>
      </c>
      <c r="BP29" s="18">
        <f t="shared" si="31"/>
        <v>0</v>
      </c>
      <c r="BQ29" s="18">
        <f t="shared" si="32"/>
        <v>0</v>
      </c>
      <c r="BR29" s="18">
        <f t="shared" si="33"/>
        <v>0</v>
      </c>
      <c r="BS29" s="18">
        <f t="shared" si="34"/>
        <v>0</v>
      </c>
      <c r="BT29" s="18">
        <f t="shared" si="35"/>
        <v>0</v>
      </c>
      <c r="BU29" s="18">
        <f t="shared" si="36"/>
        <v>0</v>
      </c>
      <c r="BV29" s="18">
        <f t="shared" si="37"/>
        <v>0</v>
      </c>
      <c r="BW29" s="18">
        <f t="shared" si="38"/>
        <v>0</v>
      </c>
      <c r="BX29" s="19"/>
      <c r="CC29" s="90">
        <v>0</v>
      </c>
      <c r="CD29" s="90">
        <v>0</v>
      </c>
      <c r="CE29" s="90">
        <v>0</v>
      </c>
      <c r="CF29" s="90">
        <v>0</v>
      </c>
      <c r="CG29" s="90">
        <v>0</v>
      </c>
      <c r="CH29" s="90">
        <v>2</v>
      </c>
      <c r="CI29" s="91">
        <v>0</v>
      </c>
      <c r="CJ29" s="91">
        <v>0</v>
      </c>
      <c r="CK29" s="91">
        <v>0</v>
      </c>
      <c r="CL29" s="91">
        <v>0</v>
      </c>
      <c r="CM29" s="92">
        <f t="shared" si="41"/>
        <v>2</v>
      </c>
    </row>
    <row r="30" spans="1:91" ht="22.5" customHeight="1" x14ac:dyDescent="0.25">
      <c r="A30" s="8">
        <v>20</v>
      </c>
      <c r="B30" s="9" t="s">
        <v>63</v>
      </c>
      <c r="C30" s="78" t="s">
        <v>64</v>
      </c>
      <c r="D30" s="95">
        <v>0.34861111111111115</v>
      </c>
      <c r="E30" s="95">
        <v>0.8930555555555556</v>
      </c>
      <c r="F30" s="95">
        <v>0.34791666666666665</v>
      </c>
      <c r="G30" s="95">
        <v>0.95624999999999993</v>
      </c>
      <c r="H30" s="95">
        <v>0.3527777777777778</v>
      </c>
      <c r="I30" s="95">
        <v>0.8520833333333333</v>
      </c>
      <c r="J30" s="95">
        <v>0.3520833333333333</v>
      </c>
      <c r="K30" s="95">
        <v>0.84861111111111109</v>
      </c>
      <c r="L30" s="95">
        <v>0.3520833333333333</v>
      </c>
      <c r="M30" s="95">
        <v>0.87847222222222221</v>
      </c>
      <c r="N30" s="97">
        <v>0.58194444444444449</v>
      </c>
      <c r="O30" s="97">
        <v>0.58194444444444449</v>
      </c>
      <c r="P30" s="95">
        <v>0.35347222222222219</v>
      </c>
      <c r="Q30" s="95">
        <v>0.94166666666666676</v>
      </c>
      <c r="R30" s="95">
        <v>0.3527777777777778</v>
      </c>
      <c r="S30" s="95">
        <v>0.90486111111111101</v>
      </c>
      <c r="T30" s="95">
        <v>0.35069444444444442</v>
      </c>
      <c r="U30" s="95">
        <v>0.93819444444444444</v>
      </c>
      <c r="V30" s="95">
        <v>0.35555555555555557</v>
      </c>
      <c r="W30" s="95">
        <v>0.83333333333333337</v>
      </c>
      <c r="X30" s="95">
        <v>0.35138888888888892</v>
      </c>
      <c r="Y30" s="95">
        <v>0.86111111111111116</v>
      </c>
      <c r="Z30" s="95">
        <v>0.35069444444444442</v>
      </c>
      <c r="AA30" s="95">
        <v>0.86041666666666661</v>
      </c>
      <c r="AB30" s="97">
        <v>0.57916666666666672</v>
      </c>
      <c r="AC30" s="97">
        <v>0.83611111111111114</v>
      </c>
      <c r="AD30" s="95">
        <v>0.35069444444444442</v>
      </c>
      <c r="AE30" s="95">
        <v>0.97083333333333333</v>
      </c>
      <c r="AF30" s="95">
        <v>0.35138888888888892</v>
      </c>
      <c r="AG30" s="96">
        <v>1</v>
      </c>
      <c r="AI30" s="8">
        <v>20</v>
      </c>
      <c r="AJ30" s="95">
        <v>0.35416666666666669</v>
      </c>
      <c r="AK30" s="95">
        <v>0.9291666666666667</v>
      </c>
      <c r="AL30" s="95">
        <v>0.35069444444444442</v>
      </c>
      <c r="AM30" s="95">
        <v>0.9291666666666667</v>
      </c>
      <c r="AN30" s="95">
        <v>0.37361111111111112</v>
      </c>
      <c r="AO30" s="95">
        <v>0.99930555555555556</v>
      </c>
      <c r="AP30" s="95">
        <v>0.37291666666666662</v>
      </c>
      <c r="AQ30" s="95">
        <v>1.7361111111111112E-2</v>
      </c>
      <c r="AR30" s="97">
        <v>0.57847222222222217</v>
      </c>
      <c r="AS30" s="97">
        <v>0.99791666666666667</v>
      </c>
      <c r="AT30" s="95">
        <v>0.37083333333333335</v>
      </c>
      <c r="AU30" s="95">
        <v>0.12222222222222223</v>
      </c>
      <c r="AV30" s="95">
        <v>0.3659722222222222</v>
      </c>
      <c r="AW30" s="95">
        <v>0.99722222222222223</v>
      </c>
      <c r="AX30" s="95">
        <v>0.37083333333333335</v>
      </c>
      <c r="AY30" s="95">
        <v>0.37083333333333335</v>
      </c>
      <c r="AZ30" s="95">
        <v>0.37083333333333335</v>
      </c>
      <c r="BA30" s="95">
        <v>6.0416666666666667E-2</v>
      </c>
      <c r="BB30" s="95">
        <v>0.36944444444444446</v>
      </c>
      <c r="BC30" s="95">
        <v>6.2499999999999995E-3</v>
      </c>
      <c r="BD30" s="95">
        <v>0.36527777777777781</v>
      </c>
      <c r="BE30" s="95">
        <v>2.2222222222222223E-2</v>
      </c>
      <c r="BF30" s="97">
        <v>0.5805555555555556</v>
      </c>
      <c r="BG30" s="97">
        <v>0.99861111111111101</v>
      </c>
      <c r="BH30" s="95">
        <v>0.36944444444444446</v>
      </c>
      <c r="BI30" s="95">
        <v>4.1666666666666666E-3</v>
      </c>
      <c r="BJ30" s="81">
        <f t="shared" si="40"/>
        <v>28</v>
      </c>
      <c r="BK30" s="82">
        <v>4</v>
      </c>
      <c r="BL30" s="17">
        <f t="shared" si="27"/>
        <v>28</v>
      </c>
      <c r="BM30" s="18">
        <f t="shared" si="28"/>
        <v>0</v>
      </c>
      <c r="BN30" s="18">
        <f t="shared" si="29"/>
        <v>0</v>
      </c>
      <c r="BO30" s="18">
        <f t="shared" si="30"/>
        <v>0</v>
      </c>
      <c r="BP30" s="18">
        <f t="shared" si="31"/>
        <v>0</v>
      </c>
      <c r="BQ30" s="18">
        <f t="shared" si="32"/>
        <v>0</v>
      </c>
      <c r="BR30" s="18">
        <f t="shared" si="33"/>
        <v>0</v>
      </c>
      <c r="BS30" s="18">
        <f t="shared" si="34"/>
        <v>0</v>
      </c>
      <c r="BT30" s="18">
        <f t="shared" si="35"/>
        <v>0</v>
      </c>
      <c r="BU30" s="18">
        <f t="shared" si="36"/>
        <v>0</v>
      </c>
      <c r="BV30" s="18">
        <f t="shared" si="37"/>
        <v>0</v>
      </c>
      <c r="BW30" s="18">
        <f t="shared" si="38"/>
        <v>0</v>
      </c>
      <c r="BX30" s="19"/>
      <c r="CC30" s="89">
        <v>0</v>
      </c>
      <c r="CD30" s="89">
        <v>0</v>
      </c>
      <c r="CE30" s="89">
        <v>0</v>
      </c>
      <c r="CF30" s="89">
        <v>0</v>
      </c>
      <c r="CG30" s="89">
        <v>0</v>
      </c>
      <c r="CH30" s="89">
        <v>0</v>
      </c>
      <c r="CI30" s="89">
        <v>0</v>
      </c>
      <c r="CJ30" s="89">
        <v>0</v>
      </c>
      <c r="CK30" s="89">
        <v>0</v>
      </c>
      <c r="CL30" s="89">
        <v>0</v>
      </c>
      <c r="CM30" s="93">
        <f t="shared" si="41"/>
        <v>0</v>
      </c>
    </row>
    <row r="31" spans="1:91" ht="22.5" customHeight="1" x14ac:dyDescent="0.25">
      <c r="A31" s="8">
        <v>21</v>
      </c>
      <c r="B31" s="9" t="s">
        <v>65</v>
      </c>
      <c r="C31" s="78" t="s">
        <v>66</v>
      </c>
      <c r="D31" s="95">
        <v>0.34861111111111115</v>
      </c>
      <c r="E31" s="95">
        <v>0.89236111111111116</v>
      </c>
      <c r="F31" s="95">
        <v>0.35069444444444442</v>
      </c>
      <c r="G31" s="95">
        <v>0.95694444444444438</v>
      </c>
      <c r="H31" s="95">
        <v>0.34097222222222223</v>
      </c>
      <c r="I31" s="95">
        <v>0.8520833333333333</v>
      </c>
      <c r="J31" s="95">
        <v>0.34861111111111115</v>
      </c>
      <c r="K31" s="95">
        <v>0.84861111111111109</v>
      </c>
      <c r="L31" s="95">
        <v>0.35347222222222219</v>
      </c>
      <c r="M31" s="95">
        <v>0.87916666666666676</v>
      </c>
      <c r="N31" s="98" t="s">
        <v>15</v>
      </c>
      <c r="O31" s="98" t="s">
        <v>15</v>
      </c>
      <c r="P31" s="95">
        <v>0.35069444444444442</v>
      </c>
      <c r="Q31" s="95">
        <v>0.84861111111111109</v>
      </c>
      <c r="R31" s="95">
        <v>0.35486111111111113</v>
      </c>
      <c r="S31" s="95">
        <v>0.90208333333333324</v>
      </c>
      <c r="T31" s="95">
        <v>0.34791666666666665</v>
      </c>
      <c r="U31" s="95">
        <v>0.93888888888888899</v>
      </c>
      <c r="V31" s="95">
        <v>0.35625000000000001</v>
      </c>
      <c r="W31" s="95">
        <v>0.83263888888888893</v>
      </c>
      <c r="X31" s="95">
        <v>0.35069444444444442</v>
      </c>
      <c r="Y31" s="95">
        <v>0.85972222222222217</v>
      </c>
      <c r="Z31" s="95">
        <v>0.34930555555555554</v>
      </c>
      <c r="AA31" s="95">
        <v>0.85763888888888884</v>
      </c>
      <c r="AB31" s="97">
        <v>0.58124999999999993</v>
      </c>
      <c r="AC31" s="97">
        <v>0.83611111111111114</v>
      </c>
      <c r="AD31" s="95">
        <v>0.35069444444444442</v>
      </c>
      <c r="AE31" s="95">
        <v>0.97083333333333333</v>
      </c>
      <c r="AF31" s="95">
        <v>0.35416666666666669</v>
      </c>
      <c r="AG31" s="96">
        <v>1</v>
      </c>
      <c r="AI31" s="8">
        <v>21</v>
      </c>
      <c r="AJ31" s="95">
        <v>0.34652777777777777</v>
      </c>
      <c r="AK31" s="95">
        <v>0.9291666666666667</v>
      </c>
      <c r="AL31" s="95">
        <v>0.3444444444444445</v>
      </c>
      <c r="AM31" s="95">
        <v>0.9291666666666667</v>
      </c>
      <c r="AN31" s="95">
        <v>0.375</v>
      </c>
      <c r="AO31" s="95">
        <v>0.99861111111111101</v>
      </c>
      <c r="AP31" s="95">
        <v>0.37916666666666665</v>
      </c>
      <c r="AQ31" s="95">
        <v>1.7361111111111112E-2</v>
      </c>
      <c r="AR31" s="97">
        <v>0.57986111111111105</v>
      </c>
      <c r="AS31" s="97">
        <v>0.99791666666666667</v>
      </c>
      <c r="AT31" s="95">
        <v>0.37638888888888888</v>
      </c>
      <c r="AU31" s="95">
        <v>2.2916666666666669E-2</v>
      </c>
      <c r="AV31" s="95">
        <v>0.35972222222222222</v>
      </c>
      <c r="AW31" s="95">
        <v>0.99722222222222223</v>
      </c>
      <c r="AX31" s="95">
        <v>0.3756944444444445</v>
      </c>
      <c r="AY31" s="96">
        <v>1</v>
      </c>
      <c r="AZ31" s="95">
        <v>0.36180555555555555</v>
      </c>
      <c r="BA31" s="96">
        <v>1</v>
      </c>
      <c r="BB31" s="95">
        <v>0.37916666666666665</v>
      </c>
      <c r="BC31" s="95">
        <v>0.37916666666666665</v>
      </c>
      <c r="BD31" s="95">
        <v>0.37916666666666665</v>
      </c>
      <c r="BE31" s="95">
        <v>2.2916666666666669E-2</v>
      </c>
      <c r="BF31" s="97">
        <v>0.57916666666666672</v>
      </c>
      <c r="BG31" s="97">
        <v>0.99861111111111101</v>
      </c>
      <c r="BH31" s="95">
        <v>0.37638888888888888</v>
      </c>
      <c r="BI31" s="95">
        <v>4.1666666666666666E-3</v>
      </c>
      <c r="BJ31" s="81">
        <f t="shared" si="40"/>
        <v>28</v>
      </c>
      <c r="BK31" s="82">
        <v>3</v>
      </c>
      <c r="BL31" s="17">
        <f t="shared" si="27"/>
        <v>27</v>
      </c>
      <c r="BM31" s="18">
        <f t="shared" si="28"/>
        <v>1</v>
      </c>
      <c r="BN31" s="18">
        <f t="shared" si="29"/>
        <v>0</v>
      </c>
      <c r="BO31" s="18">
        <f t="shared" si="30"/>
        <v>0</v>
      </c>
      <c r="BP31" s="18">
        <f t="shared" si="31"/>
        <v>0</v>
      </c>
      <c r="BQ31" s="18">
        <f t="shared" si="32"/>
        <v>0</v>
      </c>
      <c r="BR31" s="18">
        <f t="shared" si="33"/>
        <v>0</v>
      </c>
      <c r="BS31" s="18">
        <f t="shared" si="34"/>
        <v>0</v>
      </c>
      <c r="BT31" s="18">
        <f t="shared" si="35"/>
        <v>0</v>
      </c>
      <c r="BU31" s="18">
        <f t="shared" si="36"/>
        <v>0</v>
      </c>
      <c r="BV31" s="18">
        <f t="shared" si="37"/>
        <v>0</v>
      </c>
      <c r="BW31" s="18">
        <f t="shared" si="38"/>
        <v>0</v>
      </c>
      <c r="BX31" s="19"/>
      <c r="CC31" s="90">
        <v>0</v>
      </c>
      <c r="CD31" s="90">
        <v>0</v>
      </c>
      <c r="CE31" s="90">
        <v>0</v>
      </c>
      <c r="CF31" s="90">
        <v>0</v>
      </c>
      <c r="CG31" s="90">
        <v>0</v>
      </c>
      <c r="CH31" s="90">
        <v>6</v>
      </c>
      <c r="CI31" s="91">
        <v>0</v>
      </c>
      <c r="CJ31" s="91">
        <v>0</v>
      </c>
      <c r="CK31" s="91">
        <v>0</v>
      </c>
      <c r="CL31" s="91">
        <v>0</v>
      </c>
      <c r="CM31" s="92">
        <f t="shared" si="41"/>
        <v>6</v>
      </c>
    </row>
    <row r="32" spans="1:91" ht="22.5" customHeight="1" x14ac:dyDescent="0.25">
      <c r="A32" s="8">
        <v>22</v>
      </c>
      <c r="B32" s="9" t="s">
        <v>67</v>
      </c>
      <c r="C32" s="78" t="s">
        <v>68</v>
      </c>
      <c r="D32" s="95">
        <v>0.35694444444444445</v>
      </c>
      <c r="E32" s="95">
        <v>0.93819444444444444</v>
      </c>
      <c r="F32" s="95">
        <v>0.35416666666666669</v>
      </c>
      <c r="G32" s="95">
        <v>0.93819444444444444</v>
      </c>
      <c r="H32" s="95">
        <v>0.35555555555555557</v>
      </c>
      <c r="I32" s="95">
        <v>0.94166666666666676</v>
      </c>
      <c r="J32" s="95">
        <v>0.35555555555555557</v>
      </c>
      <c r="K32" s="95">
        <v>0.93541666666666667</v>
      </c>
      <c r="L32" s="95">
        <v>0.3527777777777778</v>
      </c>
      <c r="M32" s="95">
        <v>0.95416666666666661</v>
      </c>
      <c r="N32" s="98" t="s">
        <v>15</v>
      </c>
      <c r="O32" s="98" t="s">
        <v>15</v>
      </c>
      <c r="P32" s="95">
        <v>0.35347222222222219</v>
      </c>
      <c r="Q32" s="95">
        <v>0.9506944444444444</v>
      </c>
      <c r="R32" s="95">
        <v>0.35416666666666669</v>
      </c>
      <c r="S32" s="95">
        <v>0.93541666666666667</v>
      </c>
      <c r="T32" s="95">
        <v>0.35625000000000001</v>
      </c>
      <c r="U32" s="95">
        <v>0.93958333333333333</v>
      </c>
      <c r="V32" s="95">
        <v>0.35625000000000001</v>
      </c>
      <c r="W32" s="95">
        <v>0.93402777777777779</v>
      </c>
      <c r="X32" s="95">
        <v>0.35416666666666669</v>
      </c>
      <c r="Y32" s="95">
        <v>0.9458333333333333</v>
      </c>
      <c r="Z32" s="95">
        <v>0.35347222222222219</v>
      </c>
      <c r="AA32" s="95">
        <v>0.96250000000000002</v>
      </c>
      <c r="AB32" s="97">
        <v>0.5854166666666667</v>
      </c>
      <c r="AC32" s="97">
        <v>0.93888888888888899</v>
      </c>
      <c r="AD32" s="95">
        <v>0.36180555555555555</v>
      </c>
      <c r="AE32" s="95">
        <v>0.95624999999999993</v>
      </c>
      <c r="AF32" s="95">
        <v>0.35694444444444445</v>
      </c>
      <c r="AG32" s="96">
        <v>1</v>
      </c>
      <c r="AI32" s="8">
        <v>22</v>
      </c>
      <c r="AJ32" s="95">
        <v>0.35625000000000001</v>
      </c>
      <c r="AK32" s="95">
        <v>0.94236111111111109</v>
      </c>
      <c r="AL32" s="95">
        <v>0.35625000000000001</v>
      </c>
      <c r="AM32" s="95">
        <v>1.8749999999999999E-2</v>
      </c>
      <c r="AN32" s="95">
        <v>0.3923611111111111</v>
      </c>
      <c r="AO32" s="95">
        <v>1.9444444444444445E-2</v>
      </c>
      <c r="AP32" s="95">
        <v>0.38472222222222219</v>
      </c>
      <c r="AQ32" s="95">
        <v>2.2916666666666669E-2</v>
      </c>
      <c r="AR32" s="97">
        <v>0.59236111111111112</v>
      </c>
      <c r="AS32" s="97">
        <v>1.8055555555555557E-2</v>
      </c>
      <c r="AT32" s="95">
        <v>0.37638888888888888</v>
      </c>
      <c r="AU32" s="95">
        <v>3.472222222222222E-3</v>
      </c>
      <c r="AV32" s="95">
        <v>0.37638888888888888</v>
      </c>
      <c r="AW32" s="95">
        <v>0.9291666666666667</v>
      </c>
      <c r="AX32" s="95">
        <v>0.3756944444444445</v>
      </c>
      <c r="AY32" s="95">
        <v>7.6388888888888886E-3</v>
      </c>
      <c r="AZ32" s="95">
        <v>0.37777777777777777</v>
      </c>
      <c r="BA32" s="95">
        <v>9.7222222222222224E-3</v>
      </c>
      <c r="BB32" s="95">
        <v>0.37847222222222227</v>
      </c>
      <c r="BC32" s="95">
        <v>0.99791666666666667</v>
      </c>
      <c r="BD32" s="95">
        <v>0.38125000000000003</v>
      </c>
      <c r="BE32" s="95">
        <v>2.0833333333333333E-3</v>
      </c>
      <c r="BF32" s="97">
        <v>0.58263888888888882</v>
      </c>
      <c r="BG32" s="97">
        <v>0.99722222222222223</v>
      </c>
      <c r="BH32" s="95">
        <v>0.38958333333333334</v>
      </c>
      <c r="BI32" s="95">
        <v>2.9861111111111113E-2</v>
      </c>
      <c r="BJ32" s="81">
        <f t="shared" si="40"/>
        <v>28</v>
      </c>
      <c r="BK32" s="82">
        <v>3</v>
      </c>
      <c r="BL32" s="17">
        <f t="shared" si="27"/>
        <v>27</v>
      </c>
      <c r="BM32" s="18">
        <f t="shared" si="28"/>
        <v>1</v>
      </c>
      <c r="BN32" s="18">
        <f t="shared" si="29"/>
        <v>0</v>
      </c>
      <c r="BO32" s="18">
        <f t="shared" si="30"/>
        <v>0</v>
      </c>
      <c r="BP32" s="18">
        <f t="shared" si="31"/>
        <v>0</v>
      </c>
      <c r="BQ32" s="18">
        <f t="shared" si="32"/>
        <v>0</v>
      </c>
      <c r="BR32" s="18">
        <f t="shared" si="33"/>
        <v>0</v>
      </c>
      <c r="BS32" s="18">
        <f t="shared" si="34"/>
        <v>0</v>
      </c>
      <c r="BT32" s="18">
        <f t="shared" si="35"/>
        <v>0</v>
      </c>
      <c r="BU32" s="18">
        <f t="shared" si="36"/>
        <v>0</v>
      </c>
      <c r="BV32" s="18">
        <f t="shared" si="37"/>
        <v>0</v>
      </c>
      <c r="BW32" s="18">
        <f t="shared" si="38"/>
        <v>0</v>
      </c>
      <c r="BX32" s="19"/>
      <c r="CC32" s="89">
        <v>0</v>
      </c>
      <c r="CD32" s="89">
        <v>0</v>
      </c>
      <c r="CE32" s="89">
        <v>0</v>
      </c>
      <c r="CF32" s="89">
        <v>0</v>
      </c>
      <c r="CG32" s="89">
        <v>0</v>
      </c>
      <c r="CH32" s="89">
        <v>0</v>
      </c>
      <c r="CI32" s="89">
        <v>0</v>
      </c>
      <c r="CJ32" s="89">
        <v>0</v>
      </c>
      <c r="CK32" s="89">
        <v>0</v>
      </c>
      <c r="CL32" s="89">
        <v>0</v>
      </c>
      <c r="CM32" s="93">
        <f t="shared" si="41"/>
        <v>0</v>
      </c>
    </row>
    <row r="33" spans="1:91" ht="22.5" customHeight="1" x14ac:dyDescent="0.25">
      <c r="A33" s="8">
        <v>23</v>
      </c>
      <c r="B33" s="9" t="s">
        <v>69</v>
      </c>
      <c r="C33" s="78" t="s">
        <v>70</v>
      </c>
      <c r="D33" s="96" t="s">
        <v>102</v>
      </c>
      <c r="E33" s="96" t="s">
        <v>102</v>
      </c>
      <c r="F33" s="95">
        <v>0.35069444444444442</v>
      </c>
      <c r="G33" s="95">
        <v>0.35069444444444442</v>
      </c>
      <c r="H33" s="95">
        <v>0.35555555555555557</v>
      </c>
      <c r="I33" s="95">
        <v>0.94652777777777775</v>
      </c>
      <c r="J33" s="95">
        <v>0.3576388888888889</v>
      </c>
      <c r="K33" s="96">
        <v>1</v>
      </c>
      <c r="L33" s="95">
        <v>0.3576388888888889</v>
      </c>
      <c r="M33" s="96">
        <v>1</v>
      </c>
      <c r="N33" s="97">
        <v>0.58124999999999993</v>
      </c>
      <c r="O33" s="97">
        <v>0.96180555555555547</v>
      </c>
      <c r="P33" s="95">
        <v>0.34930555555555554</v>
      </c>
      <c r="Q33" s="95">
        <v>0.35000000000000003</v>
      </c>
      <c r="R33" s="95">
        <v>0.35694444444444445</v>
      </c>
      <c r="S33" s="95">
        <v>0.94166666666666676</v>
      </c>
      <c r="T33" s="95">
        <v>0.35694444444444445</v>
      </c>
      <c r="U33" s="96">
        <v>1</v>
      </c>
      <c r="V33" s="95">
        <v>0.35694444444444445</v>
      </c>
      <c r="W33" s="95">
        <v>0.94791666666666663</v>
      </c>
      <c r="X33" s="95">
        <v>0.36180555555555555</v>
      </c>
      <c r="Y33" s="96">
        <v>1</v>
      </c>
      <c r="Z33" s="95">
        <v>0.35833333333333334</v>
      </c>
      <c r="AA33" s="96">
        <v>1</v>
      </c>
      <c r="AB33" s="97">
        <v>0.58124999999999993</v>
      </c>
      <c r="AC33" s="97">
        <v>0.99375000000000002</v>
      </c>
      <c r="AD33" s="95">
        <v>0.3611111111111111</v>
      </c>
      <c r="AE33" s="95">
        <v>0.97361111111111109</v>
      </c>
      <c r="AF33" s="95">
        <v>0.36527777777777781</v>
      </c>
      <c r="AG33" s="96">
        <v>1</v>
      </c>
      <c r="AI33" s="8">
        <v>23</v>
      </c>
      <c r="AJ33" s="95">
        <v>0.3576388888888889</v>
      </c>
      <c r="AK33" s="95">
        <v>0.9291666666666667</v>
      </c>
      <c r="AL33" s="95">
        <v>0.36180555555555555</v>
      </c>
      <c r="AM33" s="95">
        <v>0.9291666666666667</v>
      </c>
      <c r="AN33" s="95">
        <v>0.38125000000000003</v>
      </c>
      <c r="AO33" s="95">
        <v>0.71250000000000002</v>
      </c>
      <c r="AP33" s="95">
        <v>0.38125000000000003</v>
      </c>
      <c r="AQ33" s="95">
        <v>0.38194444444444442</v>
      </c>
      <c r="AR33" s="97">
        <v>0.57708333333333328</v>
      </c>
      <c r="AS33" s="97">
        <v>1.8055555555555557E-2</v>
      </c>
      <c r="AT33" s="95">
        <v>0.37777777777777777</v>
      </c>
      <c r="AU33" s="95">
        <v>0</v>
      </c>
      <c r="AV33" s="95">
        <v>0.3756944444444445</v>
      </c>
      <c r="AW33" s="95">
        <v>0.99791666666666667</v>
      </c>
      <c r="AX33" s="95">
        <v>0.37847222222222227</v>
      </c>
      <c r="AY33" s="95">
        <v>0</v>
      </c>
      <c r="AZ33" s="95">
        <v>0.37777777777777777</v>
      </c>
      <c r="BA33" s="95">
        <v>0.99861111111111101</v>
      </c>
      <c r="BB33" s="95">
        <v>0.37638888888888888</v>
      </c>
      <c r="BC33" s="95">
        <v>0.99375000000000002</v>
      </c>
      <c r="BD33" s="95">
        <v>0.37916666666666665</v>
      </c>
      <c r="BE33" s="95">
        <v>0.98472222222222217</v>
      </c>
      <c r="BF33" s="97">
        <v>0.5756944444444444</v>
      </c>
      <c r="BG33" s="97">
        <v>0.99861111111111101</v>
      </c>
      <c r="BH33" s="95">
        <v>0.3833333333333333</v>
      </c>
      <c r="BI33" s="95">
        <v>4.1666666666666664E-2</v>
      </c>
      <c r="BJ33" s="81">
        <f t="shared" si="40"/>
        <v>28</v>
      </c>
      <c r="BK33" s="82">
        <v>4</v>
      </c>
      <c r="BL33" s="17">
        <f t="shared" si="27"/>
        <v>27</v>
      </c>
      <c r="BM33" s="18">
        <f t="shared" si="28"/>
        <v>0</v>
      </c>
      <c r="BN33" s="18">
        <f t="shared" si="29"/>
        <v>0</v>
      </c>
      <c r="BO33" s="18">
        <f t="shared" si="30"/>
        <v>0</v>
      </c>
      <c r="BP33" s="18">
        <f t="shared" si="31"/>
        <v>0</v>
      </c>
      <c r="BQ33" s="18">
        <f t="shared" si="32"/>
        <v>0</v>
      </c>
      <c r="BR33" s="18">
        <f t="shared" si="33"/>
        <v>0</v>
      </c>
      <c r="BS33" s="18">
        <f t="shared" si="34"/>
        <v>1</v>
      </c>
      <c r="BT33" s="18">
        <f t="shared" si="35"/>
        <v>0</v>
      </c>
      <c r="BU33" s="18">
        <f t="shared" si="36"/>
        <v>0</v>
      </c>
      <c r="BV33" s="18">
        <f t="shared" si="37"/>
        <v>0</v>
      </c>
      <c r="BW33" s="18">
        <f t="shared" si="38"/>
        <v>0</v>
      </c>
      <c r="BX33" s="19"/>
      <c r="CC33" s="90">
        <v>0</v>
      </c>
      <c r="CD33" s="90">
        <v>0</v>
      </c>
      <c r="CE33" s="90">
        <v>0</v>
      </c>
      <c r="CF33" s="90">
        <v>0</v>
      </c>
      <c r="CG33" s="90">
        <v>0</v>
      </c>
      <c r="CH33" s="90">
        <v>2</v>
      </c>
      <c r="CI33" s="91">
        <v>0</v>
      </c>
      <c r="CJ33" s="91">
        <v>0</v>
      </c>
      <c r="CK33" s="91">
        <v>0</v>
      </c>
      <c r="CL33" s="91">
        <v>0</v>
      </c>
      <c r="CM33" s="92">
        <f t="shared" si="41"/>
        <v>2</v>
      </c>
    </row>
    <row r="34" spans="1:91" ht="22.5" customHeight="1" x14ac:dyDescent="0.25">
      <c r="A34" s="8">
        <v>24</v>
      </c>
      <c r="B34" s="9" t="s">
        <v>71</v>
      </c>
      <c r="C34" s="78" t="s">
        <v>72</v>
      </c>
      <c r="D34" s="95">
        <v>0.35694444444444445</v>
      </c>
      <c r="E34" s="95">
        <v>0.9375</v>
      </c>
      <c r="F34" s="95">
        <v>0.35416666666666669</v>
      </c>
      <c r="G34" s="95">
        <v>0.9375</v>
      </c>
      <c r="H34" s="95">
        <v>0.35555555555555557</v>
      </c>
      <c r="I34" s="95">
        <v>0.94097222222222221</v>
      </c>
      <c r="J34" s="95">
        <v>0.35625000000000001</v>
      </c>
      <c r="K34" s="95">
        <v>0.93472222222222223</v>
      </c>
      <c r="L34" s="95">
        <v>0.3527777777777778</v>
      </c>
      <c r="M34" s="95">
        <v>0.95416666666666661</v>
      </c>
      <c r="N34" s="97">
        <v>0.58680555555555558</v>
      </c>
      <c r="O34" s="97">
        <v>0.94027777777777777</v>
      </c>
      <c r="P34" s="95">
        <v>0.35347222222222219</v>
      </c>
      <c r="Q34" s="95">
        <v>0.9506944444444444</v>
      </c>
      <c r="R34" s="95">
        <v>0.35416666666666669</v>
      </c>
      <c r="S34" s="95">
        <v>0.93541666666666667</v>
      </c>
      <c r="T34" s="95">
        <v>0.35625000000000001</v>
      </c>
      <c r="U34" s="95">
        <v>0.93333333333333324</v>
      </c>
      <c r="V34" s="95">
        <v>0.35625000000000001</v>
      </c>
      <c r="W34" s="95">
        <v>0.93402777777777779</v>
      </c>
      <c r="X34" s="95">
        <v>0.35416666666666669</v>
      </c>
      <c r="Y34" s="95">
        <v>0.9458333333333333</v>
      </c>
      <c r="Z34" s="95">
        <v>0.35347222222222219</v>
      </c>
      <c r="AA34" s="95">
        <v>0.96250000000000002</v>
      </c>
      <c r="AB34" s="97">
        <v>0.5854166666666667</v>
      </c>
      <c r="AC34" s="97">
        <v>0.93888888888888899</v>
      </c>
      <c r="AD34" s="95">
        <v>0.36249999999999999</v>
      </c>
      <c r="AE34" s="95">
        <v>0.95694444444444438</v>
      </c>
      <c r="AF34" s="95">
        <v>0.35694444444444445</v>
      </c>
      <c r="AG34" s="95">
        <v>0.95833333333333337</v>
      </c>
      <c r="AI34" s="8">
        <v>24</v>
      </c>
      <c r="AJ34" s="95">
        <v>0.35625000000000001</v>
      </c>
      <c r="AK34" s="95">
        <v>0.94236111111111109</v>
      </c>
      <c r="AL34" s="95">
        <v>0.35694444444444445</v>
      </c>
      <c r="AM34" s="95">
        <v>1.8749999999999999E-2</v>
      </c>
      <c r="AN34" s="95">
        <v>0.3923611111111111</v>
      </c>
      <c r="AO34" s="95">
        <v>2.013888888888889E-2</v>
      </c>
      <c r="AP34" s="95">
        <v>0.38541666666666669</v>
      </c>
      <c r="AQ34" s="95">
        <v>2.2916666666666669E-2</v>
      </c>
      <c r="AR34" s="97">
        <v>0.59305555555555556</v>
      </c>
      <c r="AS34" s="97">
        <v>1.9444444444444445E-2</v>
      </c>
      <c r="AT34" s="95">
        <v>0.37638888888888888</v>
      </c>
      <c r="AU34" s="95">
        <v>3.472222222222222E-3</v>
      </c>
      <c r="AV34" s="95">
        <v>0.37638888888888888</v>
      </c>
      <c r="AW34" s="95">
        <v>0.9291666666666667</v>
      </c>
      <c r="AX34" s="95">
        <v>0.3756944444444445</v>
      </c>
      <c r="AY34" s="95">
        <v>6.9444444444444441E-3</v>
      </c>
      <c r="AZ34" s="95">
        <v>0.37777777777777777</v>
      </c>
      <c r="BA34" s="95">
        <v>9.0277777777777787E-3</v>
      </c>
      <c r="BB34" s="95">
        <v>0.37847222222222227</v>
      </c>
      <c r="BC34" s="95">
        <v>0.99791666666666667</v>
      </c>
      <c r="BD34" s="95">
        <v>0.38125000000000003</v>
      </c>
      <c r="BE34" s="95">
        <v>2.0833333333333333E-3</v>
      </c>
      <c r="BF34" s="97">
        <v>0.58263888888888882</v>
      </c>
      <c r="BG34" s="97">
        <v>0.99652777777777779</v>
      </c>
      <c r="BH34" s="95">
        <v>0.38958333333333334</v>
      </c>
      <c r="BI34" s="95">
        <v>3.0555555555555555E-2</v>
      </c>
      <c r="BJ34" s="81">
        <f>BL34+BM34+BN34+BO34+BT34+BR34+BS34+BW34</f>
        <v>28</v>
      </c>
      <c r="BK34" s="82">
        <v>4</v>
      </c>
      <c r="BL34" s="17">
        <f t="shared" si="27"/>
        <v>28</v>
      </c>
      <c r="BM34" s="18">
        <f t="shared" si="28"/>
        <v>0</v>
      </c>
      <c r="BN34" s="18">
        <f t="shared" si="29"/>
        <v>0</v>
      </c>
      <c r="BO34" s="18">
        <f t="shared" si="30"/>
        <v>0</v>
      </c>
      <c r="BP34" s="18">
        <f t="shared" si="31"/>
        <v>0</v>
      </c>
      <c r="BQ34" s="18">
        <f t="shared" si="32"/>
        <v>0</v>
      </c>
      <c r="BR34" s="18">
        <f t="shared" si="33"/>
        <v>0</v>
      </c>
      <c r="BS34" s="18">
        <f t="shared" si="34"/>
        <v>0</v>
      </c>
      <c r="BT34" s="18">
        <f t="shared" si="35"/>
        <v>0</v>
      </c>
      <c r="BU34" s="18">
        <f t="shared" si="36"/>
        <v>0</v>
      </c>
      <c r="BV34" s="18">
        <f t="shared" si="37"/>
        <v>0</v>
      </c>
      <c r="BW34" s="18">
        <f t="shared" si="38"/>
        <v>0</v>
      </c>
      <c r="BX34" s="19"/>
      <c r="CC34" s="89">
        <v>0</v>
      </c>
      <c r="CD34" s="89">
        <v>0</v>
      </c>
      <c r="CE34" s="89">
        <v>0</v>
      </c>
      <c r="CF34" s="89">
        <v>0</v>
      </c>
      <c r="CG34" s="89">
        <v>0</v>
      </c>
      <c r="CH34" s="88">
        <v>3</v>
      </c>
      <c r="CI34" s="89">
        <v>0</v>
      </c>
      <c r="CJ34" s="89">
        <v>0</v>
      </c>
      <c r="CK34" s="89">
        <v>0</v>
      </c>
      <c r="CL34" s="89">
        <v>0</v>
      </c>
      <c r="CM34" s="93">
        <f>SUM(CC34:CL34)</f>
        <v>3</v>
      </c>
    </row>
    <row r="35" spans="1:91" ht="22.5" customHeight="1" x14ac:dyDescent="0.25">
      <c r="A35" s="8">
        <v>25</v>
      </c>
      <c r="B35" s="9" t="s">
        <v>100</v>
      </c>
      <c r="C35" s="78" t="s">
        <v>101</v>
      </c>
      <c r="D35" s="95">
        <v>0.33819444444444446</v>
      </c>
      <c r="E35" s="95">
        <v>0.8930555555555556</v>
      </c>
      <c r="F35" s="95">
        <v>0.34930555555555554</v>
      </c>
      <c r="G35" s="95">
        <v>0.95694444444444438</v>
      </c>
      <c r="H35" s="95">
        <v>0.34652777777777777</v>
      </c>
      <c r="I35" s="95">
        <v>0.8520833333333333</v>
      </c>
      <c r="J35" s="95">
        <v>0.3444444444444445</v>
      </c>
      <c r="K35" s="95">
        <v>0.84861111111111109</v>
      </c>
      <c r="L35" s="95">
        <v>0.34097222222222223</v>
      </c>
      <c r="M35" s="95">
        <v>0.87986111111111109</v>
      </c>
      <c r="N35" s="97">
        <v>0.58402777777777781</v>
      </c>
      <c r="O35" s="97">
        <v>0.58402777777777781</v>
      </c>
      <c r="P35" s="95">
        <v>0.34722222222222227</v>
      </c>
      <c r="Q35" s="95">
        <v>0.84861111111111109</v>
      </c>
      <c r="R35" s="95">
        <v>0.34930555555555554</v>
      </c>
      <c r="S35" s="95">
        <v>0.90555555555555556</v>
      </c>
      <c r="T35" s="95">
        <v>0.3444444444444445</v>
      </c>
      <c r="U35" s="96">
        <v>1</v>
      </c>
      <c r="V35" s="95">
        <v>0.35069444444444442</v>
      </c>
      <c r="W35" s="95">
        <v>0.83333333333333337</v>
      </c>
      <c r="X35" s="95">
        <v>0.3444444444444445</v>
      </c>
      <c r="Y35" s="95">
        <v>0.85972222222222217</v>
      </c>
      <c r="Z35" s="95">
        <v>0.34652777777777777</v>
      </c>
      <c r="AA35" s="95">
        <v>0.85763888888888884</v>
      </c>
      <c r="AB35" s="97">
        <v>0.58402777777777781</v>
      </c>
      <c r="AC35" s="97">
        <v>0.83611111111111114</v>
      </c>
      <c r="AD35" s="95">
        <v>0.34652777777777777</v>
      </c>
      <c r="AE35" s="95">
        <v>0.34722222222222227</v>
      </c>
      <c r="AF35" s="95">
        <v>0.3527777777777778</v>
      </c>
      <c r="AG35" s="96">
        <v>1</v>
      </c>
      <c r="AI35" s="8">
        <v>25</v>
      </c>
      <c r="AJ35" s="95">
        <v>0.34236111111111112</v>
      </c>
      <c r="AK35" s="95">
        <v>0.34236111111111112</v>
      </c>
      <c r="AL35" s="95">
        <v>0.34513888888888888</v>
      </c>
      <c r="AM35" s="95">
        <v>0.9291666666666667</v>
      </c>
      <c r="AN35" s="95">
        <v>0.36944444444444446</v>
      </c>
      <c r="AO35" s="95">
        <v>0.99861111111111101</v>
      </c>
      <c r="AP35" s="95">
        <v>0.37708333333333338</v>
      </c>
      <c r="AQ35" s="95">
        <v>1.7361111111111112E-2</v>
      </c>
      <c r="AR35" s="97">
        <v>0.57986111111111105</v>
      </c>
      <c r="AS35" s="97">
        <v>0.99791666666666667</v>
      </c>
      <c r="AT35" s="95">
        <v>0.36388888888888887</v>
      </c>
      <c r="AU35" s="95">
        <v>0.12222222222222223</v>
      </c>
      <c r="AV35" s="95">
        <v>0.36041666666666666</v>
      </c>
      <c r="AW35" s="95">
        <v>0.99722222222222223</v>
      </c>
      <c r="AX35" s="95">
        <v>0.36527777777777781</v>
      </c>
      <c r="AY35" s="95">
        <v>0.3659722222222222</v>
      </c>
      <c r="AZ35" s="95">
        <v>0.35486111111111113</v>
      </c>
      <c r="BA35" s="95">
        <v>0.35486111111111113</v>
      </c>
      <c r="BB35" s="95">
        <v>0.35972222222222222</v>
      </c>
      <c r="BC35" s="95">
        <v>0.35972222222222222</v>
      </c>
      <c r="BD35" s="95">
        <v>0.37291666666666662</v>
      </c>
      <c r="BE35" s="95">
        <v>2.2916666666666669E-2</v>
      </c>
      <c r="BF35" s="97">
        <v>0.57916666666666672</v>
      </c>
      <c r="BG35" s="97">
        <v>0.99861111111111101</v>
      </c>
      <c r="BH35" s="95">
        <v>0.37708333333333338</v>
      </c>
      <c r="BI35" s="95">
        <v>4.1666666666666666E-3</v>
      </c>
      <c r="BJ35" s="81">
        <f t="shared" ref="BJ35" si="42">BL35+BM35+BN35+BO35+BT35+BR35+BS35+BW35</f>
        <v>28</v>
      </c>
      <c r="BK35" s="82">
        <v>4</v>
      </c>
      <c r="BL35" s="17">
        <f t="shared" si="27"/>
        <v>28</v>
      </c>
      <c r="BM35" s="18">
        <f t="shared" si="28"/>
        <v>0</v>
      </c>
      <c r="BN35" s="18">
        <f t="shared" si="29"/>
        <v>0</v>
      </c>
      <c r="BO35" s="18">
        <f t="shared" si="30"/>
        <v>0</v>
      </c>
      <c r="BP35" s="18">
        <f t="shared" si="31"/>
        <v>0</v>
      </c>
      <c r="BQ35" s="18">
        <f t="shared" si="32"/>
        <v>0</v>
      </c>
      <c r="BR35" s="18">
        <f t="shared" si="33"/>
        <v>0</v>
      </c>
      <c r="BS35" s="18">
        <f t="shared" si="34"/>
        <v>0</v>
      </c>
      <c r="BT35" s="18">
        <f t="shared" si="35"/>
        <v>0</v>
      </c>
      <c r="BU35" s="18">
        <f t="shared" si="36"/>
        <v>0</v>
      </c>
      <c r="BV35" s="18">
        <f t="shared" si="37"/>
        <v>0</v>
      </c>
      <c r="BW35" s="18">
        <f t="shared" si="38"/>
        <v>0</v>
      </c>
      <c r="BX35" s="19"/>
      <c r="CC35" s="90">
        <v>0</v>
      </c>
      <c r="CD35" s="90">
        <v>0</v>
      </c>
      <c r="CE35" s="90">
        <v>0</v>
      </c>
      <c r="CF35" s="90">
        <v>0</v>
      </c>
      <c r="CG35" s="90">
        <v>0</v>
      </c>
      <c r="CH35" s="90">
        <v>0</v>
      </c>
      <c r="CI35" s="91">
        <v>0</v>
      </c>
      <c r="CJ35" s="91">
        <v>0</v>
      </c>
      <c r="CK35" s="91">
        <v>0</v>
      </c>
      <c r="CL35" s="91">
        <v>0</v>
      </c>
      <c r="CM35" s="92">
        <f t="shared" ref="CM35" si="43">SUM(CC35:CL35)</f>
        <v>0</v>
      </c>
    </row>
    <row r="36" spans="1:91" ht="22.5" customHeight="1" x14ac:dyDescent="0.25">
      <c r="A36" s="8">
        <v>26</v>
      </c>
      <c r="B36" s="9" t="s">
        <v>99</v>
      </c>
      <c r="C36" s="78" t="s">
        <v>105</v>
      </c>
      <c r="D36" s="95">
        <v>0.35347222222222219</v>
      </c>
      <c r="E36" s="95">
        <v>0.93680555555555556</v>
      </c>
      <c r="F36" s="95">
        <v>0.35069444444444442</v>
      </c>
      <c r="G36" s="95">
        <v>0.94097222222222221</v>
      </c>
      <c r="H36" s="95">
        <v>0.3520833333333333</v>
      </c>
      <c r="I36" s="95">
        <v>0.93819444444444444</v>
      </c>
      <c r="J36" s="95">
        <v>0.35347222222222219</v>
      </c>
      <c r="K36" s="95">
        <v>0.92499999999999993</v>
      </c>
      <c r="L36" s="95">
        <v>0.35069444444444442</v>
      </c>
      <c r="M36" s="95">
        <v>0.94930555555555562</v>
      </c>
      <c r="N36" s="97">
        <v>0.58263888888888882</v>
      </c>
      <c r="O36" s="98">
        <v>1</v>
      </c>
      <c r="P36" s="95">
        <v>0.35000000000000003</v>
      </c>
      <c r="Q36" s="95">
        <v>0.94374999999999998</v>
      </c>
      <c r="R36" s="95">
        <v>0.34930555555555554</v>
      </c>
      <c r="S36" s="95">
        <v>0.93125000000000002</v>
      </c>
      <c r="T36" s="95">
        <v>0.3520833333333333</v>
      </c>
      <c r="U36" s="95">
        <v>0.93472222222222223</v>
      </c>
      <c r="V36" s="95">
        <v>0.3520833333333333</v>
      </c>
      <c r="W36" s="95">
        <v>0.9375</v>
      </c>
      <c r="X36" s="95">
        <v>0.35069444444444442</v>
      </c>
      <c r="Y36" s="95">
        <v>0.94236111111111109</v>
      </c>
      <c r="Z36" s="95">
        <v>0.34930555555555554</v>
      </c>
      <c r="AA36" s="95">
        <v>0.95138888888888884</v>
      </c>
      <c r="AB36" s="97">
        <v>0.58263888888888882</v>
      </c>
      <c r="AC36" s="97">
        <v>0.99444444444444446</v>
      </c>
      <c r="AD36" s="95">
        <v>0.35833333333333334</v>
      </c>
      <c r="AE36" s="95">
        <v>0.96458333333333324</v>
      </c>
      <c r="AF36" s="95">
        <v>0.35347222222222219</v>
      </c>
      <c r="AG36" s="96">
        <v>1</v>
      </c>
      <c r="AI36" s="8">
        <v>26</v>
      </c>
      <c r="AJ36" s="95">
        <v>0.3520833333333333</v>
      </c>
      <c r="AK36" s="95">
        <v>0.9375</v>
      </c>
      <c r="AL36" s="95">
        <v>0.3527777777777778</v>
      </c>
      <c r="AM36" s="95">
        <v>0.9291666666666667</v>
      </c>
      <c r="AN36" s="95">
        <v>0.38194444444444442</v>
      </c>
      <c r="AO36" s="95">
        <v>3.6111111111111115E-2</v>
      </c>
      <c r="AP36" s="95">
        <v>0.38194444444444442</v>
      </c>
      <c r="AQ36" s="95">
        <v>2.0833333333333332E-2</v>
      </c>
      <c r="AR36" s="97">
        <v>0.57638888888888895</v>
      </c>
      <c r="AS36" s="97">
        <v>1.8055555555555557E-2</v>
      </c>
      <c r="AT36" s="95">
        <v>0.37222222222222223</v>
      </c>
      <c r="AU36" s="95">
        <v>0.85277777777777775</v>
      </c>
      <c r="AV36" s="95">
        <v>0.37361111111111112</v>
      </c>
      <c r="AW36" s="95">
        <v>1.8055555555555557E-2</v>
      </c>
      <c r="AX36" s="95">
        <v>0.37152777777777773</v>
      </c>
      <c r="AY36" s="95">
        <v>0</v>
      </c>
      <c r="AZ36" s="95">
        <v>0.375</v>
      </c>
      <c r="BA36" s="95">
        <v>0.99583333333333324</v>
      </c>
      <c r="BB36" s="95">
        <v>0.3743055555555555</v>
      </c>
      <c r="BC36" s="95">
        <v>0.98819444444444438</v>
      </c>
      <c r="BD36" s="95">
        <v>0.37847222222222227</v>
      </c>
      <c r="BE36" s="95">
        <v>0.98263888888888884</v>
      </c>
      <c r="BF36" s="97">
        <v>0.57986111111111105</v>
      </c>
      <c r="BG36" s="98">
        <v>1</v>
      </c>
      <c r="BH36" s="95">
        <v>0.38055555555555554</v>
      </c>
      <c r="BI36" s="95">
        <v>0.84791666666666676</v>
      </c>
      <c r="BJ36" s="81">
        <f>BL36+BM36+BN36+BO36+BT36+BR36+BS36+BW36</f>
        <v>28</v>
      </c>
      <c r="BK36" s="82">
        <v>4</v>
      </c>
      <c r="BL36" s="17">
        <f t="shared" si="27"/>
        <v>28</v>
      </c>
      <c r="BM36" s="18">
        <f>COUNTIF(B36:BI36,"OFF")/2</f>
        <v>0</v>
      </c>
      <c r="BN36" s="18">
        <f>COUNTIF(B36:BI36,"MC")/2</f>
        <v>0</v>
      </c>
      <c r="BO36" s="18">
        <f>COUNTIF(B36:BI36,"EL")/2</f>
        <v>0</v>
      </c>
      <c r="BP36" s="18">
        <f>COUNTIF(B36:BI36,"AL")/2</f>
        <v>0</v>
      </c>
      <c r="BQ36" s="18">
        <f>COUNTIF(B36:BI36,"SUS")/2</f>
        <v>0</v>
      </c>
      <c r="BR36" s="18">
        <f>COUNTIF(B36:BI36,"FL")/2</f>
        <v>0</v>
      </c>
      <c r="BS36" s="18">
        <f>COUNTIF(B36:BI36,"SICK")/2</f>
        <v>0</v>
      </c>
      <c r="BT36" s="18">
        <f>COUNTIF(B36:BI36,"HD")/2</f>
        <v>0</v>
      </c>
      <c r="BU36" s="18">
        <f>COUNTIF(B36:BI36,"AB")/2</f>
        <v>0</v>
      </c>
      <c r="BV36" s="18">
        <f>COUNTIF(B36:BI36,"NL")/2</f>
        <v>0</v>
      </c>
      <c r="BW36" s="18">
        <f>COUNTIF(B36:BI36,"SP")/2</f>
        <v>0</v>
      </c>
      <c r="BX36" s="19"/>
      <c r="CC36" s="89">
        <v>0</v>
      </c>
      <c r="CD36" s="89">
        <v>0</v>
      </c>
      <c r="CE36" s="89">
        <v>0</v>
      </c>
      <c r="CF36" s="89">
        <v>0</v>
      </c>
      <c r="CG36" s="89">
        <v>0</v>
      </c>
      <c r="CH36" s="89">
        <v>0</v>
      </c>
      <c r="CI36" s="89">
        <v>0</v>
      </c>
      <c r="CJ36" s="89">
        <v>0</v>
      </c>
      <c r="CK36" s="89">
        <v>0</v>
      </c>
      <c r="CL36" s="89">
        <v>0</v>
      </c>
      <c r="CM36" s="93">
        <f>SUM(CC36:CL36)</f>
        <v>0</v>
      </c>
    </row>
    <row r="37" spans="1:91" ht="22.5" customHeight="1" x14ac:dyDescent="0.25">
      <c r="A37" s="8">
        <v>27</v>
      </c>
      <c r="B37" s="9" t="s">
        <v>106</v>
      </c>
      <c r="C37" s="78" t="s">
        <v>107</v>
      </c>
      <c r="D37" s="107" t="s">
        <v>108</v>
      </c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9"/>
      <c r="AI37" s="8">
        <v>27</v>
      </c>
      <c r="AJ37" s="110" t="s">
        <v>108</v>
      </c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2"/>
      <c r="AV37" s="104">
        <v>0.3743055555555555</v>
      </c>
      <c r="AW37" s="104">
        <v>2.0833333333333332E-2</v>
      </c>
      <c r="AX37" s="95">
        <v>0.38055555555555554</v>
      </c>
      <c r="AY37" s="95">
        <v>6.9444444444444441E-3</v>
      </c>
      <c r="AZ37" s="95">
        <v>0.37847222222222227</v>
      </c>
      <c r="BA37" s="95">
        <v>9.0277777777777787E-3</v>
      </c>
      <c r="BB37" s="95">
        <v>0.37847222222222227</v>
      </c>
      <c r="BC37" s="95">
        <v>0.99861111111111101</v>
      </c>
      <c r="BD37" s="95">
        <v>0.38125000000000003</v>
      </c>
      <c r="BE37" s="95">
        <v>1.3888888888888889E-3</v>
      </c>
      <c r="BF37" s="97">
        <v>0.58263888888888882</v>
      </c>
      <c r="BG37" s="97">
        <v>0.99722222222222223</v>
      </c>
      <c r="BH37" s="95">
        <v>0.37638888888888888</v>
      </c>
      <c r="BI37" s="95">
        <v>3.125E-2</v>
      </c>
      <c r="BJ37" s="81">
        <f t="shared" ref="BJ37:BJ38" si="44">BL37+BM37+BN37+BO37+BT37+BR37+BS37+BW37</f>
        <v>7</v>
      </c>
      <c r="BK37" s="82">
        <v>1</v>
      </c>
      <c r="BL37" s="17">
        <f t="shared" si="27"/>
        <v>7</v>
      </c>
      <c r="BM37" s="18">
        <f t="shared" ref="BM37:BM38" si="45">COUNTIF(B37:BI37,"OFF")/2</f>
        <v>0</v>
      </c>
      <c r="BN37" s="18">
        <f t="shared" ref="BN37:BN38" si="46">COUNTIF(B37:BI37,"MC")/2</f>
        <v>0</v>
      </c>
      <c r="BO37" s="18">
        <f t="shared" ref="BO37:BO38" si="47">COUNTIF(B37:BI37,"EL")/2</f>
        <v>0</v>
      </c>
      <c r="BP37" s="18">
        <f t="shared" ref="BP37:BP38" si="48">COUNTIF(B37:BI37,"AL")/2</f>
        <v>0</v>
      </c>
      <c r="BQ37" s="18">
        <f t="shared" ref="BQ37:BQ38" si="49">COUNTIF(B37:BI37,"SUS")/2</f>
        <v>0</v>
      </c>
      <c r="BR37" s="18">
        <f t="shared" ref="BR37:BR38" si="50">COUNTIF(B37:BI37,"FL")/2</f>
        <v>0</v>
      </c>
      <c r="BS37" s="18">
        <f t="shared" ref="BS37:BS38" si="51">COUNTIF(B37:BI37,"SICK")/2</f>
        <v>0</v>
      </c>
      <c r="BT37" s="18">
        <f t="shared" ref="BT37:BT38" si="52">COUNTIF(B37:BI37,"HD")/2</f>
        <v>0</v>
      </c>
      <c r="BU37" s="18">
        <f t="shared" ref="BU37:BU38" si="53">COUNTIF(B37:BI37,"AB")/2</f>
        <v>0</v>
      </c>
      <c r="BV37" s="18">
        <f t="shared" ref="BV37:BV38" si="54">COUNTIF(B37:BI37,"NL")/2</f>
        <v>0</v>
      </c>
      <c r="BW37" s="18">
        <f t="shared" ref="BW37:BW38" si="55">COUNTIF(B37:BI37,"SP")/2</f>
        <v>0</v>
      </c>
      <c r="BX37" s="19"/>
      <c r="CC37" s="90"/>
      <c r="CD37" s="90"/>
      <c r="CE37" s="90"/>
      <c r="CF37" s="90"/>
      <c r="CG37" s="90"/>
      <c r="CH37" s="90"/>
      <c r="CI37" s="91"/>
      <c r="CJ37" s="91"/>
      <c r="CK37" s="91"/>
      <c r="CL37" s="91"/>
      <c r="CM37" s="92"/>
    </row>
    <row r="38" spans="1:91" ht="22.5" customHeight="1" x14ac:dyDescent="0.25">
      <c r="A38" s="8">
        <v>28</v>
      </c>
      <c r="B38" s="9" t="s">
        <v>109</v>
      </c>
      <c r="C38" s="78" t="s">
        <v>110</v>
      </c>
      <c r="D38" s="107" t="s">
        <v>112</v>
      </c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9"/>
      <c r="AI38" s="8">
        <v>28</v>
      </c>
      <c r="AJ38" s="130" t="s">
        <v>112</v>
      </c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95">
        <v>0.35972222222222222</v>
      </c>
      <c r="BC38" s="95">
        <v>0.35972222222222222</v>
      </c>
      <c r="BD38" s="95">
        <v>0.37361111111111112</v>
      </c>
      <c r="BE38" s="95">
        <v>2.2916666666666669E-2</v>
      </c>
      <c r="BF38" s="97">
        <v>0.57986111111111105</v>
      </c>
      <c r="BG38" s="97">
        <v>0.99861111111111101</v>
      </c>
      <c r="BH38" s="95">
        <v>0.37777777777777777</v>
      </c>
      <c r="BI38" s="95">
        <v>4.1666666666666666E-3</v>
      </c>
      <c r="BJ38" s="81">
        <f t="shared" si="44"/>
        <v>4</v>
      </c>
      <c r="BK38" s="82">
        <v>1</v>
      </c>
      <c r="BL38" s="17">
        <f t="shared" si="27"/>
        <v>4</v>
      </c>
      <c r="BM38" s="18">
        <f t="shared" si="45"/>
        <v>0</v>
      </c>
      <c r="BN38" s="18">
        <f t="shared" si="46"/>
        <v>0</v>
      </c>
      <c r="BO38" s="18">
        <f t="shared" si="47"/>
        <v>0</v>
      </c>
      <c r="BP38" s="18">
        <f t="shared" si="48"/>
        <v>0</v>
      </c>
      <c r="BQ38" s="18">
        <f t="shared" si="49"/>
        <v>0</v>
      </c>
      <c r="BR38" s="18">
        <f t="shared" si="50"/>
        <v>0</v>
      </c>
      <c r="BS38" s="18">
        <f t="shared" si="51"/>
        <v>0</v>
      </c>
      <c r="BT38" s="18">
        <f t="shared" si="52"/>
        <v>0</v>
      </c>
      <c r="BU38" s="18">
        <f t="shared" si="53"/>
        <v>0</v>
      </c>
      <c r="BV38" s="18">
        <f t="shared" si="54"/>
        <v>0</v>
      </c>
      <c r="BW38" s="18">
        <f t="shared" si="55"/>
        <v>0</v>
      </c>
      <c r="BX38" s="19"/>
      <c r="CC38" s="89"/>
      <c r="CD38" s="89"/>
      <c r="CE38" s="89"/>
      <c r="CF38" s="89"/>
      <c r="CG38" s="89"/>
      <c r="CH38" s="89"/>
      <c r="CI38" s="88"/>
      <c r="CJ38" s="88"/>
      <c r="CK38" s="88"/>
      <c r="CL38" s="88"/>
      <c r="CM38" s="93"/>
    </row>
    <row r="41" spans="1:91" ht="15.75" thickBot="1" x14ac:dyDescent="0.3">
      <c r="AJ41" s="100"/>
    </row>
    <row r="42" spans="1:91" ht="15.75" thickBot="1" x14ac:dyDescent="0.3">
      <c r="AJ42" s="99"/>
    </row>
    <row r="43" spans="1:91" x14ac:dyDescent="0.25">
      <c r="BL43" s="55" t="s">
        <v>82</v>
      </c>
      <c r="BM43" s="56"/>
      <c r="BN43" s="56"/>
      <c r="BO43" s="57" t="s">
        <v>15</v>
      </c>
      <c r="BP43" s="58"/>
      <c r="BQ43" s="59" t="s">
        <v>83</v>
      </c>
      <c r="BR43" s="60"/>
      <c r="BS43" s="60"/>
      <c r="BT43" s="61"/>
      <c r="BU43" s="62" t="s">
        <v>21</v>
      </c>
    </row>
    <row r="44" spans="1:91" x14ac:dyDescent="0.25">
      <c r="BL44" s="55" t="s">
        <v>84</v>
      </c>
      <c r="BM44" s="56"/>
      <c r="BN44" s="56"/>
      <c r="BO44" s="57" t="s">
        <v>16</v>
      </c>
      <c r="BP44" s="58"/>
      <c r="BQ44" s="63" t="s">
        <v>85</v>
      </c>
      <c r="BR44" s="64"/>
      <c r="BS44" s="64"/>
      <c r="BT44" s="61"/>
      <c r="BU44" s="62" t="s">
        <v>22</v>
      </c>
    </row>
    <row r="45" spans="1:91" ht="15.75" x14ac:dyDescent="0.25">
      <c r="E45" s="41"/>
      <c r="F45" s="42" t="s">
        <v>73</v>
      </c>
      <c r="G45" s="36"/>
      <c r="H45" s="42"/>
      <c r="I45" s="38"/>
      <c r="J45" s="38"/>
      <c r="K45" s="39"/>
      <c r="L45" s="40"/>
      <c r="M45" s="40"/>
      <c r="N45" s="43" t="s">
        <v>74</v>
      </c>
      <c r="O45" s="43"/>
      <c r="P45" s="39"/>
      <c r="Q45" s="39"/>
      <c r="R45" s="39"/>
      <c r="S45" s="39"/>
      <c r="T45" s="39" t="s">
        <v>93</v>
      </c>
      <c r="U45" s="39"/>
      <c r="V45" s="39"/>
      <c r="W45" s="39"/>
      <c r="X45" s="43" t="s">
        <v>75</v>
      </c>
      <c r="Y45" s="39"/>
      <c r="AH45" t="s">
        <v>93</v>
      </c>
      <c r="BL45" s="55" t="s">
        <v>86</v>
      </c>
      <c r="BM45" s="56"/>
      <c r="BN45" s="56"/>
      <c r="BO45" s="57" t="s">
        <v>17</v>
      </c>
      <c r="BP45" s="58"/>
      <c r="BQ45" s="63" t="s">
        <v>87</v>
      </c>
      <c r="BR45" s="64"/>
      <c r="BS45" s="64"/>
      <c r="BT45" s="61"/>
      <c r="BU45" s="62" t="s">
        <v>23</v>
      </c>
    </row>
    <row r="46" spans="1:91" ht="17.25" x14ac:dyDescent="0.25">
      <c r="E46" s="44"/>
      <c r="F46" s="38"/>
      <c r="G46" s="38"/>
      <c r="H46" s="38"/>
      <c r="I46" s="38"/>
      <c r="J46" s="38"/>
      <c r="K46" s="38"/>
      <c r="L46" s="45"/>
      <c r="M46" s="45"/>
      <c r="N46" s="45"/>
      <c r="O46" s="38"/>
      <c r="P46" s="38"/>
      <c r="Q46" s="38"/>
      <c r="R46" s="46"/>
      <c r="S46" s="46"/>
      <c r="T46" s="46"/>
      <c r="U46" s="46"/>
      <c r="V46" s="46"/>
      <c r="W46" s="46"/>
      <c r="X46" s="47"/>
      <c r="Y46" s="47"/>
      <c r="BL46" s="55" t="s">
        <v>88</v>
      </c>
      <c r="BM46" s="56"/>
      <c r="BN46" s="56"/>
      <c r="BO46" s="57" t="s">
        <v>18</v>
      </c>
      <c r="BP46" s="58"/>
      <c r="BQ46" s="59" t="s">
        <v>89</v>
      </c>
      <c r="BR46" s="60"/>
      <c r="BS46" s="60"/>
      <c r="BT46" s="61"/>
      <c r="BU46" s="62" t="s">
        <v>24</v>
      </c>
    </row>
    <row r="47" spans="1:91" ht="17.25" x14ac:dyDescent="0.25">
      <c r="E47" s="44"/>
      <c r="F47" s="48"/>
      <c r="G47" s="38"/>
      <c r="H47" s="48"/>
      <c r="I47" s="38"/>
      <c r="J47" s="38"/>
      <c r="K47" s="48" t="s">
        <v>93</v>
      </c>
      <c r="L47" s="49"/>
      <c r="M47" s="49"/>
      <c r="N47" s="45"/>
      <c r="O47" s="38"/>
      <c r="P47" s="48"/>
      <c r="Q47" s="48"/>
      <c r="R47" s="39"/>
      <c r="S47" s="38"/>
      <c r="T47" s="38"/>
      <c r="U47" s="38"/>
      <c r="V47" s="38"/>
      <c r="W47" s="38"/>
      <c r="X47" s="50"/>
      <c r="Y47" s="50"/>
      <c r="AV47" t="s">
        <v>93</v>
      </c>
      <c r="BL47" s="55" t="s">
        <v>90</v>
      </c>
      <c r="BM47" s="56"/>
      <c r="BN47" s="56"/>
      <c r="BO47" s="57" t="s">
        <v>19</v>
      </c>
      <c r="BP47" s="58"/>
      <c r="BQ47" s="59" t="s">
        <v>91</v>
      </c>
      <c r="BR47" s="60"/>
      <c r="BS47" s="60"/>
      <c r="BT47" s="61"/>
      <c r="BU47" s="62" t="s">
        <v>25</v>
      </c>
    </row>
    <row r="48" spans="1:91" ht="17.25" x14ac:dyDescent="0.25">
      <c r="E48" s="51"/>
      <c r="F48" s="48"/>
      <c r="G48" s="38"/>
      <c r="H48" s="48"/>
      <c r="I48" s="38"/>
      <c r="J48" s="38"/>
      <c r="K48" s="48"/>
      <c r="L48" s="49"/>
      <c r="M48" s="49"/>
      <c r="N48" s="45"/>
      <c r="O48" s="39"/>
      <c r="P48" s="48"/>
      <c r="Q48" s="48"/>
      <c r="R48" s="39"/>
      <c r="S48" s="38"/>
      <c r="T48" s="38"/>
      <c r="U48" s="38"/>
      <c r="V48" s="38"/>
      <c r="W48" s="38"/>
      <c r="X48" s="50"/>
      <c r="Y48" s="50"/>
      <c r="BL48" s="55" t="s">
        <v>92</v>
      </c>
      <c r="BM48" s="56"/>
      <c r="BN48" s="56"/>
      <c r="BO48" s="57" t="s">
        <v>20</v>
      </c>
      <c r="BP48" s="58"/>
      <c r="BQ48" s="58"/>
      <c r="BR48" s="58"/>
      <c r="BS48" s="58"/>
      <c r="BT48" s="58"/>
      <c r="BU48" s="58"/>
    </row>
    <row r="49" spans="1:91" ht="17.25" x14ac:dyDescent="0.25">
      <c r="E49" s="52" t="s">
        <v>76</v>
      </c>
      <c r="F49" s="53"/>
      <c r="G49" s="41"/>
      <c r="H49" s="52"/>
      <c r="I49" s="38"/>
      <c r="J49" s="38"/>
      <c r="K49" s="48"/>
      <c r="L49" s="45"/>
      <c r="M49" s="49"/>
      <c r="N49" s="36" t="s">
        <v>77</v>
      </c>
      <c r="O49" s="38"/>
      <c r="P49" s="48"/>
      <c r="Q49" s="39"/>
      <c r="R49" s="38"/>
      <c r="S49" s="38"/>
      <c r="T49" s="38"/>
      <c r="U49" s="38"/>
      <c r="V49" s="38"/>
      <c r="W49" s="38"/>
      <c r="X49" s="36" t="s">
        <v>78</v>
      </c>
      <c r="Y49" s="50"/>
      <c r="BL49" s="58"/>
      <c r="BM49" s="58"/>
      <c r="BN49" s="58"/>
      <c r="BO49" s="58"/>
      <c r="BP49" s="58"/>
      <c r="BQ49" s="58"/>
      <c r="BR49" s="58"/>
      <c r="BS49" s="58"/>
      <c r="BT49" s="58"/>
      <c r="BU49" s="58"/>
    </row>
    <row r="50" spans="1:91" ht="17.25" x14ac:dyDescent="0.25">
      <c r="E50" s="52"/>
      <c r="F50" s="52" t="s">
        <v>79</v>
      </c>
      <c r="G50" s="51"/>
      <c r="H50" s="51"/>
      <c r="I50" s="38"/>
      <c r="J50" s="38"/>
      <c r="K50" s="36"/>
      <c r="L50" s="54"/>
      <c r="M50" s="54"/>
      <c r="N50" s="36" t="s">
        <v>80</v>
      </c>
      <c r="O50" s="36"/>
      <c r="P50" s="36"/>
      <c r="Q50" s="39"/>
      <c r="R50" s="36"/>
      <c r="S50" s="38"/>
      <c r="T50" s="38"/>
      <c r="U50" s="38"/>
      <c r="V50" s="38"/>
      <c r="W50" s="38"/>
      <c r="X50" s="36" t="s">
        <v>81</v>
      </c>
      <c r="Y50" s="50"/>
    </row>
    <row r="51" spans="1:91" ht="15.75" x14ac:dyDescent="0.25">
      <c r="J51" s="37"/>
      <c r="M51" s="38"/>
    </row>
    <row r="56" spans="1:91" x14ac:dyDescent="0.25">
      <c r="I56" t="s">
        <v>93</v>
      </c>
    </row>
    <row r="61" spans="1:91" ht="22.5" customHeight="1" x14ac:dyDescent="0.25">
      <c r="A61" s="8">
        <v>8</v>
      </c>
      <c r="D61" s="28">
        <v>0.37152777777777773</v>
      </c>
      <c r="E61" s="28">
        <v>0.78333333333333333</v>
      </c>
      <c r="F61" s="23" t="s">
        <v>18</v>
      </c>
      <c r="G61" s="23"/>
      <c r="H61" s="23"/>
      <c r="I61" s="23"/>
      <c r="J61" s="23"/>
      <c r="K61" s="23"/>
      <c r="L61" s="23"/>
      <c r="M61" s="23"/>
      <c r="N61" s="79"/>
      <c r="O61" s="23"/>
      <c r="P61" s="23"/>
      <c r="Q61" s="23"/>
      <c r="R61" s="23"/>
      <c r="S61" s="23"/>
      <c r="T61" s="23"/>
      <c r="U61" s="23"/>
      <c r="V61" s="24"/>
      <c r="W61" s="31"/>
      <c r="X61" s="23"/>
      <c r="Y61" s="23"/>
      <c r="Z61" s="23"/>
      <c r="AA61" s="23"/>
      <c r="AB61" s="23"/>
      <c r="AC61" s="23"/>
      <c r="AD61" s="23"/>
      <c r="AE61" s="23"/>
      <c r="AF61" s="23"/>
      <c r="AG61" s="20"/>
      <c r="AH61" s="76"/>
      <c r="AI61" s="67">
        <v>8</v>
      </c>
      <c r="AJ61" s="25"/>
      <c r="AK61" s="25"/>
      <c r="AL61" s="26"/>
      <c r="AM61" s="26"/>
      <c r="AN61" s="25"/>
      <c r="AO61" s="25"/>
      <c r="AP61" s="25"/>
      <c r="AQ61" s="27"/>
      <c r="AR61" s="25"/>
      <c r="AS61" s="25"/>
      <c r="AT61" s="28"/>
      <c r="AU61" s="28"/>
      <c r="AV61" s="28"/>
      <c r="AW61" s="28"/>
      <c r="AX61" s="28"/>
      <c r="AY61" s="28"/>
      <c r="AZ61" s="29"/>
      <c r="BA61" s="29"/>
      <c r="BB61" s="28"/>
      <c r="BC61" s="28"/>
      <c r="BD61" s="28"/>
      <c r="BE61" s="28"/>
      <c r="BF61" s="28"/>
      <c r="BG61" s="28"/>
      <c r="BH61" s="28"/>
      <c r="BI61" s="28"/>
      <c r="BJ61" s="16">
        <f>BL61+BM61+BN61+BO61+BT61+BR61+BS61+BW61+BP61</f>
        <v>1.5</v>
      </c>
      <c r="BK61" s="16"/>
      <c r="BL61" s="17">
        <f>COUNT(D61:AG61)/2+COUNT(AJ61:BI61)/2</f>
        <v>1</v>
      </c>
      <c r="BM61" s="18">
        <f>COUNTIF(D61:BI61,"OFF")/2</f>
        <v>0</v>
      </c>
      <c r="BN61" s="18">
        <f>COUNTIF(D61:BI61,"MC")/2</f>
        <v>0</v>
      </c>
      <c r="BO61" s="18">
        <f>COUNTIF(D61:BI61,"EL")/2</f>
        <v>0</v>
      </c>
      <c r="BP61" s="18">
        <f>COUNTIF(D61:BI61,"AL")/2</f>
        <v>0.5</v>
      </c>
      <c r="BQ61" s="18">
        <f>COUNTIF(D61:BI61,"SUS")/2</f>
        <v>0</v>
      </c>
      <c r="BR61" s="18">
        <f>COUNTIF(D61:BI61,"FL")/2</f>
        <v>0</v>
      </c>
      <c r="BS61" s="18">
        <f>COUNTIF(D61:BI61,"SICK")/2</f>
        <v>0</v>
      </c>
      <c r="BT61" s="18">
        <f>COUNTIF(D61:BI61,"HD")/2</f>
        <v>0</v>
      </c>
      <c r="BU61" s="18">
        <f>COUNTIF(D61:BI61,"AB")/2</f>
        <v>0</v>
      </c>
      <c r="BV61" s="18">
        <f>COUNTIF(D61:BI61,"NL")/2</f>
        <v>0</v>
      </c>
      <c r="BW61" s="18">
        <f>COUNTIF(D61:BI61,"SP")/2</f>
        <v>0</v>
      </c>
      <c r="BX61" s="19"/>
    </row>
    <row r="62" spans="1:91" ht="22.5" customHeight="1" x14ac:dyDescent="0.25">
      <c r="A62" s="8">
        <v>13</v>
      </c>
      <c r="B62" s="9" t="s">
        <v>48</v>
      </c>
      <c r="C62" s="78" t="s">
        <v>49</v>
      </c>
      <c r="D62" s="28">
        <v>0.3611111111111111</v>
      </c>
      <c r="E62" s="28">
        <v>0.87222222222222223</v>
      </c>
      <c r="F62" s="28">
        <v>0.35972222222222222</v>
      </c>
      <c r="G62" s="28">
        <v>0.91041666666666676</v>
      </c>
      <c r="H62" s="28">
        <v>0.3743055555555555</v>
      </c>
      <c r="I62" s="28">
        <v>0.86111111111111116</v>
      </c>
      <c r="J62" s="28">
        <v>0.3527777777777778</v>
      </c>
      <c r="K62" s="28">
        <v>0.84375</v>
      </c>
      <c r="L62" s="28">
        <v>0.3520833333333333</v>
      </c>
      <c r="M62" s="28">
        <v>0.84513888888888899</v>
      </c>
      <c r="N62" s="28">
        <v>0.33402777777777781</v>
      </c>
      <c r="O62" s="28">
        <v>0.80902777777777779</v>
      </c>
      <c r="P62" s="83" t="s">
        <v>15</v>
      </c>
      <c r="Q62" s="83" t="s">
        <v>15</v>
      </c>
      <c r="R62" s="28">
        <v>0.32916666666666666</v>
      </c>
      <c r="S62" s="28">
        <v>0.89930555555555547</v>
      </c>
      <c r="T62" s="28">
        <v>0.3298611111111111</v>
      </c>
      <c r="U62" s="28">
        <v>0.87152777777777779</v>
      </c>
      <c r="V62" s="28">
        <v>0.34930555555555554</v>
      </c>
      <c r="W62" s="28">
        <v>0.87430555555555556</v>
      </c>
      <c r="X62" s="28">
        <v>0.32916666666666666</v>
      </c>
      <c r="Y62" s="28">
        <v>0.88124999999999998</v>
      </c>
      <c r="Z62" s="28">
        <v>0.3347222222222222</v>
      </c>
      <c r="AA62" s="28">
        <v>0.91319444444444453</v>
      </c>
      <c r="AB62" s="28">
        <v>0.3347222222222222</v>
      </c>
      <c r="AC62" s="28">
        <v>0.80972222222222223</v>
      </c>
      <c r="AD62" s="28" t="s">
        <v>15</v>
      </c>
      <c r="AE62" s="28" t="s">
        <v>15</v>
      </c>
      <c r="AF62" s="23"/>
      <c r="AG62" s="20"/>
      <c r="AH62" s="77"/>
      <c r="AI62" s="67">
        <v>14</v>
      </c>
      <c r="AJ62" s="25"/>
      <c r="AK62" s="25"/>
      <c r="AL62" s="32"/>
      <c r="AM62" s="32"/>
      <c r="AN62" s="25"/>
      <c r="AO62" s="25"/>
      <c r="AP62" s="25"/>
      <c r="AQ62" s="25"/>
      <c r="AR62" s="25"/>
      <c r="AS62" s="25"/>
      <c r="AT62" s="28"/>
      <c r="AU62" s="28"/>
      <c r="AV62" s="28"/>
      <c r="AW62" s="28"/>
      <c r="AX62" s="28"/>
      <c r="AY62" s="28"/>
      <c r="AZ62" s="30"/>
      <c r="BA62" s="30"/>
      <c r="BB62" s="28"/>
      <c r="BC62" s="28"/>
      <c r="BD62" s="28"/>
      <c r="BE62" s="28"/>
      <c r="BF62" s="28"/>
      <c r="BG62" s="28"/>
      <c r="BH62" s="28"/>
      <c r="BI62" s="28"/>
      <c r="BJ62" s="81">
        <f>BL62+BM62+BN62+BO62+BT62+BR62+BS62+BW62</f>
        <v>14</v>
      </c>
      <c r="BK62" s="82"/>
      <c r="BL62" s="17">
        <f>COUNT(B62:AG62)/2+COUNT(AJ62:BI62)/2</f>
        <v>12</v>
      </c>
      <c r="BM62" s="18">
        <f>COUNTIF(B62:BI62,"OFF")/2</f>
        <v>2</v>
      </c>
      <c r="BN62" s="18">
        <f>COUNTIF(B62:BI62,"MC")/2</f>
        <v>0</v>
      </c>
      <c r="BO62" s="18">
        <f>COUNTIF(B62:BI62,"EL")/2</f>
        <v>0</v>
      </c>
      <c r="BP62" s="18">
        <f>COUNTIF(B62:BI62,"AL")/2</f>
        <v>0</v>
      </c>
      <c r="BQ62" s="18">
        <f>COUNTIF(B62:BI62,"SUS")/2</f>
        <v>0</v>
      </c>
      <c r="BR62" s="18">
        <f>COUNTIF(B62:BI62,"FL")/2</f>
        <v>0</v>
      </c>
      <c r="BS62" s="18">
        <f>COUNTIF(B62:BI62,"SICK")/2</f>
        <v>0</v>
      </c>
      <c r="BT62" s="18">
        <f>COUNTIF(B62:BI62,"HD")/2</f>
        <v>0</v>
      </c>
      <c r="BU62" s="18">
        <f>COUNTIF(B62:BI62,"AB")/2</f>
        <v>0</v>
      </c>
      <c r="BV62" s="18">
        <f>COUNTIF(B62:BI62,"NL")/2</f>
        <v>0</v>
      </c>
      <c r="BW62" s="18">
        <f>COUNTIF(B62:BI62,"SP")/2</f>
        <v>0</v>
      </c>
      <c r="BX62" s="19"/>
    </row>
    <row r="63" spans="1:91" ht="22.5" customHeight="1" x14ac:dyDescent="0.25">
      <c r="A63" s="8">
        <v>16</v>
      </c>
      <c r="B63" s="9" t="s">
        <v>55</v>
      </c>
      <c r="C63" s="78" t="s">
        <v>56</v>
      </c>
      <c r="D63" s="95">
        <v>0.33819444444444446</v>
      </c>
      <c r="E63" s="95">
        <v>0.89236111111111116</v>
      </c>
      <c r="F63" s="95">
        <v>0.33680555555555558</v>
      </c>
      <c r="G63" s="95">
        <v>0.95624999999999993</v>
      </c>
      <c r="H63" s="96" t="s">
        <v>102</v>
      </c>
      <c r="I63" s="96" t="s">
        <v>102</v>
      </c>
      <c r="J63" s="95">
        <v>0.3298611111111111</v>
      </c>
      <c r="K63" s="95">
        <v>0.84791666666666676</v>
      </c>
      <c r="L63" s="95">
        <v>0.32569444444444445</v>
      </c>
      <c r="M63" s="95">
        <v>0.87847222222222221</v>
      </c>
      <c r="N63" s="98" t="s">
        <v>15</v>
      </c>
      <c r="O63" s="98" t="s">
        <v>15</v>
      </c>
      <c r="P63" s="95">
        <v>0.3298611111111111</v>
      </c>
      <c r="Q63" s="95">
        <v>0.84791666666666676</v>
      </c>
      <c r="R63" s="95">
        <v>0.33194444444444443</v>
      </c>
      <c r="S63" s="95">
        <v>0.90138888888888891</v>
      </c>
      <c r="T63" s="95">
        <v>0.32569444444444445</v>
      </c>
      <c r="U63" s="96">
        <v>1</v>
      </c>
      <c r="V63" s="95">
        <v>0.33333333333333331</v>
      </c>
      <c r="W63" s="95">
        <v>0.33333333333333331</v>
      </c>
      <c r="X63" s="95">
        <v>0.32777777777777778</v>
      </c>
      <c r="Y63" s="95">
        <v>0.32777777777777778</v>
      </c>
      <c r="Z63" s="95">
        <v>0.35069444444444442</v>
      </c>
      <c r="AA63" s="96">
        <v>1</v>
      </c>
      <c r="AB63" s="95">
        <v>0.58263888888888882</v>
      </c>
      <c r="AC63" s="96">
        <v>1</v>
      </c>
      <c r="AD63" s="95">
        <v>0.32847222222222222</v>
      </c>
      <c r="AE63" s="96">
        <v>1</v>
      </c>
      <c r="AF63" s="95">
        <v>0.32708333333333334</v>
      </c>
      <c r="AG63" s="96">
        <v>1</v>
      </c>
      <c r="AI63" s="102"/>
      <c r="AJ63" s="95">
        <v>0.32013888888888892</v>
      </c>
      <c r="AK63" s="95"/>
      <c r="AL63" s="95"/>
      <c r="AM63" s="95"/>
      <c r="AN63" s="95">
        <v>0.3666666666666667</v>
      </c>
      <c r="AO63" s="95"/>
      <c r="AP63" s="95">
        <v>0.31597222222222221</v>
      </c>
      <c r="AQ63" s="95">
        <v>0.31597222222222221</v>
      </c>
      <c r="AR63" s="95">
        <v>0.57916666666666672</v>
      </c>
      <c r="AS63" s="95"/>
      <c r="AT63" s="95">
        <v>0.35486111111111113</v>
      </c>
      <c r="AU63" s="95">
        <v>0.35486111111111113</v>
      </c>
      <c r="AV63" s="95">
        <v>0.3527777777777778</v>
      </c>
      <c r="AW63" s="95">
        <v>0.3527777777777778</v>
      </c>
      <c r="BB63" s="95"/>
      <c r="BC63" s="95"/>
      <c r="BD63" s="95"/>
      <c r="BE63" s="95"/>
      <c r="BF63" s="95"/>
      <c r="BG63" s="95"/>
      <c r="BH63" s="95"/>
      <c r="BI63" s="95"/>
      <c r="BJ63" s="81">
        <f>BL63+BM63+BN63+BO63+BT63+BR63+BS63+BW63</f>
        <v>18.5</v>
      </c>
      <c r="BK63" s="82"/>
      <c r="BL63" s="17">
        <f>COUNT(B63:AC63)/2+COUNT(AF63:BI63)/2</f>
        <v>16.5</v>
      </c>
      <c r="BM63" s="18">
        <f>COUNTIF(B63:BI63,"OFF")/2</f>
        <v>1</v>
      </c>
      <c r="BN63" s="18">
        <f>COUNTIF(B63:BI63,"MC")/2</f>
        <v>0</v>
      </c>
      <c r="BO63" s="18">
        <f>COUNTIF(B63:BI63,"EL")/2</f>
        <v>0</v>
      </c>
      <c r="BP63" s="18">
        <f>COUNTIF(B63:BI63,"AL")/2</f>
        <v>0</v>
      </c>
      <c r="BQ63" s="18">
        <f>COUNTIF(B63:BI63,"SUS")/2</f>
        <v>0</v>
      </c>
      <c r="BR63" s="18">
        <f>COUNTIF(B63:BI63,"FL")/2</f>
        <v>0</v>
      </c>
      <c r="BS63" s="18">
        <f>COUNTIF(B63:BI63,"SICK")/2</f>
        <v>1</v>
      </c>
      <c r="BT63" s="18">
        <f>COUNTIF(B63:BI63,"HD")/2</f>
        <v>0</v>
      </c>
      <c r="BU63" s="18">
        <f>COUNTIF(B63:BI63,"AB")/2</f>
        <v>0</v>
      </c>
      <c r="BV63" s="18">
        <f>COUNTIF(B63:BI63,"NL")/2</f>
        <v>0</v>
      </c>
      <c r="BW63" s="18">
        <f>COUNTIF(B63:BI63,"SP")/2</f>
        <v>0</v>
      </c>
      <c r="BX63" s="19"/>
      <c r="CC63" s="89">
        <v>0</v>
      </c>
      <c r="CD63" s="89">
        <v>0</v>
      </c>
      <c r="CE63" s="89">
        <v>0</v>
      </c>
      <c r="CF63" s="89">
        <v>0</v>
      </c>
      <c r="CG63" s="89">
        <v>0</v>
      </c>
      <c r="CH63" s="88">
        <v>6</v>
      </c>
      <c r="CI63" s="89">
        <v>0</v>
      </c>
      <c r="CJ63" s="88">
        <v>1</v>
      </c>
      <c r="CK63" s="88">
        <v>0</v>
      </c>
      <c r="CL63" s="88">
        <v>0</v>
      </c>
      <c r="CM63" s="93">
        <f>SUM(CC63:CL63)</f>
        <v>7</v>
      </c>
    </row>
  </sheetData>
  <autoFilter ref="CC4:CM4" xr:uid="{4DEAE187-7A0C-4228-9444-8A342039E6A5}"/>
  <mergeCells count="131">
    <mergeCell ref="AF2:AG2"/>
    <mergeCell ref="AJ2:AK2"/>
    <mergeCell ref="AR2:AS2"/>
    <mergeCell ref="AT2:AU2"/>
    <mergeCell ref="AV2:AW2"/>
    <mergeCell ref="AZ2:BA2"/>
    <mergeCell ref="AZ3:BA3"/>
    <mergeCell ref="BB3:BC3"/>
    <mergeCell ref="AT3:AU3"/>
    <mergeCell ref="N3:O3"/>
    <mergeCell ref="D38:AG38"/>
    <mergeCell ref="AJ38:BA38"/>
    <mergeCell ref="CC2:CL2"/>
    <mergeCell ref="CC15:CL15"/>
    <mergeCell ref="AB2:AC2"/>
    <mergeCell ref="BJ2:BJ4"/>
    <mergeCell ref="BK2:BK4"/>
    <mergeCell ref="BL2:BX2"/>
    <mergeCell ref="D3:E3"/>
    <mergeCell ref="F3:G3"/>
    <mergeCell ref="X3:Y3"/>
    <mergeCell ref="Z3:AA3"/>
    <mergeCell ref="AB3:AC3"/>
    <mergeCell ref="BD3:BE3"/>
    <mergeCell ref="BF3:BG3"/>
    <mergeCell ref="BH3:BI3"/>
    <mergeCell ref="BB2:BC2"/>
    <mergeCell ref="AD2:AE2"/>
    <mergeCell ref="T15:U15"/>
    <mergeCell ref="V15:W15"/>
    <mergeCell ref="X15:Y15"/>
    <mergeCell ref="Z15:AA15"/>
    <mergeCell ref="BD2:BE2"/>
    <mergeCell ref="L16:M16"/>
    <mergeCell ref="A1:AG1"/>
    <mergeCell ref="AI1:BX1"/>
    <mergeCell ref="A2:C3"/>
    <mergeCell ref="D2:E2"/>
    <mergeCell ref="F2:G2"/>
    <mergeCell ref="H2:I2"/>
    <mergeCell ref="J2:K2"/>
    <mergeCell ref="L2:M2"/>
    <mergeCell ref="N2:O2"/>
    <mergeCell ref="P2:Q2"/>
    <mergeCell ref="AL2:AM2"/>
    <mergeCell ref="AN2:AO2"/>
    <mergeCell ref="AP2:AQ2"/>
    <mergeCell ref="R2:S2"/>
    <mergeCell ref="T2:U2"/>
    <mergeCell ref="V2:W2"/>
    <mergeCell ref="BF2:BG2"/>
    <mergeCell ref="BH2:BI2"/>
    <mergeCell ref="N16:O16"/>
    <mergeCell ref="P16:Q16"/>
    <mergeCell ref="J16:K16"/>
    <mergeCell ref="R16:S16"/>
    <mergeCell ref="L3:M3"/>
    <mergeCell ref="H15:I15"/>
    <mergeCell ref="J15:K15"/>
    <mergeCell ref="L15:M15"/>
    <mergeCell ref="N15:O15"/>
    <mergeCell ref="P15:Q15"/>
    <mergeCell ref="R15:S15"/>
    <mergeCell ref="BF15:BG15"/>
    <mergeCell ref="BH15:BI15"/>
    <mergeCell ref="AR15:AS15"/>
    <mergeCell ref="AT15:AU15"/>
    <mergeCell ref="AV15:AW15"/>
    <mergeCell ref="AL15:AM15"/>
    <mergeCell ref="AB15:AC15"/>
    <mergeCell ref="X16:Y16"/>
    <mergeCell ref="Z16:AA16"/>
    <mergeCell ref="AB16:AC16"/>
    <mergeCell ref="AR16:AS16"/>
    <mergeCell ref="AT16:AU16"/>
    <mergeCell ref="AV16:AW16"/>
    <mergeCell ref="AX16:AY16"/>
    <mergeCell ref="AZ16:BA16"/>
    <mergeCell ref="BB16:BC16"/>
    <mergeCell ref="AJ16:AK16"/>
    <mergeCell ref="AL16:AM16"/>
    <mergeCell ref="AN16:AO16"/>
    <mergeCell ref="AP16:AQ16"/>
    <mergeCell ref="BD16:BE16"/>
    <mergeCell ref="AN15:AO15"/>
    <mergeCell ref="AP15:AQ15"/>
    <mergeCell ref="BD15:BE15"/>
    <mergeCell ref="P3:Q3"/>
    <mergeCell ref="AD3:AE3"/>
    <mergeCell ref="AF15:AG15"/>
    <mergeCell ref="AJ15:AK15"/>
    <mergeCell ref="AD15:AE15"/>
    <mergeCell ref="AX15:AY15"/>
    <mergeCell ref="AZ15:BA15"/>
    <mergeCell ref="BB15:BC15"/>
    <mergeCell ref="D9:AG9"/>
    <mergeCell ref="AJ9:BA9"/>
    <mergeCell ref="D15:E15"/>
    <mergeCell ref="F15:G15"/>
    <mergeCell ref="A14:AG14"/>
    <mergeCell ref="AI14:BX14"/>
    <mergeCell ref="BK15:BK17"/>
    <mergeCell ref="A15:C16"/>
    <mergeCell ref="BF16:BG16"/>
    <mergeCell ref="BH16:BI16"/>
    <mergeCell ref="AF16:AG16"/>
    <mergeCell ref="BJ15:BJ17"/>
    <mergeCell ref="D37:AG37"/>
    <mergeCell ref="AJ37:AU37"/>
    <mergeCell ref="H3:I3"/>
    <mergeCell ref="J3:K3"/>
    <mergeCell ref="AX2:AY2"/>
    <mergeCell ref="AF3:AG3"/>
    <mergeCell ref="AJ3:AK3"/>
    <mergeCell ref="AL3:AM3"/>
    <mergeCell ref="AN3:AO3"/>
    <mergeCell ref="AP3:AQ3"/>
    <mergeCell ref="R3:S3"/>
    <mergeCell ref="T3:U3"/>
    <mergeCell ref="V3:W3"/>
    <mergeCell ref="AR3:AS3"/>
    <mergeCell ref="AV3:AW3"/>
    <mergeCell ref="AX3:AY3"/>
    <mergeCell ref="X2:Y2"/>
    <mergeCell ref="Z2:AA2"/>
    <mergeCell ref="AD16:AE16"/>
    <mergeCell ref="D16:E16"/>
    <mergeCell ref="F16:G16"/>
    <mergeCell ref="H16:I16"/>
    <mergeCell ref="T16:U16"/>
    <mergeCell ref="V16:W16"/>
  </mergeCells>
  <phoneticPr fontId="19" type="noConversion"/>
  <conditionalFormatting sqref="A2 BK18:BK38 BK62:BK63">
    <cfRule type="cellIs" dxfId="122" priority="1441" operator="equal">
      <formula>";"</formula>
    </cfRule>
  </conditionalFormatting>
  <conditionalFormatting sqref="A15">
    <cfRule type="cellIs" dxfId="121" priority="1440" stopIfTrue="1" operator="equal">
      <formula>";"</formula>
    </cfRule>
  </conditionalFormatting>
  <conditionalFormatting sqref="D9 AH11 D18:O37 AW19 AW21 AJ63:AW63 BB63:BI63 D5:O8">
    <cfRule type="containsText" dxfId="120" priority="505" operator="containsText" text="AL">
      <formula>NOT(ISERROR(SEARCH("AL",D5)))</formula>
    </cfRule>
  </conditionalFormatting>
  <conditionalFormatting sqref="D9 AH11 AW21 AJ63:AW63 BB63:BI63 D18:O37 AW19">
    <cfRule type="containsText" dxfId="119" priority="504" operator="containsText" text="AB">
      <formula>NOT(ISERROR(SEARCH("AB",D9)))</formula>
    </cfRule>
  </conditionalFormatting>
  <conditionalFormatting sqref="D5:O8 D9 AH11 D18:O37 AW19 AW21 AJ63:AW63 BB63:BI63">
    <cfRule type="containsText" dxfId="118" priority="506" operator="containsText" text="SICK">
      <formula>NOT(ISERROR(SEARCH("SICK",D5)))</formula>
    </cfRule>
  </conditionalFormatting>
  <conditionalFormatting sqref="D5:AG8">
    <cfRule type="containsText" dxfId="117" priority="327" operator="containsText" text="FL">
      <formula>NOT(ISERROR(SEARCH("FL",D5)))</formula>
    </cfRule>
    <cfRule type="containsText" dxfId="116" priority="328" operator="containsText" text="AB">
      <formula>NOT(ISERROR(SEARCH("AB",D5)))</formula>
    </cfRule>
  </conditionalFormatting>
  <conditionalFormatting sqref="D10:AG11">
    <cfRule type="containsText" dxfId="115" priority="323" operator="containsText" text="FL">
      <formula>NOT(ISERROR(SEARCH("FL",D10)))</formula>
    </cfRule>
    <cfRule type="containsText" dxfId="114" priority="324" operator="containsText" text="AB">
      <formula>NOT(ISERROR(SEARCH("AB",D10)))</formula>
    </cfRule>
    <cfRule type="containsText" dxfId="113" priority="326" operator="containsText" text="SICK">
      <formula>NOT(ISERROR(SEARCH("SICK",D10)))</formula>
    </cfRule>
    <cfRule type="containsText" dxfId="112" priority="325" operator="containsText" text="AL">
      <formula>NOT(ISERROR(SEARCH("AL",D10)))</formula>
    </cfRule>
  </conditionalFormatting>
  <conditionalFormatting sqref="D18:AG38">
    <cfRule type="containsText" dxfId="111" priority="103" operator="containsText" text="FL">
      <formula>NOT(ISERROR(SEARCH("FL",D18)))</formula>
    </cfRule>
  </conditionalFormatting>
  <conditionalFormatting sqref="D38:AG38">
    <cfRule type="containsText" dxfId="110" priority="104" operator="containsText" text="AB">
      <formula>NOT(ISERROR(SEARCH("AB",D38)))</formula>
    </cfRule>
    <cfRule type="containsText" dxfId="109" priority="105" operator="containsText" text="AL">
      <formula>NOT(ISERROR(SEARCH("AL",D38)))</formula>
    </cfRule>
    <cfRule type="containsText" dxfId="108" priority="106" operator="containsText" text="SICK">
      <formula>NOT(ISERROR(SEARCH("SICK",D38)))</formula>
    </cfRule>
  </conditionalFormatting>
  <conditionalFormatting sqref="D63:AG63">
    <cfRule type="containsText" dxfId="107" priority="357" operator="containsText" text="AL">
      <formula>NOT(ISERROR(SEARCH("AL",D63)))</formula>
    </cfRule>
    <cfRule type="containsText" dxfId="106" priority="355" operator="containsText" text="FL">
      <formula>NOT(ISERROR(SEARCH("FL",D63)))</formula>
    </cfRule>
    <cfRule type="containsText" dxfId="105" priority="356" operator="containsText" text="AB">
      <formula>NOT(ISERROR(SEARCH("AB",D63)))</formula>
    </cfRule>
    <cfRule type="containsText" dxfId="104" priority="358" operator="containsText" text="SICK">
      <formula>NOT(ISERROR(SEARCH("SICK",D63)))</formula>
    </cfRule>
  </conditionalFormatting>
  <conditionalFormatting sqref="D62:BI62">
    <cfRule type="containsText" dxfId="103" priority="1000" stopIfTrue="1" operator="containsText" text="SICK">
      <formula>NOT(ISERROR(SEARCH("SICK",D62)))</formula>
    </cfRule>
    <cfRule type="containsText" dxfId="102" priority="999" stopIfTrue="1" operator="containsText" text="SP">
      <formula>NOT(ISERROR(SEARCH("SP",D62)))</formula>
    </cfRule>
    <cfRule type="containsText" dxfId="101" priority="998" stopIfTrue="1" operator="containsText" text="EL">
      <formula>NOT(ISERROR(SEARCH("EL",D62)))</formula>
    </cfRule>
    <cfRule type="containsText" dxfId="100" priority="997" stopIfTrue="1" operator="containsText" text="NL">
      <formula>NOT(ISERROR(SEARCH("NL",D62)))</formula>
    </cfRule>
  </conditionalFormatting>
  <conditionalFormatting sqref="P35:T37 V35:W37 P36:W37">
    <cfRule type="containsText" dxfId="99" priority="498" operator="containsText" text="SICK">
      <formula>NOT(ISERROR(SEARCH("SICK",P35)))</formula>
    </cfRule>
    <cfRule type="containsText" dxfId="98" priority="497" operator="containsText" text="AL">
      <formula>NOT(ISERROR(SEARCH("AL",P35)))</formula>
    </cfRule>
    <cfRule type="containsText" dxfId="97" priority="496" operator="containsText" text="AB">
      <formula>NOT(ISERROR(SEARCH("AB",P35)))</formula>
    </cfRule>
  </conditionalFormatting>
  <conditionalFormatting sqref="P5:U6">
    <cfRule type="containsText" dxfId="96" priority="341" operator="containsText" text="AL">
      <formula>NOT(ISERROR(SEARCH("AL",P5)))</formula>
    </cfRule>
    <cfRule type="containsText" dxfId="95" priority="342" operator="containsText" text="SICK">
      <formula>NOT(ISERROR(SEARCH("SICK",P5)))</formula>
    </cfRule>
  </conditionalFormatting>
  <conditionalFormatting sqref="P7:W7">
    <cfRule type="containsText" dxfId="94" priority="490" operator="containsText" text="SICK">
      <formula>NOT(ISERROR(SEARCH("SICK",P7)))</formula>
    </cfRule>
    <cfRule type="containsText" dxfId="93" priority="489" operator="containsText" text="AL">
      <formula>NOT(ISERROR(SEARCH("AL",P7)))</formula>
    </cfRule>
  </conditionalFormatting>
  <conditionalFormatting sqref="P18:W34">
    <cfRule type="containsText" dxfId="92" priority="437" operator="containsText" text="AL">
      <formula>NOT(ISERROR(SEARCH("AL",P18)))</formula>
    </cfRule>
    <cfRule type="containsText" dxfId="91" priority="438" operator="containsText" text="SICK">
      <formula>NOT(ISERROR(SEARCH("SICK",P18)))</formula>
    </cfRule>
    <cfRule type="containsText" dxfId="90" priority="436" operator="containsText" text="AB">
      <formula>NOT(ISERROR(SEARCH("AB",P18)))</formula>
    </cfRule>
  </conditionalFormatting>
  <conditionalFormatting sqref="P36:W37">
    <cfRule type="containsText" dxfId="89" priority="495" operator="containsText" text="FL">
      <formula>NOT(ISERROR(SEARCH("FL",P36)))</formula>
    </cfRule>
  </conditionalFormatting>
  <conditionalFormatting sqref="P8:AF8">
    <cfRule type="containsText" dxfId="88" priority="433" operator="containsText" text="AL">
      <formula>NOT(ISERROR(SEARCH("AL",P8)))</formula>
    </cfRule>
    <cfRule type="containsText" dxfId="87" priority="434" operator="containsText" text="SICK">
      <formula>NOT(ISERROR(SEARCH("SICK",P8)))</formula>
    </cfRule>
  </conditionalFormatting>
  <conditionalFormatting sqref="U35:U37">
    <cfRule type="containsText" dxfId="86" priority="444" operator="containsText" text="AB">
      <formula>NOT(ISERROR(SEARCH("AB",U35)))</formula>
    </cfRule>
    <cfRule type="containsText" dxfId="85" priority="446" operator="containsText" text="SICK">
      <formula>NOT(ISERROR(SEARCH("SICK",U35)))</formula>
    </cfRule>
    <cfRule type="containsText" dxfId="84" priority="445" operator="containsText" text="AL">
      <formula>NOT(ISERROR(SEARCH("AL",U35)))</formula>
    </cfRule>
  </conditionalFormatting>
  <conditionalFormatting sqref="U38">
    <cfRule type="containsText" dxfId="83" priority="102" operator="containsText" text="SICK">
      <formula>NOT(ISERROR(SEARCH("SICK",U38)))</formula>
    </cfRule>
    <cfRule type="containsText" dxfId="82" priority="100" operator="containsText" text="AB">
      <formula>NOT(ISERROR(SEARCH("AB",U38)))</formula>
    </cfRule>
    <cfRule type="containsText" dxfId="81" priority="99" operator="containsText" text="FL">
      <formula>NOT(ISERROR(SEARCH("FL",U38)))</formula>
    </cfRule>
    <cfRule type="containsText" dxfId="80" priority="101" operator="containsText" text="AL">
      <formula>NOT(ISERROR(SEARCH("AL",U38)))</formula>
    </cfRule>
  </conditionalFormatting>
  <conditionalFormatting sqref="V6:W6">
    <cfRule type="containsText" dxfId="79" priority="501" operator="containsText" text="AL">
      <formula>NOT(ISERROR(SEARCH("AL",V6)))</formula>
    </cfRule>
    <cfRule type="containsText" dxfId="78" priority="502" operator="containsText" text="SICK">
      <formula>NOT(ISERROR(SEARCH("SICK",V6)))</formula>
    </cfRule>
  </conditionalFormatting>
  <conditionalFormatting sqref="V5:AF5">
    <cfRule type="containsText" dxfId="77" priority="417" operator="containsText" text="AL">
      <formula>NOT(ISERROR(SEARCH("AL",V5)))</formula>
    </cfRule>
    <cfRule type="containsText" dxfId="76" priority="418" operator="containsText" text="SICK">
      <formula>NOT(ISERROR(SEARCH("SICK",V5)))</formula>
    </cfRule>
  </conditionalFormatting>
  <conditionalFormatting sqref="X6:AF7">
    <cfRule type="containsText" dxfId="75" priority="409" operator="containsText" text="AL">
      <formula>NOT(ISERROR(SEARCH("AL",X6)))</formula>
    </cfRule>
    <cfRule type="containsText" dxfId="74" priority="410" operator="containsText" text="SICK">
      <formula>NOT(ISERROR(SEARCH("SICK",X6)))</formula>
    </cfRule>
  </conditionalFormatting>
  <conditionalFormatting sqref="X18:AG37">
    <cfRule type="containsText" dxfId="73" priority="309" operator="containsText" text="AL">
      <formula>NOT(ISERROR(SEARCH("AL",X18)))</formula>
    </cfRule>
    <cfRule type="containsText" dxfId="72" priority="308" operator="containsText" text="AB">
      <formula>NOT(ISERROR(SEARCH("AB",X18)))</formula>
    </cfRule>
    <cfRule type="containsText" dxfId="71" priority="310" operator="containsText" text="SICK">
      <formula>NOT(ISERROR(SEARCH("SICK",X18)))</formula>
    </cfRule>
  </conditionalFormatting>
  <conditionalFormatting sqref="AG5:AG8">
    <cfRule type="containsText" dxfId="70" priority="330" operator="containsText" text="SICK">
      <formula>NOT(ISERROR(SEARCH("SICK",AG5)))</formula>
    </cfRule>
    <cfRule type="containsText" dxfId="69" priority="329" operator="containsText" text="AL">
      <formula>NOT(ISERROR(SEARCH("AL",AG5)))</formula>
    </cfRule>
  </conditionalFormatting>
  <conditionalFormatting sqref="AH11 BB63:BI63">
    <cfRule type="containsText" dxfId="68" priority="519" operator="containsText" text="AB">
      <formula>NOT(ISERROR(SEARCH("AB",AH11)))</formula>
    </cfRule>
    <cfRule type="containsText" dxfId="67" priority="520" operator="containsText" text="SICK">
      <formula>NOT(ISERROR(SEARCH("SICK",AH11)))</formula>
    </cfRule>
    <cfRule type="containsText" dxfId="66" priority="521" operator="containsText" text="AL">
      <formula>NOT(ISERROR(SEARCH("AL",AH11)))</formula>
    </cfRule>
  </conditionalFormatting>
  <conditionalFormatting sqref="AH11">
    <cfRule type="containsText" dxfId="65" priority="991" operator="containsText" text="SICK">
      <formula>NOT(ISERROR(SEARCH("SICK",AH11)))</formula>
    </cfRule>
    <cfRule type="containsText" dxfId="64" priority="1033" stopIfTrue="1" operator="containsText" text="NL">
      <formula>NOT(ISERROR(SEARCH("NL",AH11)))</formula>
    </cfRule>
    <cfRule type="containsText" dxfId="63" priority="1034" stopIfTrue="1" operator="containsText" text="EL">
      <formula>NOT(ISERROR(SEARCH("EL",AH11)))</formula>
    </cfRule>
    <cfRule type="containsText" dxfId="62" priority="1035" stopIfTrue="1" operator="containsText" text="SP">
      <formula>NOT(ISERROR(SEARCH("SP",AH11)))</formula>
    </cfRule>
    <cfRule type="containsText" dxfId="61" priority="1036" stopIfTrue="1" operator="containsText" text="SICK">
      <formula>NOT(ISERROR(SEARCH("SICK",AH11)))</formula>
    </cfRule>
  </conditionalFormatting>
  <conditionalFormatting sqref="AJ9">
    <cfRule type="containsText" dxfId="60" priority="299" operator="containsText" text="FL">
      <formula>NOT(ISERROR(SEARCH("FL",AJ9)))</formula>
    </cfRule>
    <cfRule type="containsText" dxfId="59" priority="302" operator="containsText" text="SICK">
      <formula>NOT(ISERROR(SEARCH("SICK",AJ9)))</formula>
    </cfRule>
    <cfRule type="containsText" dxfId="58" priority="301" operator="containsText" text="AL">
      <formula>NOT(ISERROR(SEARCH("AL",AJ9)))</formula>
    </cfRule>
    <cfRule type="containsText" dxfId="57" priority="300" operator="containsText" text="AB">
      <formula>NOT(ISERROR(SEARCH("AB",AJ9)))</formula>
    </cfRule>
  </conditionalFormatting>
  <conditionalFormatting sqref="AJ38">
    <cfRule type="containsText" dxfId="56" priority="95" operator="containsText" text="FL">
      <formula>NOT(ISERROR(SEARCH("FL",AJ38)))</formula>
    </cfRule>
    <cfRule type="containsText" dxfId="55" priority="96" operator="containsText" text="AB">
      <formula>NOT(ISERROR(SEARCH("AB",AJ38)))</formula>
    </cfRule>
    <cfRule type="containsText" dxfId="54" priority="97" operator="containsText" text="AL">
      <formula>NOT(ISERROR(SEARCH("AL",AJ38)))</formula>
    </cfRule>
    <cfRule type="containsText" dxfId="53" priority="98" operator="containsText" text="SICK">
      <formula>NOT(ISERROR(SEARCH("SICK",AJ38)))</formula>
    </cfRule>
  </conditionalFormatting>
  <conditionalFormatting sqref="AJ18:AV19">
    <cfRule type="containsText" dxfId="52" priority="212" operator="containsText" text="AB">
      <formula>NOT(ISERROR(SEARCH("AB",AJ18)))</formula>
    </cfRule>
    <cfRule type="containsText" dxfId="51" priority="213" operator="containsText" text="AL">
      <formula>NOT(ISERROR(SEARCH("AL",AJ18)))</formula>
    </cfRule>
    <cfRule type="containsText" dxfId="50" priority="214" operator="containsText" text="SICK">
      <formula>NOT(ISERROR(SEARCH("SICK",AJ18)))</formula>
    </cfRule>
  </conditionalFormatting>
  <conditionalFormatting sqref="AJ10:AW11">
    <cfRule type="containsText" dxfId="49" priority="245" operator="containsText" text="AL">
      <formula>NOT(ISERROR(SEARCH("AL",AJ10)))</formula>
    </cfRule>
    <cfRule type="containsText" dxfId="48" priority="246" operator="containsText" text="SICK">
      <formula>NOT(ISERROR(SEARCH("SICK",AJ10)))</formula>
    </cfRule>
    <cfRule type="containsText" dxfId="47" priority="243" operator="containsText" text="FL">
      <formula>NOT(ISERROR(SEARCH("FL",AJ10)))</formula>
    </cfRule>
    <cfRule type="containsText" dxfId="46" priority="244" operator="containsText" text="AB">
      <formula>NOT(ISERROR(SEARCH("AB",AJ10)))</formula>
    </cfRule>
  </conditionalFormatting>
  <conditionalFormatting sqref="AJ20:AW37">
    <cfRule type="containsText" dxfId="45" priority="172" operator="containsText" text="AB">
      <formula>NOT(ISERROR(SEARCH("AB",AJ20)))</formula>
    </cfRule>
    <cfRule type="containsText" dxfId="44" priority="173" operator="containsText" text="AL">
      <formula>NOT(ISERROR(SEARCH("AL",AJ20)))</formula>
    </cfRule>
    <cfRule type="containsText" dxfId="43" priority="174" operator="containsText" text="SICK">
      <formula>NOT(ISERROR(SEARCH("SICK",AJ20)))</formula>
    </cfRule>
  </conditionalFormatting>
  <conditionalFormatting sqref="AJ5:BH8">
    <cfRule type="containsText" dxfId="42" priority="127" operator="containsText" text="FL">
      <formula>NOT(ISERROR(SEARCH("FL",AJ5)))</formula>
    </cfRule>
    <cfRule type="containsText" dxfId="41" priority="130" operator="containsText" text="SICK">
      <formula>NOT(ISERROR(SEARCH("SICK",AJ5)))</formula>
    </cfRule>
    <cfRule type="containsText" dxfId="40" priority="129" operator="containsText" text="AL">
      <formula>NOT(ISERROR(SEARCH("AL",AJ5)))</formula>
    </cfRule>
    <cfRule type="containsText" dxfId="39" priority="128" operator="containsText" text="AB">
      <formula>NOT(ISERROR(SEARCH("AB",AJ5)))</formula>
    </cfRule>
  </conditionalFormatting>
  <conditionalFormatting sqref="AJ18:BH37">
    <cfRule type="containsText" dxfId="38" priority="19" operator="containsText" text="FL">
      <formula>NOT(ISERROR(SEARCH("FL",AJ18)))</formula>
    </cfRule>
  </conditionalFormatting>
  <conditionalFormatting sqref="AJ5:BI11">
    <cfRule type="cellIs" dxfId="37" priority="2" operator="between">
      <formula>0.0625</formula>
      <formula>0.1875</formula>
    </cfRule>
  </conditionalFormatting>
  <conditionalFormatting sqref="AJ18:BI38">
    <cfRule type="cellIs" dxfId="36" priority="1" operator="between">
      <formula>0.0625</formula>
      <formula>0.1875</formula>
    </cfRule>
  </conditionalFormatting>
  <conditionalFormatting sqref="AW21 D9 AH11 AJ63:AW63 BB63:BI63">
    <cfRule type="containsText" dxfId="35" priority="503" operator="containsText" text="FL">
      <formula>NOT(ISERROR(SEARCH("FL",D9)))</formula>
    </cfRule>
  </conditionalFormatting>
  <conditionalFormatting sqref="AW18:BI18">
    <cfRule type="containsText" dxfId="34" priority="65" operator="containsText" text="AL">
      <formula>NOT(ISERROR(SEARCH("AL",AW18)))</formula>
    </cfRule>
    <cfRule type="containsText" dxfId="33" priority="66" operator="containsText" text="SICK">
      <formula>NOT(ISERROR(SEARCH("SICK",AW18)))</formula>
    </cfRule>
    <cfRule type="containsText" dxfId="32" priority="64" operator="containsText" text="AB">
      <formula>NOT(ISERROR(SEARCH("AB",AW18)))</formula>
    </cfRule>
  </conditionalFormatting>
  <conditionalFormatting sqref="AX10:BA10">
    <cfRule type="containsText" dxfId="31" priority="160" operator="containsText" text="AB">
      <formula>NOT(ISERROR(SEARCH("AB",AX10)))</formula>
    </cfRule>
    <cfRule type="containsText" dxfId="30" priority="159" operator="containsText" text="FL">
      <formula>NOT(ISERROR(SEARCH("FL",AX10)))</formula>
    </cfRule>
    <cfRule type="containsText" dxfId="29" priority="162" operator="containsText" text="SICK">
      <formula>NOT(ISERROR(SEARCH("SICK",AX10)))</formula>
    </cfRule>
    <cfRule type="containsText" dxfId="28" priority="161" operator="containsText" text="AL">
      <formula>NOT(ISERROR(SEARCH("AL",AX10)))</formula>
    </cfRule>
  </conditionalFormatting>
  <conditionalFormatting sqref="AX11:BC11">
    <cfRule type="containsText" dxfId="27" priority="118" operator="containsText" text="SICK">
      <formula>NOT(ISERROR(SEARCH("SICK",AX11)))</formula>
    </cfRule>
    <cfRule type="containsText" dxfId="26" priority="117" operator="containsText" text="AL">
      <formula>NOT(ISERROR(SEARCH("AL",AX11)))</formula>
    </cfRule>
    <cfRule type="containsText" dxfId="25" priority="116" operator="containsText" text="AB">
      <formula>NOT(ISERROR(SEARCH("AB",AX11)))</formula>
    </cfRule>
    <cfRule type="containsText" dxfId="24" priority="115" operator="containsText" text="FL">
      <formula>NOT(ISERROR(SEARCH("FL",AX11)))</formula>
    </cfRule>
  </conditionalFormatting>
  <conditionalFormatting sqref="AX19:BH37">
    <cfRule type="containsText" dxfId="23" priority="22" operator="containsText" text="SICK">
      <formula>NOT(ISERROR(SEARCH("SICK",AX19)))</formula>
    </cfRule>
    <cfRule type="containsText" dxfId="22" priority="21" operator="containsText" text="AL">
      <formula>NOT(ISERROR(SEARCH("AL",AX19)))</formula>
    </cfRule>
    <cfRule type="containsText" dxfId="21" priority="20" operator="containsText" text="AB">
      <formula>NOT(ISERROR(SEARCH("AB",AX19)))</formula>
    </cfRule>
  </conditionalFormatting>
  <conditionalFormatting sqref="BB9:BH10 BD10:BD11">
    <cfRule type="containsText" dxfId="20" priority="166" operator="containsText" text="SICK">
      <formula>NOT(ISERROR(SEARCH("SICK",BB9)))</formula>
    </cfRule>
    <cfRule type="containsText" dxfId="19" priority="164" operator="containsText" text="AB">
      <formula>NOT(ISERROR(SEARCH("AB",BB9)))</formula>
    </cfRule>
    <cfRule type="containsText" dxfId="18" priority="163" operator="containsText" text="FL">
      <formula>NOT(ISERROR(SEARCH("FL",BB9)))</formula>
    </cfRule>
    <cfRule type="containsText" dxfId="17" priority="165" operator="containsText" text="AL">
      <formula>NOT(ISERROR(SEARCH("AL",BB9)))</formula>
    </cfRule>
  </conditionalFormatting>
  <conditionalFormatting sqref="BB38:BH38">
    <cfRule type="containsText" dxfId="16" priority="88" operator="containsText" text="AB">
      <formula>NOT(ISERROR(SEARCH("AB",BB38)))</formula>
    </cfRule>
    <cfRule type="containsText" dxfId="15" priority="87" operator="containsText" text="FL">
      <formula>NOT(ISERROR(SEARCH("FL",BB38)))</formula>
    </cfRule>
    <cfRule type="containsText" dxfId="14" priority="90" operator="containsText" text="SICK">
      <formula>NOT(ISERROR(SEARCH("SICK",BB38)))</formula>
    </cfRule>
    <cfRule type="containsText" dxfId="13" priority="89" operator="containsText" text="AL">
      <formula>NOT(ISERROR(SEARCH("AL",BB38)))</formula>
    </cfRule>
  </conditionalFormatting>
  <conditionalFormatting sqref="BE11:BH11">
    <cfRule type="containsText" dxfId="12" priority="112" operator="containsText" text="AB">
      <formula>NOT(ISERROR(SEARCH("AB",BE11)))</formula>
    </cfRule>
    <cfRule type="containsText" dxfId="11" priority="113" operator="containsText" text="AL">
      <formula>NOT(ISERROR(SEARCH("AL",BE11)))</formula>
    </cfRule>
    <cfRule type="containsText" dxfId="10" priority="114" operator="containsText" text="SICK">
      <formula>NOT(ISERROR(SEARCH("SICK",BE11)))</formula>
    </cfRule>
    <cfRule type="containsText" dxfId="9" priority="111" operator="containsText" text="FL">
      <formula>NOT(ISERROR(SEARCH("FL",BE11)))</formula>
    </cfRule>
  </conditionalFormatting>
  <conditionalFormatting sqref="BI5:BI11">
    <cfRule type="containsText" dxfId="8" priority="12" operator="containsText" text="AB">
      <formula>NOT(ISERROR(SEARCH("AB",BI5)))</formula>
    </cfRule>
    <cfRule type="containsText" dxfId="7" priority="11" operator="containsText" text="FL">
      <formula>NOT(ISERROR(SEARCH("FL",BI5)))</formula>
    </cfRule>
    <cfRule type="containsText" dxfId="6" priority="13" operator="containsText" text="AL">
      <formula>NOT(ISERROR(SEARCH("AL",BI5)))</formula>
    </cfRule>
    <cfRule type="containsText" dxfId="5" priority="14" operator="containsText" text="SICK">
      <formula>NOT(ISERROR(SEARCH("SICK",BI5)))</formula>
    </cfRule>
  </conditionalFormatting>
  <conditionalFormatting sqref="BI18:BI38">
    <cfRule type="containsText" dxfId="4" priority="3" operator="containsText" text="FL">
      <formula>NOT(ISERROR(SEARCH("FL",BI18)))</formula>
    </cfRule>
  </conditionalFormatting>
  <conditionalFormatting sqref="BI19:BI38">
    <cfRule type="containsText" dxfId="3" priority="6" operator="containsText" text="SICK">
      <formula>NOT(ISERROR(SEARCH("SICK",BI19)))</formula>
    </cfRule>
    <cfRule type="containsText" dxfId="2" priority="5" operator="containsText" text="AL">
      <formula>NOT(ISERROR(SEARCH("AL",BI19)))</formula>
    </cfRule>
    <cfRule type="containsText" dxfId="1" priority="4" operator="containsText" text="AB">
      <formula>NOT(ISERROR(SEARCH("AB",BI19)))</formula>
    </cfRule>
  </conditionalFormatting>
  <conditionalFormatting sqref="BK5:BK11">
    <cfRule type="cellIs" dxfId="0" priority="1430" operator="equal">
      <formula>";"</formula>
    </cfRule>
  </conditionalFormatting>
  <pageMargins left="0.7" right="0.7" top="0.75" bottom="0.75" header="0.3" footer="0.3"/>
  <pageSetup paperSize="9" scale="2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2026-03-01T16:18:56Z</cp:lastPrinted>
  <dcterms:created xsi:type="dcterms:W3CDTF">2025-11-05T07:56:06Z</dcterms:created>
  <dcterms:modified xsi:type="dcterms:W3CDTF">2026-10-30T08:57:54Z</dcterms:modified>
</cp:coreProperties>
</file>