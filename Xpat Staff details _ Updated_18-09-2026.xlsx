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Rettey\madihaa-hrm\"/>
    </mc:Choice>
  </mc:AlternateContent>
  <xr:revisionPtr revIDLastSave="0" documentId="8_{1B5D1257-85EB-4B73-8AB6-A004BCD74F00}" xr6:coauthVersionLast="47" xr6:coauthVersionMax="47" xr10:uidLastSave="{00000000-0000-0000-0000-000000000000}"/>
  <bookViews>
    <workbookView xWindow="-120" yWindow="-120" windowWidth="29040" windowHeight="15840" tabRatio="582" xr2:uid="{00000000-000D-0000-FFFF-FFFF00000000}"/>
  </bookViews>
  <sheets>
    <sheet name="Expat(Madihaa)" sheetId="3" r:id="rId1"/>
    <sheet name="Expat(Batuta)" sheetId="10" r:id="rId2"/>
    <sheet name="Expat(Madigrand)" sheetId="9" r:id="rId3"/>
    <sheet name="Left Staffs" sheetId="4" r:id="rId4"/>
    <sheet name="All Xpat Details (Deposit)" sheetId="6" r:id="rId5"/>
    <sheet name="Sheet1" sheetId="11" r:id="rId6"/>
    <sheet name="Medical lists" sheetId="8" r:id="rId7"/>
  </sheets>
  <definedNames>
    <definedName name="_xlnm._FilterDatabase" localSheetId="4" hidden="1">'All Xpat Details (Deposit)'!$A$2:$H$77</definedName>
    <definedName name="_xlnm._FilterDatabase" localSheetId="1" hidden="1">'Expat(Batuta)'!$A$2:$AG$9</definedName>
    <definedName name="_xlnm._FilterDatabase" localSheetId="2" hidden="1">'Expat(Madigrand)'!$A$2:$AK$9</definedName>
    <definedName name="_xlnm._FilterDatabase" localSheetId="0" hidden="1">'Expat(Madihaa)'!$A$1:$U$147</definedName>
    <definedName name="_xlnm._FilterDatabase" localSheetId="3" hidden="1">'Left Staffs'!$A$2:$I$15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9" i="10"/>
  <c r="E9" i="10" s="1"/>
  <c r="D9" i="9"/>
  <c r="E9" i="9" s="1"/>
  <c r="D5" i="9"/>
  <c r="E5" i="9" s="1"/>
  <c r="D8" i="9"/>
  <c r="E8" i="9" s="1"/>
  <c r="C1" i="10"/>
  <c r="A1" i="10"/>
  <c r="C1" i="9"/>
  <c r="A1" i="9"/>
  <c r="V5" i="9" l="1"/>
  <c r="V6" i="9"/>
  <c r="V7" i="9"/>
  <c r="V8" i="9"/>
  <c r="V9" i="9"/>
  <c r="V8" i="10"/>
  <c r="V7" i="10"/>
  <c r="AB7" i="10"/>
  <c r="AB8" i="10"/>
  <c r="X6" i="10"/>
  <c r="X8" i="10"/>
  <c r="X7" i="10"/>
  <c r="D8" i="10"/>
  <c r="E8" i="10" s="1"/>
  <c r="D7" i="10"/>
  <c r="E7" i="10" s="1"/>
  <c r="R8" i="10"/>
  <c r="R7" i="10"/>
  <c r="T4" i="10"/>
  <c r="R6" i="10"/>
  <c r="V4" i="10"/>
  <c r="T6" i="10"/>
  <c r="X4" i="10"/>
  <c r="AB6" i="10"/>
  <c r="V6" i="10"/>
  <c r="R4" i="10"/>
  <c r="AB4" i="10"/>
  <c r="D4" i="10"/>
  <c r="E4" i="10" s="1"/>
  <c r="D6" i="10"/>
  <c r="E6" i="10" s="1"/>
  <c r="D5" i="10"/>
  <c r="E5" i="10" s="1"/>
  <c r="R5" i="10"/>
  <c r="T5" i="10"/>
  <c r="V5" i="10"/>
  <c r="X5" i="10"/>
  <c r="AB5" i="10"/>
  <c r="R3" i="9"/>
  <c r="T3" i="9"/>
  <c r="V3" i="9"/>
  <c r="X3" i="9"/>
  <c r="R6" i="9"/>
  <c r="R4" i="9"/>
  <c r="T6" i="9"/>
  <c r="T4" i="9"/>
  <c r="X6" i="9"/>
  <c r="X4" i="9"/>
  <c r="AB3" i="9"/>
  <c r="V4" i="9"/>
  <c r="AB6" i="9"/>
  <c r="AB4" i="9"/>
  <c r="D6" i="9"/>
  <c r="E6" i="9" s="1"/>
  <c r="D3" i="9"/>
  <c r="E3" i="9" s="1"/>
  <c r="D4" i="9"/>
  <c r="E4" i="9" s="1"/>
  <c r="D7" i="9"/>
  <c r="E7" i="9" s="1"/>
  <c r="R7" i="9"/>
  <c r="T7" i="9"/>
  <c r="X7" i="9"/>
  <c r="AB7" i="9"/>
  <c r="I137" i="6" l="1"/>
  <c r="AB9" i="9" l="1"/>
  <c r="X9" i="10"/>
  <c r="V9" i="10"/>
  <c r="T9" i="10"/>
  <c r="R9" i="10"/>
  <c r="AB9" i="10"/>
  <c r="AB3" i="10"/>
  <c r="X3" i="10"/>
  <c r="V3" i="10"/>
  <c r="T3" i="10"/>
  <c r="R3" i="10"/>
  <c r="X9" i="9"/>
  <c r="R9" i="9"/>
  <c r="AB5" i="9"/>
  <c r="X5" i="9"/>
  <c r="T5" i="9"/>
  <c r="R5" i="9"/>
  <c r="AB8" i="9"/>
  <c r="X8" i="9"/>
  <c r="T8" i="9"/>
  <c r="R8" i="9"/>
  <c r="J144" i="6" l="1"/>
  <c r="J89" i="6"/>
  <c r="J78" i="6"/>
  <c r="I78" i="6"/>
  <c r="K78" i="6" l="1"/>
  <c r="J90" i="6" s="1"/>
  <c r="J138" i="6" s="1"/>
  <c r="K140" i="6" s="1"/>
  <c r="A1" i="6"/>
  <c r="A1" i="4"/>
</calcChain>
</file>

<file path=xl/sharedStrings.xml><?xml version="1.0" encoding="utf-8"?>
<sst xmlns="http://schemas.openxmlformats.org/spreadsheetml/2006/main" count="4008" uniqueCount="1949">
  <si>
    <t>WP00028344</t>
  </si>
  <si>
    <t>WP00026805</t>
  </si>
  <si>
    <t>WP00028383</t>
  </si>
  <si>
    <t>WP00035269</t>
  </si>
  <si>
    <t>WP00037525</t>
  </si>
  <si>
    <t>WP00037530</t>
  </si>
  <si>
    <t>WP00037466</t>
  </si>
  <si>
    <t>WP00037308</t>
  </si>
  <si>
    <t>WP00037471</t>
  </si>
  <si>
    <t>WP00037477</t>
  </si>
  <si>
    <t>WP00042180</t>
  </si>
  <si>
    <t>WP00063347</t>
  </si>
  <si>
    <t>WP00069790</t>
  </si>
  <si>
    <t>WP00070072</t>
  </si>
  <si>
    <t>WP00100472</t>
  </si>
  <si>
    <t>WP00100924</t>
  </si>
  <si>
    <t>WP00118825</t>
  </si>
  <si>
    <t>WP00124679</t>
  </si>
  <si>
    <t>WP00134285</t>
  </si>
  <si>
    <t>WP00136847</t>
  </si>
  <si>
    <t>WP00145854</t>
  </si>
  <si>
    <t>WP00145853</t>
  </si>
  <si>
    <t>WP00149575</t>
  </si>
  <si>
    <t>WP00159066</t>
  </si>
  <si>
    <t>WP00158549</t>
  </si>
  <si>
    <t>WP00162071</t>
  </si>
  <si>
    <t>WP00185907</t>
  </si>
  <si>
    <t>WP00196840</t>
  </si>
  <si>
    <t>WP00211884</t>
  </si>
  <si>
    <t>WP00220375</t>
  </si>
  <si>
    <t>WP00235098</t>
  </si>
  <si>
    <t>WP00242321</t>
  </si>
  <si>
    <t>WP00286253</t>
  </si>
  <si>
    <t>WP00287483</t>
  </si>
  <si>
    <t>WP00286347</t>
  </si>
  <si>
    <t>WP00287482</t>
  </si>
  <si>
    <t>WP00285134</t>
  </si>
  <si>
    <t>WP00286277</t>
  </si>
  <si>
    <t>WP00298007</t>
  </si>
  <si>
    <t>WP00301666</t>
  </si>
  <si>
    <t>WP00301667</t>
  </si>
  <si>
    <t>WP00307657</t>
  </si>
  <si>
    <t>WP00306417</t>
  </si>
  <si>
    <t>WP00307902</t>
  </si>
  <si>
    <t>WP00307655</t>
  </si>
  <si>
    <t>WP00312208</t>
  </si>
  <si>
    <t>WP00314525</t>
  </si>
  <si>
    <t>WP00314881</t>
  </si>
  <si>
    <t>WP00314121</t>
  </si>
  <si>
    <t>WP00241990</t>
  </si>
  <si>
    <t>BL0779312</t>
  </si>
  <si>
    <t xml:space="preserve">Anamul Hoque </t>
  </si>
  <si>
    <t>Abul Hossain</t>
  </si>
  <si>
    <t xml:space="preserve">Abdur Rashid </t>
  </si>
  <si>
    <t>Musa Miah</t>
  </si>
  <si>
    <t>Ruhul Amin</t>
  </si>
  <si>
    <t>S4704736</t>
  </si>
  <si>
    <t>BH0838142</t>
  </si>
  <si>
    <t>BE0288280</t>
  </si>
  <si>
    <t>BT0633114</t>
  </si>
  <si>
    <t>BX0725209</t>
  </si>
  <si>
    <t>BH0723712</t>
  </si>
  <si>
    <t>BH0221133</t>
  </si>
  <si>
    <t>BE0107840</t>
  </si>
  <si>
    <t>BE0321625</t>
  </si>
  <si>
    <t>N4920465</t>
  </si>
  <si>
    <t>P9728405</t>
  </si>
  <si>
    <t>K6338868</t>
  </si>
  <si>
    <t>N5073323</t>
  </si>
  <si>
    <t>P9343953</t>
  </si>
  <si>
    <t>BJ0627948</t>
  </si>
  <si>
    <t>BW0803416</t>
  </si>
  <si>
    <t>BQ0953255</t>
  </si>
  <si>
    <t>N5714220</t>
  </si>
  <si>
    <t>BW0147861</t>
  </si>
  <si>
    <t>BT0447952</t>
  </si>
  <si>
    <t>BY0269666</t>
  </si>
  <si>
    <t>L8071523</t>
  </si>
  <si>
    <t>WP00122330</t>
  </si>
  <si>
    <t>WP No</t>
  </si>
  <si>
    <t>PP No.</t>
  </si>
  <si>
    <t>Name</t>
  </si>
  <si>
    <t>Active</t>
  </si>
  <si>
    <t>Harun Miah</t>
  </si>
  <si>
    <t>Mir Hossain</t>
  </si>
  <si>
    <t>Jaisankar Manikandan</t>
  </si>
  <si>
    <t>Nazu Ahmed</t>
  </si>
  <si>
    <t>Rajasekaran Selvaraj</t>
  </si>
  <si>
    <t>Masom</t>
  </si>
  <si>
    <t>Monir Hossain</t>
  </si>
  <si>
    <t>Md Golak Miah</t>
  </si>
  <si>
    <t>Karim</t>
  </si>
  <si>
    <t>Anwar</t>
  </si>
  <si>
    <t>Abdul Karim</t>
  </si>
  <si>
    <t>N5998840</t>
  </si>
  <si>
    <t>Abdul Hafiz</t>
  </si>
  <si>
    <t>Imran Ali</t>
  </si>
  <si>
    <t>Sajad Alam</t>
  </si>
  <si>
    <t xml:space="preserve">Ravi Kumar </t>
  </si>
  <si>
    <t>Marx Francis</t>
  </si>
  <si>
    <t>Hossain Akter</t>
  </si>
  <si>
    <t>MD Rasel</t>
  </si>
  <si>
    <t>Mohammad Razib Miya</t>
  </si>
  <si>
    <t>Manik Hossain</t>
  </si>
  <si>
    <t>Mohammad Hredoy Miah</t>
  </si>
  <si>
    <t>MD Karim Mia</t>
  </si>
  <si>
    <t>Lokman Hossain</t>
  </si>
  <si>
    <t>Alam Shahinur</t>
  </si>
  <si>
    <t>Ibrahim</t>
  </si>
  <si>
    <t>MD Hafizur Rahman</t>
  </si>
  <si>
    <t>Sharif Uddin</t>
  </si>
  <si>
    <t>MD Jilani</t>
  </si>
  <si>
    <t>Mohammed Imam Uddin</t>
  </si>
  <si>
    <t>Mohammad Akkas Miah</t>
  </si>
  <si>
    <t>BB0946783</t>
  </si>
  <si>
    <t>Rumi Miah</t>
  </si>
  <si>
    <t>MD Korban Ali</t>
  </si>
  <si>
    <t>Mohammad Shaha Alam</t>
  </si>
  <si>
    <t>Dukhu Miah</t>
  </si>
  <si>
    <t>Rabbi</t>
  </si>
  <si>
    <t>Abu Musa</t>
  </si>
  <si>
    <t>Masud Alam</t>
  </si>
  <si>
    <t>Muhammad Kamal Uddin</t>
  </si>
  <si>
    <t>Mohammad Harun Ali</t>
  </si>
  <si>
    <t>Mohammad Rubel Hossain</t>
  </si>
  <si>
    <t>Binu Louis</t>
  </si>
  <si>
    <t>Mohammad Humayun Kabir</t>
  </si>
  <si>
    <t>Younus Miah</t>
  </si>
  <si>
    <t>Selin Mary Anat Robert Fernando</t>
  </si>
  <si>
    <t>WP00332221</t>
  </si>
  <si>
    <t>Country</t>
  </si>
  <si>
    <t>Bangladesh</t>
  </si>
  <si>
    <t>Sri Lanka</t>
  </si>
  <si>
    <t>India</t>
  </si>
  <si>
    <t>EA0761674</t>
  </si>
  <si>
    <t>Status</t>
  </si>
  <si>
    <t>Mohammad Selim Raza</t>
  </si>
  <si>
    <t>Rodel Malaluan Labay</t>
  </si>
  <si>
    <t>Alis Jayasingha T.D Gedara</t>
  </si>
  <si>
    <t>MD Al Amin</t>
  </si>
  <si>
    <t>Mohammed Fais Hamsa Lebbe</t>
  </si>
  <si>
    <t>Dhinahar Ashok Chandar</t>
  </si>
  <si>
    <t>Sumanawathie H Alankarage</t>
  </si>
  <si>
    <t>WP00065477</t>
  </si>
  <si>
    <t>Hulhumale</t>
  </si>
  <si>
    <t>Male'</t>
  </si>
  <si>
    <t>Batuta</t>
  </si>
  <si>
    <t>Filipino</t>
  </si>
  <si>
    <t>EB0479456</t>
  </si>
  <si>
    <t>ID</t>
  </si>
  <si>
    <t>Days Remain</t>
  </si>
  <si>
    <t>Related to Passport</t>
  </si>
  <si>
    <t>Policy No</t>
  </si>
  <si>
    <t>Expiry Date</t>
  </si>
  <si>
    <t>Upto Date</t>
  </si>
  <si>
    <t xml:space="preserve">Insurance </t>
  </si>
  <si>
    <t xml:space="preserve"> Expiry Date</t>
  </si>
  <si>
    <t>Work Site</t>
  </si>
  <si>
    <t>AF0316799</t>
  </si>
  <si>
    <t>BA0269011</t>
  </si>
  <si>
    <t>AKBAR ALI NIZAM MOHAMMED</t>
  </si>
  <si>
    <t>WP00352176</t>
  </si>
  <si>
    <t>T5523467</t>
  </si>
  <si>
    <t>WP00354444</t>
  </si>
  <si>
    <t>R1987673</t>
  </si>
  <si>
    <t>Binoy Damayan</t>
  </si>
  <si>
    <t>U0683338</t>
  </si>
  <si>
    <t>Kalaiyarasan Sekar</t>
  </si>
  <si>
    <t>Z2391550</t>
  </si>
  <si>
    <t>Mohamed Ismail Bilal</t>
  </si>
  <si>
    <t>U2285190</t>
  </si>
  <si>
    <t>WP00357113</t>
  </si>
  <si>
    <t>WP00356390</t>
  </si>
  <si>
    <t>EF0600159</t>
  </si>
  <si>
    <t>Sumon</t>
  </si>
  <si>
    <t>BQ0026660</t>
  </si>
  <si>
    <t>WP00359181</t>
  </si>
  <si>
    <t>WP00359184</t>
  </si>
  <si>
    <t>JOY RAJBONGSHI</t>
  </si>
  <si>
    <t>BIMOL RAJBONGSHE</t>
  </si>
  <si>
    <t>WP00359567</t>
  </si>
  <si>
    <t>EG0298893</t>
  </si>
  <si>
    <t>Vinay Kumar</t>
  </si>
  <si>
    <t>U5325682</t>
  </si>
  <si>
    <t>EG0572174</t>
  </si>
  <si>
    <t>EG0572172</t>
  </si>
  <si>
    <t>EG0572168</t>
  </si>
  <si>
    <t>WP00363848</t>
  </si>
  <si>
    <t xml:space="preserve"> </t>
  </si>
  <si>
    <t>WP00366001</t>
  </si>
  <si>
    <t>EH0324498</t>
  </si>
  <si>
    <t>Mobile No</t>
  </si>
  <si>
    <t>9882144</t>
  </si>
  <si>
    <t>9883560</t>
  </si>
  <si>
    <t>9833359</t>
  </si>
  <si>
    <t>9650830 / 9853566</t>
  </si>
  <si>
    <t>D.O.B</t>
  </si>
  <si>
    <t>Bharanidharan Sengottaiyan</t>
  </si>
  <si>
    <t>T1974513</t>
  </si>
  <si>
    <t>Mano Nachimuthu</t>
  </si>
  <si>
    <t>Mohamed Sanu</t>
  </si>
  <si>
    <t>Sahil</t>
  </si>
  <si>
    <t>Hanif Miah</t>
  </si>
  <si>
    <t>BY0487720</t>
  </si>
  <si>
    <t>V0123429</t>
  </si>
  <si>
    <t>N3313196</t>
  </si>
  <si>
    <t>V0161437</t>
  </si>
  <si>
    <t>M2040770</t>
  </si>
  <si>
    <t>Chandralal Ramachandran</t>
  </si>
  <si>
    <t>WP00372251</t>
  </si>
  <si>
    <t>WP00372250</t>
  </si>
  <si>
    <t>WP00371935</t>
  </si>
  <si>
    <t>WP00370228</t>
  </si>
  <si>
    <t>WP00371977</t>
  </si>
  <si>
    <t>Work Permit Fee</t>
  </si>
  <si>
    <t>Micheal Evald Shayam Stephen</t>
  </si>
  <si>
    <t>Provider</t>
  </si>
  <si>
    <t>Visa</t>
  </si>
  <si>
    <t>EJ0308394</t>
  </si>
  <si>
    <t>EJ0309142</t>
  </si>
  <si>
    <t>WP00380244</t>
  </si>
  <si>
    <t>Reported Missing</t>
  </si>
  <si>
    <t>Refund Received</t>
  </si>
  <si>
    <t>Ref: DCR/2019/14779 (PV-LES/2019/0117)</t>
  </si>
  <si>
    <t>Ref: DCR/2020/15918 (	PV-LES/2020/3736)</t>
  </si>
  <si>
    <t>Ref: DCR/2020/13252 (PV-LES/2020/2786)</t>
  </si>
  <si>
    <t>Ref: DCR/2020/13253 (PV-LES/2020/2786)</t>
  </si>
  <si>
    <t>Ref: DCR/2020/13255 (PV-LES/2020/2786)</t>
  </si>
  <si>
    <t>Ref: DCR/2020/7531 (PV-LES/2020/1833)</t>
  </si>
  <si>
    <t>Ref: DCR/2020/8297 (PV-LES/2020/3158)</t>
  </si>
  <si>
    <t>Ref: DCR/2021/363 (PV-LES/2021/0437)</t>
  </si>
  <si>
    <t>Ref: DCR/2021/361 (PV-LES/2021/0437)</t>
  </si>
  <si>
    <t>Date / References</t>
  </si>
  <si>
    <t>Ref: DCR/2019/316 (PV-LES/2019/0117)</t>
  </si>
  <si>
    <t>Cancelled</t>
  </si>
  <si>
    <t>Akhil Mohan Mohan</t>
  </si>
  <si>
    <t>WP00380974</t>
  </si>
  <si>
    <t>R0964555</t>
  </si>
  <si>
    <t>WP00378105</t>
  </si>
  <si>
    <t>Mohammad Umair</t>
  </si>
  <si>
    <t>WP00380973</t>
  </si>
  <si>
    <t>S5772073</t>
  </si>
  <si>
    <t>Shahid Alam</t>
  </si>
  <si>
    <t>WP00380971</t>
  </si>
  <si>
    <t>L8227884</t>
  </si>
  <si>
    <t>Suresh Kumar Padmakumary Sasidharan Nair</t>
  </si>
  <si>
    <t>WP00383769</t>
  </si>
  <si>
    <t>M1584306</t>
  </si>
  <si>
    <t>Amount</t>
  </si>
  <si>
    <t>Shoaib Akhtar</t>
  </si>
  <si>
    <t>WP00381267</t>
  </si>
  <si>
    <t>T7088320</t>
  </si>
  <si>
    <t>Mohammad Siraj</t>
  </si>
  <si>
    <t>WP00382018</t>
  </si>
  <si>
    <t>V0966545</t>
  </si>
  <si>
    <t>CHANDRAWATHI KIRILIDENIYAGE</t>
  </si>
  <si>
    <t>WP00384470</t>
  </si>
  <si>
    <t>N8929789</t>
  </si>
  <si>
    <t>Subin Sudhakaran</t>
  </si>
  <si>
    <t>WP00385912</t>
  </si>
  <si>
    <t>U3367128</t>
  </si>
  <si>
    <t>Ref: DCR/2021/13331 (PV-LES/2021/2105)</t>
  </si>
  <si>
    <t>Ref: DCR/2021/13076 (PV-LES/2021/2105)</t>
  </si>
  <si>
    <t>Ref: DCR/2021/15381 (PV-LES/2021/2399)</t>
  </si>
  <si>
    <t>Ref: DCR/2021/15380 (PV-LES/2021/2399)</t>
  </si>
  <si>
    <t>Alifkhan Mohamed Ali Jinna</t>
  </si>
  <si>
    <t>WP00388551</t>
  </si>
  <si>
    <t>U5704968</t>
  </si>
  <si>
    <t>Althaf Basheer</t>
  </si>
  <si>
    <t>WP00388566</t>
  </si>
  <si>
    <t>M6682368</t>
  </si>
  <si>
    <t>Wasantha Sisira Kumara Widanaralalage</t>
  </si>
  <si>
    <t>WP00391115</t>
  </si>
  <si>
    <t>N8051455</t>
  </si>
  <si>
    <t>PRADEEPIKA PRIYADARSHANIE UKWATTA HEWAGE</t>
  </si>
  <si>
    <t>WP00388565</t>
  </si>
  <si>
    <t>N8940456</t>
  </si>
  <si>
    <t>MOHAMMAD ALAM HOSSAIN</t>
  </si>
  <si>
    <t>WP00391111</t>
  </si>
  <si>
    <t>S9122660</t>
  </si>
  <si>
    <t>Sasidharan Santhosh Kumar</t>
  </si>
  <si>
    <t>Rahul Krishnan</t>
  </si>
  <si>
    <t>NISAM VARISSERIL NAZEER</t>
  </si>
  <si>
    <t>WP00393902</t>
  </si>
  <si>
    <t>WP00393265</t>
  </si>
  <si>
    <t>N1718252</t>
  </si>
  <si>
    <t>P1965786</t>
  </si>
  <si>
    <t>Abhishek Singh</t>
  </si>
  <si>
    <t>WP00393269</t>
  </si>
  <si>
    <t>T1530090</t>
  </si>
  <si>
    <t>Ritesh Pal</t>
  </si>
  <si>
    <t>WP00391117</t>
  </si>
  <si>
    <t>R8899708</t>
  </si>
  <si>
    <t>Deepak Yadav</t>
  </si>
  <si>
    <t>WP00391153</t>
  </si>
  <si>
    <t>V1465338</t>
  </si>
  <si>
    <t>Ramdyal Yadav</t>
  </si>
  <si>
    <t>WP00391151</t>
  </si>
  <si>
    <t>S3602035</t>
  </si>
  <si>
    <t>WP00393903</t>
  </si>
  <si>
    <t>Abdul Ameen</t>
  </si>
  <si>
    <t>Arunkumar Tamilnesan</t>
  </si>
  <si>
    <t>WP00394184</t>
  </si>
  <si>
    <t>U7939087</t>
  </si>
  <si>
    <t>Babul Islam</t>
  </si>
  <si>
    <t>WP00393268</t>
  </si>
  <si>
    <t>U9549438</t>
  </si>
  <si>
    <t>Aarif Ansari</t>
  </si>
  <si>
    <t>WP00391154</t>
  </si>
  <si>
    <t>V0197453</t>
  </si>
  <si>
    <t>ABHIJITH RAJEEVAN</t>
  </si>
  <si>
    <t>WP00397466</t>
  </si>
  <si>
    <t>P0253408</t>
  </si>
  <si>
    <t>Febin Ibrahim</t>
  </si>
  <si>
    <t>WP00399623</t>
  </si>
  <si>
    <t>S8982003</t>
  </si>
  <si>
    <t>K9664278</t>
  </si>
  <si>
    <t>WP00393263</t>
  </si>
  <si>
    <t>P0805871</t>
  </si>
  <si>
    <t>WP00394185</t>
  </si>
  <si>
    <t>N7973932</t>
  </si>
  <si>
    <t>Sahid Shaikh</t>
  </si>
  <si>
    <t>WP00403712</t>
  </si>
  <si>
    <t>Pratheesh Prasad</t>
  </si>
  <si>
    <t>WP00402795</t>
  </si>
  <si>
    <t>S1191707</t>
  </si>
  <si>
    <t>Irufan Khan</t>
  </si>
  <si>
    <t>Mohammad Akabar</t>
  </si>
  <si>
    <t>WP00406685</t>
  </si>
  <si>
    <t>P1260019</t>
  </si>
  <si>
    <t>Samim Ahmad</t>
  </si>
  <si>
    <t>WP00406686</t>
  </si>
  <si>
    <t>V2281352</t>
  </si>
  <si>
    <t>WP00410287</t>
  </si>
  <si>
    <t>R8927906</t>
  </si>
  <si>
    <t>Poobaston Jesu</t>
  </si>
  <si>
    <t>Aswin Manoharan</t>
  </si>
  <si>
    <t>WP00410653</t>
  </si>
  <si>
    <t>R7237999</t>
  </si>
  <si>
    <t>Hulhumale Site</t>
  </si>
  <si>
    <t>Mohamed Ali</t>
  </si>
  <si>
    <t>WP00411102</t>
  </si>
  <si>
    <t>V4566653</t>
  </si>
  <si>
    <t>Arif Ali</t>
  </si>
  <si>
    <t>Apsar Alam</t>
  </si>
  <si>
    <t>Mohammad Hussain Ansari</t>
  </si>
  <si>
    <t>WP00413925</t>
  </si>
  <si>
    <t>V3609058</t>
  </si>
  <si>
    <t>WP00413725</t>
  </si>
  <si>
    <t>V4814357</t>
  </si>
  <si>
    <t>WP00413724</t>
  </si>
  <si>
    <t>R1100426</t>
  </si>
  <si>
    <t>WP00413726</t>
  </si>
  <si>
    <t>Meraj Alam</t>
  </si>
  <si>
    <t>Samsul Alam</t>
  </si>
  <si>
    <t>WP00413927</t>
  </si>
  <si>
    <t>U9395515</t>
  </si>
  <si>
    <t>U2170821</t>
  </si>
  <si>
    <t>Ref: DCR/2021/17525 (PV-LES/2021/2939)</t>
  </si>
  <si>
    <t>It shows deposit not available</t>
  </si>
  <si>
    <t>Refund received to my wallet</t>
  </si>
  <si>
    <t>Ref: DCRW/2022/11344</t>
  </si>
  <si>
    <t>Ref: DCRW/2022/11354</t>
  </si>
  <si>
    <t>Nishanth Ravikumar</t>
  </si>
  <si>
    <t>WP00402796</t>
  </si>
  <si>
    <t>N2027796</t>
  </si>
  <si>
    <t>MD Shansha</t>
  </si>
  <si>
    <t>WP00414719</t>
  </si>
  <si>
    <t>V5106587</t>
  </si>
  <si>
    <t>Fazil Riyazath Basheer Ahamed</t>
  </si>
  <si>
    <t>WP00417076</t>
  </si>
  <si>
    <t>S5245128</t>
  </si>
  <si>
    <t>Ful Sah</t>
  </si>
  <si>
    <t>WP00414720</t>
  </si>
  <si>
    <t>U3132205</t>
  </si>
  <si>
    <t>Ref: DCRW/2022/11623</t>
  </si>
  <si>
    <t>Ref: DCRW/2022/11592</t>
  </si>
  <si>
    <t>Ref: DCRW/2022/11591</t>
  </si>
  <si>
    <t>Ref: DCRW/2022/11590</t>
  </si>
  <si>
    <t>Date</t>
  </si>
  <si>
    <t>Remarks</t>
  </si>
  <si>
    <t>Requested for deposit refund</t>
  </si>
  <si>
    <t>Janakiraman Sankaralingam</t>
  </si>
  <si>
    <t>WP00419163</t>
  </si>
  <si>
    <t>Mohabu Basha Anvar Basha</t>
  </si>
  <si>
    <t>WP00417302</t>
  </si>
  <si>
    <t>L9087835</t>
  </si>
  <si>
    <t>Ref: DCRW/2022/12460</t>
  </si>
  <si>
    <t>Ref: DCRW/2022/12461 </t>
  </si>
  <si>
    <t>Ref: DCRW/2022/12462</t>
  </si>
  <si>
    <t>Ref: DCRW/2022/12465</t>
  </si>
  <si>
    <t>Ref: DCRW/2022/12463</t>
  </si>
  <si>
    <t xml:space="preserve">Ref: DCRW/2022/12464 </t>
  </si>
  <si>
    <t>Deposit Amount</t>
  </si>
  <si>
    <t>Difference</t>
  </si>
  <si>
    <t>Abdul Kadar</t>
  </si>
  <si>
    <t>Bangladeshi</t>
  </si>
  <si>
    <t>WP00314527</t>
  </si>
  <si>
    <t>missing reported</t>
  </si>
  <si>
    <t>Mohamed Nayeb Ali</t>
  </si>
  <si>
    <t>WP00287479</t>
  </si>
  <si>
    <t>Sojib</t>
  </si>
  <si>
    <t>WP00286348</t>
  </si>
  <si>
    <t>Abul Bashar</t>
  </si>
  <si>
    <t>WP00180883</t>
  </si>
  <si>
    <t>Mamun</t>
  </si>
  <si>
    <t>WP00173360</t>
  </si>
  <si>
    <t>Anwar Hossain</t>
  </si>
  <si>
    <t>WP00168854</t>
  </si>
  <si>
    <t>WP00152080</t>
  </si>
  <si>
    <t>Dudu Prodhan</t>
  </si>
  <si>
    <t>WP00151243</t>
  </si>
  <si>
    <t>Khokan Hossain</t>
  </si>
  <si>
    <t>WP00151245</t>
  </si>
  <si>
    <t>Mohammad Mobarak Hossain</t>
  </si>
  <si>
    <t>WP00151084</t>
  </si>
  <si>
    <t>Jakir Hossain</t>
  </si>
  <si>
    <t>WP00150664</t>
  </si>
  <si>
    <t>MD Mostafa Kamal</t>
  </si>
  <si>
    <t>WP00150666</t>
  </si>
  <si>
    <t>Pending Cancellation (Repatriation)</t>
  </si>
  <si>
    <t>Abdul Haque Miah</t>
  </si>
  <si>
    <t>WP00150297</t>
  </si>
  <si>
    <t>Renu Miah</t>
  </si>
  <si>
    <t>WP00151244</t>
  </si>
  <si>
    <t>Abul Kalam</t>
  </si>
  <si>
    <t>WP00149896</t>
  </si>
  <si>
    <t xml:space="preserve">Mostafa </t>
  </si>
  <si>
    <t>WP00149770</t>
  </si>
  <si>
    <t>MD Easin Mizi</t>
  </si>
  <si>
    <t>WP00151690</t>
  </si>
  <si>
    <t>Aman Ullah</t>
  </si>
  <si>
    <t>WP00147171</t>
  </si>
  <si>
    <t>Mannan Abdul</t>
  </si>
  <si>
    <t>WP00147170</t>
  </si>
  <si>
    <t>Rashed</t>
  </si>
  <si>
    <t>WP00135054</t>
  </si>
  <si>
    <t>Mohammad Ismail Miah</t>
  </si>
  <si>
    <t>WP00134843</t>
  </si>
  <si>
    <t>Ibrahim Khalil</t>
  </si>
  <si>
    <t>WP00134844</t>
  </si>
  <si>
    <t>MD Shahab Uddin</t>
  </si>
  <si>
    <t>WP00129956</t>
  </si>
  <si>
    <t>Mohammad Mintho Miah</t>
  </si>
  <si>
    <t>WP00119537</t>
  </si>
  <si>
    <t>Mohammad Mintu</t>
  </si>
  <si>
    <t>WP00114294</t>
  </si>
  <si>
    <t>Omar Faruk</t>
  </si>
  <si>
    <t>WP00066432</t>
  </si>
  <si>
    <t>Monir</t>
  </si>
  <si>
    <t>WP00037565</t>
  </si>
  <si>
    <t>Babul Hosan</t>
  </si>
  <si>
    <t>WP00037469</t>
  </si>
  <si>
    <t>MD Unus Miah</t>
  </si>
  <si>
    <t>WP00037482</t>
  </si>
  <si>
    <t>Mohamaad Warid Hossain</t>
  </si>
  <si>
    <t>WP00048901</t>
  </si>
  <si>
    <t>Mohammad Nur Alam</t>
  </si>
  <si>
    <t>WP00022168</t>
  </si>
  <si>
    <t>Mohammed Jahangir Alam</t>
  </si>
  <si>
    <t>WP00023223</t>
  </si>
  <si>
    <t>Not allowed State</t>
  </si>
  <si>
    <t>Not avilable (@0.00)</t>
  </si>
  <si>
    <t>Pending cancellation</t>
  </si>
  <si>
    <t>Sytem Total balance</t>
  </si>
  <si>
    <t>Mohamed Saquib</t>
  </si>
  <si>
    <t>WP00422457</t>
  </si>
  <si>
    <t>U9390854 </t>
  </si>
  <si>
    <t>Javed Khan</t>
  </si>
  <si>
    <t>WP00416781</t>
  </si>
  <si>
    <t>V2565285</t>
  </si>
  <si>
    <t>Ref: DCRW/2022/14822</t>
  </si>
  <si>
    <t>Ref: DCRW/2022/15635</t>
  </si>
  <si>
    <t>Paid</t>
  </si>
  <si>
    <t>Ref: DCRW/2022/16291</t>
  </si>
  <si>
    <t>Ref: DCRW/2022/16290</t>
  </si>
  <si>
    <t>Ref: DCRW/2022/16295</t>
  </si>
  <si>
    <t>Marx francis</t>
  </si>
  <si>
    <t>WP00248387</t>
  </si>
  <si>
    <t>Ref: DCRW/2022/16845</t>
  </si>
  <si>
    <t>Ramgahan Vind</t>
  </si>
  <si>
    <t>WP00370229</t>
  </si>
  <si>
    <t>P9147246</t>
  </si>
  <si>
    <t>Ref: DCRW/2022/16846</t>
  </si>
  <si>
    <t>Ref: DCRW/2022/16849</t>
  </si>
  <si>
    <t>MD Khairuddin</t>
  </si>
  <si>
    <t>Ref: DCRW/2022/16850</t>
  </si>
  <si>
    <t>WP00391149</t>
  </si>
  <si>
    <t>N6277038</t>
  </si>
  <si>
    <t>Sahibe</t>
  </si>
  <si>
    <t>WP00426025</t>
  </si>
  <si>
    <t>Mainuddin Ansari</t>
  </si>
  <si>
    <t>WP00426024</t>
  </si>
  <si>
    <t>N5055073</t>
  </si>
  <si>
    <t>Mohammad Firoj</t>
  </si>
  <si>
    <t>WP00422458</t>
  </si>
  <si>
    <t>V0845918</t>
  </si>
  <si>
    <t>Z6603019</t>
  </si>
  <si>
    <t>EK0391794</t>
  </si>
  <si>
    <t>EK0392214</t>
  </si>
  <si>
    <t>EK0391778</t>
  </si>
  <si>
    <t>Mohammad Mustak Ansari</t>
  </si>
  <si>
    <t>WP00426960</t>
  </si>
  <si>
    <t>U8532380</t>
  </si>
  <si>
    <t>VinayaKumar Parameswaran Nair</t>
  </si>
  <si>
    <t>Jipin Lal Kuthirayodan Chakkara</t>
  </si>
  <si>
    <t>WP00430218</t>
  </si>
  <si>
    <t>U0092073</t>
  </si>
  <si>
    <t>Occupation</t>
  </si>
  <si>
    <t>Labourer</t>
  </si>
  <si>
    <t>Driver, Truck/heavy</t>
  </si>
  <si>
    <t>Marketing Executive</t>
  </si>
  <si>
    <t>Cook</t>
  </si>
  <si>
    <t>Driver, Van</t>
  </si>
  <si>
    <t>Sales Person, Shop</t>
  </si>
  <si>
    <t>Accountant</t>
  </si>
  <si>
    <t>Cleaner, Office</t>
  </si>
  <si>
    <t>Clerk, bookkeeping</t>
  </si>
  <si>
    <t>Labourer, Construction</t>
  </si>
  <si>
    <t>Manager, Quality Control</t>
  </si>
  <si>
    <t>Driver</t>
  </si>
  <si>
    <t>Ref: DCRW/2022/19468</t>
  </si>
  <si>
    <t>Salman Khan</t>
  </si>
  <si>
    <t>V1667534</t>
  </si>
  <si>
    <t>Ref: DCRW/2022/22951</t>
  </si>
  <si>
    <t>W0195799</t>
  </si>
  <si>
    <t>N9573282</t>
  </si>
  <si>
    <t>Sarath Vadakkiniyil</t>
  </si>
  <si>
    <t>WP00455772</t>
  </si>
  <si>
    <t>M3712926 </t>
  </si>
  <si>
    <t>Ref: DCRW/2022/36323</t>
  </si>
  <si>
    <t>Ref: DCRW/2022/36341</t>
  </si>
  <si>
    <r>
      <t>WP00432364</t>
    </r>
    <r>
      <rPr>
        <sz val="13"/>
        <color rgb="FF3D94FB"/>
        <rFont val="Poppins"/>
      </rPr>
      <t> </t>
    </r>
  </si>
  <si>
    <t>Mir Rajib</t>
  </si>
  <si>
    <t>WP00452755</t>
  </si>
  <si>
    <t>P9318964</t>
  </si>
  <si>
    <t>KAJAL</t>
  </si>
  <si>
    <t>WP00446279</t>
  </si>
  <si>
    <t>V0673370</t>
  </si>
  <si>
    <t>Mohammad Abdulaish</t>
  </si>
  <si>
    <t>Vibhash Negi</t>
  </si>
  <si>
    <t>WP00440862</t>
  </si>
  <si>
    <t> V2564521</t>
  </si>
  <si>
    <t>Shariq Ahmad</t>
  </si>
  <si>
    <t>WP00440863</t>
  </si>
  <si>
    <t>V1186211</t>
  </si>
  <si>
    <t>CLINTON ANTONY RAJ</t>
  </si>
  <si>
    <t>WP00438449</t>
  </si>
  <si>
    <t>N5556767</t>
  </si>
  <si>
    <t>Ref: DCRW/2022/37003</t>
  </si>
  <si>
    <t>MOHAMMED WASEEM MOHAMMED HANIFFA</t>
  </si>
  <si>
    <t>WP00456953</t>
  </si>
  <si>
    <t>N5443282</t>
  </si>
  <si>
    <t>WP00457837</t>
  </si>
  <si>
    <t>N8494754</t>
  </si>
  <si>
    <t>WP00459172</t>
  </si>
  <si>
    <t>N9424720</t>
  </si>
  <si>
    <t>Mohamed Shaik Dawood Mohamed Yahiya</t>
  </si>
  <si>
    <t>WP00461695</t>
  </si>
  <si>
    <t>N4268666</t>
  </si>
  <si>
    <t>Mohamed Hidayathulla Abdeen</t>
  </si>
  <si>
    <t>Labour</t>
  </si>
  <si>
    <t>WP00460888</t>
  </si>
  <si>
    <t>MOHAMMED Riyas Ameer Sulthan</t>
  </si>
  <si>
    <t>MOHAMMED Arafath Mohamed Hanefa</t>
  </si>
  <si>
    <t>Refer Mechanic</t>
  </si>
  <si>
    <t>WP00462917</t>
  </si>
  <si>
    <t>N9126920</t>
  </si>
  <si>
    <t>SUKHWINDER KAUR</t>
  </si>
  <si>
    <t>WP00468778</t>
  </si>
  <si>
    <t>V1079502</t>
  </si>
  <si>
    <t>KAILASH SINGH</t>
  </si>
  <si>
    <t>ARAMAN SHEKH</t>
  </si>
  <si>
    <t>WP00475009</t>
  </si>
  <si>
    <t>Mohamed Rameez Kariapper</t>
  </si>
  <si>
    <t>applied for refund</t>
  </si>
  <si>
    <t>Supervisor</t>
  </si>
  <si>
    <t>N9579561</t>
  </si>
  <si>
    <t>Nazir Hussain</t>
  </si>
  <si>
    <t>WP00481350</t>
  </si>
  <si>
    <t>MOHAMMAD INTEKHAB ALAM</t>
  </si>
  <si>
    <t>Kitchen Helper</t>
  </si>
  <si>
    <t>WP00485778</t>
  </si>
  <si>
    <t>U7734272</t>
  </si>
  <si>
    <t>MOHEMED PASEER ABDUL MUTHTHALIB </t>
  </si>
  <si>
    <t>WP00487779</t>
  </si>
  <si>
    <t>N9814658</t>
  </si>
  <si>
    <t>DEVENDRA KUMAR</t>
  </si>
  <si>
    <t>T3849664 </t>
  </si>
  <si>
    <t>WP00493685</t>
  </si>
  <si>
    <t>SACHIN KUMAR</t>
  </si>
  <si>
    <t>Mason</t>
  </si>
  <si>
    <t>U5517530</t>
  </si>
  <si>
    <t>ANUJ MISHRA </t>
  </si>
  <si>
    <t>WP00495500</t>
  </si>
  <si>
    <t>W1867877</t>
  </si>
  <si>
    <t>Pradip Kumar</t>
  </si>
  <si>
    <t>WP00495608</t>
  </si>
  <si>
    <t>V7544471</t>
  </si>
  <si>
    <t>MOHAMMAD RIZWAN ALAM</t>
  </si>
  <si>
    <t>WP00493680</t>
  </si>
  <si>
    <t> R3682036</t>
  </si>
  <si>
    <t>Ref: DCRW/2023/8187</t>
  </si>
  <si>
    <t>SALMAN KHAN</t>
  </si>
  <si>
    <t>WP00493682</t>
  </si>
  <si>
    <t>S9634248</t>
  </si>
  <si>
    <t>Ref: DCRW/2023/8188</t>
  </si>
  <si>
    <t>MOHAMMAD TAUSIF KHAN</t>
  </si>
  <si>
    <t>WP00495193</t>
  </si>
  <si>
    <t>R3346432</t>
  </si>
  <si>
    <t>Ref: DCRW/2023/8189</t>
  </si>
  <si>
    <t>KAMAAL KHAN</t>
  </si>
  <si>
    <t>WP00495498</t>
  </si>
  <si>
    <t>V0435201</t>
  </si>
  <si>
    <t>Ref: DCRW/2023/8190</t>
  </si>
  <si>
    <t>RAVI KUMAR MUSUVATHI LAKSHMANAN</t>
  </si>
  <si>
    <t>Ref: DCRW/2023/8191</t>
  </si>
  <si>
    <t>V193324B</t>
  </si>
  <si>
    <t>Ref: DCRW/2023/8193</t>
  </si>
  <si>
    <r>
      <t>WP00470143</t>
    </r>
    <r>
      <rPr>
        <sz val="13"/>
        <color rgb="FF48465B"/>
        <rFont val="Poppins"/>
      </rPr>
      <t> </t>
    </r>
  </si>
  <si>
    <t>K5646553</t>
  </si>
  <si>
    <t>Ref: DCRW/2023/8194</t>
  </si>
  <si>
    <t>MUNAWEERA KUMARA HETTIARACHCHIGE</t>
  </si>
  <si>
    <t>Selvam Silvesthry</t>
  </si>
  <si>
    <t>WP00498872</t>
  </si>
  <si>
    <t>S8636298</t>
  </si>
  <si>
    <t>Khadar Ahmadh Shaik</t>
  </si>
  <si>
    <t>WP00502356</t>
  </si>
  <si>
    <t>W5101941</t>
  </si>
  <si>
    <t>ANANTHA KRISHNAN CHANDRASEKARAN</t>
  </si>
  <si>
    <t>Cashier</t>
  </si>
  <si>
    <t>WP00504705</t>
  </si>
  <si>
    <t>R5762790</t>
  </si>
  <si>
    <t>EL0521098</t>
  </si>
  <si>
    <t>EL0521637</t>
  </si>
  <si>
    <t>EL0519125</t>
  </si>
  <si>
    <t>EL0521586</t>
  </si>
  <si>
    <t>AFSAR ALI</t>
  </si>
  <si>
    <t>WP00511111</t>
  </si>
  <si>
    <t>V0235897</t>
  </si>
  <si>
    <t>MOHAMMAD AFJAL</t>
  </si>
  <si>
    <t>U9914970</t>
  </si>
  <si>
    <t>AJAJ ALI</t>
  </si>
  <si>
    <t>WP00508199</t>
  </si>
  <si>
    <t>V5819428</t>
  </si>
  <si>
    <t>ABDURRAHMAN</t>
  </si>
  <si>
    <t>WP00508197</t>
  </si>
  <si>
    <t>V6480916</t>
  </si>
  <si>
    <t>D.O.J</t>
  </si>
  <si>
    <t>Duration</t>
  </si>
  <si>
    <t>Ref: DCRW/2023/19999</t>
  </si>
  <si>
    <t>Ref: DCRW/2023/20000</t>
  </si>
  <si>
    <t>Ref: DCRW/2023/20002</t>
  </si>
  <si>
    <t>Ref: DCRW/2023/2722</t>
  </si>
  <si>
    <t>Ref: DCRW/2023/2725</t>
  </si>
  <si>
    <t>Ref: DCRW/2023/2726</t>
  </si>
  <si>
    <t>Ref: DCRW/2023/3138</t>
  </si>
  <si>
    <t>Ref: DCRW/2023/2727</t>
  </si>
  <si>
    <t>V3626322</t>
  </si>
  <si>
    <t>Indian</t>
  </si>
  <si>
    <t>Ref: DCRW/2023/21057</t>
  </si>
  <si>
    <t>Ref: DCRW/2023/21058</t>
  </si>
  <si>
    <t>Elumalai Moorthy</t>
  </si>
  <si>
    <t>WP00520637</t>
  </si>
  <si>
    <t>S9541382</t>
  </si>
  <si>
    <t>WP00520638</t>
  </si>
  <si>
    <t>JAMSHED</t>
  </si>
  <si>
    <t>W0659215</t>
  </si>
  <si>
    <t>AFARUL SK</t>
  </si>
  <si>
    <t>WP00520639</t>
  </si>
  <si>
    <t>W7405261</t>
  </si>
  <si>
    <t>Ref: DCRW/2023/19169</t>
  </si>
  <si>
    <t>DCRW/2023/22406</t>
  </si>
  <si>
    <t>DCRW/2023/22409</t>
  </si>
  <si>
    <t>DCRW/2023/22402</t>
  </si>
  <si>
    <t>DCRW/2023/22401</t>
  </si>
  <si>
    <t>AJAYPAL SINGH</t>
  </si>
  <si>
    <t>U4428626</t>
  </si>
  <si>
    <t>WP00524505</t>
  </si>
  <si>
    <t>WP00524507</t>
  </si>
  <si>
    <t>T2451051</t>
  </si>
  <si>
    <t>EL0747260</t>
  </si>
  <si>
    <t>EL0710698</t>
  </si>
  <si>
    <t>DCRW/2023/24107</t>
  </si>
  <si>
    <t>DCRW/2023/24118</t>
  </si>
  <si>
    <t>MD SAHMAD</t>
  </si>
  <si>
    <t>Office Boy</t>
  </si>
  <si>
    <t>W6903123</t>
  </si>
  <si>
    <t>WP00523081</t>
  </si>
  <si>
    <t>Male</t>
  </si>
  <si>
    <t>Madihaa</t>
  </si>
  <si>
    <t>Male head office</t>
  </si>
  <si>
    <t>Madi Finolhu</t>
  </si>
  <si>
    <t>Bokaifushi</t>
  </si>
  <si>
    <t>AZIM UDDIN SEKH</t>
  </si>
  <si>
    <t>WP00520640</t>
  </si>
  <si>
    <t>V1977668</t>
  </si>
  <si>
    <t>DCRW/2023/23876</t>
  </si>
  <si>
    <t xml:space="preserve"> DHARMASIRI MUNASING ARACHCHIGE</t>
  </si>
  <si>
    <t>Farmer</t>
  </si>
  <si>
    <t>WP00523875</t>
  </si>
  <si>
    <t>N8470054</t>
  </si>
  <si>
    <t>DCRW/2023/25471</t>
  </si>
  <si>
    <t>DCRW/2023/27452</t>
  </si>
  <si>
    <t>SHOHRAB ALAM</t>
  </si>
  <si>
    <t>WP00528064</t>
  </si>
  <si>
    <t>X7469278</t>
  </si>
  <si>
    <t>SADDAM</t>
  </si>
  <si>
    <t>WP00527049</t>
  </si>
  <si>
    <t>U9793377</t>
  </si>
  <si>
    <t>DCRW/2023/27583</t>
  </si>
  <si>
    <t>DCRW/2023/27584</t>
  </si>
  <si>
    <t>Quota Fee</t>
  </si>
  <si>
    <t>DCRW/2023/29070</t>
  </si>
  <si>
    <t>WP00531579</t>
  </si>
  <si>
    <t>N7286381</t>
  </si>
  <si>
    <t>Paid date</t>
  </si>
  <si>
    <t>WP00484297</t>
  </si>
  <si>
    <t>DCRW/2023/29479</t>
  </si>
  <si>
    <t>DCRW/2023/29533</t>
  </si>
  <si>
    <t>AHAMED FASAYIR MOHAMED JALEEL</t>
  </si>
  <si>
    <t>WP00534651</t>
  </si>
  <si>
    <t>N10354504</t>
  </si>
  <si>
    <t>MOHOMAD SAYLAS MOHOMAD MARSOOK</t>
  </si>
  <si>
    <t>WP00535818</t>
  </si>
  <si>
    <t>N9310708</t>
  </si>
  <si>
    <t>MOHOMED IRSHAD MOHOMED SANOON</t>
  </si>
  <si>
    <t>WP00535027</t>
  </si>
  <si>
    <t>N8876097</t>
  </si>
  <si>
    <t>SARAVANA KUMAR RAJENDHIRAN</t>
  </si>
  <si>
    <t>WP00533118</t>
  </si>
  <si>
    <t>N9408661</t>
  </si>
  <si>
    <t>MOHOMED RAMZAN NISAR</t>
  </si>
  <si>
    <t>WP00535816</t>
  </si>
  <si>
    <t>N9534341</t>
  </si>
  <si>
    <t>MOHAMED RISWAN ALI THAJUDEEN</t>
  </si>
  <si>
    <t>WP00537850</t>
  </si>
  <si>
    <t>Accounts Assistant</t>
  </si>
  <si>
    <t>DCRW/2023/30176</t>
  </si>
  <si>
    <t>DCRW/2023/30177</t>
  </si>
  <si>
    <t>U8257891</t>
  </si>
  <si>
    <t>Ishak Ahamed Sahul Hameed</t>
  </si>
  <si>
    <t>WP00539856</t>
  </si>
  <si>
    <t>N9401423</t>
  </si>
  <si>
    <t>SIFONA MARIYA SINGAM</t>
  </si>
  <si>
    <t>WP00541599</t>
  </si>
  <si>
    <t>Y7174080</t>
  </si>
  <si>
    <t>DCRW/2023/33427</t>
  </si>
  <si>
    <t>AJITH PAUL RAJ</t>
  </si>
  <si>
    <t>WP00544710</t>
  </si>
  <si>
    <t>Y6117444</t>
  </si>
  <si>
    <t>DCRW/2023/32854</t>
  </si>
  <si>
    <t>PHURBA LAHMU TAMANG RUMBA</t>
  </si>
  <si>
    <t>WP00545567</t>
  </si>
  <si>
    <t>Y8890095</t>
  </si>
  <si>
    <t>REJINA RAI</t>
  </si>
  <si>
    <t>WP00545566</t>
  </si>
  <si>
    <t>X7941982</t>
  </si>
  <si>
    <t>KIRTAN GAZMER</t>
  </si>
  <si>
    <t>WP00547488</t>
  </si>
  <si>
    <t>Y7255106</t>
  </si>
  <si>
    <t>GRAPESON EDWARD</t>
  </si>
  <si>
    <t>WP00546497</t>
  </si>
  <si>
    <t>Y6486285</t>
  </si>
  <si>
    <t>MOHAMEDU SAJITH MOHAMEDU NALEEM</t>
  </si>
  <si>
    <t>WP00547752</t>
  </si>
  <si>
    <t>N7611879</t>
  </si>
  <si>
    <t>DCRW/2023/35117</t>
  </si>
  <si>
    <t>WP00547489</t>
  </si>
  <si>
    <t>RINOSAN MUHAMAD MUHAMAD NAVAS</t>
  </si>
  <si>
    <t>Driver, truck/heavy</t>
  </si>
  <si>
    <t>N9724326</t>
  </si>
  <si>
    <t>DCRW/2023/35711</t>
  </si>
  <si>
    <t>Receipt No</t>
  </si>
  <si>
    <t>Slot</t>
  </si>
  <si>
    <t>QS00214778</t>
  </si>
  <si>
    <t>QS00138025</t>
  </si>
  <si>
    <t>QS00138023</t>
  </si>
  <si>
    <t>QS00138022</t>
  </si>
  <si>
    <t>QS00138024</t>
  </si>
  <si>
    <t>Mamta Gurung</t>
  </si>
  <si>
    <t>WP00550314</t>
  </si>
  <si>
    <t>W5192547</t>
  </si>
  <si>
    <t>QS00117013</t>
  </si>
  <si>
    <t>QS00138036</t>
  </si>
  <si>
    <t>QS00138039</t>
  </si>
  <si>
    <t>QS00138040</t>
  </si>
  <si>
    <t>QS00138044</t>
  </si>
  <si>
    <t>QS00138046</t>
  </si>
  <si>
    <t>QS00138052</t>
  </si>
  <si>
    <t>QS00138041</t>
  </si>
  <si>
    <t>pending</t>
  </si>
  <si>
    <t>QS00138063</t>
  </si>
  <si>
    <t>PAR-04656687</t>
  </si>
  <si>
    <t>QS00138086</t>
  </si>
  <si>
    <t>QS00138066</t>
  </si>
  <si>
    <t>QS00138082</t>
  </si>
  <si>
    <t>QS00138083</t>
  </si>
  <si>
    <t>PAR-04627831</t>
  </si>
  <si>
    <t>QS00117115</t>
  </si>
  <si>
    <t>QS00117039</t>
  </si>
  <si>
    <t>Priyanka Subba</t>
  </si>
  <si>
    <t>WP00550033</t>
  </si>
  <si>
    <t>W1164038</t>
  </si>
  <si>
    <t>Kamalawathie</t>
  </si>
  <si>
    <t>WP00551289</t>
  </si>
  <si>
    <t>N10557353</t>
  </si>
  <si>
    <t>DCRW/2023/37608</t>
  </si>
  <si>
    <t>V1012282</t>
  </si>
  <si>
    <t>IYOOB ABDUL MUNAF</t>
  </si>
  <si>
    <t>WP00552913</t>
  </si>
  <si>
    <t>N8863195</t>
  </si>
  <si>
    <t>MOHAMED AZAM AHAMED LEBBE</t>
  </si>
  <si>
    <t>WP00552053</t>
  </si>
  <si>
    <t>N9235442</t>
  </si>
  <si>
    <t>DAMMIKA SOBANI MANANNALAGE</t>
  </si>
  <si>
    <t>Maid, domestic</t>
  </si>
  <si>
    <t>WP00553445</t>
  </si>
  <si>
    <t>N10692178</t>
  </si>
  <si>
    <t>DCRW/2023/37108</t>
  </si>
  <si>
    <t>DCRW/2023/36994</t>
  </si>
  <si>
    <t>WP00556053</t>
  </si>
  <si>
    <t>WP00556247</t>
  </si>
  <si>
    <t>Mohamed Anfas Adhar Mohamed</t>
  </si>
  <si>
    <t>WP00558525</t>
  </si>
  <si>
    <t>N10841151</t>
  </si>
  <si>
    <t>Mohamed Imran Mohideen Bawa</t>
  </si>
  <si>
    <t>WP00558527</t>
  </si>
  <si>
    <t>N7675705</t>
  </si>
  <si>
    <t>Mohan Murugan</t>
  </si>
  <si>
    <t>Stock Keeper</t>
  </si>
  <si>
    <t>W8613062</t>
  </si>
  <si>
    <t>WP00558526</t>
  </si>
  <si>
    <t>DCRW/2024/276</t>
  </si>
  <si>
    <t>DCRW/2023/42788</t>
  </si>
  <si>
    <t>DCRW/2024/279</t>
  </si>
  <si>
    <t>DCRW/2023/38016</t>
  </si>
  <si>
    <t>NALINDA SHAMAL PRIYADHARSHANA</t>
  </si>
  <si>
    <t>DCRW/2023/39371</t>
  </si>
  <si>
    <t>DCRW/2023/39538</t>
  </si>
  <si>
    <t>A08430457</t>
  </si>
  <si>
    <t>NAWFAL AHAMED MOHIDEEN BADURDEEN</t>
  </si>
  <si>
    <t>WP00559409</t>
  </si>
  <si>
    <t>RATHNASIRI PERERA EGODAGE</t>
  </si>
  <si>
    <t>WP00558528</t>
  </si>
  <si>
    <t>N9738310</t>
  </si>
  <si>
    <t>not possible to cancel</t>
  </si>
  <si>
    <t>DCRW/2024/601</t>
  </si>
  <si>
    <t>ABUL BASHAR</t>
  </si>
  <si>
    <t xml:space="preserve">WP00180883 </t>
  </si>
  <si>
    <t>BK0593218</t>
  </si>
  <si>
    <t xml:space="preserve">MOHAMMAD NAYEB ALI </t>
  </si>
  <si>
    <t>BW0128507</t>
  </si>
  <si>
    <t>Allied</t>
  </si>
  <si>
    <t>#</t>
  </si>
  <si>
    <t>WP</t>
  </si>
  <si>
    <t>Updated on</t>
  </si>
  <si>
    <t>Border Record need</t>
  </si>
  <si>
    <t>Missing Reported Staffs</t>
  </si>
  <si>
    <t>PP No</t>
  </si>
  <si>
    <t>BQ0953241</t>
  </si>
  <si>
    <t>BJ0163093</t>
  </si>
  <si>
    <t>AE8424426</t>
  </si>
  <si>
    <t>AC2154604</t>
  </si>
  <si>
    <t>EK0886194</t>
  </si>
  <si>
    <t>BC0239271</t>
  </si>
  <si>
    <t>BE0698310</t>
  </si>
  <si>
    <t>EH0839173</t>
  </si>
  <si>
    <t>EK0652174</t>
  </si>
  <si>
    <t xml:space="preserve">BE0670792 </t>
  </si>
  <si>
    <t xml:space="preserve">EK0923893 </t>
  </si>
  <si>
    <t>EK0798681</t>
  </si>
  <si>
    <t xml:space="preserve">EK0754441 </t>
  </si>
  <si>
    <t>EK0800347</t>
  </si>
  <si>
    <t>EK0902782</t>
  </si>
  <si>
    <t>EK0848387</t>
  </si>
  <si>
    <t xml:space="preserve">A00243083 </t>
  </si>
  <si>
    <t>BJ0721613</t>
  </si>
  <si>
    <t xml:space="preserve">BF0711037 </t>
  </si>
  <si>
    <t xml:space="preserve">EK0886119  </t>
  </si>
  <si>
    <t>BH0665301</t>
  </si>
  <si>
    <t>BJ0362428</t>
  </si>
  <si>
    <t xml:space="preserve">BJ0261254 </t>
  </si>
  <si>
    <t>BF0898971</t>
  </si>
  <si>
    <t>BH0111454</t>
  </si>
  <si>
    <t>BF0106001</t>
  </si>
  <si>
    <t xml:space="preserve"> BC0520148</t>
  </si>
  <si>
    <t>BC0242178</t>
  </si>
  <si>
    <t>Not available</t>
  </si>
  <si>
    <t>AB8174034 </t>
  </si>
  <si>
    <t>C0316255</t>
  </si>
  <si>
    <t>C0284060</t>
  </si>
  <si>
    <t>AF2220007</t>
  </si>
  <si>
    <t>EL0055925</t>
  </si>
  <si>
    <t>EK0620539</t>
  </si>
  <si>
    <t>EK0601238</t>
  </si>
  <si>
    <t>A00243083</t>
  </si>
  <si>
    <t>Medicals</t>
  </si>
  <si>
    <t>DCRW/2024/1734</t>
  </si>
  <si>
    <t>apply for refund</t>
  </si>
  <si>
    <t xml:space="preserve">	MOHAMED IMADH IMTHIYAS</t>
  </si>
  <si>
    <t>N10284177</t>
  </si>
  <si>
    <t>Hulhumale'</t>
  </si>
  <si>
    <t>Vakaru</t>
  </si>
  <si>
    <t>WP00562007</t>
  </si>
  <si>
    <t>WP00561999</t>
  </si>
  <si>
    <t>P2433818</t>
  </si>
  <si>
    <t>DCRW/2024/3973</t>
  </si>
  <si>
    <t>DCRW/2024/3388</t>
  </si>
  <si>
    <t xml:space="preserve"> N7552340</t>
  </si>
  <si>
    <t>-</t>
  </si>
  <si>
    <t>DCRW/2024/3974</t>
  </si>
  <si>
    <t>DCRW/2024/3975</t>
  </si>
  <si>
    <t xml:space="preserve">  </t>
  </si>
  <si>
    <t>Mohammed Zaheer Haleelul Rahuman</t>
  </si>
  <si>
    <t>N10470639</t>
  </si>
  <si>
    <t>WP00562985</t>
  </si>
  <si>
    <t>April</t>
  </si>
  <si>
    <t>MD Sojun Miah</t>
  </si>
  <si>
    <t>A11796103</t>
  </si>
  <si>
    <t>WP00560582</t>
  </si>
  <si>
    <t>Atikul Islam</t>
  </si>
  <si>
    <t>A12479444</t>
  </si>
  <si>
    <t>WP00560590</t>
  </si>
  <si>
    <t>MD AHAD GAZI</t>
  </si>
  <si>
    <t>WP00560584</t>
  </si>
  <si>
    <t xml:space="preserve">	A01037484</t>
  </si>
  <si>
    <t>KASUN KUMARA WICKRAMASINGHE WADUGEDARA</t>
  </si>
  <si>
    <t>Chef - Madi grand</t>
  </si>
  <si>
    <t xml:space="preserve">	WP00562753</t>
  </si>
  <si>
    <t>N10728955</t>
  </si>
  <si>
    <t>MOHAMED FARZAN MOHAMED FAIZ</t>
  </si>
  <si>
    <t>WP00562755</t>
  </si>
  <si>
    <t>N10728620</t>
  </si>
  <si>
    <t>A13693236</t>
  </si>
  <si>
    <t>WP00559189</t>
  </si>
  <si>
    <t>Driver, Lorry</t>
  </si>
  <si>
    <t>WP00560591</t>
  </si>
  <si>
    <t>WP00559185</t>
  </si>
  <si>
    <t xml:space="preserve">	MIRACKLIN SAHAYAM</t>
  </si>
  <si>
    <t>B6443859</t>
  </si>
  <si>
    <t>WP00568450</t>
  </si>
  <si>
    <t>DCRW/2024/8814</t>
  </si>
  <si>
    <t>Dinuka Asintha Bambarenda</t>
  </si>
  <si>
    <t>N9693646</t>
  </si>
  <si>
    <t xml:space="preserve">Bimol Rajbongshe </t>
  </si>
  <si>
    <t xml:space="preserve">	WP00562012</t>
  </si>
  <si>
    <t>A13117030</t>
  </si>
  <si>
    <t>Akter Hossain</t>
  </si>
  <si>
    <t xml:space="preserve">	A04901710</t>
  </si>
  <si>
    <t xml:space="preserve">Hasan Miah </t>
  </si>
  <si>
    <t>A04355332</t>
  </si>
  <si>
    <t>WP00578010</t>
  </si>
  <si>
    <t xml:space="preserve">	01-Oct-1998</t>
  </si>
  <si>
    <t>WP00579278</t>
  </si>
  <si>
    <t>ABDUR RAHIM</t>
  </si>
  <si>
    <t>A13517445</t>
  </si>
  <si>
    <t>WP00576494</t>
  </si>
  <si>
    <t>MD Jihad Hossain</t>
  </si>
  <si>
    <t>A13508386</t>
  </si>
  <si>
    <t>WP00576496</t>
  </si>
  <si>
    <t>DCRW/2024/14058</t>
  </si>
  <si>
    <t>Suriyakrishnan Baskaran</t>
  </si>
  <si>
    <t>WP00587204</t>
  </si>
  <si>
    <t>T6582248</t>
  </si>
  <si>
    <t xml:space="preserve">	Kabir Hossain</t>
  </si>
  <si>
    <t>WP00581086</t>
  </si>
  <si>
    <t>A11647483</t>
  </si>
  <si>
    <t xml:space="preserve">MD Mithu Hossain   </t>
  </si>
  <si>
    <t>WP00580718</t>
  </si>
  <si>
    <t>A13323252</t>
  </si>
  <si>
    <t>DCRW/2024/15696</t>
  </si>
  <si>
    <t>Y7256500</t>
  </si>
  <si>
    <t>DCRW/2024/16572</t>
  </si>
  <si>
    <t>DCRW/2024/16573</t>
  </si>
  <si>
    <t>WP00591363</t>
  </si>
  <si>
    <t>MD Rokon Uddin</t>
  </si>
  <si>
    <t xml:space="preserve">	01-Jan-1992</t>
  </si>
  <si>
    <t>WP00581829</t>
  </si>
  <si>
    <t>A14045386</t>
  </si>
  <si>
    <t>A00660437</t>
  </si>
  <si>
    <t>WP00587205</t>
  </si>
  <si>
    <t>MD Zahir Mia</t>
  </si>
  <si>
    <t>WP00584734</t>
  </si>
  <si>
    <t>A07246015</t>
  </si>
  <si>
    <t>THIRUGNANAM MARUTHAI</t>
  </si>
  <si>
    <t xml:space="preserve">	11-Sep-1984</t>
  </si>
  <si>
    <t>WP00590860</t>
  </si>
  <si>
    <t>A14243570</t>
  </si>
  <si>
    <t>MD MUKUL ALI</t>
  </si>
  <si>
    <t>Heavy Truck driver</t>
  </si>
  <si>
    <t>WP00593263</t>
  </si>
  <si>
    <t>A13363654</t>
  </si>
  <si>
    <t>DCRW/2024/21310</t>
  </si>
  <si>
    <t xml:space="preserve">MUNTAZIR KHAN  </t>
  </si>
  <si>
    <t>WP00596037</t>
  </si>
  <si>
    <t>U5595396</t>
  </si>
  <si>
    <t>DCRW/2024/21377</t>
  </si>
  <si>
    <t>RIYAJ MALLICK</t>
  </si>
  <si>
    <t>AC Mechanic</t>
  </si>
  <si>
    <t>WP00598274</t>
  </si>
  <si>
    <t>Y9486591</t>
  </si>
  <si>
    <t xml:space="preserve">	SASWATI KUNDU DEBNATH</t>
  </si>
  <si>
    <t>WP00598026</t>
  </si>
  <si>
    <t>W7398203</t>
  </si>
  <si>
    <t xml:space="preserve">	PUJA RAI</t>
  </si>
  <si>
    <t>WP00598387</t>
  </si>
  <si>
    <t>X6414053</t>
  </si>
  <si>
    <t>SK ABDUL RAJAK</t>
  </si>
  <si>
    <t>DCRW/2024/24225</t>
  </si>
  <si>
    <t>Pintu Sekh</t>
  </si>
  <si>
    <t>W7403728</t>
  </si>
  <si>
    <t xml:space="preserve">	WP00597783</t>
  </si>
  <si>
    <t>Chadani Shrestha</t>
  </si>
  <si>
    <t>Nepal</t>
  </si>
  <si>
    <t>PA1485382</t>
  </si>
  <si>
    <t>Reservation Sales Agent</t>
  </si>
  <si>
    <t>NASIR ALI</t>
  </si>
  <si>
    <t>WP00602092</t>
  </si>
  <si>
    <t>W1972160</t>
  </si>
  <si>
    <t>THIYAGARAJAN SADHANANDAN</t>
  </si>
  <si>
    <t>WP00601465</t>
  </si>
  <si>
    <t>Z5099847</t>
  </si>
  <si>
    <t>A15818895</t>
  </si>
  <si>
    <t>A15492550</t>
  </si>
  <si>
    <t>Kamal Uddin</t>
  </si>
  <si>
    <t xml:space="preserve"> DCRW/2024/27716</t>
  </si>
  <si>
    <t>BIYANKA UDESHINI DIAS PAHALA GAMAGE</t>
  </si>
  <si>
    <t>WP00591359</t>
  </si>
  <si>
    <t xml:space="preserve">N8119274  </t>
  </si>
  <si>
    <t>Manuyar Sekh</t>
  </si>
  <si>
    <t>WP00603877</t>
  </si>
  <si>
    <t>V3706770</t>
  </si>
  <si>
    <t>Yeasin SK</t>
  </si>
  <si>
    <t>WP00603878</t>
  </si>
  <si>
    <t>W1236205</t>
  </si>
  <si>
    <t xml:space="preserve">Yabuddin </t>
  </si>
  <si>
    <t xml:space="preserve">	WP00605796</t>
  </si>
  <si>
    <t xml:space="preserve">	V1455015</t>
  </si>
  <si>
    <t>Vakaru Maid</t>
  </si>
  <si>
    <t xml:space="preserve">	Thanuja Priyadarshanie Ranpate Dewage</t>
  </si>
  <si>
    <t xml:space="preserve">	11-Mar-1984</t>
  </si>
  <si>
    <t xml:space="preserve">	WP00605055</t>
  </si>
  <si>
    <t>N11167114</t>
  </si>
  <si>
    <t>DCRW/2024/31336</t>
  </si>
  <si>
    <t>MOHID KHAN</t>
  </si>
  <si>
    <t>WP00606102</t>
  </si>
  <si>
    <t>X8872108</t>
  </si>
  <si>
    <t>A13567149</t>
  </si>
  <si>
    <t>Submitted</t>
  </si>
  <si>
    <t>Manirul Laskar</t>
  </si>
  <si>
    <t>WP00606101</t>
  </si>
  <si>
    <t>X3963992</t>
  </si>
  <si>
    <t>DCRW/2024/31951</t>
  </si>
  <si>
    <t>BIBEK DARSHANDHARI</t>
  </si>
  <si>
    <t>IT Officer</t>
  </si>
  <si>
    <t>WP00606989</t>
  </si>
  <si>
    <t xml:space="preserve">	Aamir</t>
  </si>
  <si>
    <t>WP00607348</t>
  </si>
  <si>
    <t>V8837473</t>
  </si>
  <si>
    <t>DCRW/2024/34069</t>
  </si>
  <si>
    <t>DCRW/2024/34072</t>
  </si>
  <si>
    <t>Nabina Thapa</t>
  </si>
  <si>
    <t>Nepalese</t>
  </si>
  <si>
    <t xml:space="preserve">	13-Aug-2002</t>
  </si>
  <si>
    <t>WP00609045</t>
  </si>
  <si>
    <t>PA2169089</t>
  </si>
  <si>
    <t>WP00611016</t>
  </si>
  <si>
    <t>WP00614304</t>
  </si>
  <si>
    <t>WP00614922</t>
  </si>
  <si>
    <t>WP00616048</t>
  </si>
  <si>
    <t>WP00614305</t>
  </si>
  <si>
    <t>Ram Narayan Das</t>
  </si>
  <si>
    <t>PA1578069</t>
  </si>
  <si>
    <t>MOHAMMAD AJMAL</t>
  </si>
  <si>
    <t xml:space="preserve"> U9598649</t>
  </si>
  <si>
    <t xml:space="preserve"> Alisan</t>
  </si>
  <si>
    <t>W9904153</t>
  </si>
  <si>
    <t xml:space="preserve"> Zubair</t>
  </si>
  <si>
    <t>Y6191332</t>
  </si>
  <si>
    <t>DCRW/2024/36230</t>
  </si>
  <si>
    <t>DCRW/2024/32425</t>
  </si>
  <si>
    <t>DCRW/2024/41431</t>
  </si>
  <si>
    <t>DCRW/2024/41432</t>
  </si>
  <si>
    <t>A15998319</t>
  </si>
  <si>
    <t>Aiza Habas Alon</t>
  </si>
  <si>
    <t>WP00615560</t>
  </si>
  <si>
    <t>P7816140B</t>
  </si>
  <si>
    <t xml:space="preserve"> MERAJ</t>
  </si>
  <si>
    <t>W2279768</t>
  </si>
  <si>
    <t>Mohammad Salman</t>
  </si>
  <si>
    <t>WP00617297</t>
  </si>
  <si>
    <t>W8308235</t>
  </si>
  <si>
    <t>DCRW/2024/39756</t>
  </si>
  <si>
    <t>NAJIR SHEKH</t>
  </si>
  <si>
    <t>WP00618615</t>
  </si>
  <si>
    <t>PA1573087</t>
  </si>
  <si>
    <t xml:space="preserve"> Biswajit Prasad Sah</t>
  </si>
  <si>
    <t>WP00620002</t>
  </si>
  <si>
    <t>DCRW/2024/46519</t>
  </si>
  <si>
    <t>DCRW/2024/46520</t>
  </si>
  <si>
    <t>DCRW/2024/46522</t>
  </si>
  <si>
    <t>DCRW/2024/46523</t>
  </si>
  <si>
    <t>January</t>
  </si>
  <si>
    <t>Feburuary / March</t>
  </si>
  <si>
    <t>May / June / July</t>
  </si>
  <si>
    <t>Aug / Sep</t>
  </si>
  <si>
    <t>DCRW/2024/46582</t>
  </si>
  <si>
    <t>DCRW/2024/47030</t>
  </si>
  <si>
    <t>Mohamed Hussain Ansari</t>
  </si>
  <si>
    <t>Umar Miyan</t>
  </si>
  <si>
    <t>WP00620014</t>
  </si>
  <si>
    <t>W2568587</t>
  </si>
  <si>
    <t>DCRW/2024/49277</t>
  </si>
  <si>
    <t>DCRW/2024/49278</t>
  </si>
  <si>
    <t>MD JAKIR HOSSEN</t>
  </si>
  <si>
    <t>Cleaner</t>
  </si>
  <si>
    <t xml:space="preserve"> 01-Jan-2003</t>
  </si>
  <si>
    <t>WP00623284</t>
  </si>
  <si>
    <t>A13679244</t>
  </si>
  <si>
    <t>SUSMITA TAMANG</t>
  </si>
  <si>
    <t>WP00624567</t>
  </si>
  <si>
    <t>PA2094524</t>
  </si>
  <si>
    <t>DCRW/2024/49699</t>
  </si>
  <si>
    <t>DCRW/2024/49700</t>
  </si>
  <si>
    <t xml:space="preserve">WP00611018 </t>
  </si>
  <si>
    <t xml:space="preserve">U2170821 </t>
  </si>
  <si>
    <t>Tilton Vaz Francis Vaz</t>
  </si>
  <si>
    <t>Clearance Officer</t>
  </si>
  <si>
    <t>N9605816</t>
  </si>
  <si>
    <t>WP00625857</t>
  </si>
  <si>
    <t>Saiman Sekh</t>
  </si>
  <si>
    <t>V8610997</t>
  </si>
  <si>
    <t>WP00625350</t>
  </si>
  <si>
    <t>ADNAN ABDUL MAJEED NAZIR</t>
  </si>
  <si>
    <t>WP00625858</t>
  </si>
  <si>
    <t>U1616574</t>
  </si>
  <si>
    <t>DCRW/2024/51674</t>
  </si>
  <si>
    <t>Mohammad Firoz Ansari</t>
  </si>
  <si>
    <t>WP00630309</t>
  </si>
  <si>
    <t>U2145218</t>
  </si>
  <si>
    <t>DCRW/2024/51526</t>
  </si>
  <si>
    <t xml:space="preserve">Md Imran Ali </t>
  </si>
  <si>
    <t xml:space="preserve"> WP00629420</t>
  </si>
  <si>
    <t>C1649425</t>
  </si>
  <si>
    <t>Arfoz Khan</t>
  </si>
  <si>
    <t>DCRW/2024/53062</t>
  </si>
  <si>
    <t>THIRUMOORTHI RAMAN</t>
  </si>
  <si>
    <t>DCRW/2024/53065</t>
  </si>
  <si>
    <t>DCRW/2024/53860</t>
  </si>
  <si>
    <t>Arulmani Kumaresan</t>
  </si>
  <si>
    <t>Shop Assistant</t>
  </si>
  <si>
    <t>WP00629992</t>
  </si>
  <si>
    <t>S6578798</t>
  </si>
  <si>
    <t>Thamaraiselvan Narayanan</t>
  </si>
  <si>
    <t>U2980190</t>
  </si>
  <si>
    <t xml:space="preserve"> WP00630390</t>
  </si>
  <si>
    <t xml:space="preserve"> Firoj Pawariya</t>
  </si>
  <si>
    <t>labour</t>
  </si>
  <si>
    <t xml:space="preserve"> 01-Jan-1988</t>
  </si>
  <si>
    <t xml:space="preserve"> WP00625373</t>
  </si>
  <si>
    <t>U9832488</t>
  </si>
  <si>
    <t>Javed Alam</t>
  </si>
  <si>
    <t>C0707012</t>
  </si>
  <si>
    <t xml:space="preserve"> WP00630712</t>
  </si>
  <si>
    <t xml:space="preserve"> Sharukh Sulaiman Kunju</t>
  </si>
  <si>
    <t>U5339558</t>
  </si>
  <si>
    <t>WP00632450</t>
  </si>
  <si>
    <t>A16485782</t>
  </si>
  <si>
    <t>Shameer Sakhariah</t>
  </si>
  <si>
    <t>WP00630391</t>
  </si>
  <si>
    <t>N8640876</t>
  </si>
  <si>
    <t>DCRW/2024/55189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</si>
  <si>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</si>
  <si>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DCRW/2024/55869</t>
  </si>
  <si>
    <t>WP00624568</t>
  </si>
  <si>
    <t>DCRW/2024/57433</t>
  </si>
  <si>
    <t>WP00632451</t>
  </si>
  <si>
    <t>Palas Das</t>
  </si>
  <si>
    <t>Y8118416</t>
  </si>
  <si>
    <t>Jose Francis</t>
  </si>
  <si>
    <t>Sales &amp; Reservation Officer</t>
  </si>
  <si>
    <t>Saroj Raut</t>
  </si>
  <si>
    <t>Venugopal Kommati</t>
  </si>
  <si>
    <t>Sanjeeve Rajendran</t>
  </si>
  <si>
    <t>WP00625349</t>
  </si>
  <si>
    <t>X9546907</t>
  </si>
  <si>
    <t>WP00633683</t>
  </si>
  <si>
    <t>N6176965</t>
  </si>
  <si>
    <t>WP00637412</t>
  </si>
  <si>
    <t>C2857959</t>
  </si>
  <si>
    <t>WP00637413</t>
  </si>
  <si>
    <t>C4842564</t>
  </si>
  <si>
    <t>SK Abdul Rajak</t>
  </si>
  <si>
    <t>WP00598386</t>
  </si>
  <si>
    <t>V9632644</t>
  </si>
  <si>
    <t>DCRW/2024/60558</t>
  </si>
  <si>
    <t>Arun Kumar Vettikattil</t>
  </si>
  <si>
    <t>AC Technician</t>
  </si>
  <si>
    <t>WP00638928</t>
  </si>
  <si>
    <t>Shekh Kalamudin</t>
  </si>
  <si>
    <t>WP00641026</t>
  </si>
  <si>
    <t>Mohideen Abdul Rahuman Mohamed Ismail</t>
  </si>
  <si>
    <t>Purchasing &amp; Stock Assistant</t>
  </si>
  <si>
    <t xml:space="preserve"> 29-Oct-2000</t>
  </si>
  <si>
    <t>WP00641184</t>
  </si>
  <si>
    <t>U3604675</t>
  </si>
  <si>
    <t xml:space="preserve"> Najare Alam Ansari</t>
  </si>
  <si>
    <t xml:space="preserve"> PA1918477</t>
  </si>
  <si>
    <t>WP00641024</t>
  </si>
  <si>
    <t>W4720942</t>
  </si>
  <si>
    <t>Assitant Supervisor</t>
  </si>
  <si>
    <t>WP00641022</t>
  </si>
  <si>
    <t xml:space="preserve"> Martha Ranapaheli</t>
  </si>
  <si>
    <t>WP00643119</t>
  </si>
  <si>
    <t>PA0326931</t>
  </si>
  <si>
    <t xml:space="preserve"> Atikur Shaikh</t>
  </si>
  <si>
    <t>Labour, Masjid</t>
  </si>
  <si>
    <t xml:space="preserve"> 14-Dec-1995</t>
  </si>
  <si>
    <t>WP00642211</t>
  </si>
  <si>
    <t xml:space="preserve"> R6916010</t>
  </si>
  <si>
    <t xml:space="preserve"> Abdul Odud Shaikh</t>
  </si>
  <si>
    <t>WP00642212</t>
  </si>
  <si>
    <t xml:space="preserve"> W1161233</t>
  </si>
  <si>
    <t>Salam Shaikh</t>
  </si>
  <si>
    <t xml:space="preserve"> 18-Aug-1996</t>
  </si>
  <si>
    <t>WP00630713</t>
  </si>
  <si>
    <t xml:space="preserve"> B6166920</t>
  </si>
  <si>
    <t>DCRW/2025/2796</t>
  </si>
  <si>
    <t xml:space="preserve">RECTION IGNESH IGNASIOUS WILSON </t>
  </si>
  <si>
    <t>WP00621899</t>
  </si>
  <si>
    <t>WP00646098</t>
  </si>
  <si>
    <t>DCRW/2025/5541</t>
  </si>
  <si>
    <t xml:space="preserve">WP00426023 </t>
  </si>
  <si>
    <t>Employer Change</t>
  </si>
  <si>
    <t>DCRW/2025/5542</t>
  </si>
  <si>
    <t>DCRW/2025/5626</t>
  </si>
  <si>
    <t>WR3/2025/1712</t>
  </si>
  <si>
    <t>KAMAL UDDIN</t>
  </si>
  <si>
    <t>DCRW/2025/5761</t>
  </si>
  <si>
    <t xml:space="preserve"> Jayanti Ghimire</t>
  </si>
  <si>
    <t>WP00648891</t>
  </si>
  <si>
    <t>PA3046487</t>
  </si>
  <si>
    <t xml:space="preserve"> MD Humayun Kobir</t>
  </si>
  <si>
    <t>Speed Boat Crew</t>
  </si>
  <si>
    <t xml:space="preserve"> 01-Dec-2002</t>
  </si>
  <si>
    <t>WP00645016</t>
  </si>
  <si>
    <t>B00201523</t>
  </si>
  <si>
    <t xml:space="preserve"> RAJU AHMED</t>
  </si>
  <si>
    <t xml:space="preserve"> 20-Feb-2005</t>
  </si>
  <si>
    <t>WP00645017</t>
  </si>
  <si>
    <t>A13582401</t>
  </si>
  <si>
    <t xml:space="preserve"> MD Farhad Hossain</t>
  </si>
  <si>
    <t xml:space="preserve"> 20-Nov-1994</t>
  </si>
  <si>
    <t xml:space="preserve"> WP00645018</t>
  </si>
  <si>
    <t xml:space="preserve"> A13680927</t>
  </si>
  <si>
    <t>Mahamd Samirullah Hawari</t>
  </si>
  <si>
    <t xml:space="preserve"> WP00645019</t>
  </si>
  <si>
    <t>DCRW/2025/8251</t>
  </si>
  <si>
    <t>DCRW/2025/8371</t>
  </si>
  <si>
    <t>WP00651700</t>
  </si>
  <si>
    <t>DCRW/2025/9087</t>
  </si>
  <si>
    <t>WP00639010</t>
  </si>
  <si>
    <t>RIYAJUDIN MIYA</t>
  </si>
  <si>
    <t>Cancelled due to non-arrival</t>
  </si>
  <si>
    <t xml:space="preserve"> MD Hafizur Rahman</t>
  </si>
  <si>
    <t xml:space="preserve"> 01-Jan-1995</t>
  </si>
  <si>
    <t xml:space="preserve"> MICHEAL EVALD SAHAYAM STEPHEN</t>
  </si>
  <si>
    <t>WP00653105</t>
  </si>
  <si>
    <t>DCRW/2025/11891</t>
  </si>
  <si>
    <t>DCRW/2025/11902</t>
  </si>
  <si>
    <t>Wasantha Kumara Dahanyaka</t>
  </si>
  <si>
    <t>WP00656651</t>
  </si>
  <si>
    <t>N11281207</t>
  </si>
  <si>
    <t>DCRW/2025/13313</t>
  </si>
  <si>
    <t>bokaifushi new staff</t>
  </si>
  <si>
    <t>DCRW/2025/13327</t>
  </si>
  <si>
    <t>DCRW/2025/13328</t>
  </si>
  <si>
    <t>DCRW/2025/13500</t>
  </si>
  <si>
    <t>DCRW/2025/13501</t>
  </si>
  <si>
    <t>DCRW/2025/13907</t>
  </si>
  <si>
    <t xml:space="preserve"> MD ABDUS SAMAD</t>
  </si>
  <si>
    <t xml:space="preserve"> 12-May-2001</t>
  </si>
  <si>
    <t>WP00650675</t>
  </si>
  <si>
    <t xml:space="preserve"> A04717918</t>
  </si>
  <si>
    <t>P0162389</t>
  </si>
  <si>
    <t>WP00668182</t>
  </si>
  <si>
    <t>A705/25/020189</t>
  </si>
  <si>
    <t>DCRW/2025/21416</t>
  </si>
  <si>
    <t>DCRW/2025/21807</t>
  </si>
  <si>
    <t xml:space="preserve"> DCRW/2025/21999</t>
  </si>
  <si>
    <t>C8556323</t>
  </si>
  <si>
    <t>DCRW/2025/23339</t>
  </si>
  <si>
    <t>T705/25/023361</t>
  </si>
  <si>
    <t>I0364009</t>
  </si>
  <si>
    <t>Sahadat Hossen</t>
  </si>
  <si>
    <t>WP00678420</t>
  </si>
  <si>
    <t>A04340903</t>
  </si>
  <si>
    <t>MD Aman Miea</t>
  </si>
  <si>
    <t xml:space="preserve"> 10-Jan-1995</t>
  </si>
  <si>
    <t>WP00676114</t>
  </si>
  <si>
    <t>A13599244</t>
  </si>
  <si>
    <t>Asith Chandra Das</t>
  </si>
  <si>
    <t>WP00678426</t>
  </si>
  <si>
    <t>A02421626</t>
  </si>
  <si>
    <t>Kazam Uddin</t>
  </si>
  <si>
    <t xml:space="preserve"> WP00673336</t>
  </si>
  <si>
    <t>A04769713</t>
  </si>
  <si>
    <t>A705/24/027059,A705/25/021385</t>
  </si>
  <si>
    <t>Allied- Takaful</t>
  </si>
  <si>
    <t>DCRW/2025/28070</t>
  </si>
  <si>
    <t>DCRW/2025/28290</t>
  </si>
  <si>
    <t>DCRW/2025/28665</t>
  </si>
  <si>
    <t>DCRW/2025/28666</t>
  </si>
  <si>
    <t>MD HASIB UDDIN</t>
  </si>
  <si>
    <t>Room Attendant</t>
  </si>
  <si>
    <t>WP00673339</t>
  </si>
  <si>
    <t xml:space="preserve"> A08893366</t>
  </si>
  <si>
    <t xml:space="preserve"> MD Milon Hossain</t>
  </si>
  <si>
    <t>Cargo Clearance Officer</t>
  </si>
  <si>
    <t>WP00673341</t>
  </si>
  <si>
    <t xml:space="preserve"> A08918171</t>
  </si>
  <si>
    <t xml:space="preserve"> Md Saiful Islam</t>
  </si>
  <si>
    <t xml:space="preserve"> 25-Mar-2000</t>
  </si>
  <si>
    <t xml:space="preserve"> WP00681886</t>
  </si>
  <si>
    <t xml:space="preserve"> A14838429</t>
  </si>
  <si>
    <t>Shop Incharge</t>
  </si>
  <si>
    <t>T705/25/030361</t>
  </si>
  <si>
    <t>MD NAIM SARDER</t>
  </si>
  <si>
    <t>WP00678423</t>
  </si>
  <si>
    <t>A06421627</t>
  </si>
  <si>
    <t>MAD00701</t>
  </si>
  <si>
    <t xml:space="preserve"> Mehedi Hasan Emon</t>
  </si>
  <si>
    <t xml:space="preserve"> A17464367</t>
  </si>
  <si>
    <t>WP00683537</t>
  </si>
  <si>
    <t>MAD00702</t>
  </si>
  <si>
    <t xml:space="preserve"> Subail Ahmed Mohamed Hussain Hameed Ibrahim</t>
  </si>
  <si>
    <t xml:space="preserve"> WP00686510</t>
  </si>
  <si>
    <t>T1981543</t>
  </si>
  <si>
    <t>MAD00703</t>
  </si>
  <si>
    <t>MAD00700</t>
  </si>
  <si>
    <t xml:space="preserve"> James Chinnappan</t>
  </si>
  <si>
    <t>T1079129</t>
  </si>
  <si>
    <t>WP00687175</t>
  </si>
  <si>
    <t xml:space="preserve"> 29-Apr-1995</t>
  </si>
  <si>
    <t>MAD00699</t>
  </si>
  <si>
    <t>MAD00696</t>
  </si>
  <si>
    <t>MD Tufajjl Hosen</t>
  </si>
  <si>
    <t>A15133823</t>
  </si>
  <si>
    <t>DCRW/2025/33367</t>
  </si>
  <si>
    <t>WP00649429</t>
  </si>
  <si>
    <t>DCRW/2025/35128</t>
  </si>
  <si>
    <t>DCRW/2025/39530</t>
  </si>
  <si>
    <t>DCRW/2025/39543</t>
  </si>
  <si>
    <t>DCRW/2025/39544</t>
  </si>
  <si>
    <t xml:space="preserve"> Sathiyamoorthy Kesavan</t>
  </si>
  <si>
    <t>C7136222</t>
  </si>
  <si>
    <t xml:space="preserve"> WP00697059</t>
  </si>
  <si>
    <t>MAD0707</t>
  </si>
  <si>
    <t>Allied - Takaful</t>
  </si>
  <si>
    <t>Vijayakumar Kaliaraj</t>
  </si>
  <si>
    <t>S. Stock Keeper</t>
  </si>
  <si>
    <t>WP00701264</t>
  </si>
  <si>
    <t>B7537813</t>
  </si>
  <si>
    <t>MAD0711</t>
  </si>
  <si>
    <t>A19691735</t>
  </si>
  <si>
    <t>A19691734</t>
  </si>
  <si>
    <t>A19691736</t>
  </si>
  <si>
    <t>MAD0712</t>
  </si>
  <si>
    <t>MD Rumon Ali</t>
  </si>
  <si>
    <t>A04572515</t>
  </si>
  <si>
    <t>MAD0040</t>
  </si>
  <si>
    <t>MAD0021</t>
  </si>
  <si>
    <t>MAD0030</t>
  </si>
  <si>
    <t>MAD0029</t>
  </si>
  <si>
    <t>MAD0016</t>
  </si>
  <si>
    <t>MAD0026</t>
  </si>
  <si>
    <t>MAD0204</t>
  </si>
  <si>
    <t>MAD0024</t>
  </si>
  <si>
    <t>MAD0027</t>
  </si>
  <si>
    <t>MAD0083</t>
  </si>
  <si>
    <t>MAD0098</t>
  </si>
  <si>
    <t>MAD0104</t>
  </si>
  <si>
    <t>MAD0132</t>
  </si>
  <si>
    <t>MAD0133</t>
  </si>
  <si>
    <t>MAD0156</t>
  </si>
  <si>
    <t>MAD0268</t>
  </si>
  <si>
    <t>MAD0196</t>
  </si>
  <si>
    <t>MAD0232</t>
  </si>
  <si>
    <t>MAD0233</t>
  </si>
  <si>
    <t>MAD0244</t>
  </si>
  <si>
    <t>MAD0246</t>
  </si>
  <si>
    <t>MAD0251</t>
  </si>
  <si>
    <t>MAD0238</t>
  </si>
  <si>
    <t>MAD0419</t>
  </si>
  <si>
    <t>MAD0418</t>
  </si>
  <si>
    <t>MAD0396</t>
  </si>
  <si>
    <t>MAD0407</t>
  </si>
  <si>
    <t>MAD0426</t>
  </si>
  <si>
    <t>MAD0427</t>
  </si>
  <si>
    <t>MAD0445</t>
  </si>
  <si>
    <t>MAD0454</t>
  </si>
  <si>
    <t>MAD0457</t>
  </si>
  <si>
    <t>MAD0507</t>
  </si>
  <si>
    <t>MAD0515</t>
  </si>
  <si>
    <t>MAD0517</t>
  </si>
  <si>
    <t>MAD0516</t>
  </si>
  <si>
    <t>MAD0521</t>
  </si>
  <si>
    <t>MAD0522</t>
  </si>
  <si>
    <t>MAD0526</t>
  </si>
  <si>
    <t>MAD0532</t>
  </si>
  <si>
    <t>MAD0535</t>
  </si>
  <si>
    <t>MAD0538</t>
  </si>
  <si>
    <t>MAD0541</t>
  </si>
  <si>
    <t>MAD0556</t>
  </si>
  <si>
    <t>MAD0558</t>
  </si>
  <si>
    <t>MAD0559</t>
  </si>
  <si>
    <t>MAD0561</t>
  </si>
  <si>
    <t>MAD0564</t>
  </si>
  <si>
    <t>MAD0567</t>
  </si>
  <si>
    <t>MAD0569</t>
  </si>
  <si>
    <t>MAD0580</t>
  </si>
  <si>
    <t>MAD0585</t>
  </si>
  <si>
    <t>MAD0586</t>
  </si>
  <si>
    <t>MAD0587</t>
  </si>
  <si>
    <t>MAD0594</t>
  </si>
  <si>
    <t>MAD0226</t>
  </si>
  <si>
    <t>MAD0596</t>
  </si>
  <si>
    <t>MAD0598</t>
  </si>
  <si>
    <t>MAD0599</t>
  </si>
  <si>
    <t>MAD0600</t>
  </si>
  <si>
    <t>MAD0601</t>
  </si>
  <si>
    <t>MAD0602</t>
  </si>
  <si>
    <t>MAD0603</t>
  </si>
  <si>
    <t>MAD0605</t>
  </si>
  <si>
    <t>MAD0606</t>
  </si>
  <si>
    <t>MAD0607</t>
  </si>
  <si>
    <t>MAD0612</t>
  </si>
  <si>
    <t>MAD0613</t>
  </si>
  <si>
    <t>MAD0618</t>
  </si>
  <si>
    <t>MAD0621</t>
  </si>
  <si>
    <t>MAD0623</t>
  </si>
  <si>
    <t>MAD0624</t>
  </si>
  <si>
    <t>MAD0627</t>
  </si>
  <si>
    <t>MAD0632</t>
  </si>
  <si>
    <t>MAD0634</t>
  </si>
  <si>
    <t>MAD0636</t>
  </si>
  <si>
    <t>MAD0637</t>
  </si>
  <si>
    <t>MAD0642</t>
  </si>
  <si>
    <t>MAD0643</t>
  </si>
  <si>
    <t>MAD0644</t>
  </si>
  <si>
    <t>MAD0650</t>
  </si>
  <si>
    <t>MAD0652</t>
  </si>
  <si>
    <t>MAD0655</t>
  </si>
  <si>
    <t>MAD0656</t>
  </si>
  <si>
    <t>MAD0657</t>
  </si>
  <si>
    <t>MAD0658</t>
  </si>
  <si>
    <t>MAD0659</t>
  </si>
  <si>
    <t>MAD0661</t>
  </si>
  <si>
    <t>MAD0667</t>
  </si>
  <si>
    <t>MAD0668</t>
  </si>
  <si>
    <t>MAD0669</t>
  </si>
  <si>
    <t>MAD0671</t>
  </si>
  <si>
    <t>MAD0670</t>
  </si>
  <si>
    <t>MAD0672</t>
  </si>
  <si>
    <t>MAD0673</t>
  </si>
  <si>
    <t>MAD0675</t>
  </si>
  <si>
    <t>MAD0676</t>
  </si>
  <si>
    <t>MAD0677</t>
  </si>
  <si>
    <t>MAD0678</t>
  </si>
  <si>
    <t>MAD0680</t>
  </si>
  <si>
    <t>MAD0681</t>
  </si>
  <si>
    <t>MAD0682</t>
  </si>
  <si>
    <t>MAD0683</t>
  </si>
  <si>
    <t>MAD0684</t>
  </si>
  <si>
    <t>MAD0241</t>
  </si>
  <si>
    <t>MAD0329</t>
  </si>
  <si>
    <t>MAD0685</t>
  </si>
  <si>
    <t>MAD0691</t>
  </si>
  <si>
    <t>MAD0692</t>
  </si>
  <si>
    <t>MAD0693</t>
  </si>
  <si>
    <t>MAD0694</t>
  </si>
  <si>
    <t>A19923051</t>
  </si>
  <si>
    <t>DCRW/2025/45144</t>
  </si>
  <si>
    <t>DCRW/2025/45666</t>
  </si>
  <si>
    <t>A19906504</t>
  </si>
  <si>
    <t>A19906503</t>
  </si>
  <si>
    <t>DCRW/2025/48140</t>
  </si>
  <si>
    <t>MAD0713</t>
  </si>
  <si>
    <t>MD Suhel Mia</t>
  </si>
  <si>
    <t>WP00712068</t>
  </si>
  <si>
    <t>A07243709</t>
  </si>
  <si>
    <t>Enamul Hoque</t>
  </si>
  <si>
    <t>MD MANIK HOSSAIN</t>
  </si>
  <si>
    <t>DCRW/2025/49378</t>
  </si>
  <si>
    <t>MD Manir Hossen</t>
  </si>
  <si>
    <t>DCRW/2025/49383</t>
  </si>
  <si>
    <t>DCRW/2025/49576</t>
  </si>
  <si>
    <t>MAD0714</t>
  </si>
  <si>
    <t>ALI HOSSAIN</t>
  </si>
  <si>
    <t xml:space="preserve">	A14896067</t>
  </si>
  <si>
    <t xml:space="preserve">	28-Mar-2002</t>
  </si>
  <si>
    <t>WP00714044</t>
  </si>
  <si>
    <t>T705/25/030360</t>
  </si>
  <si>
    <t>A705/25/049526</t>
  </si>
  <si>
    <t>MAD0715</t>
  </si>
  <si>
    <t>Manikandan Selvaraj</t>
  </si>
  <si>
    <t xml:space="preserve">	02-Feb-1991</t>
  </si>
  <si>
    <t>WP00718041</t>
  </si>
  <si>
    <t xml:space="preserve">	U6844596</t>
  </si>
  <si>
    <t>MAD0716</t>
  </si>
  <si>
    <t>MD NAHIM GAZI</t>
  </si>
  <si>
    <t>A08586061</t>
  </si>
  <si>
    <t> 09-Jul-2025</t>
  </si>
  <si>
    <t>Bio metric finger Updated 0n</t>
  </si>
  <si>
    <t> 17-Mar-2025</t>
  </si>
  <si>
    <t> 16-Mar-2025</t>
  </si>
  <si>
    <t> 18-Mar-2025</t>
  </si>
  <si>
    <t> 19-Mar-2025</t>
  </si>
  <si>
    <t> 29-Apr-2025</t>
  </si>
  <si>
    <t> 08-Apr-2025</t>
  </si>
  <si>
    <t> 16-Apr-2025</t>
  </si>
  <si>
    <t> 04-Oct-2025</t>
  </si>
  <si>
    <t> 06-Dec-2024</t>
  </si>
  <si>
    <t>MAD0717</t>
  </si>
  <si>
    <t>W0024758</t>
  </si>
  <si>
    <t>WP00720705</t>
  </si>
  <si>
    <t>MUNESWARI SANDRAPALLI</t>
  </si>
  <si>
    <t>MAD0718</t>
  </si>
  <si>
    <t xml:space="preserve">	Laikuzzaman Leon</t>
  </si>
  <si>
    <t>A15557899</t>
  </si>
  <si>
    <t>WP00720707</t>
  </si>
  <si>
    <t xml:space="preserve">	01-Jan-2003</t>
  </si>
  <si>
    <t>A20229767</t>
  </si>
  <si>
    <t>MAD0590</t>
  </si>
  <si>
    <t>Vigneshwaran Kanagaraj</t>
  </si>
  <si>
    <t xml:space="preserve">	Y5357139</t>
  </si>
  <si>
    <t>WP00726440</t>
  </si>
  <si>
    <t xml:space="preserve">	17-Jun-2001</t>
  </si>
  <si>
    <t>MAD0719</t>
  </si>
  <si>
    <t>Allied takaful</t>
  </si>
  <si>
    <t>DCRW/2025/58241</t>
  </si>
  <si>
    <t>MAD0720</t>
  </si>
  <si>
    <t>MAD0721</t>
  </si>
  <si>
    <t>MAD0722</t>
  </si>
  <si>
    <t>MAD0723</t>
  </si>
  <si>
    <t>PAYEL MIA</t>
  </si>
  <si>
    <t>A11717696</t>
  </si>
  <si>
    <t>WP00720708</t>
  </si>
  <si>
    <t>MD BADAL MIA</t>
  </si>
  <si>
    <t xml:space="preserve">	A16955418</t>
  </si>
  <si>
    <t xml:space="preserve">	WP00720706</t>
  </si>
  <si>
    <t>Saddam Hossen</t>
  </si>
  <si>
    <t xml:space="preserve">	A12988824</t>
  </si>
  <si>
    <t>WP00721242</t>
  </si>
  <si>
    <t>MD Sobuj Rana</t>
  </si>
  <si>
    <t xml:space="preserve">	22-Oct-1997</t>
  </si>
  <si>
    <t>WP00721241</t>
  </si>
  <si>
    <t>A13708305</t>
  </si>
  <si>
    <t>MAD0724</t>
  </si>
  <si>
    <t>MAD0725</t>
  </si>
  <si>
    <t>MAD0726</t>
  </si>
  <si>
    <t>Sriyawathie Disanayaka Mudiyanselage</t>
  </si>
  <si>
    <t>N10212053</t>
  </si>
  <si>
    <t>WP00724610</t>
  </si>
  <si>
    <t>GAURI SHANKARI SUBRAMANIAN</t>
  </si>
  <si>
    <t>Z5043694</t>
  </si>
  <si>
    <t>WP00730252</t>
  </si>
  <si>
    <t>Ram Wife</t>
  </si>
  <si>
    <t>MAD0727</t>
  </si>
  <si>
    <t>Nazmul Chowdhury</t>
  </si>
  <si>
    <t>A15463341</t>
  </si>
  <si>
    <t>WP00735841</t>
  </si>
  <si>
    <t>DCRW/2025/66458</t>
  </si>
  <si>
    <t>DCRW/2025/66460</t>
  </si>
  <si>
    <t>Nepali</t>
  </si>
  <si>
    <t>DCRW/2025/66645</t>
  </si>
  <si>
    <t>WP00742388</t>
  </si>
  <si>
    <t xml:space="preserve">	S1191707</t>
  </si>
  <si>
    <t>MD Imran</t>
  </si>
  <si>
    <t xml:space="preserve">	A18340935</t>
  </si>
  <si>
    <t xml:space="preserve">	15-Mar-2004</t>
  </si>
  <si>
    <t>MD rafiqul Islam</t>
  </si>
  <si>
    <t>WP00741432</t>
  </si>
  <si>
    <t>A13993141</t>
  </si>
  <si>
    <t xml:space="preserve">	Sabbir Hossain</t>
  </si>
  <si>
    <t xml:space="preserve">	A09522708</t>
  </si>
  <si>
    <t>WP00742738</t>
  </si>
  <si>
    <t>MAD0733</t>
  </si>
  <si>
    <t>Rabbir Hossain</t>
  </si>
  <si>
    <t>Houserkeeper, Hotel</t>
  </si>
  <si>
    <t>WP00742729</t>
  </si>
  <si>
    <t>A11721432</t>
  </si>
  <si>
    <t>MD Morsalin</t>
  </si>
  <si>
    <t>WP00742728</t>
  </si>
  <si>
    <t>A02752293</t>
  </si>
  <si>
    <t xml:space="preserve">	MD Shak Sabik</t>
  </si>
  <si>
    <t xml:space="preserve">	20-May-2005</t>
  </si>
  <si>
    <t>WP00742737</t>
  </si>
  <si>
    <t>A15026643</t>
  </si>
  <si>
    <t>MAD0736</t>
  </si>
  <si>
    <t xml:space="preserve">	Golam Sarowar Rubel</t>
  </si>
  <si>
    <t>MAD0737</t>
  </si>
  <si>
    <t xml:space="preserve">	01-Jan-1990</t>
  </si>
  <si>
    <t>WP00741056</t>
  </si>
  <si>
    <t>A20709398</t>
  </si>
  <si>
    <t xml:space="preserve">	MD SUJON</t>
  </si>
  <si>
    <t xml:space="preserve">	05-Mar-2004</t>
  </si>
  <si>
    <t>WP00744004</t>
  </si>
  <si>
    <t xml:space="preserve">	A17591573</t>
  </si>
  <si>
    <t>MAD0739</t>
  </si>
  <si>
    <t>Slot fee expires on</t>
  </si>
  <si>
    <t xml:space="preserve">Slot in </t>
  </si>
  <si>
    <t>QS00275734</t>
  </si>
  <si>
    <t>QS00138033</t>
  </si>
  <si>
    <t>QS00337430</t>
  </si>
  <si>
    <t>QS00275733</t>
  </si>
  <si>
    <t>DCRW/2025/72243</t>
  </si>
  <si>
    <t>MD Tanvir Miah</t>
  </si>
  <si>
    <t>MAD0731</t>
  </si>
  <si>
    <t>Electrician</t>
  </si>
  <si>
    <t>WP00752701</t>
  </si>
  <si>
    <t>A18469095</t>
  </si>
  <si>
    <t>MAD0740</t>
  </si>
  <si>
    <t>MD Rayhan Bhuiya</t>
  </si>
  <si>
    <t>WP00742382</t>
  </si>
  <si>
    <t>A14295195</t>
  </si>
  <si>
    <t>DCRW/2025/72970</t>
  </si>
  <si>
    <t>DCRW/2025/72971</t>
  </si>
  <si>
    <t>DCRW/2025/72979</t>
  </si>
  <si>
    <t>WP00753113</t>
  </si>
  <si>
    <t>T705/25/071848</t>
  </si>
  <si>
    <t>DCRW/2026/2839</t>
  </si>
  <si>
    <t>T705/26/002224</t>
  </si>
  <si>
    <t>DCRW/2026/3119</t>
  </si>
  <si>
    <t>DCRW/2026/3129</t>
  </si>
  <si>
    <t>DCRW/2026/3131</t>
  </si>
  <si>
    <t>DCRW/2026/3132</t>
  </si>
  <si>
    <t>MAD0741</t>
  </si>
  <si>
    <t>MD Hasan Ali</t>
  </si>
  <si>
    <t>MD Shamim Hoshen</t>
  </si>
  <si>
    <t>MAD0742</t>
  </si>
  <si>
    <t>Alamgir Hosain</t>
  </si>
  <si>
    <t>MAD0744</t>
  </si>
  <si>
    <t>Saddam Hossain</t>
  </si>
  <si>
    <t>MAD0745</t>
  </si>
  <si>
    <t>Phoo Wai Myint</t>
  </si>
  <si>
    <t>MAD0746</t>
  </si>
  <si>
    <t>Supervisor/Cashier</t>
  </si>
  <si>
    <t>Myanmar</t>
  </si>
  <si>
    <t>Pranav Muraleedharannair</t>
  </si>
  <si>
    <t>MAD0748</t>
  </si>
  <si>
    <t>RamPrasath</t>
  </si>
  <si>
    <t>MAD0749</t>
  </si>
  <si>
    <t>WP00756903</t>
  </si>
  <si>
    <t>MH928310</t>
  </si>
  <si>
    <t>WP00755358</t>
  </si>
  <si>
    <t>C4301032</t>
  </si>
  <si>
    <t>B6449480</t>
  </si>
  <si>
    <t>WP00758829</t>
  </si>
  <si>
    <t>A09310728</t>
  </si>
  <si>
    <t>A01339366</t>
  </si>
  <si>
    <t>A15747988</t>
  </si>
  <si>
    <t>B00322569</t>
  </si>
  <si>
    <t>DCRW/2026/8063</t>
  </si>
  <si>
    <t xml:space="preserve">	Imran Hossain</t>
  </si>
  <si>
    <t xml:space="preserve">	WP00758828</t>
  </si>
  <si>
    <t>MAD0755</t>
  </si>
  <si>
    <t>A09462983</t>
  </si>
  <si>
    <t>Shihub Mahmud</t>
  </si>
  <si>
    <t>MD Hasan Al Mamun</t>
  </si>
  <si>
    <t>MD Muktar Ali</t>
  </si>
  <si>
    <t>Vishnulal Jayalal</t>
  </si>
  <si>
    <t>MD Tarikul Islam tarik</t>
  </si>
  <si>
    <t>MD Soriful Islam</t>
  </si>
  <si>
    <t>MAD0756</t>
  </si>
  <si>
    <t>MAD0757</t>
  </si>
  <si>
    <t>MAD0758</t>
  </si>
  <si>
    <t>MAD0759</t>
  </si>
  <si>
    <t>MAD0760</t>
  </si>
  <si>
    <t>MAD0761</t>
  </si>
  <si>
    <t>Grapeson Edward</t>
  </si>
  <si>
    <t>A18653545</t>
  </si>
  <si>
    <t>WP00759393</t>
  </si>
  <si>
    <t>A09398907</t>
  </si>
  <si>
    <t>A08956882</t>
  </si>
  <si>
    <t>Y3165161</t>
  </si>
  <si>
    <t>A16746568</t>
  </si>
  <si>
    <t>WP00758827</t>
  </si>
  <si>
    <t>Engine Duty Officer</t>
  </si>
  <si>
    <t>WP00762863</t>
  </si>
  <si>
    <t>DCRW/2026/11595</t>
  </si>
  <si>
    <t>DCRW/2026/11596</t>
  </si>
  <si>
    <t>Refund not available</t>
  </si>
  <si>
    <t>DCRW/2026/14646</t>
  </si>
  <si>
    <t>DCRW/2026/14649</t>
  </si>
  <si>
    <t>DCRW/2026/16289</t>
  </si>
  <si>
    <t>DCRW/2026/16292</t>
  </si>
  <si>
    <t>DCRW/2026/16293</t>
  </si>
  <si>
    <t>WP00772315</t>
  </si>
  <si>
    <t>WP00762363</t>
  </si>
  <si>
    <t>MAD0762</t>
  </si>
  <si>
    <t>MAD0763</t>
  </si>
  <si>
    <t>Tribhuwan Bhandari</t>
  </si>
  <si>
    <t>Mohamed Aiyash Mohamed Hismath</t>
  </si>
  <si>
    <t>supervisor</t>
  </si>
  <si>
    <t>A09289159</t>
  </si>
  <si>
    <t>T4163143</t>
  </si>
  <si>
    <t>WP00764196</t>
  </si>
  <si>
    <t>N8357283</t>
  </si>
  <si>
    <t>DCRW/2026/18691</t>
  </si>
  <si>
    <t>WP00779725</t>
  </si>
  <si>
    <t>WP00780164</t>
  </si>
  <si>
    <t>WP00774686</t>
  </si>
  <si>
    <t>WP00780162</t>
  </si>
  <si>
    <t>A21997926</t>
  </si>
  <si>
    <t xml:space="preserve">WP00772317 </t>
  </si>
  <si>
    <t>A22305752</t>
  </si>
  <si>
    <t>A22229546</t>
  </si>
  <si>
    <t>A22252972</t>
  </si>
  <si>
    <t>DCRW/2026/27651</t>
  </si>
  <si>
    <t>DCRW/2026/27679</t>
  </si>
  <si>
    <t>DCRW/2026/27681</t>
  </si>
  <si>
    <t>Mohammed Kalifa Mohamed Ayubgan</t>
  </si>
  <si>
    <t>Expatriate Medical Takaful</t>
  </si>
  <si>
    <t>AR354943</t>
  </si>
  <si>
    <t>MAD0766</t>
  </si>
  <si>
    <t>MAD0767</t>
  </si>
  <si>
    <t>MD Nahid Mia</t>
  </si>
  <si>
    <t>Solaiappan Gurusamy</t>
  </si>
  <si>
    <t>A16845787</t>
  </si>
  <si>
    <t>WP00782383</t>
  </si>
  <si>
    <t>T2130907</t>
  </si>
  <si>
    <t>WP00787139</t>
  </si>
  <si>
    <t>MAD0728</t>
  </si>
  <si>
    <t>Mushahid Mia</t>
  </si>
  <si>
    <t>A02413616</t>
  </si>
  <si>
    <t>WP00787731</t>
  </si>
  <si>
    <t>AT250094</t>
  </si>
  <si>
    <t>WP00648199</t>
  </si>
  <si>
    <t>DCRW/2026/30865</t>
  </si>
  <si>
    <t>MAD0769</t>
  </si>
  <si>
    <t>Prashanth babu Ballepu</t>
  </si>
  <si>
    <t>WP00789740</t>
  </si>
  <si>
    <t>S7387845</t>
  </si>
  <si>
    <t>10-Agu-1995</t>
  </si>
  <si>
    <t>WP00789941</t>
  </si>
  <si>
    <t>WP00790069</t>
  </si>
  <si>
    <t>Assistant, kitchen</t>
  </si>
  <si>
    <t>T705/26/000902</t>
  </si>
  <si>
    <t>WP00787732</t>
  </si>
  <si>
    <t>WP00782358</t>
  </si>
  <si>
    <t>WP00785164</t>
  </si>
  <si>
    <t>WP00784406</t>
  </si>
  <si>
    <t>A22456443</t>
  </si>
  <si>
    <t>DCRW/2026/35036</t>
  </si>
  <si>
    <t>DCRW/2026/35044</t>
  </si>
  <si>
    <t>DCRW/2026/35076</t>
  </si>
  <si>
    <t>WP00789779</t>
  </si>
  <si>
    <t>Tarek Ahmed</t>
  </si>
  <si>
    <t>MAD0772</t>
  </si>
  <si>
    <t>A18232240</t>
  </si>
  <si>
    <t>DCRW/2026/37219</t>
  </si>
  <si>
    <t>Subail Ahmed Mohamed Hussain Hameed Ibrahim</t>
  </si>
  <si>
    <t>MAD0773</t>
  </si>
  <si>
    <t>PA3277154</t>
  </si>
  <si>
    <t>WP00797561</t>
  </si>
  <si>
    <t>MD Rakib Mia</t>
  </si>
  <si>
    <t>WP00795674</t>
  </si>
  <si>
    <t>A18676579</t>
  </si>
  <si>
    <t>Abu Sufian Razib</t>
  </si>
  <si>
    <t>WP00802729</t>
  </si>
  <si>
    <t>A09311072</t>
  </si>
  <si>
    <t>T705/25/039167,T705/26/040216</t>
  </si>
  <si>
    <t>T705/26/040217</t>
  </si>
  <si>
    <t>Nabina Sarki</t>
  </si>
  <si>
    <t>MAD0774</t>
  </si>
  <si>
    <t>MAD0775</t>
  </si>
  <si>
    <t>MAD0776</t>
  </si>
  <si>
    <t>MD Habibur Rahman</t>
  </si>
  <si>
    <t xml:space="preserve">	03-Jul-2001</t>
  </si>
  <si>
    <t xml:space="preserve">	WP00801707</t>
  </si>
  <si>
    <t>A05119456</t>
  </si>
  <si>
    <t xml:space="preserve">	Sufal Das</t>
  </si>
  <si>
    <t xml:space="preserve">	A16771320</t>
  </si>
  <si>
    <t>WP00798031</t>
  </si>
  <si>
    <t>MAD0777</t>
  </si>
  <si>
    <t>DCRW/2026/41265</t>
  </si>
  <si>
    <t xml:space="preserve">Allied </t>
  </si>
  <si>
    <t>MD MANIR HOSSEN</t>
  </si>
  <si>
    <t>WP00805050</t>
  </si>
  <si>
    <t>MAD0778</t>
  </si>
  <si>
    <t>MAD0779</t>
  </si>
  <si>
    <t>NITYA RAI</t>
  </si>
  <si>
    <t>PA2152817</t>
  </si>
  <si>
    <t>WP00807166</t>
  </si>
  <si>
    <t xml:space="preserve">	30-Jul-1999</t>
  </si>
  <si>
    <t>WP00807165</t>
  </si>
  <si>
    <t xml:space="preserve">	PA1737709</t>
  </si>
  <si>
    <t>MAD0780</t>
  </si>
  <si>
    <t>MAD0781</t>
  </si>
  <si>
    <t xml:space="preserve">	Deepu Yadav</t>
  </si>
  <si>
    <t xml:space="preserve">	AH152983</t>
  </si>
  <si>
    <t xml:space="preserve">	WP00811124</t>
  </si>
  <si>
    <t xml:space="preserve">	10-Mar-2000</t>
  </si>
  <si>
    <t>Bibi Rai</t>
  </si>
  <si>
    <t>WP00787864</t>
  </si>
  <si>
    <t>T705/26/043729</t>
  </si>
  <si>
    <t>MALINI BALAKRISHNAN</t>
  </si>
  <si>
    <t>WP00816970</t>
  </si>
  <si>
    <t xml:space="preserve">	Veeravel Thangavel</t>
  </si>
  <si>
    <t xml:space="preserve">	10-Jun-1991</t>
  </si>
  <si>
    <t>X4182039</t>
  </si>
  <si>
    <t>DCRW/2026/49450</t>
  </si>
  <si>
    <t>WP00807167</t>
  </si>
  <si>
    <t>MD Nadim Mahmud Bhuiyan</t>
  </si>
  <si>
    <t xml:space="preserve"> A14236283</t>
  </si>
  <si>
    <t>DCRW/2026/50556</t>
  </si>
  <si>
    <t>DCRW/2026/55265</t>
  </si>
  <si>
    <t>Hema Begum</t>
  </si>
  <si>
    <t>Alamin Wife</t>
  </si>
  <si>
    <t>WP00815205</t>
  </si>
  <si>
    <t>A22498939</t>
  </si>
  <si>
    <t>WORK VISA</t>
  </si>
  <si>
    <t>INSURANCE</t>
  </si>
  <si>
    <t>T705/26/025140</t>
  </si>
  <si>
    <t>24Years3Months28Days</t>
  </si>
  <si>
    <t>24Years2Months21Days</t>
  </si>
  <si>
    <t>21Years0Months15Days</t>
  </si>
  <si>
    <t>20Years9Months24Days</t>
  </si>
  <si>
    <t>17Years8Months8Days</t>
  </si>
  <si>
    <t>14Years10Months2Days</t>
  </si>
  <si>
    <t>14Years0Months6Days</t>
  </si>
  <si>
    <t>11Years10Months22Days</t>
  </si>
  <si>
    <t>11Years3Months27Days</t>
  </si>
  <si>
    <t>11Years1Months5Days</t>
  </si>
  <si>
    <t>10Years7Months12Days</t>
  </si>
  <si>
    <t>10Years7Months5Days</t>
  </si>
  <si>
    <t>10Years4Months21Days</t>
  </si>
  <si>
    <t>10Years0Months23Days</t>
  </si>
  <si>
    <t>7Years11Months2Days</t>
  </si>
  <si>
    <t>7Years9Months20Days</t>
  </si>
  <si>
    <t>7Years9Months18Days</t>
  </si>
  <si>
    <t>7Years7Months24Days</t>
  </si>
  <si>
    <t>7Years7Months22Days</t>
  </si>
  <si>
    <t>7Years6Months12Days</t>
  </si>
  <si>
    <t>7Years2Months18Days</t>
  </si>
  <si>
    <t>6Years2Months20Days</t>
  </si>
  <si>
    <t>5Years1Months1Days</t>
  </si>
  <si>
    <t>5Years0Months4Days</t>
  </si>
  <si>
    <t>4Years11Months5Days</t>
  </si>
  <si>
    <t>4Years7Months1Days</t>
  </si>
  <si>
    <t>4Years6Months23Days</t>
  </si>
  <si>
    <t>2Years9Months29Days</t>
  </si>
  <si>
    <t>3Years11Months24Days</t>
  </si>
  <si>
    <t>3Years10Months29Days</t>
  </si>
  <si>
    <t>3Years9Months27Days</t>
  </si>
  <si>
    <t>3Years7Months21Days</t>
  </si>
  <si>
    <t>3Years7Months18Days</t>
  </si>
  <si>
    <t>3Years2Months13Days</t>
  </si>
  <si>
    <t>3Years1Months6Days</t>
  </si>
  <si>
    <t>2Years11Months8Days</t>
  </si>
  <si>
    <t>2Years10Months26Days</t>
  </si>
  <si>
    <t>2Years9Months17Days</t>
  </si>
  <si>
    <t>2Years8Months24Days</t>
  </si>
  <si>
    <t>2Years8Months12Days</t>
  </si>
  <si>
    <t>2Years7Months2Days</t>
  </si>
  <si>
    <t>2Years6Months30Days</t>
  </si>
  <si>
    <t>2Years6Months23Days</t>
  </si>
  <si>
    <t>2Years6Months22Days</t>
  </si>
  <si>
    <t>2Years6Months3Days</t>
  </si>
  <si>
    <t>2Years5Months28Days</t>
  </si>
  <si>
    <t>2Years6Months18Days</t>
  </si>
  <si>
    <t>2Years6Months17Days</t>
  </si>
  <si>
    <t>2Years4Months18Days</t>
  </si>
  <si>
    <t>2Years3Months28Days</t>
  </si>
  <si>
    <t>2Years3Months4Days</t>
  </si>
  <si>
    <t>2Years2Months28Days</t>
  </si>
  <si>
    <t>2Years2Months14Days</t>
  </si>
  <si>
    <t>2Years1Months18Days</t>
  </si>
  <si>
    <t>2Years0Months23Days</t>
  </si>
  <si>
    <t>1Years11Months24Days</t>
  </si>
  <si>
    <t>1Years11Months4Days</t>
  </si>
  <si>
    <t>1Years11Months2Days</t>
  </si>
  <si>
    <t>1Years9Months29Days</t>
  </si>
  <si>
    <t>1Years9Months24Days</t>
  </si>
  <si>
    <t>1Years9Months23Days</t>
  </si>
  <si>
    <t>1Years9Months20Days</t>
  </si>
  <si>
    <t>1Years9Months7Days</t>
  </si>
  <si>
    <t>1Years9Months4Days</t>
  </si>
  <si>
    <t>1Years8Months28Days</t>
  </si>
  <si>
    <t>1Years7Months31Days</t>
  </si>
  <si>
    <t>1Years7Months15Days</t>
  </si>
  <si>
    <t>1Years4Months23Days</t>
  </si>
  <si>
    <t>1Years4Months18Days</t>
  </si>
  <si>
    <t>1Years4Months4Days</t>
  </si>
  <si>
    <t>1Years3Months23Days</t>
  </si>
  <si>
    <t>1Years3Months19Days</t>
  </si>
  <si>
    <t>1Years2Months10Days</t>
  </si>
  <si>
    <t>1Years2Months9Days</t>
  </si>
  <si>
    <t>1Years2Months8Days</t>
  </si>
  <si>
    <t>1Years1Months7Days</t>
  </si>
  <si>
    <t>1Years0Months21Days</t>
  </si>
  <si>
    <t>1Years0Months15Days</t>
  </si>
  <si>
    <t>1Years0Months6Days</t>
  </si>
  <si>
    <t>1Years0Months5Days</t>
  </si>
  <si>
    <t>0Years11Months25Days</t>
  </si>
  <si>
    <t>0Years11Months19Days</t>
  </si>
  <si>
    <t>0Years11Months10Days</t>
  </si>
  <si>
    <t>0Years10Months24Days</t>
  </si>
  <si>
    <t>0Years11Months8Days</t>
  </si>
  <si>
    <t>0Years10Months16Days</t>
  </si>
  <si>
    <t>0Years10Months7Days</t>
  </si>
  <si>
    <t>0Years10Months4Days</t>
  </si>
  <si>
    <t>0Years10Months3Days</t>
  </si>
  <si>
    <t>0Years9Months24Days</t>
  </si>
  <si>
    <t>0Years9Months20Days</t>
  </si>
  <si>
    <t>0Years9Months14Days</t>
  </si>
  <si>
    <t>0Years9Months4Days</t>
  </si>
  <si>
    <t>0Years8Months21Days</t>
  </si>
  <si>
    <t>0Years8Months20Days</t>
  </si>
  <si>
    <t>0Years8Months7Days</t>
  </si>
  <si>
    <t>0Years8Months3Days</t>
  </si>
  <si>
    <t>0Years8Months4Days</t>
  </si>
  <si>
    <t>0Years8Months2Days</t>
  </si>
  <si>
    <t>0Years7Months28Days</t>
  </si>
  <si>
    <t>0Years7Months25Days</t>
  </si>
  <si>
    <t>0Years7Months20Days</t>
  </si>
  <si>
    <t>0Years7Months6Days</t>
  </si>
  <si>
    <t>0Years5Months2Days</t>
  </si>
  <si>
    <t>0Years4Months25Days</t>
  </si>
  <si>
    <t>0Years4Months9Days</t>
  </si>
  <si>
    <t>0Years3Months17Days</t>
  </si>
  <si>
    <t>0Years3Months2Days</t>
  </si>
  <si>
    <t>0Years2Months28Days</t>
  </si>
  <si>
    <t>0Years2Months23Days</t>
  </si>
  <si>
    <t>0Years2Months19Days</t>
  </si>
  <si>
    <t>0Years2Months15Days</t>
  </si>
  <si>
    <t>0Years2Months14Days</t>
  </si>
  <si>
    <t>0Years2Months6Days</t>
  </si>
  <si>
    <t>0Years2Months5Days</t>
  </si>
  <si>
    <t>126Years9Months21Days</t>
  </si>
  <si>
    <t>PP Expiry Date</t>
  </si>
  <si>
    <t>Medical fee Expiry</t>
  </si>
  <si>
    <t>Work Permit Fee Expiry</t>
  </si>
  <si>
    <t>Insurance Provider</t>
  </si>
  <si>
    <t>Insurance Expiry Date</t>
  </si>
  <si>
    <t>Quota Slot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</si>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</sst>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\-yyyy;@"/>
    <numFmt numFmtId="166" formatCode="[$-409]d\-mmm\-yy;@"/>
    <numFmt numFmtId="167" formatCode="_(* #,##0_);_(* \(#,##0\);_(* &quot;-&quot;??_);_(@_)"/>
    <numFmt numFmtId="168" formatCode="[$-409]dd\-mmm\-yy;@"/>
  </numFmts>
  <fonts count="2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3D94FB"/>
      <name val="Poppins"/>
    </font>
    <font>
      <sz val="13"/>
      <color rgb="FF48465B"/>
      <name val="Poppins"/>
    </font>
    <font>
      <b/>
      <u/>
      <sz val="12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1E293B"/>
      <name val="Segoe UI"/>
      <family val="2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indexed="64"/>
      </top>
      <bottom/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double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 style="thin">
        <color indexed="64"/>
      </left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6" fillId="3" borderId="2" applyNumberFormat="0" applyAlignment="0" applyProtection="0"/>
    <xf numFmtId="0" fontId="7" fillId="4" borderId="0" applyNumberFormat="0" applyBorder="0" applyAlignment="0" applyProtection="0"/>
    <xf numFmtId="0" fontId="9" fillId="6" borderId="3" applyNumberFormat="0" applyAlignment="0" applyProtection="0"/>
    <xf numFmtId="0" fontId="10" fillId="0" borderId="0"/>
    <xf numFmtId="164" fontId="14" fillId="0" borderId="0" applyFont="0" applyFill="0" applyBorder="0" applyAlignment="0" applyProtection="0"/>
  </cellStyleXfs>
  <cellXfs count="371">
    <xf numFmtId="0" fontId="0" fillId="0" borderId="0" xfId="0"/>
    <xf numFmtId="165" fontId="2" fillId="0" borderId="5" xfId="0" applyNumberFormat="1" applyFont="1" applyBorder="1" applyAlignment="1">
      <alignment horizontal="center" vertical="center"/>
    </xf>
    <xf numFmtId="165" fontId="2" fillId="0" borderId="5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13" xfId="1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/>
    </xf>
    <xf numFmtId="3" fontId="12" fillId="0" borderId="4" xfId="2" applyNumberFormat="1" applyFont="1" applyFill="1" applyBorder="1" applyAlignment="1">
      <alignment horizontal="center" vertical="center" wrapText="1"/>
    </xf>
    <xf numFmtId="3" fontId="11" fillId="0" borderId="6" xfId="2" applyNumberFormat="1" applyFont="1" applyFill="1" applyBorder="1" applyAlignment="1">
      <alignment horizontal="center" vertical="center" wrapText="1"/>
    </xf>
    <xf numFmtId="165" fontId="2" fillId="0" borderId="13" xfId="4" applyNumberFormat="1" applyFont="1" applyFill="1" applyBorder="1" applyAlignment="1">
      <alignment horizontal="center" vertical="center"/>
    </xf>
    <xf numFmtId="165" fontId="2" fillId="0" borderId="5" xfId="3" applyNumberFormat="1" applyFont="1" applyFill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22" fontId="13" fillId="0" borderId="9" xfId="2" applyNumberFormat="1" applyFont="1" applyFill="1" applyBorder="1" applyAlignment="1">
      <alignment horizontal="center" vertical="center"/>
    </xf>
    <xf numFmtId="0" fontId="8" fillId="0" borderId="10" xfId="2" applyFont="1" applyFill="1" applyBorder="1" applyAlignment="1">
      <alignment vertical="center"/>
    </xf>
    <xf numFmtId="22" fontId="13" fillId="0" borderId="8" xfId="2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center" vertical="center" wrapText="1"/>
    </xf>
    <xf numFmtId="0" fontId="8" fillId="0" borderId="8" xfId="2" applyNumberFormat="1" applyFont="1" applyFill="1" applyBorder="1" applyAlignment="1">
      <alignment horizontal="center" vertical="center" wrapText="1"/>
    </xf>
    <xf numFmtId="3" fontId="12" fillId="0" borderId="17" xfId="2" applyNumberFormat="1" applyFont="1" applyFill="1" applyBorder="1" applyAlignment="1">
      <alignment horizontal="center" vertical="center" wrapText="1"/>
    </xf>
    <xf numFmtId="165" fontId="8" fillId="0" borderId="4" xfId="2" applyNumberFormat="1" applyFont="1" applyFill="1" applyBorder="1" applyAlignment="1">
      <alignment horizontal="center" vertical="center"/>
    </xf>
    <xf numFmtId="165" fontId="8" fillId="0" borderId="10" xfId="2" applyNumberFormat="1" applyFont="1" applyFill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166" fontId="3" fillId="9" borderId="1" xfId="0" applyNumberFormat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vertical="center"/>
    </xf>
    <xf numFmtId="14" fontId="3" fillId="9" borderId="1" xfId="1" applyNumberFormat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22" fontId="13" fillId="0" borderId="9" xfId="2" applyNumberFormat="1" applyFont="1" applyFill="1" applyBorder="1" applyAlignment="1">
      <alignment vertical="center"/>
    </xf>
    <xf numFmtId="0" fontId="8" fillId="0" borderId="20" xfId="2" applyFont="1" applyFill="1" applyBorder="1" applyAlignment="1">
      <alignment vertical="center"/>
    </xf>
    <xf numFmtId="0" fontId="8" fillId="0" borderId="17" xfId="2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165" fontId="3" fillId="9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0" fontId="4" fillId="8" borderId="14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6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165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164" fontId="2" fillId="0" borderId="0" xfId="6" applyFont="1" applyFill="1" applyAlignment="1">
      <alignment vertical="center"/>
    </xf>
    <xf numFmtId="16" fontId="2" fillId="0" borderId="0" xfId="0" applyNumberFormat="1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16" fontId="3" fillId="9" borderId="1" xfId="0" applyNumberFormat="1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16" fontId="2" fillId="9" borderId="1" xfId="0" applyNumberFormat="1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7" borderId="23" xfId="0" applyFont="1" applyFill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left" vertical="center" wrapText="1"/>
    </xf>
    <xf numFmtId="0" fontId="2" fillId="9" borderId="23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vertical="center" wrapText="1"/>
    </xf>
    <xf numFmtId="0" fontId="2" fillId="9" borderId="23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 vertical="center"/>
    </xf>
    <xf numFmtId="164" fontId="8" fillId="0" borderId="0" xfId="6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2" fillId="0" borderId="0" xfId="6" applyFont="1" applyFill="1" applyBorder="1" applyAlignment="1">
      <alignment vertical="center"/>
    </xf>
    <xf numFmtId="166" fontId="2" fillId="9" borderId="1" xfId="0" applyNumberFormat="1" applyFont="1" applyFill="1" applyBorder="1" applyAlignment="1">
      <alignment horizontal="left" vertical="center" wrapText="1"/>
    </xf>
    <xf numFmtId="164" fontId="8" fillId="0" borderId="0" xfId="0" applyNumberFormat="1" applyFont="1" applyAlignment="1">
      <alignment vertical="center"/>
    </xf>
    <xf numFmtId="164" fontId="8" fillId="0" borderId="27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25" xfId="0" applyFont="1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2" fillId="7" borderId="5" xfId="1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8" fillId="0" borderId="0" xfId="6" applyFont="1" applyFill="1" applyAlignment="1">
      <alignment vertical="center"/>
    </xf>
    <xf numFmtId="0" fontId="8" fillId="0" borderId="4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10" borderId="13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165" fontId="2" fillId="0" borderId="15" xfId="1" applyNumberFormat="1" applyFont="1" applyFill="1" applyBorder="1" applyAlignment="1">
      <alignment horizontal="center" vertical="center"/>
    </xf>
    <xf numFmtId="165" fontId="3" fillId="0" borderId="13" xfId="1" applyNumberFormat="1" applyFont="1" applyFill="1" applyBorder="1" applyAlignment="1">
      <alignment horizontal="center" vertical="center"/>
    </xf>
    <xf numFmtId="15" fontId="8" fillId="0" borderId="4" xfId="2" applyNumberFormat="1" applyFont="1" applyFill="1" applyBorder="1" applyAlignment="1">
      <alignment horizontal="center" vertical="center"/>
    </xf>
    <xf numFmtId="15" fontId="8" fillId="0" borderId="10" xfId="2" applyNumberFormat="1" applyFont="1" applyFill="1" applyBorder="1" applyAlignment="1">
      <alignment horizontal="center" vertical="center"/>
    </xf>
    <xf numFmtId="167" fontId="2" fillId="0" borderId="5" xfId="6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167" fontId="2" fillId="0" borderId="22" xfId="6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23" xfId="3" applyNumberFormat="1" applyFont="1" applyFill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165" fontId="3" fillId="0" borderId="2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3" fontId="2" fillId="0" borderId="5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3" fontId="2" fillId="0" borderId="2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165" fontId="2" fillId="0" borderId="39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vertical="center" wrapText="1"/>
    </xf>
    <xf numFmtId="165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vertical="center"/>
    </xf>
    <xf numFmtId="3" fontId="2" fillId="0" borderId="36" xfId="0" applyNumberFormat="1" applyFont="1" applyBorder="1" applyAlignment="1">
      <alignment vertical="center"/>
    </xf>
    <xf numFmtId="3" fontId="2" fillId="0" borderId="36" xfId="0" applyNumberFormat="1" applyFont="1" applyBorder="1" applyAlignment="1">
      <alignment horizontal="center" vertical="center"/>
    </xf>
    <xf numFmtId="165" fontId="3" fillId="0" borderId="36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165" fontId="2" fillId="5" borderId="18" xfId="0" applyNumberFormat="1" applyFont="1" applyFill="1" applyBorder="1" applyAlignment="1">
      <alignment horizontal="center" vertical="center"/>
    </xf>
    <xf numFmtId="3" fontId="2" fillId="5" borderId="34" xfId="0" applyNumberFormat="1" applyFont="1" applyFill="1" applyBorder="1" applyAlignment="1">
      <alignment horizontal="center" vertical="center"/>
    </xf>
    <xf numFmtId="165" fontId="2" fillId="5" borderId="30" xfId="0" applyNumberFormat="1" applyFont="1" applyFill="1" applyBorder="1" applyAlignment="1">
      <alignment horizontal="center" vertical="center"/>
    </xf>
    <xf numFmtId="165" fontId="2" fillId="5" borderId="38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5" fontId="2" fillId="5" borderId="31" xfId="0" applyNumberFormat="1" applyFont="1" applyFill="1" applyBorder="1" applyAlignment="1">
      <alignment horizontal="center" vertical="center"/>
    </xf>
    <xf numFmtId="3" fontId="2" fillId="5" borderId="33" xfId="0" applyNumberFormat="1" applyFont="1" applyFill="1" applyBorder="1" applyAlignment="1">
      <alignment horizontal="center" vertical="center"/>
    </xf>
    <xf numFmtId="165" fontId="3" fillId="5" borderId="18" xfId="0" applyNumberFormat="1" applyFont="1" applyFill="1" applyBorder="1" applyAlignment="1">
      <alignment horizontal="center" vertical="center"/>
    </xf>
    <xf numFmtId="3" fontId="3" fillId="5" borderId="34" xfId="0" applyNumberFormat="1" applyFont="1" applyFill="1" applyBorder="1" applyAlignment="1">
      <alignment horizontal="center" vertical="center"/>
    </xf>
    <xf numFmtId="3" fontId="2" fillId="5" borderId="40" xfId="0" applyNumberFormat="1" applyFont="1" applyFill="1" applyBorder="1" applyAlignment="1">
      <alignment horizontal="center" vertical="center"/>
    </xf>
    <xf numFmtId="165" fontId="2" fillId="5" borderId="38" xfId="0" applyNumberFormat="1" applyFont="1" applyFill="1" applyBorder="1" applyAlignment="1">
      <alignment vertical="center"/>
    </xf>
    <xf numFmtId="165" fontId="2" fillId="5" borderId="39" xfId="0" applyNumberFormat="1" applyFont="1" applyFill="1" applyBorder="1" applyAlignment="1">
      <alignment vertical="center"/>
    </xf>
    <xf numFmtId="165" fontId="2" fillId="5" borderId="39" xfId="0" applyNumberFormat="1" applyFont="1" applyFill="1" applyBorder="1" applyAlignment="1">
      <alignment horizontal="center" vertical="center"/>
    </xf>
    <xf numFmtId="165" fontId="2" fillId="5" borderId="4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7" borderId="14" xfId="0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left" vertical="center" wrapText="1"/>
    </xf>
    <xf numFmtId="0" fontId="8" fillId="0" borderId="10" xfId="2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7" borderId="1" xfId="0" applyNumberFormat="1" applyFont="1" applyFill="1" applyBorder="1" applyAlignment="1">
      <alignment vertical="center"/>
    </xf>
    <xf numFmtId="0" fontId="8" fillId="0" borderId="12" xfId="2" applyFont="1" applyFill="1" applyBorder="1" applyAlignment="1">
      <alignment horizontal="center" vertical="center"/>
    </xf>
    <xf numFmtId="164" fontId="2" fillId="0" borderId="5" xfId="6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12" fillId="11" borderId="2" xfId="6" applyFont="1" applyFill="1" applyBorder="1" applyAlignment="1">
      <alignment horizontal="center" vertical="center" wrapText="1"/>
    </xf>
    <xf numFmtId="164" fontId="2" fillId="0" borderId="0" xfId="6" applyFont="1" applyAlignment="1">
      <alignment vertical="center"/>
    </xf>
    <xf numFmtId="164" fontId="12" fillId="12" borderId="2" xfId="6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0" borderId="30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7" fontId="2" fillId="0" borderId="42" xfId="6" applyNumberFormat="1" applyFont="1" applyFill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165" fontId="2" fillId="0" borderId="4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6" applyFont="1" applyFill="1" applyAlignment="1">
      <alignment horizontal="center" vertical="center"/>
    </xf>
    <xf numFmtId="164" fontId="2" fillId="0" borderId="1" xfId="6" applyFont="1" applyFill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6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8" fillId="0" borderId="27" xfId="6" applyFont="1" applyFill="1" applyBorder="1" applyAlignment="1">
      <alignment vertical="center"/>
    </xf>
    <xf numFmtId="0" fontId="8" fillId="0" borderId="2" xfId="2" applyFont="1" applyFill="1" applyAlignment="1">
      <alignment horizontal="center" vertical="center"/>
    </xf>
    <xf numFmtId="3" fontId="12" fillId="0" borderId="2" xfId="2" applyNumberFormat="1" applyFont="1" applyFill="1" applyAlignment="1">
      <alignment horizontal="center" vertical="center" wrapText="1"/>
    </xf>
    <xf numFmtId="165" fontId="12" fillId="0" borderId="2" xfId="2" applyNumberFormat="1" applyFont="1" applyFill="1" applyAlignment="1">
      <alignment horizontal="center" vertical="center" wrapText="1"/>
    </xf>
    <xf numFmtId="3" fontId="12" fillId="11" borderId="2" xfId="2" applyNumberFormat="1" applyFont="1" applyFill="1" applyAlignment="1">
      <alignment horizontal="center" vertical="center" wrapText="1"/>
    </xf>
    <xf numFmtId="165" fontId="12" fillId="11" borderId="2" xfId="2" applyNumberFormat="1" applyFont="1" applyFill="1" applyAlignment="1">
      <alignment horizontal="center" vertical="center" wrapText="1"/>
    </xf>
    <xf numFmtId="165" fontId="12" fillId="12" borderId="2" xfId="2" applyNumberFormat="1" applyFont="1" applyFill="1" applyAlignment="1">
      <alignment horizontal="center" vertical="center" wrapText="1"/>
    </xf>
    <xf numFmtId="165" fontId="2" fillId="0" borderId="23" xfId="0" applyNumberFormat="1" applyFont="1" applyBorder="1" applyAlignment="1">
      <alignment vertical="center"/>
    </xf>
    <xf numFmtId="165" fontId="2" fillId="0" borderId="21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167" fontId="2" fillId="9" borderId="1" xfId="6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5" fontId="2" fillId="0" borderId="36" xfId="0" applyNumberFormat="1" applyFont="1" applyBorder="1" applyAlignment="1">
      <alignment horizontal="center" vertical="center"/>
    </xf>
    <xf numFmtId="167" fontId="2" fillId="0" borderId="36" xfId="6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65" fontId="2" fillId="0" borderId="36" xfId="1" applyNumberFormat="1" applyFont="1" applyFill="1" applyBorder="1" applyAlignment="1">
      <alignment horizontal="center" vertical="center"/>
    </xf>
    <xf numFmtId="164" fontId="2" fillId="0" borderId="36" xfId="6" applyFont="1" applyBorder="1" applyAlignment="1">
      <alignment vertical="center"/>
    </xf>
    <xf numFmtId="165" fontId="2" fillId="0" borderId="36" xfId="0" applyNumberFormat="1" applyFont="1" applyBorder="1" applyAlignment="1">
      <alignment vertical="center"/>
    </xf>
    <xf numFmtId="0" fontId="2" fillId="7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36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0" fontId="5" fillId="7" borderId="36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9" borderId="36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 wrapText="1"/>
    </xf>
    <xf numFmtId="165" fontId="2" fillId="9" borderId="36" xfId="0" applyNumberFormat="1" applyFont="1" applyFill="1" applyBorder="1" applyAlignment="1">
      <alignment horizontal="center" vertical="center"/>
    </xf>
    <xf numFmtId="167" fontId="2" fillId="9" borderId="5" xfId="6" applyNumberFormat="1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left" vertical="center" wrapText="1"/>
    </xf>
    <xf numFmtId="15" fontId="2" fillId="9" borderId="36" xfId="0" applyNumberFormat="1" applyFont="1" applyFill="1" applyBorder="1" applyAlignment="1">
      <alignment horizontal="center" vertical="center"/>
    </xf>
    <xf numFmtId="167" fontId="2" fillId="9" borderId="36" xfId="6" applyNumberFormat="1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vertical="center" wrapText="1"/>
    </xf>
    <xf numFmtId="0" fontId="2" fillId="9" borderId="36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vertical="center"/>
    </xf>
    <xf numFmtId="3" fontId="2" fillId="9" borderId="36" xfId="0" applyNumberFormat="1" applyFont="1" applyFill="1" applyBorder="1" applyAlignment="1">
      <alignment vertical="center"/>
    </xf>
    <xf numFmtId="3" fontId="2" fillId="9" borderId="1" xfId="0" applyNumberFormat="1" applyFont="1" applyFill="1" applyBorder="1" applyAlignment="1">
      <alignment horizontal="center" vertical="center"/>
    </xf>
    <xf numFmtId="165" fontId="2" fillId="9" borderId="13" xfId="1" applyNumberFormat="1" applyFont="1" applyFill="1" applyBorder="1" applyAlignment="1">
      <alignment horizontal="center" vertical="center"/>
    </xf>
    <xf numFmtId="3" fontId="2" fillId="9" borderId="14" xfId="0" applyNumberFormat="1" applyFont="1" applyFill="1" applyBorder="1" applyAlignment="1">
      <alignment horizontal="center" vertical="center"/>
    </xf>
    <xf numFmtId="3" fontId="2" fillId="9" borderId="16" xfId="0" applyNumberFormat="1" applyFont="1" applyFill="1" applyBorder="1" applyAlignment="1">
      <alignment horizontal="center" vertical="center"/>
    </xf>
    <xf numFmtId="1" fontId="2" fillId="9" borderId="13" xfId="0" applyNumberFormat="1" applyFont="1" applyFill="1" applyBorder="1" applyAlignment="1">
      <alignment horizontal="center" vertical="center" wrapText="1"/>
    </xf>
    <xf numFmtId="165" fontId="2" fillId="9" borderId="5" xfId="0" applyNumberFormat="1" applyFont="1" applyFill="1" applyBorder="1" applyAlignment="1">
      <alignment horizontal="center" vertical="center"/>
    </xf>
    <xf numFmtId="3" fontId="2" fillId="9" borderId="36" xfId="0" applyNumberFormat="1" applyFont="1" applyFill="1" applyBorder="1" applyAlignment="1">
      <alignment horizontal="center" vertical="center"/>
    </xf>
    <xf numFmtId="164" fontId="2" fillId="9" borderId="36" xfId="6" applyFont="1" applyFill="1" applyBorder="1" applyAlignment="1">
      <alignment vertical="center"/>
    </xf>
    <xf numFmtId="165" fontId="2" fillId="9" borderId="36" xfId="0" applyNumberFormat="1" applyFont="1" applyFill="1" applyBorder="1" applyAlignment="1">
      <alignment vertical="center"/>
    </xf>
    <xf numFmtId="167" fontId="2" fillId="9" borderId="26" xfId="6" applyNumberFormat="1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165" fontId="2" fillId="0" borderId="38" xfId="0" applyNumberFormat="1" applyFont="1" applyBorder="1" applyAlignment="1">
      <alignment horizontal="center" vertical="center"/>
    </xf>
    <xf numFmtId="167" fontId="2" fillId="0" borderId="29" xfId="6" applyNumberFormat="1" applyFont="1" applyFill="1" applyBorder="1" applyAlignment="1">
      <alignment horizontal="center" vertical="center"/>
    </xf>
    <xf numFmtId="165" fontId="2" fillId="5" borderId="41" xfId="0" applyNumberFormat="1" applyFont="1" applyFill="1" applyBorder="1" applyAlignment="1">
      <alignment horizontal="center" vertical="center"/>
    </xf>
    <xf numFmtId="165" fontId="2" fillId="0" borderId="47" xfId="0" applyNumberFormat="1" applyFont="1" applyBorder="1" applyAlignment="1">
      <alignment horizontal="center" vertical="center"/>
    </xf>
    <xf numFmtId="165" fontId="2" fillId="0" borderId="47" xfId="1" applyNumberFormat="1" applyFont="1" applyFill="1" applyBorder="1" applyAlignment="1">
      <alignment horizontal="center" vertical="center"/>
    </xf>
    <xf numFmtId="165" fontId="3" fillId="0" borderId="48" xfId="0" applyNumberFormat="1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165" fontId="2" fillId="0" borderId="35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15" fontId="21" fillId="0" borderId="10" xfId="2" applyNumberFormat="1" applyFont="1" applyFill="1" applyBorder="1" applyAlignment="1">
      <alignment horizontal="center" vertical="center" wrapText="1"/>
    </xf>
    <xf numFmtId="164" fontId="2" fillId="0" borderId="16" xfId="6" applyFont="1" applyBorder="1" applyAlignment="1">
      <alignment horizontal="center" vertical="center"/>
    </xf>
    <xf numFmtId="3" fontId="12" fillId="12" borderId="4" xfId="2" applyNumberFormat="1" applyFont="1" applyFill="1" applyBorder="1" applyAlignment="1">
      <alignment horizontal="center" vertical="center" wrapText="1"/>
    </xf>
    <xf numFmtId="165" fontId="12" fillId="12" borderId="4" xfId="2" applyNumberFormat="1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left" vertical="center" wrapText="1"/>
    </xf>
    <xf numFmtId="165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65" fontId="2" fillId="7" borderId="36" xfId="0" applyNumberFormat="1" applyFont="1" applyFill="1" applyBorder="1" applyAlignment="1">
      <alignment vertical="center"/>
    </xf>
    <xf numFmtId="3" fontId="2" fillId="0" borderId="49" xfId="0" applyNumberFormat="1" applyFont="1" applyBorder="1" applyAlignment="1">
      <alignment horizontal="center" vertical="center"/>
    </xf>
    <xf numFmtId="15" fontId="2" fillId="0" borderId="15" xfId="0" applyNumberFormat="1" applyFont="1" applyBorder="1" applyAlignment="1">
      <alignment horizontal="center" vertical="center"/>
    </xf>
    <xf numFmtId="167" fontId="2" fillId="0" borderId="1" xfId="6" applyNumberFormat="1" applyFont="1" applyFill="1" applyBorder="1" applyAlignment="1">
      <alignment horizontal="center" vertical="center"/>
    </xf>
    <xf numFmtId="165" fontId="8" fillId="0" borderId="7" xfId="2" applyNumberFormat="1" applyFont="1" applyFill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/>
    </xf>
    <xf numFmtId="15" fontId="2" fillId="9" borderId="5" xfId="0" applyNumberFormat="1" applyFont="1" applyFill="1" applyBorder="1" applyAlignment="1">
      <alignment horizontal="center" vertical="center"/>
    </xf>
    <xf numFmtId="164" fontId="2" fillId="0" borderId="0" xfId="6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" fillId="15" borderId="36" xfId="0" applyFont="1" applyFill="1" applyBorder="1" applyAlignment="1">
      <alignment horizontal="left" vertical="center" wrapText="1"/>
    </xf>
    <xf numFmtId="165" fontId="2" fillId="10" borderId="36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5" fontId="23" fillId="0" borderId="0" xfId="0" applyNumberFormat="1" applyFont="1" applyAlignment="1">
      <alignment horizontal="center" vertical="center"/>
    </xf>
    <xf numFmtId="0" fontId="2" fillId="0" borderId="41" xfId="0" applyFont="1" applyBorder="1" applyAlignment="1">
      <alignment vertical="center" wrapText="1"/>
    </xf>
    <xf numFmtId="0" fontId="2" fillId="9" borderId="0" xfId="0" applyFont="1" applyFill="1" applyAlignment="1">
      <alignment horizontal="center" vertical="center"/>
    </xf>
    <xf numFmtId="15" fontId="2" fillId="9" borderId="0" xfId="0" applyNumberFormat="1" applyFont="1" applyFill="1" applyAlignment="1">
      <alignment horizontal="center" vertical="center"/>
    </xf>
    <xf numFmtId="0" fontId="3" fillId="16" borderId="36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4" fillId="15" borderId="1" xfId="0" applyFont="1" applyFill="1" applyBorder="1" applyAlignment="1">
      <alignment horizontal="left" vertical="center"/>
    </xf>
    <xf numFmtId="0" fontId="8" fillId="0" borderId="6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/>
    </xf>
    <xf numFmtId="0" fontId="8" fillId="0" borderId="44" xfId="2" applyFont="1" applyFill="1" applyBorder="1" applyAlignment="1">
      <alignment horizontal="center" vertical="center"/>
    </xf>
    <xf numFmtId="164" fontId="8" fillId="0" borderId="6" xfId="6" applyFont="1" applyFill="1" applyBorder="1" applyAlignment="1">
      <alignment horizontal="center" vertical="center"/>
    </xf>
    <xf numFmtId="165" fontId="8" fillId="0" borderId="12" xfId="2" applyNumberFormat="1" applyFont="1" applyFill="1" applyBorder="1" applyAlignment="1">
      <alignment horizontal="center" vertical="center"/>
    </xf>
    <xf numFmtId="164" fontId="8" fillId="0" borderId="12" xfId="6" applyFont="1" applyFill="1" applyBorder="1" applyAlignment="1">
      <alignment horizontal="center" vertical="center"/>
    </xf>
    <xf numFmtId="165" fontId="8" fillId="0" borderId="7" xfId="2" applyNumberFormat="1" applyFont="1" applyFill="1" applyBorder="1" applyAlignment="1">
      <alignment horizontal="center" vertical="center"/>
    </xf>
    <xf numFmtId="0" fontId="8" fillId="0" borderId="1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8" fillId="0" borderId="10" xfId="2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29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1" fillId="0" borderId="10" xfId="2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42" xfId="0" applyNumberFormat="1" applyFont="1" applyBorder="1" applyAlignment="1">
      <alignment horizontal="center" vertical="center"/>
    </xf>
    <xf numFmtId="0" fontId="8" fillId="0" borderId="6" xfId="2" applyFont="1" applyFill="1" applyBorder="1" applyAlignment="1">
      <alignment vertical="center"/>
    </xf>
  </cellXfs>
  <cellStyles count="7">
    <cellStyle name="Bad" xfId="1" builtinId="27"/>
    <cellStyle name="Check Cell" xfId="2" builtinId="23"/>
    <cellStyle name="Comma" xfId="6" builtinId="3"/>
    <cellStyle name="Input" xfId="4" builtinId="20"/>
    <cellStyle name="Neutral" xfId="3" builtinId="28"/>
    <cellStyle name="Normal" xfId="0" builtinId="0"/>
    <cellStyle name="Normal 2" xfId="5" xr:uid="{00000000-0005-0000-0000-000006000000}"/>
  </cellStyles>
  <dxfs count="1687"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7C80"/>
      <color rgb="FF00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U159"/>
  <sheetViews>
    <sheetView tabSelected="1" zoomScale="85" zoomScaleNormal="85" workbookViewId="0">
      <selection activeCell="D8" sqref="D8"/>
    </sheetView>
  </sheetViews>
  <sheetFormatPr defaultRowHeight="32.25" customHeight="1" x14ac:dyDescent="0.25"/>
  <cols>
    <col min="1" max="1" width="31.5703125" style="8" customWidth="1"/>
    <col min="2" max="2" width="31.5703125" style="365" customWidth="1"/>
    <col min="3" max="3" width="31.5703125" style="190" customWidth="1"/>
    <col min="4" max="4" width="31.5703125" style="365" customWidth="1"/>
    <col min="5" max="5" width="31.5703125" style="32" customWidth="1"/>
    <col min="6" max="6" width="31.5703125" style="191" customWidth="1"/>
    <col min="7" max="7" width="31.5703125" style="8" customWidth="1"/>
    <col min="8" max="8" width="31.5703125" style="30" customWidth="1"/>
    <col min="9" max="9" width="31.5703125" style="23" customWidth="1"/>
    <col min="10" max="10" width="31.5703125" style="3" customWidth="1"/>
    <col min="11" max="11" width="31.5703125" style="8" customWidth="1"/>
    <col min="12" max="12" width="31.5703125" style="3" customWidth="1"/>
    <col min="13" max="13" width="31.5703125" style="30" customWidth="1"/>
    <col min="14" max="15" width="31.5703125" style="3" customWidth="1"/>
    <col min="16" max="16" width="31.5703125" style="8" customWidth="1"/>
    <col min="17" max="18" width="31.5703125" style="3" customWidth="1"/>
    <col min="19" max="19" width="31.5703125" style="217" customWidth="1"/>
    <col min="20" max="21" width="31.5703125" style="8" customWidth="1"/>
    <col min="22" max="16384" width="9.140625" style="3"/>
  </cols>
  <sheetData>
    <row r="1" spans="1:21" ht="38.25" customHeight="1" thickTop="1" thickBot="1" x14ac:dyDescent="0.3">
      <c r="A1" s="19" t="s">
        <v>149</v>
      </c>
      <c r="B1" s="360" t="s">
        <v>648</v>
      </c>
      <c r="C1" s="136" t="s">
        <v>649</v>
      </c>
      <c r="D1" s="366" t="s">
        <v>1514</v>
      </c>
      <c r="E1" s="209" t="s">
        <v>81</v>
      </c>
      <c r="F1" s="124" t="s">
        <v>508</v>
      </c>
      <c r="G1" s="19" t="s">
        <v>130</v>
      </c>
      <c r="H1" s="28" t="s">
        <v>196</v>
      </c>
      <c r="I1" s="26" t="s">
        <v>191</v>
      </c>
      <c r="J1" s="19" t="s">
        <v>79</v>
      </c>
      <c r="K1" s="251" t="s">
        <v>80</v>
      </c>
      <c r="L1" s="251" t="s">
        <v>1942</v>
      </c>
      <c r="M1" s="370" t="s">
        <v>217</v>
      </c>
      <c r="N1" s="370" t="s">
        <v>1944</v>
      </c>
      <c r="O1" s="13" t="s">
        <v>1943</v>
      </c>
      <c r="P1" s="27" t="s">
        <v>1945</v>
      </c>
      <c r="Q1" s="251" t="s">
        <v>1946</v>
      </c>
      <c r="R1" s="252" t="s">
        <v>1947</v>
      </c>
      <c r="S1" s="255" t="s">
        <v>716</v>
      </c>
      <c r="T1" s="19" t="s">
        <v>157</v>
      </c>
      <c r="U1" s="19" t="s">
        <v>135</v>
      </c>
    </row>
    <row r="2" spans="1:21" ht="21.75" customHeight="1" thickTop="1" x14ac:dyDescent="0.25">
      <c r="A2" s="5" t="s">
        <v>1371</v>
      </c>
      <c r="B2" s="361">
        <v>37431</v>
      </c>
      <c r="C2" s="137" t="s">
        <v>1826</v>
      </c>
      <c r="D2" s="361">
        <v>45732</v>
      </c>
      <c r="E2" s="143" t="s">
        <v>127</v>
      </c>
      <c r="F2" s="143" t="s">
        <v>509</v>
      </c>
      <c r="G2" s="5" t="s">
        <v>131</v>
      </c>
      <c r="H2" s="1">
        <v>26299</v>
      </c>
      <c r="I2" s="24">
        <v>7851218</v>
      </c>
      <c r="J2" s="280" t="s">
        <v>11</v>
      </c>
      <c r="K2" s="5" t="s">
        <v>1048</v>
      </c>
      <c r="L2" s="1">
        <v>48945</v>
      </c>
      <c r="M2" s="193">
        <v>46170</v>
      </c>
      <c r="N2" s="9">
        <v>46505</v>
      </c>
      <c r="O2" s="9">
        <v>46608</v>
      </c>
      <c r="P2" s="146" t="s">
        <v>853</v>
      </c>
      <c r="Q2" s="1">
        <v>46592</v>
      </c>
      <c r="R2" s="147" t="s">
        <v>777</v>
      </c>
      <c r="S2" s="1">
        <v>45197</v>
      </c>
      <c r="T2" s="4" t="s">
        <v>145</v>
      </c>
      <c r="U2" s="10" t="s">
        <v>82</v>
      </c>
    </row>
    <row r="3" spans="1:21" ht="21.75" customHeight="1" x14ac:dyDescent="0.25">
      <c r="A3" s="5" t="s">
        <v>1372</v>
      </c>
      <c r="B3" s="361">
        <v>37469</v>
      </c>
      <c r="C3" s="137" t="s">
        <v>1827</v>
      </c>
      <c r="D3" s="361">
        <v>45735</v>
      </c>
      <c r="E3" s="143" t="s">
        <v>91</v>
      </c>
      <c r="F3" s="143" t="s">
        <v>509</v>
      </c>
      <c r="G3" s="5" t="s">
        <v>131</v>
      </c>
      <c r="H3" s="1">
        <v>28491</v>
      </c>
      <c r="I3" s="24">
        <v>9929051</v>
      </c>
      <c r="J3" s="10" t="s">
        <v>13</v>
      </c>
      <c r="K3" s="4" t="s">
        <v>1482</v>
      </c>
      <c r="L3" s="1">
        <v>49545</v>
      </c>
      <c r="M3" s="193">
        <v>46381</v>
      </c>
      <c r="N3" s="9">
        <v>46349</v>
      </c>
      <c r="O3" s="9">
        <v>46506</v>
      </c>
      <c r="P3" s="146" t="s">
        <v>853</v>
      </c>
      <c r="Q3" s="1">
        <v>46531</v>
      </c>
      <c r="R3" s="147"/>
      <c r="S3" s="213">
        <v>45243</v>
      </c>
      <c r="T3" s="4" t="s">
        <v>145</v>
      </c>
      <c r="U3" s="10" t="s">
        <v>82</v>
      </c>
    </row>
    <row r="4" spans="1:21" ht="21.75" customHeight="1" x14ac:dyDescent="0.25">
      <c r="A4" s="5" t="s">
        <v>1374</v>
      </c>
      <c r="B4" s="361">
        <v>38630</v>
      </c>
      <c r="C4" s="137" t="s">
        <v>1828</v>
      </c>
      <c r="D4" s="361">
        <v>45733</v>
      </c>
      <c r="E4" s="143" t="s">
        <v>86</v>
      </c>
      <c r="F4" s="143" t="s">
        <v>509</v>
      </c>
      <c r="G4" s="5" t="s">
        <v>131</v>
      </c>
      <c r="H4" s="18">
        <v>29637</v>
      </c>
      <c r="I4" s="24" t="s">
        <v>195</v>
      </c>
      <c r="J4" s="10" t="s">
        <v>5</v>
      </c>
      <c r="K4" s="223" t="s">
        <v>988</v>
      </c>
      <c r="L4" s="2">
        <v>49002</v>
      </c>
      <c r="M4" s="193">
        <v>46213</v>
      </c>
      <c r="N4" s="16">
        <v>46350</v>
      </c>
      <c r="O4" s="9">
        <v>46448</v>
      </c>
      <c r="P4" s="148" t="s">
        <v>853</v>
      </c>
      <c r="Q4" s="1">
        <v>46525</v>
      </c>
      <c r="R4" s="147" t="s">
        <v>776</v>
      </c>
      <c r="S4" s="1">
        <v>45195</v>
      </c>
      <c r="T4" s="4" t="s">
        <v>689</v>
      </c>
      <c r="U4" s="10" t="s">
        <v>82</v>
      </c>
    </row>
    <row r="5" spans="1:21" ht="38.25" customHeight="1" x14ac:dyDescent="0.25">
      <c r="A5" s="5" t="s">
        <v>1375</v>
      </c>
      <c r="B5" s="361">
        <v>38713</v>
      </c>
      <c r="C5" s="137" t="s">
        <v>1829</v>
      </c>
      <c r="D5" s="361">
        <v>45734</v>
      </c>
      <c r="E5" s="143" t="s">
        <v>53</v>
      </c>
      <c r="F5" s="143" t="s">
        <v>509</v>
      </c>
      <c r="G5" s="5" t="s">
        <v>131</v>
      </c>
      <c r="H5" s="70">
        <v>30477</v>
      </c>
      <c r="I5" s="24">
        <v>9182512</v>
      </c>
      <c r="J5" s="10" t="s">
        <v>7</v>
      </c>
      <c r="K5" s="223" t="s">
        <v>840</v>
      </c>
      <c r="L5" s="1">
        <v>48922</v>
      </c>
      <c r="M5" s="193">
        <v>46695</v>
      </c>
      <c r="N5" s="16">
        <v>46321</v>
      </c>
      <c r="O5" s="134">
        <v>46609</v>
      </c>
      <c r="P5" s="146" t="s">
        <v>853</v>
      </c>
      <c r="Q5" s="1">
        <v>46391</v>
      </c>
      <c r="R5" s="147" t="s">
        <v>778</v>
      </c>
      <c r="S5" s="1">
        <v>45197</v>
      </c>
      <c r="T5" s="4" t="s">
        <v>145</v>
      </c>
      <c r="U5" s="10" t="s">
        <v>82</v>
      </c>
    </row>
    <row r="6" spans="1:21" ht="38.25" customHeight="1" x14ac:dyDescent="0.25">
      <c r="A6" s="5" t="s">
        <v>1376</v>
      </c>
      <c r="B6" s="361">
        <v>39855</v>
      </c>
      <c r="C6" s="137" t="s">
        <v>1830</v>
      </c>
      <c r="D6" s="361">
        <v>45755</v>
      </c>
      <c r="E6" s="143" t="s">
        <v>55</v>
      </c>
      <c r="F6" s="143" t="s">
        <v>509</v>
      </c>
      <c r="G6" s="5" t="s">
        <v>131</v>
      </c>
      <c r="H6" s="70">
        <v>28691</v>
      </c>
      <c r="I6" s="24">
        <v>7468504</v>
      </c>
      <c r="J6" s="208" t="s">
        <v>9</v>
      </c>
      <c r="K6" s="4" t="s">
        <v>1533</v>
      </c>
      <c r="L6" s="1">
        <v>49571</v>
      </c>
      <c r="M6" s="195">
        <v>46370</v>
      </c>
      <c r="N6" s="16">
        <v>46337</v>
      </c>
      <c r="O6" s="9">
        <v>46475</v>
      </c>
      <c r="P6" s="146" t="s">
        <v>853</v>
      </c>
      <c r="Q6" s="1">
        <v>46584</v>
      </c>
      <c r="R6" s="147" t="s">
        <v>779</v>
      </c>
      <c r="S6" s="1">
        <v>45197</v>
      </c>
      <c r="T6" s="4" t="s">
        <v>145</v>
      </c>
      <c r="U6" s="10" t="s">
        <v>82</v>
      </c>
    </row>
    <row r="7" spans="1:21" ht="26.25" customHeight="1" x14ac:dyDescent="0.25">
      <c r="A7" s="5" t="s">
        <v>1378</v>
      </c>
      <c r="B7" s="361">
        <v>40896</v>
      </c>
      <c r="C7" s="137" t="s">
        <v>1831</v>
      </c>
      <c r="D7" s="361">
        <v>45735</v>
      </c>
      <c r="E7" s="143" t="s">
        <v>52</v>
      </c>
      <c r="F7" s="143" t="s">
        <v>509</v>
      </c>
      <c r="G7" s="5" t="s">
        <v>131</v>
      </c>
      <c r="H7" s="70">
        <v>27760</v>
      </c>
      <c r="I7" s="24" t="s">
        <v>1948</v>
      </c>
      <c r="J7" s="10" t="s">
        <v>6</v>
      </c>
      <c r="K7" s="4" t="s">
        <v>633</v>
      </c>
      <c r="L7" s="1">
        <v>46859</v>
      </c>
      <c r="M7" s="198">
        <v>46359</v>
      </c>
      <c r="N7" s="16">
        <v>46374</v>
      </c>
      <c r="O7" s="9">
        <v>46365</v>
      </c>
      <c r="P7" s="146" t="s">
        <v>853</v>
      </c>
      <c r="Q7" s="1">
        <v>46601</v>
      </c>
      <c r="R7" s="148"/>
      <c r="S7" s="213">
        <v>45236</v>
      </c>
      <c r="T7" s="4" t="s">
        <v>145</v>
      </c>
      <c r="U7" s="10" t="s">
        <v>82</v>
      </c>
    </row>
    <row r="8" spans="1:21" ht="26.25" customHeight="1" x14ac:dyDescent="0.25">
      <c r="A8" s="5" t="s">
        <v>1379</v>
      </c>
      <c r="B8" s="361">
        <v>41196</v>
      </c>
      <c r="C8" s="137" t="s">
        <v>1832</v>
      </c>
      <c r="D8" s="361">
        <v>45755</v>
      </c>
      <c r="E8" s="143" t="s">
        <v>88</v>
      </c>
      <c r="F8" s="143" t="s">
        <v>509</v>
      </c>
      <c r="G8" s="5" t="s">
        <v>131</v>
      </c>
      <c r="H8" s="150">
        <v>32745</v>
      </c>
      <c r="I8" s="24" t="s">
        <v>193</v>
      </c>
      <c r="J8" s="10" t="s">
        <v>1</v>
      </c>
      <c r="K8" s="4" t="s">
        <v>1366</v>
      </c>
      <c r="L8" s="1">
        <v>49529</v>
      </c>
      <c r="M8" s="193">
        <v>46371</v>
      </c>
      <c r="N8" s="9">
        <v>46369</v>
      </c>
      <c r="O8" s="9">
        <v>46345</v>
      </c>
      <c r="P8" s="146" t="s">
        <v>853</v>
      </c>
      <c r="Q8" s="1">
        <v>46543</v>
      </c>
      <c r="R8" s="148"/>
      <c r="S8" s="213">
        <v>45237</v>
      </c>
      <c r="T8" s="4" t="s">
        <v>145</v>
      </c>
      <c r="U8" s="10" t="s">
        <v>82</v>
      </c>
    </row>
    <row r="9" spans="1:21" ht="26.25" customHeight="1" x14ac:dyDescent="0.25">
      <c r="A9" s="5" t="s">
        <v>1380</v>
      </c>
      <c r="B9" s="361">
        <v>41972</v>
      </c>
      <c r="C9" s="137" t="s">
        <v>1833</v>
      </c>
      <c r="D9" s="361">
        <v>45731</v>
      </c>
      <c r="E9" s="143" t="s">
        <v>87</v>
      </c>
      <c r="F9" s="143" t="s">
        <v>511</v>
      </c>
      <c r="G9" s="5" t="s">
        <v>133</v>
      </c>
      <c r="H9" s="70">
        <v>31191</v>
      </c>
      <c r="I9" s="24">
        <v>7667220</v>
      </c>
      <c r="J9" s="208" t="s">
        <v>14</v>
      </c>
      <c r="K9" s="5" t="s">
        <v>166</v>
      </c>
      <c r="L9" s="1">
        <v>47450</v>
      </c>
      <c r="M9" s="193">
        <v>46200</v>
      </c>
      <c r="N9" s="9">
        <v>46383</v>
      </c>
      <c r="O9" s="9">
        <v>46545</v>
      </c>
      <c r="P9" s="146" t="s">
        <v>853</v>
      </c>
      <c r="Q9" s="1">
        <v>46601</v>
      </c>
      <c r="R9" s="148"/>
      <c r="S9" s="1">
        <v>45188</v>
      </c>
      <c r="T9" s="4" t="s">
        <v>145</v>
      </c>
      <c r="U9" s="151" t="s">
        <v>82</v>
      </c>
    </row>
    <row r="10" spans="1:21" ht="26.25" customHeight="1" x14ac:dyDescent="0.25">
      <c r="A10" s="5" t="s">
        <v>1381</v>
      </c>
      <c r="B10" s="361">
        <v>42181</v>
      </c>
      <c r="C10" s="137" t="s">
        <v>1834</v>
      </c>
      <c r="D10" s="361">
        <v>45755</v>
      </c>
      <c r="E10" s="143" t="s">
        <v>118</v>
      </c>
      <c r="F10" s="152" t="s">
        <v>509</v>
      </c>
      <c r="G10" s="5" t="s">
        <v>131</v>
      </c>
      <c r="H10" s="70">
        <v>31355</v>
      </c>
      <c r="I10" s="24" t="s">
        <v>1948</v>
      </c>
      <c r="J10" s="10" t="s">
        <v>17</v>
      </c>
      <c r="K10" s="5" t="s">
        <v>499</v>
      </c>
      <c r="L10" s="1">
        <v>46474</v>
      </c>
      <c r="M10" s="195">
        <v>46212</v>
      </c>
      <c r="N10" s="9">
        <v>46381</v>
      </c>
      <c r="O10" s="9">
        <v>46461</v>
      </c>
      <c r="P10" s="146" t="s">
        <v>853</v>
      </c>
      <c r="Q10" s="1">
        <v>46591</v>
      </c>
      <c r="R10" s="148"/>
      <c r="S10" s="1">
        <v>45201</v>
      </c>
      <c r="T10" s="4" t="s">
        <v>145</v>
      </c>
      <c r="U10" s="10" t="s">
        <v>82</v>
      </c>
    </row>
    <row r="11" spans="1:21" ht="26.25" customHeight="1" x14ac:dyDescent="0.25">
      <c r="A11" s="5" t="s">
        <v>1382</v>
      </c>
      <c r="B11" s="361">
        <v>42262</v>
      </c>
      <c r="C11" s="137" t="s">
        <v>1835</v>
      </c>
      <c r="D11" s="361">
        <v>45767</v>
      </c>
      <c r="E11" s="143" t="s">
        <v>136</v>
      </c>
      <c r="F11" s="143" t="s">
        <v>510</v>
      </c>
      <c r="G11" s="5" t="s">
        <v>131</v>
      </c>
      <c r="H11" s="70">
        <v>35161</v>
      </c>
      <c r="I11" s="24" t="s">
        <v>1948</v>
      </c>
      <c r="J11" s="10" t="s">
        <v>18</v>
      </c>
      <c r="K11" s="5" t="s">
        <v>634</v>
      </c>
      <c r="L11" s="1">
        <v>46859</v>
      </c>
      <c r="M11" s="196">
        <v>46370</v>
      </c>
      <c r="N11" s="133">
        <v>46368</v>
      </c>
      <c r="O11" s="9">
        <v>46491</v>
      </c>
      <c r="P11" s="146" t="s">
        <v>853</v>
      </c>
      <c r="Q11" s="1">
        <v>46601</v>
      </c>
      <c r="R11" s="148"/>
      <c r="S11" s="1">
        <v>45216</v>
      </c>
      <c r="T11" s="4" t="s">
        <v>145</v>
      </c>
      <c r="U11" s="10" t="s">
        <v>82</v>
      </c>
    </row>
    <row r="12" spans="1:21" ht="38.25" customHeight="1" x14ac:dyDescent="0.25">
      <c r="A12" s="5" t="s">
        <v>1383</v>
      </c>
      <c r="B12" s="361">
        <v>42439</v>
      </c>
      <c r="C12" s="137" t="s">
        <v>1836</v>
      </c>
      <c r="D12" s="361">
        <v>45733</v>
      </c>
      <c r="E12" s="143" t="s">
        <v>92</v>
      </c>
      <c r="F12" s="143" t="s">
        <v>513</v>
      </c>
      <c r="G12" s="5" t="s">
        <v>131</v>
      </c>
      <c r="H12" s="70">
        <v>28846</v>
      </c>
      <c r="I12" s="4">
        <v>9563044</v>
      </c>
      <c r="J12" s="10" t="s">
        <v>24</v>
      </c>
      <c r="K12" s="4" t="s">
        <v>1084</v>
      </c>
      <c r="L12" s="1">
        <v>49194</v>
      </c>
      <c r="M12" s="193">
        <v>46214</v>
      </c>
      <c r="N12" s="9">
        <v>46335</v>
      </c>
      <c r="O12" s="9">
        <v>46366</v>
      </c>
      <c r="P12" s="146" t="s">
        <v>853</v>
      </c>
      <c r="Q12" s="1">
        <v>46531</v>
      </c>
      <c r="R12" s="148"/>
      <c r="S12" s="213">
        <v>45232</v>
      </c>
      <c r="T12" s="4" t="s">
        <v>145</v>
      </c>
      <c r="U12" s="151" t="s">
        <v>82</v>
      </c>
    </row>
    <row r="13" spans="1:21" ht="26.25" customHeight="1" x14ac:dyDescent="0.25">
      <c r="A13" s="5" t="s">
        <v>1384</v>
      </c>
      <c r="B13" s="361">
        <v>42446</v>
      </c>
      <c r="C13" s="137" t="s">
        <v>1837</v>
      </c>
      <c r="D13" s="361">
        <v>45734</v>
      </c>
      <c r="E13" s="143" t="s">
        <v>84</v>
      </c>
      <c r="F13" s="143" t="s">
        <v>509</v>
      </c>
      <c r="G13" s="5" t="s">
        <v>131</v>
      </c>
      <c r="H13" s="66">
        <v>34053</v>
      </c>
      <c r="I13" s="24">
        <v>9501245</v>
      </c>
      <c r="J13" s="10" t="s">
        <v>25</v>
      </c>
      <c r="K13" s="5" t="s">
        <v>934</v>
      </c>
      <c r="L13" s="1">
        <v>48960</v>
      </c>
      <c r="M13" s="193" t="s">
        <v>1049</v>
      </c>
      <c r="N13" s="9">
        <v>46377</v>
      </c>
      <c r="O13" s="9">
        <v>46405</v>
      </c>
      <c r="P13" s="146" t="s">
        <v>853</v>
      </c>
      <c r="Q13" s="1">
        <v>46543</v>
      </c>
      <c r="R13" s="148" t="s">
        <v>783</v>
      </c>
      <c r="S13" s="1">
        <v>45200</v>
      </c>
      <c r="T13" s="4" t="s">
        <v>145</v>
      </c>
      <c r="U13" s="10" t="s">
        <v>82</v>
      </c>
    </row>
    <row r="14" spans="1:21" ht="26.25" customHeight="1" x14ac:dyDescent="0.25">
      <c r="A14" s="5" t="s">
        <v>1385</v>
      </c>
      <c r="B14" s="361">
        <v>42522</v>
      </c>
      <c r="C14" s="137" t="s">
        <v>1838</v>
      </c>
      <c r="D14" s="361">
        <v>45735</v>
      </c>
      <c r="E14" s="143" t="s">
        <v>124</v>
      </c>
      <c r="F14" s="143" t="s">
        <v>509</v>
      </c>
      <c r="G14" s="5" t="s">
        <v>131</v>
      </c>
      <c r="H14" s="70">
        <v>33765</v>
      </c>
      <c r="I14" s="24">
        <v>7577843</v>
      </c>
      <c r="J14" s="10" t="s">
        <v>28</v>
      </c>
      <c r="K14" s="4" t="s">
        <v>1754</v>
      </c>
      <c r="L14" s="1">
        <v>49817</v>
      </c>
      <c r="M14" s="195">
        <v>46193</v>
      </c>
      <c r="N14" s="9">
        <v>46360</v>
      </c>
      <c r="O14" s="9">
        <v>46387</v>
      </c>
      <c r="P14" s="146" t="s">
        <v>853</v>
      </c>
      <c r="Q14" s="1">
        <v>46531</v>
      </c>
      <c r="R14" s="148" t="s">
        <v>784</v>
      </c>
      <c r="S14" s="1">
        <v>45225</v>
      </c>
      <c r="T14" s="4" t="s">
        <v>145</v>
      </c>
      <c r="U14" s="10" t="s">
        <v>82</v>
      </c>
    </row>
    <row r="15" spans="1:21" ht="26.25" customHeight="1" x14ac:dyDescent="0.25">
      <c r="A15" s="5" t="s">
        <v>1386</v>
      </c>
      <c r="B15" s="361">
        <v>42640</v>
      </c>
      <c r="C15" s="137" t="s">
        <v>1839</v>
      </c>
      <c r="D15" s="361">
        <v>45769</v>
      </c>
      <c r="E15" s="143" t="s">
        <v>93</v>
      </c>
      <c r="F15" s="143" t="s">
        <v>1326</v>
      </c>
      <c r="G15" s="5" t="s">
        <v>131</v>
      </c>
      <c r="H15" s="70">
        <v>34700</v>
      </c>
      <c r="I15" s="24" t="s">
        <v>1948</v>
      </c>
      <c r="J15" s="10" t="s">
        <v>26</v>
      </c>
      <c r="K15" s="4" t="s">
        <v>1486</v>
      </c>
      <c r="L15" s="1">
        <v>49545</v>
      </c>
      <c r="M15" s="196">
        <v>46353</v>
      </c>
      <c r="N15" s="133">
        <v>46443</v>
      </c>
      <c r="O15" s="9">
        <v>46580</v>
      </c>
      <c r="P15" s="146" t="s">
        <v>853</v>
      </c>
      <c r="Q15" s="1">
        <v>46552</v>
      </c>
      <c r="R15" s="148"/>
      <c r="S15" s="213">
        <v>45243</v>
      </c>
      <c r="T15" s="4" t="s">
        <v>902</v>
      </c>
      <c r="U15" s="10" t="s">
        <v>82</v>
      </c>
    </row>
    <row r="16" spans="1:21" ht="26.25" customHeight="1" x14ac:dyDescent="0.25">
      <c r="A16" s="5" t="s">
        <v>1387</v>
      </c>
      <c r="B16" s="361">
        <v>43423</v>
      </c>
      <c r="C16" s="137" t="s">
        <v>1840</v>
      </c>
      <c r="D16" s="361">
        <v>45735</v>
      </c>
      <c r="E16" s="143" t="s">
        <v>101</v>
      </c>
      <c r="F16" s="152" t="s">
        <v>509</v>
      </c>
      <c r="G16" s="5" t="s">
        <v>131</v>
      </c>
      <c r="H16" s="70">
        <v>33979</v>
      </c>
      <c r="I16" s="24" t="s">
        <v>1948</v>
      </c>
      <c r="J16" s="10" t="s">
        <v>35</v>
      </c>
      <c r="K16" s="5" t="s">
        <v>500</v>
      </c>
      <c r="L16" s="1">
        <v>46474</v>
      </c>
      <c r="M16" s="193">
        <v>46368</v>
      </c>
      <c r="N16" s="9">
        <v>46345</v>
      </c>
      <c r="O16" s="9">
        <v>46334</v>
      </c>
      <c r="P16" s="148" t="s">
        <v>853</v>
      </c>
      <c r="Q16" s="1">
        <v>46525</v>
      </c>
      <c r="R16" s="148"/>
      <c r="S16" s="213">
        <v>45242</v>
      </c>
      <c r="T16" s="4" t="s">
        <v>145</v>
      </c>
      <c r="U16" s="10" t="s">
        <v>82</v>
      </c>
    </row>
    <row r="17" spans="1:21" ht="38.25" customHeight="1" x14ac:dyDescent="0.25">
      <c r="A17" s="5" t="s">
        <v>1388</v>
      </c>
      <c r="B17" s="361">
        <v>43466</v>
      </c>
      <c r="C17" s="137" t="s">
        <v>1841</v>
      </c>
      <c r="D17" s="361">
        <v>45755</v>
      </c>
      <c r="E17" s="143" t="s">
        <v>106</v>
      </c>
      <c r="F17" s="153" t="s">
        <v>509</v>
      </c>
      <c r="G17" s="5" t="s">
        <v>131</v>
      </c>
      <c r="H17" s="70">
        <v>33361</v>
      </c>
      <c r="I17" s="24" t="s">
        <v>1948</v>
      </c>
      <c r="J17" s="11" t="s">
        <v>39</v>
      </c>
      <c r="K17" s="154" t="s">
        <v>1717</v>
      </c>
      <c r="L17" s="1">
        <v>49803</v>
      </c>
      <c r="M17" s="193">
        <v>46193</v>
      </c>
      <c r="N17" s="9">
        <v>46315</v>
      </c>
      <c r="O17" s="9">
        <v>46528</v>
      </c>
      <c r="P17" s="146" t="s">
        <v>853</v>
      </c>
      <c r="Q17" s="17">
        <v>46680</v>
      </c>
      <c r="R17" s="148" t="s">
        <v>785</v>
      </c>
      <c r="S17" s="1">
        <v>45201</v>
      </c>
      <c r="T17" s="4" t="s">
        <v>145</v>
      </c>
      <c r="U17" s="10" t="s">
        <v>82</v>
      </c>
    </row>
    <row r="18" spans="1:21" ht="38.25" customHeight="1" x14ac:dyDescent="0.25">
      <c r="A18" s="5" t="s">
        <v>1389</v>
      </c>
      <c r="B18" s="361">
        <v>43468</v>
      </c>
      <c r="C18" s="137" t="s">
        <v>1842</v>
      </c>
      <c r="D18" s="361">
        <v>45735</v>
      </c>
      <c r="E18" s="259" t="s">
        <v>107</v>
      </c>
      <c r="F18" s="153" t="s">
        <v>509</v>
      </c>
      <c r="G18" s="5" t="s">
        <v>131</v>
      </c>
      <c r="H18" s="70">
        <v>34294</v>
      </c>
      <c r="I18" s="24" t="s">
        <v>1948</v>
      </c>
      <c r="J18" s="11" t="s">
        <v>40</v>
      </c>
      <c r="K18" s="154" t="s">
        <v>1715</v>
      </c>
      <c r="L18" s="1">
        <v>49768</v>
      </c>
      <c r="M18" s="193">
        <v>46109</v>
      </c>
      <c r="N18" s="9">
        <v>46327</v>
      </c>
      <c r="O18" s="9">
        <v>46503</v>
      </c>
      <c r="P18" s="146" t="s">
        <v>853</v>
      </c>
      <c r="Q18" s="17">
        <v>46680</v>
      </c>
      <c r="R18" s="148" t="s">
        <v>786</v>
      </c>
      <c r="S18" s="1">
        <v>45207</v>
      </c>
      <c r="T18" s="4" t="s">
        <v>145</v>
      </c>
      <c r="U18" s="10" t="s">
        <v>82</v>
      </c>
    </row>
    <row r="19" spans="1:21" ht="26.25" customHeight="1" x14ac:dyDescent="0.25">
      <c r="A19" s="5" t="s">
        <v>1390</v>
      </c>
      <c r="B19" s="361">
        <v>43523</v>
      </c>
      <c r="C19" s="137" t="s">
        <v>1843</v>
      </c>
      <c r="D19" s="361">
        <v>45776</v>
      </c>
      <c r="E19" s="143" t="s">
        <v>139</v>
      </c>
      <c r="F19" s="152" t="s">
        <v>830</v>
      </c>
      <c r="G19" s="5" t="s">
        <v>131</v>
      </c>
      <c r="H19" s="70">
        <v>34439</v>
      </c>
      <c r="I19" s="24" t="s">
        <v>1948</v>
      </c>
      <c r="J19" s="11" t="s">
        <v>41</v>
      </c>
      <c r="K19" s="155" t="s">
        <v>635</v>
      </c>
      <c r="L19" s="1">
        <v>46862</v>
      </c>
      <c r="M19" s="193">
        <v>46154</v>
      </c>
      <c r="N19" s="9">
        <v>46352</v>
      </c>
      <c r="O19" s="9">
        <v>46507</v>
      </c>
      <c r="P19" s="146" t="s">
        <v>853</v>
      </c>
      <c r="Q19" s="1">
        <v>46391</v>
      </c>
      <c r="R19" s="148"/>
      <c r="S19" s="213">
        <v>45243</v>
      </c>
      <c r="T19" s="4" t="s">
        <v>144</v>
      </c>
      <c r="U19" s="10" t="s">
        <v>82</v>
      </c>
    </row>
    <row r="20" spans="1:21" ht="26.25" customHeight="1" x14ac:dyDescent="0.25">
      <c r="A20" s="5" t="s">
        <v>1391</v>
      </c>
      <c r="B20" s="361">
        <v>43525</v>
      </c>
      <c r="C20" s="137" t="s">
        <v>1844</v>
      </c>
      <c r="D20" s="361">
        <v>45763</v>
      </c>
      <c r="E20" s="143" t="s">
        <v>110</v>
      </c>
      <c r="F20" s="152" t="s">
        <v>513</v>
      </c>
      <c r="G20" s="5" t="s">
        <v>131</v>
      </c>
      <c r="H20" s="70">
        <v>34344</v>
      </c>
      <c r="I20" s="24" t="s">
        <v>1948</v>
      </c>
      <c r="J20" s="10" t="s">
        <v>43</v>
      </c>
      <c r="K20" s="5" t="s">
        <v>682</v>
      </c>
      <c r="L20" s="1">
        <v>46939</v>
      </c>
      <c r="M20" s="193">
        <v>46696</v>
      </c>
      <c r="N20" s="9">
        <v>46371</v>
      </c>
      <c r="O20" s="9">
        <v>46362</v>
      </c>
      <c r="P20" s="146" t="s">
        <v>853</v>
      </c>
      <c r="Q20" s="1">
        <v>46601</v>
      </c>
      <c r="R20" s="148" t="s">
        <v>787</v>
      </c>
      <c r="S20" s="1">
        <v>45216</v>
      </c>
      <c r="T20" s="4" t="s">
        <v>144</v>
      </c>
      <c r="U20" s="10" t="s">
        <v>82</v>
      </c>
    </row>
    <row r="21" spans="1:21" ht="38.25" customHeight="1" x14ac:dyDescent="0.25">
      <c r="A21" s="5" t="s">
        <v>1392</v>
      </c>
      <c r="B21" s="361">
        <v>43566</v>
      </c>
      <c r="C21" s="137" t="s">
        <v>1845</v>
      </c>
      <c r="D21" s="361">
        <v>45734</v>
      </c>
      <c r="E21" s="143" t="s">
        <v>113</v>
      </c>
      <c r="F21" s="152" t="s">
        <v>513</v>
      </c>
      <c r="G21" s="5" t="s">
        <v>131</v>
      </c>
      <c r="H21" s="70">
        <v>31815</v>
      </c>
      <c r="I21" s="24" t="s">
        <v>1948</v>
      </c>
      <c r="J21" s="10" t="s">
        <v>46</v>
      </c>
      <c r="K21" s="4" t="s">
        <v>1718</v>
      </c>
      <c r="L21" s="1">
        <v>49795</v>
      </c>
      <c r="M21" s="193">
        <v>46193</v>
      </c>
      <c r="N21" s="9">
        <v>46335</v>
      </c>
      <c r="O21" s="9">
        <v>46526</v>
      </c>
      <c r="P21" s="146" t="s">
        <v>853</v>
      </c>
      <c r="Q21" s="1">
        <v>46531</v>
      </c>
      <c r="R21" s="148"/>
      <c r="S21" s="1">
        <v>45236</v>
      </c>
      <c r="T21" s="4" t="s">
        <v>145</v>
      </c>
      <c r="U21" s="10" t="s">
        <v>82</v>
      </c>
    </row>
    <row r="22" spans="1:21" ht="26.25" customHeight="1" x14ac:dyDescent="0.25">
      <c r="A22" s="5" t="s">
        <v>1948</v>
      </c>
      <c r="B22" s="361">
        <v>43682</v>
      </c>
      <c r="C22" s="137" t="s">
        <v>1846</v>
      </c>
      <c r="D22" s="361">
        <v>45713</v>
      </c>
      <c r="E22" s="126" t="s">
        <v>128</v>
      </c>
      <c r="F22" s="126" t="s">
        <v>516</v>
      </c>
      <c r="G22" s="7" t="s">
        <v>132</v>
      </c>
      <c r="H22" s="70">
        <v>25279</v>
      </c>
      <c r="I22" s="25" t="s">
        <v>1173</v>
      </c>
      <c r="J22" s="12" t="s">
        <v>129</v>
      </c>
      <c r="K22" s="6">
        <v>9916401</v>
      </c>
      <c r="L22" s="2">
        <v>46877</v>
      </c>
      <c r="M22" s="193">
        <v>46362</v>
      </c>
      <c r="N22" s="9">
        <v>46360</v>
      </c>
      <c r="O22" s="9">
        <v>46482</v>
      </c>
      <c r="P22" s="146" t="s">
        <v>853</v>
      </c>
      <c r="Q22" s="1">
        <v>46531</v>
      </c>
      <c r="R22" s="148" t="s">
        <v>789</v>
      </c>
      <c r="S22" s="1">
        <v>45225</v>
      </c>
      <c r="T22" s="6" t="s">
        <v>903</v>
      </c>
      <c r="U22" s="12" t="s">
        <v>82</v>
      </c>
    </row>
    <row r="23" spans="1:21" ht="26.25" customHeight="1" x14ac:dyDescent="0.25">
      <c r="A23" s="5" t="s">
        <v>1393</v>
      </c>
      <c r="B23" s="361">
        <v>44045</v>
      </c>
      <c r="C23" s="137" t="s">
        <v>1847</v>
      </c>
      <c r="D23" s="361">
        <v>45731</v>
      </c>
      <c r="E23" s="143" t="s">
        <v>140</v>
      </c>
      <c r="F23" s="152" t="s">
        <v>515</v>
      </c>
      <c r="G23" s="5" t="s">
        <v>132</v>
      </c>
      <c r="H23" s="66">
        <v>33962</v>
      </c>
      <c r="I23" s="24" t="s">
        <v>1948</v>
      </c>
      <c r="J23" s="10" t="s">
        <v>42</v>
      </c>
      <c r="K23" s="5" t="s">
        <v>526</v>
      </c>
      <c r="L23" s="1">
        <v>48372</v>
      </c>
      <c r="M23" s="193">
        <v>46160</v>
      </c>
      <c r="N23" s="9">
        <v>46359</v>
      </c>
      <c r="O23" s="9">
        <v>46359</v>
      </c>
      <c r="P23" s="148" t="s">
        <v>853</v>
      </c>
      <c r="Q23" s="1">
        <v>46525</v>
      </c>
      <c r="R23" s="148" t="s">
        <v>790</v>
      </c>
      <c r="S23" s="1">
        <v>45225</v>
      </c>
      <c r="T23" s="4" t="s">
        <v>145</v>
      </c>
      <c r="U23" s="10" t="s">
        <v>82</v>
      </c>
    </row>
    <row r="24" spans="1:21" ht="26.25" customHeight="1" x14ac:dyDescent="0.25">
      <c r="A24" s="61" t="s">
        <v>1394</v>
      </c>
      <c r="B24" s="361">
        <v>44457</v>
      </c>
      <c r="C24" s="137" t="s">
        <v>1848</v>
      </c>
      <c r="D24" s="361">
        <v>45712</v>
      </c>
      <c r="E24" s="261" t="s">
        <v>255</v>
      </c>
      <c r="F24" s="163" t="s">
        <v>516</v>
      </c>
      <c r="G24" s="61" t="s">
        <v>132</v>
      </c>
      <c r="H24" s="168">
        <v>27330</v>
      </c>
      <c r="I24" s="63" t="s">
        <v>1948</v>
      </c>
      <c r="J24" s="61" t="s">
        <v>256</v>
      </c>
      <c r="K24" s="244" t="s">
        <v>257</v>
      </c>
      <c r="L24" s="1">
        <v>47947</v>
      </c>
      <c r="M24" s="311">
        <v>46649</v>
      </c>
      <c r="N24" s="168">
        <v>46343</v>
      </c>
      <c r="O24" s="9">
        <v>46336</v>
      </c>
      <c r="P24" s="68" t="s">
        <v>853</v>
      </c>
      <c r="Q24" s="1">
        <v>46617</v>
      </c>
      <c r="R24" s="169" t="s">
        <v>792</v>
      </c>
      <c r="S24" s="1">
        <v>45216</v>
      </c>
      <c r="T24" s="61" t="s">
        <v>690</v>
      </c>
      <c r="U24" s="10" t="s">
        <v>82</v>
      </c>
    </row>
    <row r="25" spans="1:21" ht="26.25" customHeight="1" x14ac:dyDescent="0.25">
      <c r="A25" s="64" t="s">
        <v>1395</v>
      </c>
      <c r="B25" s="369">
        <v>44485</v>
      </c>
      <c r="C25" s="225" t="s">
        <v>1849</v>
      </c>
      <c r="D25" s="361">
        <v>45763</v>
      </c>
      <c r="E25" s="82" t="s">
        <v>174</v>
      </c>
      <c r="F25" s="82" t="s">
        <v>509</v>
      </c>
      <c r="G25" s="64" t="s">
        <v>131</v>
      </c>
      <c r="H25" s="66">
        <v>35247</v>
      </c>
      <c r="I25" s="67" t="s">
        <v>1948</v>
      </c>
      <c r="J25" s="64" t="s">
        <v>220</v>
      </c>
      <c r="K25" s="64">
        <v>9526314</v>
      </c>
      <c r="L25" s="66">
        <v>49768</v>
      </c>
      <c r="M25" s="181" t="s">
        <v>1049</v>
      </c>
      <c r="N25" s="66">
        <v>46363</v>
      </c>
      <c r="O25" s="318">
        <v>46504</v>
      </c>
      <c r="P25" s="319" t="s">
        <v>853</v>
      </c>
      <c r="Q25" s="1">
        <v>46531</v>
      </c>
      <c r="R25" s="226"/>
      <c r="S25" s="227">
        <v>45232</v>
      </c>
      <c r="T25" s="64" t="s">
        <v>145</v>
      </c>
      <c r="U25" s="10" t="s">
        <v>82</v>
      </c>
    </row>
    <row r="26" spans="1:21" ht="38.25" customHeight="1" x14ac:dyDescent="0.25">
      <c r="A26" s="179" t="s">
        <v>1396</v>
      </c>
      <c r="B26" s="362">
        <v>44515</v>
      </c>
      <c r="C26" s="312" t="s">
        <v>1850</v>
      </c>
      <c r="D26" s="361">
        <v>45754</v>
      </c>
      <c r="E26" s="262" t="s">
        <v>293</v>
      </c>
      <c r="F26" s="180" t="s">
        <v>509</v>
      </c>
      <c r="G26" s="179" t="s">
        <v>133</v>
      </c>
      <c r="H26" s="181">
        <v>34609</v>
      </c>
      <c r="I26" s="182" t="s">
        <v>1948</v>
      </c>
      <c r="J26" s="179" t="s">
        <v>294</v>
      </c>
      <c r="K26" s="179" t="s">
        <v>295</v>
      </c>
      <c r="L26" s="181">
        <v>48063</v>
      </c>
      <c r="M26" s="313">
        <v>45976</v>
      </c>
      <c r="N26" s="314">
        <v>46340</v>
      </c>
      <c r="O26" s="315">
        <v>46462</v>
      </c>
      <c r="P26" s="179" t="s">
        <v>853</v>
      </c>
      <c r="Q26" s="316">
        <v>46680</v>
      </c>
      <c r="R26" s="221" t="s">
        <v>795</v>
      </c>
      <c r="S26" s="317">
        <v>45216</v>
      </c>
      <c r="T26" s="179" t="s">
        <v>689</v>
      </c>
      <c r="U26" s="10" t="s">
        <v>82</v>
      </c>
    </row>
    <row r="27" spans="1:21" ht="26.25" customHeight="1" x14ac:dyDescent="0.25">
      <c r="A27" s="64" t="s">
        <v>1398</v>
      </c>
      <c r="B27" s="361">
        <v>44641</v>
      </c>
      <c r="C27" s="137" t="s">
        <v>1851</v>
      </c>
      <c r="D27" s="361">
        <v>45764</v>
      </c>
      <c r="E27" s="82" t="s">
        <v>372</v>
      </c>
      <c r="F27" s="166" t="s">
        <v>518</v>
      </c>
      <c r="G27" s="64" t="s">
        <v>133</v>
      </c>
      <c r="H27" s="66">
        <v>32874</v>
      </c>
      <c r="I27" s="67" t="s">
        <v>1948</v>
      </c>
      <c r="J27" s="64" t="s">
        <v>373</v>
      </c>
      <c r="K27" s="64" t="s">
        <v>374</v>
      </c>
      <c r="L27" s="66">
        <v>47606</v>
      </c>
      <c r="M27" s="196">
        <v>46101</v>
      </c>
      <c r="N27" s="70">
        <v>46375</v>
      </c>
      <c r="O27" s="9">
        <v>46491</v>
      </c>
      <c r="P27" s="64" t="s">
        <v>853</v>
      </c>
      <c r="Q27" s="157">
        <v>46433</v>
      </c>
      <c r="R27" s="222" t="s">
        <v>796</v>
      </c>
      <c r="S27" s="1">
        <v>45216</v>
      </c>
      <c r="T27" s="64" t="s">
        <v>689</v>
      </c>
      <c r="U27" s="10" t="s">
        <v>82</v>
      </c>
    </row>
    <row r="28" spans="1:21" ht="26.25" customHeight="1" x14ac:dyDescent="0.25">
      <c r="A28" s="64" t="s">
        <v>1399</v>
      </c>
      <c r="B28" s="361">
        <v>44650</v>
      </c>
      <c r="C28" s="137" t="s">
        <v>1852</v>
      </c>
      <c r="D28" s="361">
        <v>45731</v>
      </c>
      <c r="E28" s="82" t="s">
        <v>382</v>
      </c>
      <c r="F28" s="166" t="s">
        <v>519</v>
      </c>
      <c r="G28" s="64" t="s">
        <v>133</v>
      </c>
      <c r="H28" s="66">
        <v>35036</v>
      </c>
      <c r="I28" s="67" t="s">
        <v>1948</v>
      </c>
      <c r="J28" s="64" t="s">
        <v>383</v>
      </c>
      <c r="K28" s="64" t="s">
        <v>1294</v>
      </c>
      <c r="L28" s="66">
        <v>49441</v>
      </c>
      <c r="M28" s="196">
        <v>46476</v>
      </c>
      <c r="N28" s="66">
        <v>46365</v>
      </c>
      <c r="O28" s="9">
        <v>46365</v>
      </c>
      <c r="P28" s="64" t="s">
        <v>853</v>
      </c>
      <c r="Q28" s="174">
        <v>46413</v>
      </c>
      <c r="R28" s="221" t="s">
        <v>797</v>
      </c>
      <c r="S28" s="1">
        <v>45201</v>
      </c>
      <c r="T28" s="64" t="s">
        <v>691</v>
      </c>
      <c r="U28" s="10" t="s">
        <v>82</v>
      </c>
    </row>
    <row r="29" spans="1:21" ht="26.25" customHeight="1" x14ac:dyDescent="0.25">
      <c r="A29" s="179" t="s">
        <v>1400</v>
      </c>
      <c r="B29" s="362">
        <v>45283</v>
      </c>
      <c r="C29" s="137" t="s">
        <v>1853</v>
      </c>
      <c r="D29" s="361">
        <v>45735</v>
      </c>
      <c r="E29" s="262" t="s">
        <v>533</v>
      </c>
      <c r="F29" s="180" t="s">
        <v>520</v>
      </c>
      <c r="G29" s="179" t="s">
        <v>133</v>
      </c>
      <c r="H29" s="181">
        <v>31633</v>
      </c>
      <c r="I29" s="182" t="s">
        <v>1948</v>
      </c>
      <c r="J29" s="179" t="s">
        <v>534</v>
      </c>
      <c r="K29" s="179" t="s">
        <v>535</v>
      </c>
      <c r="L29" s="181">
        <v>46481</v>
      </c>
      <c r="M29" s="206">
        <v>46280</v>
      </c>
      <c r="N29" s="181">
        <v>46369</v>
      </c>
      <c r="O29" s="9">
        <v>46365</v>
      </c>
      <c r="P29" s="179" t="s">
        <v>853</v>
      </c>
      <c r="Q29" s="186">
        <v>46601</v>
      </c>
      <c r="R29" s="221" t="s">
        <v>800</v>
      </c>
      <c r="S29" s="1">
        <v>45195</v>
      </c>
      <c r="T29" s="179" t="s">
        <v>689</v>
      </c>
      <c r="U29" s="187" t="s">
        <v>82</v>
      </c>
    </row>
    <row r="30" spans="1:21" ht="26.25" customHeight="1" x14ac:dyDescent="0.25">
      <c r="A30" s="64" t="s">
        <v>1401</v>
      </c>
      <c r="B30" s="361">
        <v>44862</v>
      </c>
      <c r="C30" s="137" t="s">
        <v>1854</v>
      </c>
      <c r="D30" s="361">
        <v>45763</v>
      </c>
      <c r="E30" s="82" t="s">
        <v>560</v>
      </c>
      <c r="F30" s="166" t="s">
        <v>561</v>
      </c>
      <c r="G30" s="64" t="s">
        <v>132</v>
      </c>
      <c r="H30" s="66">
        <v>29609</v>
      </c>
      <c r="I30" s="67" t="s">
        <v>1948</v>
      </c>
      <c r="J30" s="64" t="s">
        <v>562</v>
      </c>
      <c r="K30" s="64" t="s">
        <v>1285</v>
      </c>
      <c r="L30" s="66">
        <v>49345</v>
      </c>
      <c r="M30" s="196">
        <v>46459</v>
      </c>
      <c r="N30" s="66">
        <v>46382</v>
      </c>
      <c r="O30" s="9">
        <v>46518</v>
      </c>
      <c r="P30" s="64" t="s">
        <v>853</v>
      </c>
      <c r="Q30" s="1">
        <v>46672</v>
      </c>
      <c r="R30" s="167"/>
      <c r="S30" s="1"/>
      <c r="T30" s="5" t="s">
        <v>339</v>
      </c>
      <c r="U30" s="10" t="s">
        <v>82</v>
      </c>
    </row>
    <row r="31" spans="1:21" ht="38.25" customHeight="1" x14ac:dyDescent="0.25">
      <c r="A31" s="68" t="s">
        <v>1402</v>
      </c>
      <c r="B31" s="361">
        <v>44887</v>
      </c>
      <c r="C31" s="137" t="s">
        <v>1855</v>
      </c>
      <c r="D31" s="361" t="s">
        <v>1513</v>
      </c>
      <c r="E31" s="170" t="s">
        <v>574</v>
      </c>
      <c r="F31" s="175" t="s">
        <v>565</v>
      </c>
      <c r="G31" s="68" t="s">
        <v>132</v>
      </c>
      <c r="H31" s="70">
        <v>27453</v>
      </c>
      <c r="I31" s="71" t="s">
        <v>1948</v>
      </c>
      <c r="J31" s="68" t="s">
        <v>566</v>
      </c>
      <c r="K31" s="68" t="s">
        <v>567</v>
      </c>
      <c r="L31" s="70">
        <v>48160</v>
      </c>
      <c r="M31" s="205">
        <v>46349</v>
      </c>
      <c r="N31" s="9" t="s">
        <v>1948</v>
      </c>
      <c r="O31" s="9">
        <v>46448</v>
      </c>
      <c r="P31" s="68" t="s">
        <v>853</v>
      </c>
      <c r="Q31" s="1">
        <v>46680</v>
      </c>
      <c r="R31" s="169"/>
      <c r="S31" s="1">
        <v>45242</v>
      </c>
      <c r="T31" s="61" t="s">
        <v>339</v>
      </c>
      <c r="U31" s="10" t="s">
        <v>82</v>
      </c>
    </row>
    <row r="32" spans="1:21" ht="38.25" customHeight="1" x14ac:dyDescent="0.25">
      <c r="A32" s="68" t="s">
        <v>1403</v>
      </c>
      <c r="B32" s="361">
        <v>44920</v>
      </c>
      <c r="C32" s="137" t="s">
        <v>1856</v>
      </c>
      <c r="D32" s="361">
        <v>45761</v>
      </c>
      <c r="E32" s="82" t="s">
        <v>578</v>
      </c>
      <c r="F32" s="175" t="s">
        <v>520</v>
      </c>
      <c r="G32" s="68" t="s">
        <v>133</v>
      </c>
      <c r="H32" s="70">
        <v>31778</v>
      </c>
      <c r="I32" s="67" t="s">
        <v>1948</v>
      </c>
      <c r="J32" s="64" t="s">
        <v>579</v>
      </c>
      <c r="K32" s="64" t="s">
        <v>1738</v>
      </c>
      <c r="L32" s="66">
        <v>49819</v>
      </c>
      <c r="M32" s="203">
        <v>46147</v>
      </c>
      <c r="N32" s="9">
        <v>46334</v>
      </c>
      <c r="O32" s="9">
        <v>46559</v>
      </c>
      <c r="P32" s="146" t="s">
        <v>853</v>
      </c>
      <c r="Q32" s="1">
        <v>46391</v>
      </c>
      <c r="R32" s="221"/>
      <c r="S32" s="1">
        <v>45232</v>
      </c>
      <c r="T32" s="68" t="s">
        <v>689</v>
      </c>
      <c r="U32" s="10" t="s">
        <v>82</v>
      </c>
    </row>
    <row r="33" spans="1:21" ht="38.25" customHeight="1" x14ac:dyDescent="0.25">
      <c r="A33" s="64" t="s">
        <v>1404</v>
      </c>
      <c r="B33" s="361">
        <v>44987</v>
      </c>
      <c r="C33" s="137" t="s">
        <v>1857</v>
      </c>
      <c r="D33" s="361">
        <v>45754</v>
      </c>
      <c r="E33" s="82" t="s">
        <v>593</v>
      </c>
      <c r="F33" s="166" t="s">
        <v>561</v>
      </c>
      <c r="G33" s="64" t="s">
        <v>133</v>
      </c>
      <c r="H33" s="66">
        <v>37419</v>
      </c>
      <c r="I33" s="65" t="s">
        <v>1948</v>
      </c>
      <c r="J33" s="64" t="s">
        <v>594</v>
      </c>
      <c r="K33" s="64" t="s">
        <v>595</v>
      </c>
      <c r="L33" s="66">
        <v>48378</v>
      </c>
      <c r="M33" s="203">
        <v>46448</v>
      </c>
      <c r="N33" s="66">
        <v>46296</v>
      </c>
      <c r="O33" s="9">
        <v>46427</v>
      </c>
      <c r="P33" s="64" t="s">
        <v>853</v>
      </c>
      <c r="Q33" s="1">
        <v>46617</v>
      </c>
      <c r="R33" s="221"/>
      <c r="S33" s="1"/>
      <c r="T33" s="64" t="s">
        <v>145</v>
      </c>
      <c r="U33" s="10" t="s">
        <v>82</v>
      </c>
    </row>
    <row r="34" spans="1:21" ht="38.25" customHeight="1" x14ac:dyDescent="0.25">
      <c r="A34" s="64" t="s">
        <v>1405</v>
      </c>
      <c r="B34" s="361">
        <v>44990</v>
      </c>
      <c r="C34" s="137" t="s">
        <v>1858</v>
      </c>
      <c r="D34" s="361">
        <v>45764</v>
      </c>
      <c r="E34" s="82" t="s">
        <v>596</v>
      </c>
      <c r="F34" s="166" t="s">
        <v>561</v>
      </c>
      <c r="G34" s="64" t="s">
        <v>133</v>
      </c>
      <c r="H34" s="66">
        <v>33640</v>
      </c>
      <c r="I34" s="67" t="s">
        <v>1948</v>
      </c>
      <c r="J34" s="64" t="s">
        <v>597</v>
      </c>
      <c r="K34" s="64" t="s">
        <v>598</v>
      </c>
      <c r="L34" s="66">
        <v>48401</v>
      </c>
      <c r="M34" s="204">
        <v>46451</v>
      </c>
      <c r="N34" s="66">
        <v>46330</v>
      </c>
      <c r="O34" s="9">
        <v>46478</v>
      </c>
      <c r="P34" s="64" t="s">
        <v>853</v>
      </c>
      <c r="Q34" s="1">
        <v>46617</v>
      </c>
      <c r="R34" s="221"/>
      <c r="S34" s="1"/>
      <c r="T34" s="64" t="s">
        <v>339</v>
      </c>
      <c r="U34" s="10" t="s">
        <v>82</v>
      </c>
    </row>
    <row r="35" spans="1:21" ht="26.25" customHeight="1" x14ac:dyDescent="0.25">
      <c r="A35" s="64" t="s">
        <v>1411</v>
      </c>
      <c r="B35" s="363">
        <v>45148</v>
      </c>
      <c r="C35" s="137" t="s">
        <v>1859</v>
      </c>
      <c r="D35" s="361">
        <v>45754</v>
      </c>
      <c r="E35" s="82" t="s">
        <v>685</v>
      </c>
      <c r="F35" s="166" t="s">
        <v>686</v>
      </c>
      <c r="G35" s="64" t="s">
        <v>133</v>
      </c>
      <c r="H35" s="66">
        <v>36653</v>
      </c>
      <c r="I35" s="67" t="s">
        <v>1948</v>
      </c>
      <c r="J35" s="64" t="s">
        <v>688</v>
      </c>
      <c r="K35" s="64" t="s">
        <v>687</v>
      </c>
      <c r="L35" s="66">
        <v>48680</v>
      </c>
      <c r="M35" s="311">
        <v>46608</v>
      </c>
      <c r="N35" s="66">
        <v>46454</v>
      </c>
      <c r="O35" s="9">
        <v>46481</v>
      </c>
      <c r="P35" s="149" t="s">
        <v>853</v>
      </c>
      <c r="Q35" s="1">
        <v>46584</v>
      </c>
      <c r="R35" s="221"/>
      <c r="S35" s="1"/>
      <c r="T35" s="4" t="s">
        <v>689</v>
      </c>
      <c r="U35" s="188" t="s">
        <v>82</v>
      </c>
    </row>
    <row r="36" spans="1:21" ht="38.25" customHeight="1" x14ac:dyDescent="0.25">
      <c r="A36" s="64" t="s">
        <v>1413</v>
      </c>
      <c r="B36" s="363">
        <v>45183</v>
      </c>
      <c r="C36" s="137" t="s">
        <v>1860</v>
      </c>
      <c r="D36" s="361" t="s">
        <v>1516</v>
      </c>
      <c r="E36" s="82" t="s">
        <v>1808</v>
      </c>
      <c r="F36" s="166" t="s">
        <v>737</v>
      </c>
      <c r="G36" s="64" t="s">
        <v>133</v>
      </c>
      <c r="H36" s="66">
        <v>28079</v>
      </c>
      <c r="I36" s="67" t="s">
        <v>1948</v>
      </c>
      <c r="J36" s="64" t="s">
        <v>821</v>
      </c>
      <c r="K36" s="64" t="s">
        <v>808</v>
      </c>
      <c r="L36" s="66">
        <v>47960</v>
      </c>
      <c r="M36" s="207">
        <v>45999</v>
      </c>
      <c r="N36" s="66">
        <v>46334</v>
      </c>
      <c r="O36" s="9">
        <v>46498</v>
      </c>
      <c r="P36" s="149" t="s">
        <v>853</v>
      </c>
      <c r="Q36" s="1">
        <v>46681</v>
      </c>
      <c r="R36" s="221"/>
      <c r="S36" s="1"/>
      <c r="T36" s="4" t="s">
        <v>145</v>
      </c>
      <c r="U36" s="188"/>
    </row>
    <row r="37" spans="1:21" ht="26.25" customHeight="1" x14ac:dyDescent="0.25">
      <c r="A37" s="64" t="s">
        <v>1416</v>
      </c>
      <c r="B37" s="363">
        <v>45243</v>
      </c>
      <c r="C37" s="137" t="s">
        <v>1861</v>
      </c>
      <c r="D37" s="361">
        <v>45764</v>
      </c>
      <c r="E37" s="82" t="s">
        <v>769</v>
      </c>
      <c r="F37" s="166" t="s">
        <v>770</v>
      </c>
      <c r="G37" s="64" t="s">
        <v>132</v>
      </c>
      <c r="H37" s="66">
        <v>32412</v>
      </c>
      <c r="I37" s="67" t="s">
        <v>1948</v>
      </c>
      <c r="J37" s="64" t="s">
        <v>768</v>
      </c>
      <c r="K37" s="64" t="s">
        <v>771</v>
      </c>
      <c r="L37" s="66">
        <v>48417</v>
      </c>
      <c r="M37" s="214">
        <v>45972</v>
      </c>
      <c r="N37" s="66">
        <v>46429</v>
      </c>
      <c r="O37" s="9">
        <v>46427</v>
      </c>
      <c r="P37" s="64" t="s">
        <v>853</v>
      </c>
      <c r="Q37" s="1">
        <v>46672</v>
      </c>
      <c r="R37" s="147" t="s">
        <v>775</v>
      </c>
      <c r="S37" s="1">
        <v>45218</v>
      </c>
      <c r="T37" s="4" t="s">
        <v>145</v>
      </c>
      <c r="U37" s="188"/>
    </row>
    <row r="38" spans="1:21" ht="38.25" customHeight="1" x14ac:dyDescent="0.25">
      <c r="A38" s="64" t="s">
        <v>1418</v>
      </c>
      <c r="B38" s="363">
        <v>45255</v>
      </c>
      <c r="C38" s="137" t="s">
        <v>1862</v>
      </c>
      <c r="D38" s="361">
        <v>45712</v>
      </c>
      <c r="E38" s="82" t="s">
        <v>815</v>
      </c>
      <c r="F38" s="166" t="s">
        <v>816</v>
      </c>
      <c r="G38" s="64" t="s">
        <v>132</v>
      </c>
      <c r="H38" s="66">
        <v>26715</v>
      </c>
      <c r="I38" s="67" t="s">
        <v>1948</v>
      </c>
      <c r="J38" s="64" t="s">
        <v>817</v>
      </c>
      <c r="K38" s="64" t="s">
        <v>818</v>
      </c>
      <c r="L38" s="66">
        <v>48756</v>
      </c>
      <c r="M38" s="207">
        <v>45992</v>
      </c>
      <c r="N38" s="66">
        <v>46327</v>
      </c>
      <c r="O38" s="9">
        <v>46481</v>
      </c>
      <c r="P38" s="149" t="s">
        <v>853</v>
      </c>
      <c r="Q38" s="1">
        <v>46315</v>
      </c>
      <c r="R38" s="147"/>
      <c r="S38" s="1"/>
      <c r="T38" s="4" t="s">
        <v>690</v>
      </c>
      <c r="U38" s="188"/>
    </row>
    <row r="39" spans="1:21" ht="26.25" customHeight="1" x14ac:dyDescent="0.25">
      <c r="A39" s="68" t="s">
        <v>1420</v>
      </c>
      <c r="B39" s="150">
        <v>45295</v>
      </c>
      <c r="C39" s="139" t="s">
        <v>1863</v>
      </c>
      <c r="D39" s="361">
        <v>45767</v>
      </c>
      <c r="E39" s="170" t="s">
        <v>843</v>
      </c>
      <c r="F39" s="175" t="s">
        <v>561</v>
      </c>
      <c r="G39" s="68" t="s">
        <v>132</v>
      </c>
      <c r="H39" s="70">
        <v>23949</v>
      </c>
      <c r="I39" s="71" t="s">
        <v>1948</v>
      </c>
      <c r="J39" s="164" t="s">
        <v>844</v>
      </c>
      <c r="K39" s="68" t="s">
        <v>845</v>
      </c>
      <c r="L39" s="70">
        <v>48422</v>
      </c>
      <c r="M39" s="257">
        <v>46024</v>
      </c>
      <c r="N39" s="70">
        <v>46358</v>
      </c>
      <c r="O39" s="258">
        <v>46383</v>
      </c>
      <c r="P39" s="171" t="s">
        <v>853</v>
      </c>
      <c r="Q39" s="1">
        <v>46392</v>
      </c>
      <c r="R39" s="178"/>
      <c r="S39" s="168"/>
      <c r="T39" s="92" t="s">
        <v>693</v>
      </c>
      <c r="U39" s="164"/>
    </row>
    <row r="40" spans="1:21" ht="26.25" customHeight="1" x14ac:dyDescent="0.25">
      <c r="A40" s="179" t="s">
        <v>1421</v>
      </c>
      <c r="B40" s="364">
        <v>45318</v>
      </c>
      <c r="C40" s="270" t="s">
        <v>1864</v>
      </c>
      <c r="D40" s="361">
        <v>45734</v>
      </c>
      <c r="E40" s="262" t="s">
        <v>924</v>
      </c>
      <c r="F40" s="180" t="s">
        <v>561</v>
      </c>
      <c r="G40" s="179" t="s">
        <v>131</v>
      </c>
      <c r="H40" s="181">
        <v>34850</v>
      </c>
      <c r="I40" s="182" t="s">
        <v>1948</v>
      </c>
      <c r="J40" s="272" t="s">
        <v>925</v>
      </c>
      <c r="K40" s="179" t="s">
        <v>926</v>
      </c>
      <c r="L40" s="181">
        <v>46475</v>
      </c>
      <c r="M40" s="181">
        <v>46047</v>
      </c>
      <c r="N40" s="181">
        <v>46351</v>
      </c>
      <c r="O40" s="273">
        <v>46398</v>
      </c>
      <c r="P40" s="179" t="s">
        <v>853</v>
      </c>
      <c r="Q40" s="1">
        <v>46429</v>
      </c>
      <c r="R40" s="183"/>
      <c r="S40" s="275"/>
      <c r="T40" s="179" t="s">
        <v>145</v>
      </c>
      <c r="U40" s="179"/>
    </row>
    <row r="41" spans="1:21" ht="26.25" customHeight="1" x14ac:dyDescent="0.25">
      <c r="A41" s="179" t="s">
        <v>1422</v>
      </c>
      <c r="B41" s="364">
        <v>45330</v>
      </c>
      <c r="C41" s="270" t="s">
        <v>1865</v>
      </c>
      <c r="D41" s="361" t="s">
        <v>1517</v>
      </c>
      <c r="E41" s="262" t="s">
        <v>115</v>
      </c>
      <c r="F41" s="180" t="s">
        <v>561</v>
      </c>
      <c r="G41" s="179" t="s">
        <v>131</v>
      </c>
      <c r="H41" s="181">
        <v>30106</v>
      </c>
      <c r="I41" s="182" t="s">
        <v>1948</v>
      </c>
      <c r="J41" s="272" t="s">
        <v>935</v>
      </c>
      <c r="K41" s="179" t="s">
        <v>1168</v>
      </c>
      <c r="L41" s="181">
        <v>49230</v>
      </c>
      <c r="M41" s="181">
        <v>46443</v>
      </c>
      <c r="N41" s="181">
        <v>46362</v>
      </c>
      <c r="O41" s="273">
        <v>46428</v>
      </c>
      <c r="P41" s="179" t="s">
        <v>853</v>
      </c>
      <c r="Q41" s="1">
        <v>46435</v>
      </c>
      <c r="R41" s="183"/>
      <c r="S41" s="275"/>
      <c r="T41" s="179" t="s">
        <v>145</v>
      </c>
      <c r="U41" s="179"/>
    </row>
    <row r="42" spans="1:21" ht="26.25" customHeight="1" x14ac:dyDescent="0.25">
      <c r="A42" s="179" t="s">
        <v>1423</v>
      </c>
      <c r="B42" s="364">
        <v>45330</v>
      </c>
      <c r="C42" s="270" t="s">
        <v>1865</v>
      </c>
      <c r="D42" s="361">
        <v>45735</v>
      </c>
      <c r="E42" s="262" t="s">
        <v>1493</v>
      </c>
      <c r="F42" s="180" t="s">
        <v>936</v>
      </c>
      <c r="G42" s="179" t="s">
        <v>131</v>
      </c>
      <c r="H42" s="181">
        <v>34281</v>
      </c>
      <c r="I42" s="182" t="s">
        <v>1948</v>
      </c>
      <c r="J42" s="272" t="s">
        <v>937</v>
      </c>
      <c r="K42" s="179" t="s">
        <v>1367</v>
      </c>
      <c r="L42" s="181">
        <v>49529</v>
      </c>
      <c r="M42" s="181" t="s">
        <v>1049</v>
      </c>
      <c r="N42" s="181">
        <v>46362</v>
      </c>
      <c r="O42" s="273">
        <v>46400</v>
      </c>
      <c r="P42" s="179" t="s">
        <v>853</v>
      </c>
      <c r="Q42" s="1">
        <v>46435</v>
      </c>
      <c r="R42" s="183"/>
      <c r="S42" s="275"/>
      <c r="T42" s="179" t="s">
        <v>145</v>
      </c>
      <c r="U42" s="179"/>
    </row>
    <row r="43" spans="1:21" ht="26.25" customHeight="1" x14ac:dyDescent="0.25">
      <c r="A43" s="179" t="s">
        <v>1424</v>
      </c>
      <c r="B43" s="364">
        <v>45330</v>
      </c>
      <c r="C43" s="270" t="s">
        <v>1865</v>
      </c>
      <c r="D43" s="361">
        <v>45753</v>
      </c>
      <c r="E43" s="262" t="s">
        <v>1492</v>
      </c>
      <c r="F43" s="180" t="s">
        <v>561</v>
      </c>
      <c r="G43" s="179" t="s">
        <v>131</v>
      </c>
      <c r="H43" s="181">
        <v>31846</v>
      </c>
      <c r="I43" s="182" t="s">
        <v>1948</v>
      </c>
      <c r="J43" s="272" t="s">
        <v>938</v>
      </c>
      <c r="K43" s="179" t="s">
        <v>1365</v>
      </c>
      <c r="L43" s="181">
        <v>49529</v>
      </c>
      <c r="M43" s="181" t="s">
        <v>1049</v>
      </c>
      <c r="N43" s="181">
        <v>46362</v>
      </c>
      <c r="O43" s="273">
        <v>46430</v>
      </c>
      <c r="P43" s="179" t="s">
        <v>853</v>
      </c>
      <c r="Q43" s="1">
        <v>46435</v>
      </c>
      <c r="R43" s="183"/>
      <c r="S43" s="275"/>
      <c r="T43" s="179" t="s">
        <v>145</v>
      </c>
      <c r="U43" s="179"/>
    </row>
    <row r="44" spans="1:21" ht="26.25" customHeight="1" x14ac:dyDescent="0.25">
      <c r="A44" s="179" t="s">
        <v>1425</v>
      </c>
      <c r="B44" s="364">
        <v>45371</v>
      </c>
      <c r="C44" s="270" t="s">
        <v>1866</v>
      </c>
      <c r="D44" s="361">
        <v>45761</v>
      </c>
      <c r="E44" s="262" t="s">
        <v>945</v>
      </c>
      <c r="F44" s="180" t="s">
        <v>561</v>
      </c>
      <c r="G44" s="179" t="s">
        <v>131</v>
      </c>
      <c r="H44" s="181">
        <v>26218</v>
      </c>
      <c r="I44" s="182" t="s">
        <v>1948</v>
      </c>
      <c r="J44" s="272" t="s">
        <v>946</v>
      </c>
      <c r="K44" s="179" t="s">
        <v>947</v>
      </c>
      <c r="L44" s="181">
        <v>48938</v>
      </c>
      <c r="M44" s="181">
        <v>46313</v>
      </c>
      <c r="N44" s="181">
        <v>46374</v>
      </c>
      <c r="O44" s="273">
        <v>46472</v>
      </c>
      <c r="P44" s="179" t="s">
        <v>853</v>
      </c>
      <c r="Q44" s="1">
        <v>46485</v>
      </c>
      <c r="R44" s="183"/>
      <c r="S44" s="275"/>
      <c r="T44" s="179" t="s">
        <v>145</v>
      </c>
      <c r="U44" s="179"/>
    </row>
    <row r="45" spans="1:21" ht="26.25" customHeight="1" x14ac:dyDescent="0.25">
      <c r="A45" s="278" t="s">
        <v>1426</v>
      </c>
      <c r="B45" s="364">
        <v>45371</v>
      </c>
      <c r="C45" s="270" t="s">
        <v>1866</v>
      </c>
      <c r="D45" s="361" t="s">
        <v>1518</v>
      </c>
      <c r="E45" s="262" t="s">
        <v>948</v>
      </c>
      <c r="F45" s="180" t="s">
        <v>514</v>
      </c>
      <c r="G45" s="179" t="s">
        <v>131</v>
      </c>
      <c r="H45" s="181">
        <v>35626</v>
      </c>
      <c r="I45" s="182" t="s">
        <v>1948</v>
      </c>
      <c r="J45" s="272" t="s">
        <v>954</v>
      </c>
      <c r="K45" s="179" t="s">
        <v>949</v>
      </c>
      <c r="L45" s="181">
        <v>46662</v>
      </c>
      <c r="M45" s="181">
        <v>46099</v>
      </c>
      <c r="N45" s="181">
        <v>46344</v>
      </c>
      <c r="O45" s="273">
        <v>46462</v>
      </c>
      <c r="P45" s="179" t="s">
        <v>853</v>
      </c>
      <c r="Q45" s="1">
        <v>46484</v>
      </c>
      <c r="R45" s="183"/>
      <c r="S45" s="275"/>
      <c r="T45" s="179" t="s">
        <v>145</v>
      </c>
      <c r="U45" s="179"/>
    </row>
    <row r="46" spans="1:21" ht="26.25" customHeight="1" x14ac:dyDescent="0.25">
      <c r="A46" s="179" t="s">
        <v>1427</v>
      </c>
      <c r="B46" s="364">
        <v>45371</v>
      </c>
      <c r="C46" s="270" t="s">
        <v>1866</v>
      </c>
      <c r="D46" s="361">
        <v>45763</v>
      </c>
      <c r="E46" s="262" t="s">
        <v>950</v>
      </c>
      <c r="F46" s="180" t="s">
        <v>561</v>
      </c>
      <c r="G46" s="179" t="s">
        <v>131</v>
      </c>
      <c r="H46" s="181" t="s">
        <v>953</v>
      </c>
      <c r="I46" s="182" t="s">
        <v>1948</v>
      </c>
      <c r="J46" s="272" t="s">
        <v>952</v>
      </c>
      <c r="K46" s="179" t="s">
        <v>951</v>
      </c>
      <c r="L46" s="181">
        <v>48705</v>
      </c>
      <c r="M46" s="181">
        <v>46191</v>
      </c>
      <c r="N46" s="181">
        <v>46374</v>
      </c>
      <c r="O46" s="273">
        <v>46447</v>
      </c>
      <c r="P46" s="179" t="s">
        <v>853</v>
      </c>
      <c r="Q46" s="1">
        <v>46471</v>
      </c>
      <c r="R46" s="183"/>
      <c r="S46" s="275"/>
      <c r="T46" s="179" t="s">
        <v>145</v>
      </c>
      <c r="U46" s="179"/>
    </row>
    <row r="47" spans="1:21" ht="26.25" customHeight="1" x14ac:dyDescent="0.25">
      <c r="A47" s="179" t="s">
        <v>1428</v>
      </c>
      <c r="B47" s="364">
        <v>45374</v>
      </c>
      <c r="C47" s="270" t="s">
        <v>1867</v>
      </c>
      <c r="D47" s="361">
        <v>45763</v>
      </c>
      <c r="E47" s="262" t="s">
        <v>958</v>
      </c>
      <c r="F47" s="180" t="s">
        <v>561</v>
      </c>
      <c r="G47" s="179" t="s">
        <v>131</v>
      </c>
      <c r="H47" s="181">
        <v>38504</v>
      </c>
      <c r="I47" s="182" t="s">
        <v>1948</v>
      </c>
      <c r="J47" s="272" t="s">
        <v>960</v>
      </c>
      <c r="K47" s="279" t="s">
        <v>959</v>
      </c>
      <c r="L47" s="181">
        <v>48938</v>
      </c>
      <c r="M47" s="181">
        <v>46102</v>
      </c>
      <c r="N47" s="181">
        <v>46347</v>
      </c>
      <c r="O47" s="273">
        <v>46503</v>
      </c>
      <c r="P47" s="179" t="s">
        <v>853</v>
      </c>
      <c r="Q47" s="1">
        <v>46484</v>
      </c>
      <c r="R47" s="183"/>
      <c r="S47" s="275"/>
      <c r="T47" s="179" t="s">
        <v>145</v>
      </c>
      <c r="U47" s="179"/>
    </row>
    <row r="48" spans="1:21" ht="38.25" customHeight="1" x14ac:dyDescent="0.25">
      <c r="A48" s="179" t="s">
        <v>1429</v>
      </c>
      <c r="B48" s="364">
        <v>45381</v>
      </c>
      <c r="C48" s="270" t="s">
        <v>1868</v>
      </c>
      <c r="D48" s="361">
        <v>45732</v>
      </c>
      <c r="E48" s="262" t="s">
        <v>962</v>
      </c>
      <c r="F48" s="180" t="s">
        <v>1319</v>
      </c>
      <c r="G48" s="179" t="s">
        <v>133</v>
      </c>
      <c r="H48" s="181">
        <v>35331</v>
      </c>
      <c r="I48" s="182" t="s">
        <v>1948</v>
      </c>
      <c r="J48" s="272" t="s">
        <v>963</v>
      </c>
      <c r="K48" s="179" t="s">
        <v>964</v>
      </c>
      <c r="L48" s="181">
        <v>47301</v>
      </c>
      <c r="M48" s="181">
        <v>46109</v>
      </c>
      <c r="N48" s="181">
        <v>46323</v>
      </c>
      <c r="O48" s="273">
        <v>46472</v>
      </c>
      <c r="P48" s="179" t="s">
        <v>853</v>
      </c>
      <c r="Q48" s="1">
        <v>46484</v>
      </c>
      <c r="R48" s="183"/>
      <c r="S48" s="275"/>
      <c r="T48" s="179" t="s">
        <v>145</v>
      </c>
      <c r="U48" s="179"/>
    </row>
    <row r="49" spans="1:21" ht="26.25" customHeight="1" x14ac:dyDescent="0.25">
      <c r="A49" s="179" t="s">
        <v>1430</v>
      </c>
      <c r="B49" s="364">
        <v>45382</v>
      </c>
      <c r="C49" s="270" t="s">
        <v>1869</v>
      </c>
      <c r="D49" s="361">
        <v>45776</v>
      </c>
      <c r="E49" s="262" t="s">
        <v>965</v>
      </c>
      <c r="F49" s="180" t="s">
        <v>509</v>
      </c>
      <c r="G49" s="179" t="s">
        <v>131</v>
      </c>
      <c r="H49" s="181">
        <v>37396</v>
      </c>
      <c r="I49" s="182" t="s">
        <v>1948</v>
      </c>
      <c r="J49" s="272" t="s">
        <v>966</v>
      </c>
      <c r="K49" s="179" t="s">
        <v>967</v>
      </c>
      <c r="L49" s="181">
        <v>48792</v>
      </c>
      <c r="M49" s="181">
        <v>46171</v>
      </c>
      <c r="N49" s="181">
        <v>46355</v>
      </c>
      <c r="O49" s="273">
        <v>46503</v>
      </c>
      <c r="P49" s="179" t="s">
        <v>853</v>
      </c>
      <c r="Q49" s="1">
        <v>46484</v>
      </c>
      <c r="R49" s="183"/>
      <c r="S49" s="275"/>
      <c r="T49" s="179" t="s">
        <v>145</v>
      </c>
      <c r="U49" s="179"/>
    </row>
    <row r="50" spans="1:21" ht="26.25" customHeight="1" x14ac:dyDescent="0.25">
      <c r="A50" s="179" t="s">
        <v>1431</v>
      </c>
      <c r="B50" s="364">
        <v>45382</v>
      </c>
      <c r="C50" s="270" t="s">
        <v>1869</v>
      </c>
      <c r="D50" s="361">
        <v>45761</v>
      </c>
      <c r="E50" s="262" t="s">
        <v>968</v>
      </c>
      <c r="F50" s="180" t="s">
        <v>509</v>
      </c>
      <c r="G50" s="179" t="s">
        <v>131</v>
      </c>
      <c r="H50" s="181">
        <v>28243</v>
      </c>
      <c r="I50" s="182" t="s">
        <v>1948</v>
      </c>
      <c r="J50" s="272" t="s">
        <v>969</v>
      </c>
      <c r="K50" s="179" t="s">
        <v>970</v>
      </c>
      <c r="L50" s="181">
        <v>48943</v>
      </c>
      <c r="M50" s="181">
        <v>46110</v>
      </c>
      <c r="N50" s="181">
        <v>46355</v>
      </c>
      <c r="O50" s="273">
        <v>46478</v>
      </c>
      <c r="P50" s="179" t="s">
        <v>853</v>
      </c>
      <c r="Q50" s="1">
        <v>46484</v>
      </c>
      <c r="R50" s="183"/>
      <c r="S50" s="275"/>
      <c r="T50" s="179" t="s">
        <v>145</v>
      </c>
      <c r="U50" s="179"/>
    </row>
    <row r="51" spans="1:21" ht="26.25" customHeight="1" x14ac:dyDescent="0.25">
      <c r="A51" s="179" t="s">
        <v>1432</v>
      </c>
      <c r="B51" s="364">
        <v>45401</v>
      </c>
      <c r="C51" s="270" t="s">
        <v>1870</v>
      </c>
      <c r="D51" s="361">
        <v>45735</v>
      </c>
      <c r="E51" s="262" t="s">
        <v>976</v>
      </c>
      <c r="F51" s="180" t="s">
        <v>509</v>
      </c>
      <c r="G51" s="179" t="s">
        <v>131</v>
      </c>
      <c r="H51" s="181" t="s">
        <v>977</v>
      </c>
      <c r="I51" s="182" t="s">
        <v>1948</v>
      </c>
      <c r="J51" s="272" t="s">
        <v>978</v>
      </c>
      <c r="K51" s="179" t="s">
        <v>979</v>
      </c>
      <c r="L51" s="181">
        <v>47156</v>
      </c>
      <c r="M51" s="181">
        <v>46129</v>
      </c>
      <c r="N51" s="181">
        <v>46343</v>
      </c>
      <c r="O51" s="9">
        <v>46491</v>
      </c>
      <c r="P51" s="179" t="s">
        <v>853</v>
      </c>
      <c r="Q51" s="1">
        <v>46504</v>
      </c>
      <c r="R51" s="183"/>
      <c r="S51" s="275"/>
      <c r="T51" s="179" t="s">
        <v>145</v>
      </c>
      <c r="U51" s="179"/>
    </row>
    <row r="52" spans="1:21" ht="26.25" customHeight="1" x14ac:dyDescent="0.25">
      <c r="A52" s="179" t="s">
        <v>1433</v>
      </c>
      <c r="B52" s="364">
        <v>45401</v>
      </c>
      <c r="C52" s="270" t="s">
        <v>1870</v>
      </c>
      <c r="D52" s="361">
        <v>45754</v>
      </c>
      <c r="E52" s="262" t="s">
        <v>139</v>
      </c>
      <c r="F52" s="180" t="s">
        <v>509</v>
      </c>
      <c r="G52" s="179" t="s">
        <v>131</v>
      </c>
      <c r="H52" s="181">
        <v>36526</v>
      </c>
      <c r="I52" s="182" t="s">
        <v>1948</v>
      </c>
      <c r="J52" s="272" t="s">
        <v>981</v>
      </c>
      <c r="K52" s="179" t="s">
        <v>980</v>
      </c>
      <c r="L52" s="181">
        <v>47969</v>
      </c>
      <c r="M52" s="181">
        <v>46129</v>
      </c>
      <c r="N52" s="181">
        <v>46343</v>
      </c>
      <c r="O52" s="9">
        <v>46496</v>
      </c>
      <c r="P52" s="179" t="s">
        <v>853</v>
      </c>
      <c r="Q52" s="1">
        <v>46504</v>
      </c>
      <c r="R52" s="183"/>
      <c r="S52" s="275"/>
      <c r="T52" s="179" t="s">
        <v>145</v>
      </c>
      <c r="U52" s="179"/>
    </row>
    <row r="53" spans="1:21" ht="26.25" customHeight="1" x14ac:dyDescent="0.25">
      <c r="A53" s="179" t="s">
        <v>1434</v>
      </c>
      <c r="B53" s="364">
        <v>45406</v>
      </c>
      <c r="C53" s="270" t="s">
        <v>1871</v>
      </c>
      <c r="D53" s="361">
        <v>45763</v>
      </c>
      <c r="E53" s="262" t="s">
        <v>982</v>
      </c>
      <c r="F53" s="180" t="s">
        <v>509</v>
      </c>
      <c r="G53" s="179" t="s">
        <v>131</v>
      </c>
      <c r="H53" s="181">
        <v>33997</v>
      </c>
      <c r="I53" s="182" t="s">
        <v>1948</v>
      </c>
      <c r="J53" s="272" t="s">
        <v>983</v>
      </c>
      <c r="K53" s="179" t="s">
        <v>984</v>
      </c>
      <c r="L53" s="181">
        <v>48656</v>
      </c>
      <c r="M53" s="181">
        <v>46134</v>
      </c>
      <c r="N53" s="181">
        <v>46409</v>
      </c>
      <c r="O53" s="9">
        <v>46490</v>
      </c>
      <c r="P53" s="179" t="s">
        <v>853</v>
      </c>
      <c r="Q53" s="1">
        <v>46504</v>
      </c>
      <c r="R53" s="183"/>
      <c r="S53" s="275"/>
      <c r="T53" s="179" t="s">
        <v>145</v>
      </c>
      <c r="U53" s="179"/>
    </row>
    <row r="54" spans="1:21" ht="26.25" customHeight="1" x14ac:dyDescent="0.25">
      <c r="A54" s="179" t="s">
        <v>1435</v>
      </c>
      <c r="B54" s="364">
        <v>45386</v>
      </c>
      <c r="C54" s="270" t="s">
        <v>1872</v>
      </c>
      <c r="D54" s="361">
        <v>45754</v>
      </c>
      <c r="E54" s="262" t="s">
        <v>985</v>
      </c>
      <c r="F54" s="180" t="s">
        <v>576</v>
      </c>
      <c r="G54" s="179" t="s">
        <v>133</v>
      </c>
      <c r="H54" s="181" t="s">
        <v>986</v>
      </c>
      <c r="I54" s="182" t="s">
        <v>1948</v>
      </c>
      <c r="J54" s="272" t="s">
        <v>987</v>
      </c>
      <c r="K54" s="179" t="s">
        <v>1291</v>
      </c>
      <c r="L54" s="181">
        <v>49429</v>
      </c>
      <c r="M54" s="181">
        <v>46540</v>
      </c>
      <c r="N54" s="181">
        <v>46378</v>
      </c>
      <c r="O54" s="9">
        <v>46478</v>
      </c>
      <c r="P54" s="179" t="s">
        <v>853</v>
      </c>
      <c r="Q54" s="1">
        <v>46504</v>
      </c>
      <c r="R54" s="183"/>
      <c r="S54" s="275"/>
      <c r="T54" s="179" t="s">
        <v>145</v>
      </c>
      <c r="U54" s="179"/>
    </row>
    <row r="55" spans="1:21" ht="26.25" customHeight="1" x14ac:dyDescent="0.25">
      <c r="A55" s="179" t="s">
        <v>1436</v>
      </c>
      <c r="B55" s="364">
        <v>45387</v>
      </c>
      <c r="C55" s="270" t="s">
        <v>1873</v>
      </c>
      <c r="D55" s="361">
        <v>45767</v>
      </c>
      <c r="E55" s="262" t="s">
        <v>989</v>
      </c>
      <c r="F55" s="180" t="s">
        <v>990</v>
      </c>
      <c r="G55" s="179" t="s">
        <v>131</v>
      </c>
      <c r="H55" s="181">
        <v>31914</v>
      </c>
      <c r="I55" s="182" t="s">
        <v>1948</v>
      </c>
      <c r="J55" s="272" t="s">
        <v>991</v>
      </c>
      <c r="K55" s="179" t="s">
        <v>992</v>
      </c>
      <c r="L55" s="181">
        <v>48943</v>
      </c>
      <c r="M55" s="181">
        <v>46141</v>
      </c>
      <c r="N55" s="181">
        <v>46354</v>
      </c>
      <c r="O55" s="9">
        <v>46362</v>
      </c>
      <c r="P55" s="148" t="s">
        <v>853</v>
      </c>
      <c r="Q55" s="1">
        <v>46525</v>
      </c>
      <c r="R55" s="183"/>
      <c r="S55" s="275"/>
      <c r="T55" s="179" t="s">
        <v>145</v>
      </c>
      <c r="U55" s="179"/>
    </row>
    <row r="56" spans="1:21" ht="38.25" customHeight="1" x14ac:dyDescent="0.25">
      <c r="A56" s="179" t="s">
        <v>1438</v>
      </c>
      <c r="B56" s="364">
        <v>45447</v>
      </c>
      <c r="C56" s="270" t="s">
        <v>1874</v>
      </c>
      <c r="D56" s="361">
        <v>45754</v>
      </c>
      <c r="E56" s="262" t="s">
        <v>1005</v>
      </c>
      <c r="F56" s="180" t="s">
        <v>514</v>
      </c>
      <c r="G56" s="179" t="s">
        <v>133</v>
      </c>
      <c r="H56" s="181">
        <v>37124</v>
      </c>
      <c r="I56" s="182" t="s">
        <v>1948</v>
      </c>
      <c r="J56" s="272" t="s">
        <v>1006</v>
      </c>
      <c r="K56" s="179" t="s">
        <v>1007</v>
      </c>
      <c r="L56" s="181">
        <v>48659</v>
      </c>
      <c r="M56" s="203">
        <v>46175</v>
      </c>
      <c r="N56" s="181">
        <v>46328</v>
      </c>
      <c r="O56" s="9">
        <v>46503</v>
      </c>
      <c r="P56" s="148" t="s">
        <v>853</v>
      </c>
      <c r="Q56" s="1">
        <v>46543</v>
      </c>
      <c r="R56" s="183"/>
      <c r="S56" s="275"/>
      <c r="T56" s="179" t="s">
        <v>145</v>
      </c>
      <c r="U56" s="179"/>
    </row>
    <row r="57" spans="1:21" ht="26.25" customHeight="1" x14ac:dyDescent="0.25">
      <c r="A57" s="179" t="s">
        <v>1439</v>
      </c>
      <c r="B57" s="364">
        <v>45467</v>
      </c>
      <c r="C57" s="270" t="s">
        <v>1875</v>
      </c>
      <c r="D57" s="361">
        <v>45735</v>
      </c>
      <c r="E57" s="262" t="s">
        <v>1017</v>
      </c>
      <c r="F57" s="180" t="s">
        <v>561</v>
      </c>
      <c r="G57" s="179" t="s">
        <v>133</v>
      </c>
      <c r="H57" s="181">
        <v>37257</v>
      </c>
      <c r="I57" s="182" t="s">
        <v>1948</v>
      </c>
      <c r="J57" s="272" t="s">
        <v>1018</v>
      </c>
      <c r="K57" s="179" t="s">
        <v>1019</v>
      </c>
      <c r="L57" s="181">
        <v>48448</v>
      </c>
      <c r="M57" s="203">
        <v>46195</v>
      </c>
      <c r="N57" s="181">
        <v>46378</v>
      </c>
      <c r="O57" s="9">
        <v>46529</v>
      </c>
      <c r="P57" s="148" t="s">
        <v>853</v>
      </c>
      <c r="Q57" s="1">
        <v>46567</v>
      </c>
      <c r="R57" s="183"/>
      <c r="S57" s="275"/>
      <c r="T57" s="179" t="s">
        <v>145</v>
      </c>
      <c r="U57" s="179"/>
    </row>
    <row r="58" spans="1:21" ht="38.25" customHeight="1" x14ac:dyDescent="0.25">
      <c r="A58" s="179" t="s">
        <v>1441</v>
      </c>
      <c r="B58" s="364">
        <v>45491</v>
      </c>
      <c r="C58" s="270" t="s">
        <v>1876</v>
      </c>
      <c r="D58" s="361">
        <v>45754</v>
      </c>
      <c r="E58" s="262" t="s">
        <v>1036</v>
      </c>
      <c r="F58" s="180" t="s">
        <v>561</v>
      </c>
      <c r="G58" s="179" t="s">
        <v>133</v>
      </c>
      <c r="H58" s="181">
        <v>36078</v>
      </c>
      <c r="I58" s="182" t="s">
        <v>1948</v>
      </c>
      <c r="J58" s="272" t="s">
        <v>1037</v>
      </c>
      <c r="K58" s="179" t="s">
        <v>1038</v>
      </c>
      <c r="L58" s="181">
        <v>48056</v>
      </c>
      <c r="M58" s="181">
        <v>46219</v>
      </c>
      <c r="N58" s="181">
        <v>46342</v>
      </c>
      <c r="O58" s="9">
        <v>46544</v>
      </c>
      <c r="P58" s="148" t="s">
        <v>853</v>
      </c>
      <c r="Q58" s="1">
        <v>46591</v>
      </c>
      <c r="R58" s="183"/>
      <c r="S58" s="275"/>
      <c r="T58" s="179" t="s">
        <v>145</v>
      </c>
      <c r="U58" s="179"/>
    </row>
    <row r="59" spans="1:21" ht="26.25" customHeight="1" x14ac:dyDescent="0.25">
      <c r="A59" s="179" t="s">
        <v>1442</v>
      </c>
      <c r="B59" s="364">
        <v>45491</v>
      </c>
      <c r="C59" s="270" t="s">
        <v>1876</v>
      </c>
      <c r="D59" s="361">
        <v>45713</v>
      </c>
      <c r="E59" s="262" t="s">
        <v>1040</v>
      </c>
      <c r="F59" s="180" t="s">
        <v>1039</v>
      </c>
      <c r="G59" s="179" t="s">
        <v>132</v>
      </c>
      <c r="H59" s="181" t="s">
        <v>1041</v>
      </c>
      <c r="I59" s="182" t="s">
        <v>1948</v>
      </c>
      <c r="J59" s="272" t="s">
        <v>1042</v>
      </c>
      <c r="K59" s="179" t="s">
        <v>1043</v>
      </c>
      <c r="L59" s="181">
        <v>48988</v>
      </c>
      <c r="M59" s="181">
        <v>46219</v>
      </c>
      <c r="N59" s="181">
        <v>46372</v>
      </c>
      <c r="O59" s="9">
        <v>46609</v>
      </c>
      <c r="P59" s="148" t="s">
        <v>853</v>
      </c>
      <c r="Q59" s="1">
        <v>46591</v>
      </c>
      <c r="R59" s="183"/>
      <c r="S59" s="275"/>
      <c r="T59" s="179" t="s">
        <v>145</v>
      </c>
      <c r="U59" s="179"/>
    </row>
    <row r="60" spans="1:21" ht="38.25" customHeight="1" x14ac:dyDescent="0.25">
      <c r="A60" s="179" t="s">
        <v>1443</v>
      </c>
      <c r="B60" s="364">
        <v>45498</v>
      </c>
      <c r="C60" s="270" t="s">
        <v>1877</v>
      </c>
      <c r="D60" s="361">
        <v>45763</v>
      </c>
      <c r="E60" s="262" t="s">
        <v>1050</v>
      </c>
      <c r="F60" s="180" t="s">
        <v>561</v>
      </c>
      <c r="G60" s="179" t="s">
        <v>133</v>
      </c>
      <c r="H60" s="181">
        <v>29221</v>
      </c>
      <c r="I60" s="182" t="s">
        <v>1948</v>
      </c>
      <c r="J60" s="272" t="s">
        <v>1051</v>
      </c>
      <c r="K60" s="179" t="s">
        <v>1052</v>
      </c>
      <c r="L60" s="181">
        <v>49009</v>
      </c>
      <c r="M60" s="181">
        <v>46226</v>
      </c>
      <c r="N60" s="181">
        <v>46318</v>
      </c>
      <c r="O60" s="9">
        <v>46628</v>
      </c>
      <c r="P60" s="148" t="s">
        <v>853</v>
      </c>
      <c r="Q60" s="1">
        <v>46604</v>
      </c>
      <c r="R60" s="183"/>
      <c r="S60" s="275"/>
      <c r="T60" s="179" t="s">
        <v>145</v>
      </c>
      <c r="U60" s="179"/>
    </row>
    <row r="61" spans="1:21" ht="26.25" customHeight="1" x14ac:dyDescent="0.25">
      <c r="A61" s="179" t="s">
        <v>1444</v>
      </c>
      <c r="B61" s="364">
        <v>45512</v>
      </c>
      <c r="C61" s="270" t="s">
        <v>1878</v>
      </c>
      <c r="D61" s="361">
        <v>45735</v>
      </c>
      <c r="E61" s="262" t="s">
        <v>1062</v>
      </c>
      <c r="F61" s="180" t="s">
        <v>630</v>
      </c>
      <c r="G61" s="179" t="s">
        <v>1063</v>
      </c>
      <c r="H61" s="181" t="s">
        <v>1064</v>
      </c>
      <c r="I61" s="182" t="s">
        <v>1948</v>
      </c>
      <c r="J61" s="272" t="s">
        <v>1065</v>
      </c>
      <c r="K61" s="179" t="s">
        <v>1066</v>
      </c>
      <c r="L61" s="181">
        <v>48925</v>
      </c>
      <c r="M61" s="181">
        <v>46241</v>
      </c>
      <c r="N61" s="181">
        <v>46362</v>
      </c>
      <c r="O61" s="9">
        <v>46548</v>
      </c>
      <c r="P61" s="148" t="s">
        <v>853</v>
      </c>
      <c r="Q61" s="1">
        <v>46617</v>
      </c>
      <c r="R61" s="183"/>
      <c r="S61" s="275"/>
      <c r="T61" s="179" t="s">
        <v>145</v>
      </c>
      <c r="U61" s="179"/>
    </row>
    <row r="62" spans="1:21" ht="26.25" customHeight="1" x14ac:dyDescent="0.25">
      <c r="A62" s="179" t="s">
        <v>1446</v>
      </c>
      <c r="B62" s="364">
        <v>45536</v>
      </c>
      <c r="C62" s="270" t="s">
        <v>1879</v>
      </c>
      <c r="D62" s="361">
        <v>45769</v>
      </c>
      <c r="E62" s="262" t="s">
        <v>1074</v>
      </c>
      <c r="F62" s="180" t="s">
        <v>561</v>
      </c>
      <c r="G62" s="179" t="s">
        <v>133</v>
      </c>
      <c r="H62" s="181">
        <v>36526</v>
      </c>
      <c r="I62" s="182" t="s">
        <v>1948</v>
      </c>
      <c r="J62" s="272" t="s">
        <v>1068</v>
      </c>
      <c r="K62" s="179" t="s">
        <v>1075</v>
      </c>
      <c r="L62" s="181">
        <v>48146</v>
      </c>
      <c r="M62" s="181">
        <v>46266</v>
      </c>
      <c r="N62" s="181">
        <v>46384</v>
      </c>
      <c r="O62" s="9">
        <v>46630</v>
      </c>
      <c r="P62" s="148" t="s">
        <v>853</v>
      </c>
      <c r="Q62" s="1">
        <v>46637</v>
      </c>
      <c r="R62" s="183"/>
      <c r="S62" s="275"/>
      <c r="T62" s="179" t="s">
        <v>145</v>
      </c>
      <c r="U62" s="179"/>
    </row>
    <row r="63" spans="1:21" ht="38.25" customHeight="1" x14ac:dyDescent="0.25">
      <c r="A63" s="179" t="s">
        <v>1447</v>
      </c>
      <c r="B63" s="364">
        <v>45536</v>
      </c>
      <c r="C63" s="270" t="s">
        <v>1879</v>
      </c>
      <c r="D63" s="361">
        <v>45776</v>
      </c>
      <c r="E63" s="262" t="s">
        <v>1076</v>
      </c>
      <c r="F63" s="180" t="s">
        <v>561</v>
      </c>
      <c r="G63" s="179" t="s">
        <v>133</v>
      </c>
      <c r="H63" s="181">
        <v>35856</v>
      </c>
      <c r="I63" s="182" t="s">
        <v>1948</v>
      </c>
      <c r="J63" s="272" t="s">
        <v>1069</v>
      </c>
      <c r="K63" s="179" t="s">
        <v>1077</v>
      </c>
      <c r="L63" s="181">
        <v>48688</v>
      </c>
      <c r="M63" s="181">
        <v>46266</v>
      </c>
      <c r="N63" s="181">
        <v>46323</v>
      </c>
      <c r="O63" s="9">
        <v>46629</v>
      </c>
      <c r="P63" s="148" t="s">
        <v>853</v>
      </c>
      <c r="Q63" s="1">
        <v>46637</v>
      </c>
      <c r="R63" s="183"/>
      <c r="S63" s="275"/>
      <c r="T63" s="179" t="s">
        <v>145</v>
      </c>
      <c r="U63" s="179"/>
    </row>
    <row r="64" spans="1:21" ht="26.25" customHeight="1" x14ac:dyDescent="0.25">
      <c r="A64" s="179" t="s">
        <v>1449</v>
      </c>
      <c r="B64" s="364">
        <v>45562</v>
      </c>
      <c r="C64" s="270" t="s">
        <v>1880</v>
      </c>
      <c r="D64" s="361">
        <v>45767</v>
      </c>
      <c r="E64" s="262" t="s">
        <v>1094</v>
      </c>
      <c r="F64" s="180" t="s">
        <v>520</v>
      </c>
      <c r="G64" s="179" t="s">
        <v>1014</v>
      </c>
      <c r="H64" s="181">
        <v>32804</v>
      </c>
      <c r="I64" s="182" t="s">
        <v>1948</v>
      </c>
      <c r="J64" s="272" t="s">
        <v>1095</v>
      </c>
      <c r="K64" s="179" t="s">
        <v>1096</v>
      </c>
      <c r="L64" s="181">
        <v>48685</v>
      </c>
      <c r="M64" s="181">
        <v>46291</v>
      </c>
      <c r="N64" s="181">
        <v>46502</v>
      </c>
      <c r="O64" s="9">
        <v>46580</v>
      </c>
      <c r="P64" s="148" t="s">
        <v>853</v>
      </c>
      <c r="Q64" s="1">
        <v>46668</v>
      </c>
      <c r="R64" s="183"/>
      <c r="S64" s="275"/>
      <c r="T64" s="179" t="s">
        <v>145</v>
      </c>
      <c r="U64" s="179"/>
    </row>
    <row r="65" spans="1:21" ht="38.25" customHeight="1" x14ac:dyDescent="0.25">
      <c r="A65" s="179" t="s">
        <v>1450</v>
      </c>
      <c r="B65" s="364">
        <v>45562</v>
      </c>
      <c r="C65" s="270" t="s">
        <v>1880</v>
      </c>
      <c r="D65" s="361">
        <v>45734</v>
      </c>
      <c r="E65" s="262" t="s">
        <v>1097</v>
      </c>
      <c r="F65" s="180" t="s">
        <v>514</v>
      </c>
      <c r="G65" s="179" t="s">
        <v>1014</v>
      </c>
      <c r="H65" s="181">
        <v>37144</v>
      </c>
      <c r="I65" s="182" t="s">
        <v>1948</v>
      </c>
      <c r="J65" s="272" t="s">
        <v>1098</v>
      </c>
      <c r="K65" s="179">
        <v>12307406</v>
      </c>
      <c r="L65" s="181">
        <v>48063</v>
      </c>
      <c r="M65" s="181">
        <v>46291</v>
      </c>
      <c r="N65" s="181">
        <v>46320</v>
      </c>
      <c r="O65" s="9">
        <v>46298</v>
      </c>
      <c r="P65" s="148" t="s">
        <v>853</v>
      </c>
      <c r="Q65" s="1">
        <v>46672</v>
      </c>
      <c r="R65" s="183"/>
      <c r="S65" s="275"/>
      <c r="T65" s="179" t="s">
        <v>145</v>
      </c>
      <c r="U65" s="179"/>
    </row>
    <row r="66" spans="1:21" ht="38.25" customHeight="1" x14ac:dyDescent="0.25">
      <c r="A66" s="179" t="s">
        <v>1452</v>
      </c>
      <c r="B66" s="364">
        <v>45592</v>
      </c>
      <c r="C66" s="270" t="s">
        <v>1881</v>
      </c>
      <c r="D66" s="361">
        <v>45732</v>
      </c>
      <c r="E66" s="262" t="s">
        <v>1134</v>
      </c>
      <c r="F66" s="180" t="s">
        <v>737</v>
      </c>
      <c r="G66" s="179" t="s">
        <v>133</v>
      </c>
      <c r="H66" s="181">
        <v>35079</v>
      </c>
      <c r="I66" s="182" t="s">
        <v>1948</v>
      </c>
      <c r="J66" s="272" t="s">
        <v>1135</v>
      </c>
      <c r="K66" s="179" t="s">
        <v>1136</v>
      </c>
      <c r="L66" s="181">
        <v>47448</v>
      </c>
      <c r="M66" s="181">
        <v>46322</v>
      </c>
      <c r="N66" s="181">
        <v>46260</v>
      </c>
      <c r="O66" s="9">
        <v>46505</v>
      </c>
      <c r="P66" s="148" t="s">
        <v>853</v>
      </c>
      <c r="Q66" s="1">
        <v>46326</v>
      </c>
      <c r="R66" s="183"/>
      <c r="S66" s="275"/>
      <c r="T66" s="179" t="s">
        <v>145</v>
      </c>
      <c r="U66" s="179"/>
    </row>
    <row r="67" spans="1:21" ht="26.25" customHeight="1" x14ac:dyDescent="0.25">
      <c r="A67" s="179" t="s">
        <v>1453</v>
      </c>
      <c r="B67" s="364">
        <v>45612</v>
      </c>
      <c r="C67" s="270" t="s">
        <v>1882</v>
      </c>
      <c r="D67" s="361">
        <v>45735</v>
      </c>
      <c r="E67" s="262" t="s">
        <v>1150</v>
      </c>
      <c r="F67" s="180" t="s">
        <v>1151</v>
      </c>
      <c r="G67" s="179" t="s">
        <v>133</v>
      </c>
      <c r="H67" s="181">
        <v>35574</v>
      </c>
      <c r="I67" s="182" t="s">
        <v>1948</v>
      </c>
      <c r="J67" s="272" t="s">
        <v>1152</v>
      </c>
      <c r="K67" s="179" t="s">
        <v>1153</v>
      </c>
      <c r="L67" s="181">
        <v>46973</v>
      </c>
      <c r="M67" s="181">
        <v>46341</v>
      </c>
      <c r="N67" s="181">
        <v>46370</v>
      </c>
      <c r="O67" s="9">
        <v>46346</v>
      </c>
      <c r="P67" s="68" t="s">
        <v>853</v>
      </c>
      <c r="Q67" s="157">
        <v>46360</v>
      </c>
      <c r="R67" s="183"/>
      <c r="S67" s="275"/>
      <c r="T67" s="179" t="s">
        <v>145</v>
      </c>
      <c r="U67" s="179"/>
    </row>
    <row r="68" spans="1:21" ht="26.25" customHeight="1" x14ac:dyDescent="0.25">
      <c r="A68" s="179" t="s">
        <v>1455</v>
      </c>
      <c r="B68" s="364">
        <v>45614</v>
      </c>
      <c r="C68" s="270" t="s">
        <v>1883</v>
      </c>
      <c r="D68" s="361">
        <v>45776</v>
      </c>
      <c r="E68" s="262" t="s">
        <v>1157</v>
      </c>
      <c r="F68" s="180" t="s">
        <v>1158</v>
      </c>
      <c r="G68" s="179" t="s">
        <v>133</v>
      </c>
      <c r="H68" s="181" t="s">
        <v>1159</v>
      </c>
      <c r="I68" s="182" t="s">
        <v>1948</v>
      </c>
      <c r="J68" s="272" t="s">
        <v>1160</v>
      </c>
      <c r="K68" s="179" t="s">
        <v>1161</v>
      </c>
      <c r="L68" s="181">
        <v>47991</v>
      </c>
      <c r="M68" s="181">
        <v>46344</v>
      </c>
      <c r="N68" s="181">
        <v>46373</v>
      </c>
      <c r="O68" s="9">
        <v>46348</v>
      </c>
      <c r="P68" s="68" t="s">
        <v>853</v>
      </c>
      <c r="Q68" s="157">
        <v>46360</v>
      </c>
      <c r="R68" s="183"/>
      <c r="S68" s="275"/>
      <c r="T68" s="179" t="s">
        <v>145</v>
      </c>
      <c r="U68" s="179"/>
    </row>
    <row r="69" spans="1:21" ht="26.25" customHeight="1" x14ac:dyDescent="0.25">
      <c r="A69" s="179" t="s">
        <v>1460</v>
      </c>
      <c r="B69" s="364">
        <v>45648</v>
      </c>
      <c r="C69" s="270" t="s">
        <v>1884</v>
      </c>
      <c r="D69" s="361" t="s">
        <v>1520</v>
      </c>
      <c r="E69" s="262" t="s">
        <v>1197</v>
      </c>
      <c r="F69" s="180" t="s">
        <v>1198</v>
      </c>
      <c r="G69" s="179" t="s">
        <v>133</v>
      </c>
      <c r="H69" s="181">
        <v>34413</v>
      </c>
      <c r="I69" s="182" t="s">
        <v>1948</v>
      </c>
      <c r="J69" s="310" t="s">
        <v>1199</v>
      </c>
      <c r="K69" s="179" t="s">
        <v>1725</v>
      </c>
      <c r="L69" s="181">
        <v>49814</v>
      </c>
      <c r="M69" s="181">
        <v>46195</v>
      </c>
      <c r="N69" s="181">
        <v>46377</v>
      </c>
      <c r="O69" s="9">
        <v>46366</v>
      </c>
      <c r="P69" s="309" t="s">
        <v>853</v>
      </c>
      <c r="Q69" s="174">
        <v>46391</v>
      </c>
      <c r="R69" s="183"/>
      <c r="S69" s="275"/>
      <c r="T69" s="179" t="s">
        <v>145</v>
      </c>
      <c r="U69" s="179"/>
    </row>
    <row r="70" spans="1:21" ht="26.25" customHeight="1" x14ac:dyDescent="0.25">
      <c r="A70" s="179" t="s">
        <v>1461</v>
      </c>
      <c r="B70" s="364">
        <v>45653</v>
      </c>
      <c r="C70" s="270" t="s">
        <v>1885</v>
      </c>
      <c r="D70" s="361">
        <v>45769</v>
      </c>
      <c r="E70" s="262" t="s">
        <v>1200</v>
      </c>
      <c r="F70" s="180" t="s">
        <v>561</v>
      </c>
      <c r="G70" s="179" t="s">
        <v>1014</v>
      </c>
      <c r="H70" s="181">
        <v>36213</v>
      </c>
      <c r="I70" s="182" t="s">
        <v>1948</v>
      </c>
      <c r="J70" s="272" t="s">
        <v>1201</v>
      </c>
      <c r="K70" s="179">
        <v>11399568</v>
      </c>
      <c r="L70" s="181">
        <v>47224</v>
      </c>
      <c r="M70" s="181">
        <v>46382</v>
      </c>
      <c r="N70" s="181">
        <v>46351</v>
      </c>
      <c r="O70" s="9">
        <v>46407</v>
      </c>
      <c r="P70" s="146" t="s">
        <v>853</v>
      </c>
      <c r="Q70" s="1">
        <v>46391</v>
      </c>
      <c r="R70" s="183"/>
      <c r="S70" s="275"/>
      <c r="T70" s="179" t="s">
        <v>145</v>
      </c>
      <c r="U70" s="179"/>
    </row>
    <row r="71" spans="1:21" ht="38.25" customHeight="1" x14ac:dyDescent="0.25">
      <c r="A71" s="179" t="s">
        <v>1462</v>
      </c>
      <c r="B71" s="364">
        <v>45653</v>
      </c>
      <c r="C71" s="270" t="s">
        <v>1885</v>
      </c>
      <c r="D71" s="361">
        <v>45767</v>
      </c>
      <c r="E71" s="262" t="s">
        <v>1207</v>
      </c>
      <c r="F71" s="180" t="s">
        <v>561</v>
      </c>
      <c r="G71" s="179" t="s">
        <v>1014</v>
      </c>
      <c r="H71" s="181">
        <v>35633</v>
      </c>
      <c r="I71" s="182" t="s">
        <v>1948</v>
      </c>
      <c r="J71" s="272" t="s">
        <v>1209</v>
      </c>
      <c r="K71" s="179" t="s">
        <v>1208</v>
      </c>
      <c r="L71" s="181">
        <v>48920</v>
      </c>
      <c r="M71" s="181">
        <v>46382</v>
      </c>
      <c r="N71" s="181">
        <v>46320</v>
      </c>
      <c r="O71" s="9">
        <v>46402</v>
      </c>
      <c r="P71" s="146" t="s">
        <v>853</v>
      </c>
      <c r="Q71" s="1">
        <v>46391</v>
      </c>
      <c r="R71" s="183"/>
      <c r="S71" s="275"/>
      <c r="T71" s="179" t="s">
        <v>145</v>
      </c>
      <c r="U71" s="179"/>
    </row>
    <row r="72" spans="1:21" ht="38.25" customHeight="1" x14ac:dyDescent="0.25">
      <c r="A72" s="179" t="s">
        <v>1463</v>
      </c>
      <c r="B72" s="364">
        <v>45654</v>
      </c>
      <c r="C72" s="270" t="s">
        <v>1886</v>
      </c>
      <c r="D72" s="361" t="s">
        <v>1515</v>
      </c>
      <c r="E72" s="346" t="s">
        <v>1202</v>
      </c>
      <c r="F72" s="180" t="s">
        <v>1203</v>
      </c>
      <c r="G72" s="179" t="s">
        <v>133</v>
      </c>
      <c r="H72" s="181" t="s">
        <v>1204</v>
      </c>
      <c r="I72" s="182" t="s">
        <v>1948</v>
      </c>
      <c r="J72" s="310" t="s">
        <v>1205</v>
      </c>
      <c r="K72" s="179" t="s">
        <v>1206</v>
      </c>
      <c r="L72" s="181">
        <v>47802</v>
      </c>
      <c r="M72" s="181">
        <v>46384</v>
      </c>
      <c r="N72" s="181">
        <v>46322</v>
      </c>
      <c r="O72" s="9">
        <v>46373</v>
      </c>
      <c r="P72" s="146" t="s">
        <v>853</v>
      </c>
      <c r="Q72" s="1">
        <v>46391</v>
      </c>
      <c r="R72" s="183"/>
      <c r="S72" s="275"/>
      <c r="T72" s="179" t="s">
        <v>145</v>
      </c>
      <c r="U72" s="179"/>
    </row>
    <row r="73" spans="1:21" ht="26.25" customHeight="1" x14ac:dyDescent="0.25">
      <c r="A73" s="179" t="s">
        <v>1464</v>
      </c>
      <c r="B73" s="364">
        <v>45657</v>
      </c>
      <c r="C73" s="270" t="s">
        <v>1887</v>
      </c>
      <c r="D73" s="361" t="s">
        <v>1521</v>
      </c>
      <c r="E73" s="262" t="s">
        <v>1723</v>
      </c>
      <c r="F73" s="180" t="s">
        <v>1211</v>
      </c>
      <c r="G73" s="179" t="s">
        <v>133</v>
      </c>
      <c r="H73" s="181">
        <v>32269</v>
      </c>
      <c r="I73" s="182" t="s">
        <v>1948</v>
      </c>
      <c r="J73" s="310" t="s">
        <v>1212</v>
      </c>
      <c r="K73" s="179" t="s">
        <v>1210</v>
      </c>
      <c r="L73" s="181">
        <v>48479</v>
      </c>
      <c r="M73" s="181">
        <v>46386</v>
      </c>
      <c r="N73" s="181">
        <v>46355</v>
      </c>
      <c r="O73" s="9">
        <v>46404</v>
      </c>
      <c r="P73" s="146" t="s">
        <v>853</v>
      </c>
      <c r="Q73" s="1">
        <v>46391</v>
      </c>
      <c r="R73" s="183"/>
      <c r="S73" s="275"/>
      <c r="T73" s="179" t="s">
        <v>145</v>
      </c>
      <c r="U73" s="179"/>
    </row>
    <row r="74" spans="1:21" ht="26.25" customHeight="1" x14ac:dyDescent="0.25">
      <c r="A74" s="179" t="s">
        <v>1466</v>
      </c>
      <c r="B74" s="364">
        <v>45670</v>
      </c>
      <c r="C74" s="270" t="s">
        <v>1888</v>
      </c>
      <c r="D74" s="361">
        <v>45754</v>
      </c>
      <c r="E74" s="262" t="s">
        <v>1224</v>
      </c>
      <c r="F74" s="180" t="s">
        <v>561</v>
      </c>
      <c r="G74" s="179" t="s">
        <v>659</v>
      </c>
      <c r="H74" s="181" t="s">
        <v>1225</v>
      </c>
      <c r="I74" s="182" t="s">
        <v>1948</v>
      </c>
      <c r="J74" s="272" t="s">
        <v>1226</v>
      </c>
      <c r="K74" s="179" t="s">
        <v>1227</v>
      </c>
      <c r="L74" s="181">
        <v>48876</v>
      </c>
      <c r="M74" s="181">
        <v>46400</v>
      </c>
      <c r="N74" s="181">
        <v>46368</v>
      </c>
      <c r="O74" s="9">
        <v>46398</v>
      </c>
      <c r="P74" s="309" t="s">
        <v>853</v>
      </c>
      <c r="Q74" s="174">
        <v>46413</v>
      </c>
      <c r="R74" s="183"/>
      <c r="S74" s="275"/>
      <c r="T74" s="179" t="s">
        <v>145</v>
      </c>
      <c r="U74" s="179"/>
    </row>
    <row r="75" spans="1:21" ht="26.25" customHeight="1" x14ac:dyDescent="0.25">
      <c r="A75" s="179" t="s">
        <v>1467</v>
      </c>
      <c r="B75" s="364">
        <v>45670</v>
      </c>
      <c r="C75" s="270" t="s">
        <v>1888</v>
      </c>
      <c r="D75" s="361">
        <v>45754</v>
      </c>
      <c r="E75" s="262" t="s">
        <v>1216</v>
      </c>
      <c r="F75" s="180" t="s">
        <v>1217</v>
      </c>
      <c r="G75" s="179" t="s">
        <v>659</v>
      </c>
      <c r="H75" s="181" t="s">
        <v>1218</v>
      </c>
      <c r="I75" s="182" t="s">
        <v>1948</v>
      </c>
      <c r="J75" s="272" t="s">
        <v>1219</v>
      </c>
      <c r="K75" s="179" t="s">
        <v>1220</v>
      </c>
      <c r="L75" s="181">
        <v>46731</v>
      </c>
      <c r="M75" s="181">
        <v>46400</v>
      </c>
      <c r="N75" s="181">
        <v>46430</v>
      </c>
      <c r="O75" s="9">
        <v>46427</v>
      </c>
      <c r="P75" s="309" t="s">
        <v>853</v>
      </c>
      <c r="Q75" s="174">
        <v>46413</v>
      </c>
      <c r="R75" s="183"/>
      <c r="S75" s="275"/>
      <c r="T75" s="179" t="s">
        <v>145</v>
      </c>
      <c r="U75" s="179"/>
    </row>
    <row r="76" spans="1:21" ht="26.25" customHeight="1" x14ac:dyDescent="0.25">
      <c r="A76" s="179" t="s">
        <v>1468</v>
      </c>
      <c r="B76" s="364">
        <v>45670</v>
      </c>
      <c r="C76" s="270" t="s">
        <v>1888</v>
      </c>
      <c r="D76" s="361">
        <v>45761</v>
      </c>
      <c r="E76" s="262" t="s">
        <v>1221</v>
      </c>
      <c r="F76" s="180" t="s">
        <v>561</v>
      </c>
      <c r="G76" s="179" t="s">
        <v>659</v>
      </c>
      <c r="H76" s="181">
        <v>32368</v>
      </c>
      <c r="I76" s="182" t="s">
        <v>1948</v>
      </c>
      <c r="J76" s="310" t="s">
        <v>1222</v>
      </c>
      <c r="K76" s="179" t="s">
        <v>1223</v>
      </c>
      <c r="L76" s="181">
        <v>48373</v>
      </c>
      <c r="M76" s="181">
        <v>46400</v>
      </c>
      <c r="N76" s="181">
        <v>46368</v>
      </c>
      <c r="O76" s="9">
        <v>46404</v>
      </c>
      <c r="P76" s="309" t="s">
        <v>853</v>
      </c>
      <c r="Q76" s="174">
        <v>46413</v>
      </c>
      <c r="R76" s="183"/>
      <c r="S76" s="275"/>
      <c r="T76" s="179" t="s">
        <v>145</v>
      </c>
      <c r="U76" s="179"/>
    </row>
    <row r="77" spans="1:21" ht="26.25" customHeight="1" x14ac:dyDescent="0.25">
      <c r="A77" s="179" t="s">
        <v>1469</v>
      </c>
      <c r="B77" s="364">
        <v>45673</v>
      </c>
      <c r="C77" s="270" t="s">
        <v>1889</v>
      </c>
      <c r="D77" s="361">
        <v>45754</v>
      </c>
      <c r="E77" s="262" t="s">
        <v>1213</v>
      </c>
      <c r="F77" s="180" t="s">
        <v>514</v>
      </c>
      <c r="G77" s="179" t="s">
        <v>1063</v>
      </c>
      <c r="H77" s="181">
        <v>37170</v>
      </c>
      <c r="I77" s="182" t="s">
        <v>1948</v>
      </c>
      <c r="J77" s="272" t="s">
        <v>1214</v>
      </c>
      <c r="K77" s="179" t="s">
        <v>1215</v>
      </c>
      <c r="L77" s="181">
        <v>48338</v>
      </c>
      <c r="M77" s="181">
        <v>46402</v>
      </c>
      <c r="N77" s="181">
        <v>46370</v>
      </c>
      <c r="O77" s="9">
        <v>46398</v>
      </c>
      <c r="P77" s="309" t="s">
        <v>853</v>
      </c>
      <c r="Q77" s="174">
        <v>46413</v>
      </c>
      <c r="R77" s="183"/>
      <c r="S77" s="275"/>
      <c r="T77" s="179" t="s">
        <v>145</v>
      </c>
      <c r="U77" s="179"/>
    </row>
    <row r="78" spans="1:21" ht="26.25" customHeight="1" x14ac:dyDescent="0.25">
      <c r="A78" s="179" t="s">
        <v>1470</v>
      </c>
      <c r="B78" s="364">
        <v>45679</v>
      </c>
      <c r="C78" s="270" t="s">
        <v>1890</v>
      </c>
      <c r="D78" s="361">
        <v>45754</v>
      </c>
      <c r="E78" s="262" t="s">
        <v>1252</v>
      </c>
      <c r="F78" s="180" t="s">
        <v>514</v>
      </c>
      <c r="G78" s="179" t="s">
        <v>131</v>
      </c>
      <c r="H78" s="181" t="s">
        <v>1253</v>
      </c>
      <c r="I78" s="182" t="s">
        <v>1948</v>
      </c>
      <c r="J78" s="310" t="s">
        <v>1254</v>
      </c>
      <c r="K78" s="179" t="s">
        <v>1255</v>
      </c>
      <c r="L78" s="181">
        <v>48959</v>
      </c>
      <c r="M78" s="181">
        <v>46409</v>
      </c>
      <c r="N78" s="181">
        <v>46347</v>
      </c>
      <c r="O78" s="9">
        <v>46404</v>
      </c>
      <c r="P78" s="309" t="s">
        <v>853</v>
      </c>
      <c r="Q78" s="174">
        <v>46433</v>
      </c>
      <c r="R78" s="183"/>
      <c r="S78" s="275"/>
      <c r="T78" s="179"/>
      <c r="U78" s="179"/>
    </row>
    <row r="79" spans="1:21" ht="38.25" customHeight="1" x14ac:dyDescent="0.25">
      <c r="A79" s="179" t="s">
        <v>1471</v>
      </c>
      <c r="B79" s="364">
        <v>45679</v>
      </c>
      <c r="C79" s="270" t="s">
        <v>1890</v>
      </c>
      <c r="D79" s="361">
        <v>45755</v>
      </c>
      <c r="E79" s="262" t="s">
        <v>1243</v>
      </c>
      <c r="F79" s="180" t="s">
        <v>1244</v>
      </c>
      <c r="G79" s="179" t="s">
        <v>131</v>
      </c>
      <c r="H79" s="181" t="s">
        <v>1245</v>
      </c>
      <c r="I79" s="182" t="s">
        <v>1948</v>
      </c>
      <c r="J79" s="310" t="s">
        <v>1246</v>
      </c>
      <c r="K79" s="179" t="s">
        <v>1247</v>
      </c>
      <c r="L79" s="181">
        <v>48448</v>
      </c>
      <c r="M79" s="181">
        <v>46409</v>
      </c>
      <c r="N79" s="181">
        <v>46224</v>
      </c>
      <c r="O79" s="9">
        <v>46428</v>
      </c>
      <c r="P79" s="309" t="s">
        <v>853</v>
      </c>
      <c r="Q79" s="174">
        <v>46433</v>
      </c>
      <c r="R79" s="183"/>
      <c r="S79" s="275"/>
      <c r="T79" s="179"/>
      <c r="U79" s="179"/>
    </row>
    <row r="80" spans="1:21" ht="26.25" customHeight="1" x14ac:dyDescent="0.25">
      <c r="A80" s="179" t="s">
        <v>1472</v>
      </c>
      <c r="B80" s="364">
        <v>45679</v>
      </c>
      <c r="C80" s="270" t="s">
        <v>1890</v>
      </c>
      <c r="D80" s="361">
        <v>45754</v>
      </c>
      <c r="E80" s="262" t="s">
        <v>1248</v>
      </c>
      <c r="F80" s="180" t="s">
        <v>561</v>
      </c>
      <c r="G80" s="179" t="s">
        <v>131</v>
      </c>
      <c r="H80" s="181" t="s">
        <v>1249</v>
      </c>
      <c r="I80" s="182" t="s">
        <v>1948</v>
      </c>
      <c r="J80" s="310" t="s">
        <v>1250</v>
      </c>
      <c r="K80" s="179" t="s">
        <v>1251</v>
      </c>
      <c r="L80" s="181">
        <v>48944</v>
      </c>
      <c r="M80" s="181">
        <v>46409</v>
      </c>
      <c r="N80" s="181">
        <v>46377</v>
      </c>
      <c r="O80" s="9">
        <v>46404</v>
      </c>
      <c r="P80" s="309" t="s">
        <v>853</v>
      </c>
      <c r="Q80" s="174">
        <v>46433</v>
      </c>
      <c r="R80" s="183"/>
      <c r="S80" s="275"/>
      <c r="T80" s="179"/>
      <c r="U80" s="179"/>
    </row>
    <row r="81" spans="1:21" ht="26.25" customHeight="1" x14ac:dyDescent="0.25">
      <c r="A81" s="179" t="s">
        <v>1475</v>
      </c>
      <c r="B81" s="364">
        <v>45707</v>
      </c>
      <c r="C81" s="270" t="s">
        <v>1891</v>
      </c>
      <c r="D81" s="361" t="s">
        <v>1516</v>
      </c>
      <c r="E81" s="262" t="s">
        <v>1265</v>
      </c>
      <c r="F81" s="180" t="s">
        <v>520</v>
      </c>
      <c r="G81" s="179" t="s">
        <v>131</v>
      </c>
      <c r="H81" s="181" t="s">
        <v>1266</v>
      </c>
      <c r="I81" s="182" t="s">
        <v>1948</v>
      </c>
      <c r="J81" s="272" t="s">
        <v>1739</v>
      </c>
      <c r="K81" s="179" t="s">
        <v>1719</v>
      </c>
      <c r="L81" s="181">
        <v>49796</v>
      </c>
      <c r="M81" s="181">
        <v>46193</v>
      </c>
      <c r="N81" s="181">
        <v>46374</v>
      </c>
      <c r="O81" s="9">
        <v>46428</v>
      </c>
      <c r="P81" s="309" t="s">
        <v>853</v>
      </c>
      <c r="Q81" s="174">
        <v>46455</v>
      </c>
      <c r="R81" s="183"/>
      <c r="S81" s="275"/>
      <c r="T81" s="179"/>
      <c r="U81" s="179"/>
    </row>
    <row r="82" spans="1:21" ht="26.25" customHeight="1" x14ac:dyDescent="0.25">
      <c r="A82" s="179" t="s">
        <v>1477</v>
      </c>
      <c r="B82" s="364">
        <v>45723</v>
      </c>
      <c r="C82" s="270" t="s">
        <v>1892</v>
      </c>
      <c r="D82" s="361" t="s">
        <v>1521</v>
      </c>
      <c r="E82" s="262" t="s">
        <v>1281</v>
      </c>
      <c r="F82" s="180" t="s">
        <v>514</v>
      </c>
      <c r="G82" s="179" t="s">
        <v>131</v>
      </c>
      <c r="H82" s="181" t="s">
        <v>1282</v>
      </c>
      <c r="I82" s="182" t="s">
        <v>1948</v>
      </c>
      <c r="J82" s="272" t="s">
        <v>1283</v>
      </c>
      <c r="K82" s="179" t="s">
        <v>1284</v>
      </c>
      <c r="L82" s="181">
        <v>48453</v>
      </c>
      <c r="M82" s="181">
        <v>46453</v>
      </c>
      <c r="N82" s="181">
        <v>46483</v>
      </c>
      <c r="O82" s="9">
        <v>46463</v>
      </c>
      <c r="P82" s="309" t="s">
        <v>853</v>
      </c>
      <c r="Q82" s="174">
        <v>46488</v>
      </c>
      <c r="R82" s="183"/>
      <c r="S82" s="275"/>
      <c r="T82" s="179"/>
      <c r="U82" s="179"/>
    </row>
    <row r="83" spans="1:21" ht="26.25" customHeight="1" x14ac:dyDescent="0.25">
      <c r="A83" s="179" t="s">
        <v>1478</v>
      </c>
      <c r="B83" s="364">
        <v>45807</v>
      </c>
      <c r="C83" s="270" t="s">
        <v>1893</v>
      </c>
      <c r="D83" s="361">
        <v>45806</v>
      </c>
      <c r="E83" s="262" t="s">
        <v>1295</v>
      </c>
      <c r="F83" s="180" t="s">
        <v>561</v>
      </c>
      <c r="G83" s="179" t="s">
        <v>131</v>
      </c>
      <c r="H83" s="181">
        <v>31986</v>
      </c>
      <c r="I83" s="182" t="s">
        <v>1948</v>
      </c>
      <c r="J83" s="272" t="s">
        <v>1296</v>
      </c>
      <c r="K83" s="278" t="s">
        <v>1297</v>
      </c>
      <c r="L83" s="181">
        <v>48695</v>
      </c>
      <c r="M83" s="181">
        <v>46536</v>
      </c>
      <c r="N83" s="181">
        <v>46384</v>
      </c>
      <c r="O83" s="9">
        <v>46507</v>
      </c>
      <c r="P83" s="309" t="s">
        <v>1309</v>
      </c>
      <c r="Q83" s="174">
        <v>46546</v>
      </c>
      <c r="R83" s="183"/>
      <c r="S83" s="275"/>
      <c r="T83" s="179"/>
      <c r="U83" s="179"/>
    </row>
    <row r="84" spans="1:21" ht="26.25" customHeight="1" x14ac:dyDescent="0.25">
      <c r="A84" s="179" t="s">
        <v>1479</v>
      </c>
      <c r="B84" s="364">
        <v>45807</v>
      </c>
      <c r="C84" s="270" t="s">
        <v>1893</v>
      </c>
      <c r="D84" s="361">
        <v>45806</v>
      </c>
      <c r="E84" s="262" t="s">
        <v>1298</v>
      </c>
      <c r="F84" s="180" t="s">
        <v>561</v>
      </c>
      <c r="G84" s="179" t="s">
        <v>131</v>
      </c>
      <c r="H84" s="181" t="s">
        <v>1299</v>
      </c>
      <c r="I84" s="182" t="s">
        <v>1948</v>
      </c>
      <c r="J84" s="272" t="s">
        <v>1300</v>
      </c>
      <c r="K84" s="278" t="s">
        <v>1301</v>
      </c>
      <c r="L84" s="181">
        <v>48953</v>
      </c>
      <c r="M84" s="181">
        <v>46536</v>
      </c>
      <c r="N84" s="181">
        <v>46384</v>
      </c>
      <c r="O84" s="9">
        <v>46507</v>
      </c>
      <c r="P84" s="309" t="s">
        <v>1309</v>
      </c>
      <c r="Q84" s="174">
        <v>46546</v>
      </c>
      <c r="R84" s="183"/>
      <c r="S84" s="275"/>
      <c r="T84" s="179"/>
      <c r="U84" s="179"/>
    </row>
    <row r="85" spans="1:21" ht="26.25" customHeight="1" x14ac:dyDescent="0.25">
      <c r="A85" s="179" t="s">
        <v>1481</v>
      </c>
      <c r="B85" s="364">
        <v>45812</v>
      </c>
      <c r="C85" s="270" t="s">
        <v>1894</v>
      </c>
      <c r="D85" s="361">
        <v>45812</v>
      </c>
      <c r="E85" s="262" t="s">
        <v>1305</v>
      </c>
      <c r="F85" s="180" t="s">
        <v>630</v>
      </c>
      <c r="G85" s="179" t="s">
        <v>131</v>
      </c>
      <c r="H85" s="181">
        <v>29300</v>
      </c>
      <c r="I85" s="182" t="s">
        <v>1948</v>
      </c>
      <c r="J85" s="272" t="s">
        <v>1306</v>
      </c>
      <c r="K85" s="278" t="s">
        <v>1307</v>
      </c>
      <c r="L85" s="181">
        <v>48470</v>
      </c>
      <c r="M85" s="181">
        <v>46542</v>
      </c>
      <c r="N85" s="181">
        <v>46359</v>
      </c>
      <c r="O85" s="9">
        <v>46514</v>
      </c>
      <c r="P85" s="309" t="s">
        <v>1309</v>
      </c>
      <c r="Q85" s="174">
        <v>46546</v>
      </c>
      <c r="R85" s="183"/>
      <c r="S85" s="275"/>
      <c r="T85" s="179"/>
      <c r="U85" s="179"/>
    </row>
    <row r="86" spans="1:21" ht="38.25" customHeight="1" x14ac:dyDescent="0.25">
      <c r="A86" s="179" t="s">
        <v>1346</v>
      </c>
      <c r="B86" s="364">
        <v>45826</v>
      </c>
      <c r="C86" s="270" t="s">
        <v>1895</v>
      </c>
      <c r="D86" s="361">
        <v>45825</v>
      </c>
      <c r="E86" s="262" t="s">
        <v>1318</v>
      </c>
      <c r="F86" s="180" t="s">
        <v>520</v>
      </c>
      <c r="G86" s="179" t="s">
        <v>131</v>
      </c>
      <c r="H86" s="181">
        <v>34701</v>
      </c>
      <c r="I86" s="182" t="s">
        <v>1948</v>
      </c>
      <c r="J86" s="272" t="s">
        <v>1320</v>
      </c>
      <c r="K86" s="278" t="s">
        <v>1321</v>
      </c>
      <c r="L86" s="181">
        <v>49307</v>
      </c>
      <c r="M86" s="181">
        <v>46555</v>
      </c>
      <c r="N86" s="181">
        <v>46493</v>
      </c>
      <c r="O86" s="9">
        <v>46525</v>
      </c>
      <c r="P86" s="309" t="s">
        <v>1309</v>
      </c>
      <c r="Q86" s="174">
        <v>46566</v>
      </c>
      <c r="R86" s="183"/>
      <c r="S86" s="275"/>
      <c r="T86" s="179"/>
      <c r="U86" s="179"/>
    </row>
    <row r="87" spans="1:21" ht="26.25" customHeight="1" x14ac:dyDescent="0.25">
      <c r="A87" s="179" t="s">
        <v>1345</v>
      </c>
      <c r="B87" s="364">
        <v>45837</v>
      </c>
      <c r="C87" s="270" t="s">
        <v>1896</v>
      </c>
      <c r="D87" s="361">
        <v>45836</v>
      </c>
      <c r="E87" s="262" t="s">
        <v>1341</v>
      </c>
      <c r="F87" s="180" t="s">
        <v>830</v>
      </c>
      <c r="G87" s="179" t="s">
        <v>133</v>
      </c>
      <c r="H87" s="181" t="s">
        <v>1344</v>
      </c>
      <c r="I87" s="182" t="s">
        <v>1948</v>
      </c>
      <c r="J87" s="272" t="s">
        <v>1343</v>
      </c>
      <c r="K87" s="179" t="s">
        <v>1342</v>
      </c>
      <c r="L87" s="181">
        <v>47072</v>
      </c>
      <c r="M87" s="181">
        <v>46566</v>
      </c>
      <c r="N87" s="181">
        <v>46383</v>
      </c>
      <c r="O87" s="9">
        <v>46517</v>
      </c>
      <c r="P87" s="309" t="s">
        <v>1309</v>
      </c>
      <c r="Q87" s="174">
        <v>46577</v>
      </c>
      <c r="R87" s="183"/>
      <c r="S87" s="275"/>
      <c r="T87" s="179"/>
      <c r="U87" s="179"/>
    </row>
    <row r="88" spans="1:21" ht="26.25" customHeight="1" x14ac:dyDescent="0.25">
      <c r="A88" s="179" t="s">
        <v>1340</v>
      </c>
      <c r="B88" s="364">
        <v>45837</v>
      </c>
      <c r="C88" s="270" t="s">
        <v>1896</v>
      </c>
      <c r="D88" s="361">
        <v>45836</v>
      </c>
      <c r="E88" s="262" t="s">
        <v>1763</v>
      </c>
      <c r="F88" s="180" t="s">
        <v>1055</v>
      </c>
      <c r="G88" s="179" t="s">
        <v>133</v>
      </c>
      <c r="H88" s="181">
        <v>31340</v>
      </c>
      <c r="I88" s="182" t="s">
        <v>1948</v>
      </c>
      <c r="J88" s="272" t="s">
        <v>1337</v>
      </c>
      <c r="K88" s="179" t="s">
        <v>1338</v>
      </c>
      <c r="L88" s="181">
        <v>47196</v>
      </c>
      <c r="M88" s="181">
        <v>46566</v>
      </c>
      <c r="N88" s="181">
        <v>46383</v>
      </c>
      <c r="O88" s="9">
        <v>46525</v>
      </c>
      <c r="P88" s="309" t="s">
        <v>1309</v>
      </c>
      <c r="Q88" s="174">
        <v>46577</v>
      </c>
      <c r="R88" s="183"/>
      <c r="S88" s="275"/>
      <c r="T88" s="179"/>
      <c r="U88" s="179"/>
    </row>
    <row r="89" spans="1:21" ht="26.25" customHeight="1" x14ac:dyDescent="0.25">
      <c r="A89" s="179" t="s">
        <v>1331</v>
      </c>
      <c r="B89" s="364">
        <v>45841</v>
      </c>
      <c r="C89" s="270" t="s">
        <v>1897</v>
      </c>
      <c r="D89" s="361">
        <v>45837</v>
      </c>
      <c r="E89" s="262" t="s">
        <v>1328</v>
      </c>
      <c r="F89" s="180" t="s">
        <v>561</v>
      </c>
      <c r="G89" s="179" t="s">
        <v>131</v>
      </c>
      <c r="H89" s="181">
        <v>36702</v>
      </c>
      <c r="I89" s="182" t="s">
        <v>1948</v>
      </c>
      <c r="J89" s="272" t="s">
        <v>1329</v>
      </c>
      <c r="K89" s="179" t="s">
        <v>1330</v>
      </c>
      <c r="L89" s="181">
        <v>48582</v>
      </c>
      <c r="M89" s="181">
        <v>46567</v>
      </c>
      <c r="N89" s="181">
        <v>46384</v>
      </c>
      <c r="O89" s="9">
        <v>46548</v>
      </c>
      <c r="P89" s="309" t="s">
        <v>1309</v>
      </c>
      <c r="Q89" s="174">
        <v>46577</v>
      </c>
      <c r="R89" s="183"/>
      <c r="S89" s="275"/>
      <c r="T89" s="179"/>
      <c r="U89" s="179"/>
    </row>
    <row r="90" spans="1:21" ht="26.25" customHeight="1" x14ac:dyDescent="0.25">
      <c r="A90" s="179" t="s">
        <v>1339</v>
      </c>
      <c r="B90" s="364">
        <v>45841</v>
      </c>
      <c r="C90" s="270" t="s">
        <v>1897</v>
      </c>
      <c r="D90" s="361">
        <v>45840</v>
      </c>
      <c r="E90" s="262" t="s">
        <v>1347</v>
      </c>
      <c r="F90" s="180" t="s">
        <v>561</v>
      </c>
      <c r="G90" s="179" t="s">
        <v>131</v>
      </c>
      <c r="H90" s="181">
        <v>37791</v>
      </c>
      <c r="I90" s="182" t="s">
        <v>1948</v>
      </c>
      <c r="J90" s="272" t="s">
        <v>1712</v>
      </c>
      <c r="K90" s="179" t="s">
        <v>1348</v>
      </c>
      <c r="L90" s="181">
        <v>49139</v>
      </c>
      <c r="M90" s="181">
        <v>46570</v>
      </c>
      <c r="N90" s="181">
        <v>46382</v>
      </c>
      <c r="O90" s="9">
        <v>46556</v>
      </c>
      <c r="P90" s="309" t="s">
        <v>1309</v>
      </c>
      <c r="Q90" s="174">
        <v>46537</v>
      </c>
      <c r="R90" s="183"/>
      <c r="S90" s="275"/>
      <c r="T90" s="179"/>
      <c r="U90" s="179"/>
    </row>
    <row r="91" spans="1:21" ht="26.25" customHeight="1" x14ac:dyDescent="0.25">
      <c r="A91" s="179" t="s">
        <v>1364</v>
      </c>
      <c r="B91" s="364">
        <v>45881</v>
      </c>
      <c r="C91" s="270" t="s">
        <v>1898</v>
      </c>
      <c r="D91" s="361">
        <v>45880</v>
      </c>
      <c r="E91" s="262" t="s">
        <v>1360</v>
      </c>
      <c r="F91" s="180" t="s">
        <v>1361</v>
      </c>
      <c r="G91" s="179" t="s">
        <v>659</v>
      </c>
      <c r="H91" s="181">
        <v>28564</v>
      </c>
      <c r="I91" s="182" t="s">
        <v>1948</v>
      </c>
      <c r="J91" s="272" t="s">
        <v>1362</v>
      </c>
      <c r="K91" s="179" t="s">
        <v>1363</v>
      </c>
      <c r="L91" s="181">
        <v>48883</v>
      </c>
      <c r="M91" s="181">
        <v>46610</v>
      </c>
      <c r="N91" s="181">
        <v>46366</v>
      </c>
      <c r="O91" s="9">
        <v>46580</v>
      </c>
      <c r="P91" s="309" t="s">
        <v>1309</v>
      </c>
      <c r="Q91" s="174">
        <v>46642</v>
      </c>
      <c r="R91" s="183"/>
      <c r="S91" s="275"/>
      <c r="T91" s="179"/>
      <c r="U91" s="179"/>
    </row>
    <row r="92" spans="1:21" ht="38.25" customHeight="1" x14ac:dyDescent="0.25">
      <c r="A92" s="179" t="s">
        <v>1498</v>
      </c>
      <c r="B92" s="364">
        <v>45882</v>
      </c>
      <c r="C92" s="270" t="s">
        <v>1899</v>
      </c>
      <c r="D92" s="361">
        <v>45922</v>
      </c>
      <c r="E92" s="262" t="s">
        <v>1499</v>
      </c>
      <c r="F92" s="180" t="s">
        <v>561</v>
      </c>
      <c r="G92" s="179" t="s">
        <v>131</v>
      </c>
      <c r="H92" s="181" t="s">
        <v>1501</v>
      </c>
      <c r="I92" s="182" t="s">
        <v>1948</v>
      </c>
      <c r="J92" s="272" t="s">
        <v>1502</v>
      </c>
      <c r="K92" s="179" t="s">
        <v>1500</v>
      </c>
      <c r="L92" s="181">
        <v>49132</v>
      </c>
      <c r="M92" s="181">
        <v>46652</v>
      </c>
      <c r="N92" s="181">
        <v>46498</v>
      </c>
      <c r="O92" s="9">
        <v>46656</v>
      </c>
      <c r="P92" s="309" t="s">
        <v>1309</v>
      </c>
      <c r="Q92" s="174">
        <v>46656</v>
      </c>
      <c r="R92" s="183"/>
      <c r="S92" s="275"/>
      <c r="T92" s="179"/>
      <c r="U92" s="179"/>
    </row>
    <row r="93" spans="1:21" ht="26.25" customHeight="1" x14ac:dyDescent="0.25">
      <c r="A93" s="179" t="s">
        <v>1368</v>
      </c>
      <c r="B93" s="364">
        <v>45883</v>
      </c>
      <c r="C93" s="270" t="s">
        <v>1900</v>
      </c>
      <c r="D93" s="364" t="s">
        <v>1948</v>
      </c>
      <c r="E93" s="339" t="s">
        <v>1369</v>
      </c>
      <c r="F93" s="180" t="s">
        <v>561</v>
      </c>
      <c r="G93" s="179" t="s">
        <v>659</v>
      </c>
      <c r="H93" s="181">
        <v>37380</v>
      </c>
      <c r="I93" s="182" t="s">
        <v>1948</v>
      </c>
      <c r="J93" s="272" t="s">
        <v>1750</v>
      </c>
      <c r="K93" s="179" t="s">
        <v>1370</v>
      </c>
      <c r="L93" s="181">
        <v>48483</v>
      </c>
      <c r="M93" s="181" t="s">
        <v>1948</v>
      </c>
      <c r="N93" s="181">
        <v>46350</v>
      </c>
      <c r="O93" s="9">
        <v>46538</v>
      </c>
      <c r="P93" s="309" t="s">
        <v>1948</v>
      </c>
      <c r="Q93" s="174">
        <v>46537</v>
      </c>
      <c r="R93" s="183"/>
      <c r="S93" s="275"/>
      <c r="T93" s="179"/>
      <c r="U93" s="179"/>
    </row>
    <row r="94" spans="1:21" ht="38.25" customHeight="1" x14ac:dyDescent="0.25">
      <c r="A94" s="179" t="s">
        <v>1488</v>
      </c>
      <c r="B94" s="364">
        <v>45912</v>
      </c>
      <c r="C94" s="270" t="s">
        <v>1901</v>
      </c>
      <c r="D94" s="361">
        <v>45911</v>
      </c>
      <c r="E94" s="262" t="s">
        <v>1489</v>
      </c>
      <c r="F94" s="180" t="s">
        <v>561</v>
      </c>
      <c r="G94" s="179" t="s">
        <v>131</v>
      </c>
      <c r="H94" s="181">
        <v>37622</v>
      </c>
      <c r="I94" s="182" t="s">
        <v>1948</v>
      </c>
      <c r="J94" s="272" t="s">
        <v>1490</v>
      </c>
      <c r="K94" s="179" t="s">
        <v>1491</v>
      </c>
      <c r="L94" s="181">
        <v>48649</v>
      </c>
      <c r="M94" s="181">
        <v>46641</v>
      </c>
      <c r="N94" s="181">
        <v>46305</v>
      </c>
      <c r="O94" s="9">
        <v>46626</v>
      </c>
      <c r="P94" s="309" t="s">
        <v>1309</v>
      </c>
      <c r="Q94" s="174">
        <v>46656</v>
      </c>
      <c r="R94" s="183"/>
      <c r="S94" s="275"/>
      <c r="T94" s="179"/>
      <c r="U94" s="179"/>
    </row>
    <row r="95" spans="1:21" ht="38.25" customHeight="1" x14ac:dyDescent="0.25">
      <c r="A95" s="179" t="s">
        <v>1505</v>
      </c>
      <c r="B95" s="364">
        <v>45929</v>
      </c>
      <c r="C95" s="270" t="s">
        <v>1902</v>
      </c>
      <c r="D95" s="361">
        <v>45928</v>
      </c>
      <c r="E95" s="262" t="s">
        <v>1506</v>
      </c>
      <c r="F95" s="180" t="s">
        <v>520</v>
      </c>
      <c r="G95" s="179" t="s">
        <v>659</v>
      </c>
      <c r="H95" s="181" t="s">
        <v>1507</v>
      </c>
      <c r="I95" s="182" t="s">
        <v>1948</v>
      </c>
      <c r="J95" s="272" t="s">
        <v>1508</v>
      </c>
      <c r="K95" s="179" t="s">
        <v>1509</v>
      </c>
      <c r="L95" s="181">
        <v>47482</v>
      </c>
      <c r="M95" s="181">
        <v>46658</v>
      </c>
      <c r="N95" s="181">
        <v>46383</v>
      </c>
      <c r="O95" s="9">
        <v>46644</v>
      </c>
      <c r="P95" s="309" t="s">
        <v>1309</v>
      </c>
      <c r="Q95" s="174">
        <v>46666</v>
      </c>
      <c r="R95" s="183"/>
      <c r="S95" s="275"/>
      <c r="T95" s="179"/>
      <c r="U95" s="179"/>
    </row>
    <row r="96" spans="1:21" ht="26.25" customHeight="1" x14ac:dyDescent="0.25">
      <c r="A96" s="179" t="s">
        <v>1510</v>
      </c>
      <c r="B96" s="364">
        <v>45935</v>
      </c>
      <c r="C96" s="270" t="s">
        <v>1903</v>
      </c>
      <c r="D96" s="361" t="s">
        <v>1522</v>
      </c>
      <c r="E96" s="262" t="s">
        <v>1511</v>
      </c>
      <c r="F96" s="180" t="s">
        <v>561</v>
      </c>
      <c r="G96" s="179" t="s">
        <v>131</v>
      </c>
      <c r="H96" s="181">
        <v>39031</v>
      </c>
      <c r="I96" s="182" t="s">
        <v>1948</v>
      </c>
      <c r="J96" s="272" t="s">
        <v>1711</v>
      </c>
      <c r="K96" s="179" t="s">
        <v>1512</v>
      </c>
      <c r="L96" s="181">
        <v>47127</v>
      </c>
      <c r="M96" s="181" t="s">
        <v>1049</v>
      </c>
      <c r="N96" s="181">
        <v>46381</v>
      </c>
      <c r="O96" s="9">
        <v>46648</v>
      </c>
      <c r="P96" s="309" t="s">
        <v>1540</v>
      </c>
      <c r="Q96" s="174">
        <v>46510</v>
      </c>
      <c r="R96" s="183"/>
      <c r="S96" s="275"/>
      <c r="T96" s="179"/>
      <c r="U96" s="179"/>
    </row>
    <row r="97" spans="1:21" ht="38.25" customHeight="1" x14ac:dyDescent="0.25">
      <c r="A97" s="179" t="s">
        <v>1528</v>
      </c>
      <c r="B97" s="364">
        <v>45944</v>
      </c>
      <c r="C97" s="270" t="s">
        <v>1904</v>
      </c>
      <c r="D97" s="361">
        <v>45943</v>
      </c>
      <c r="E97" s="262" t="s">
        <v>1529</v>
      </c>
      <c r="F97" s="180" t="s">
        <v>561</v>
      </c>
      <c r="G97" s="179" t="s">
        <v>396</v>
      </c>
      <c r="H97" s="181" t="s">
        <v>1532</v>
      </c>
      <c r="I97" s="182" t="s">
        <v>1948</v>
      </c>
      <c r="J97" s="272" t="s">
        <v>1531</v>
      </c>
      <c r="K97" s="179" t="s">
        <v>1530</v>
      </c>
      <c r="L97" s="181">
        <v>49187</v>
      </c>
      <c r="M97" s="181">
        <v>46673</v>
      </c>
      <c r="N97" s="181">
        <v>46338</v>
      </c>
      <c r="O97" s="9">
        <v>46656</v>
      </c>
      <c r="P97" s="309" t="s">
        <v>1540</v>
      </c>
      <c r="Q97" s="174">
        <v>46310</v>
      </c>
      <c r="R97" s="183"/>
      <c r="S97" s="275"/>
      <c r="T97" s="179"/>
      <c r="U97" s="179"/>
    </row>
    <row r="98" spans="1:21" ht="38.25" customHeight="1" x14ac:dyDescent="0.25">
      <c r="A98" s="179" t="s">
        <v>1539</v>
      </c>
      <c r="B98" s="364">
        <v>45945</v>
      </c>
      <c r="C98" s="270" t="s">
        <v>1905</v>
      </c>
      <c r="D98" s="361">
        <v>45949</v>
      </c>
      <c r="E98" s="262" t="s">
        <v>1535</v>
      </c>
      <c r="F98" s="180" t="s">
        <v>1128</v>
      </c>
      <c r="G98" s="179" t="s">
        <v>659</v>
      </c>
      <c r="H98" s="181" t="s">
        <v>1538</v>
      </c>
      <c r="I98" s="182" t="s">
        <v>1948</v>
      </c>
      <c r="J98" s="272" t="s">
        <v>1537</v>
      </c>
      <c r="K98" s="179" t="s">
        <v>1536</v>
      </c>
      <c r="L98" s="181">
        <v>48812</v>
      </c>
      <c r="M98" s="181">
        <v>46679</v>
      </c>
      <c r="N98" s="181">
        <v>46313</v>
      </c>
      <c r="O98" s="9">
        <v>46657</v>
      </c>
      <c r="P98" s="309" t="s">
        <v>1540</v>
      </c>
      <c r="Q98" s="174">
        <v>46316</v>
      </c>
      <c r="R98" s="183"/>
      <c r="S98" s="275"/>
      <c r="T98" s="179"/>
      <c r="U98" s="179"/>
    </row>
    <row r="99" spans="1:21" ht="25.5" customHeight="1" x14ac:dyDescent="0.25">
      <c r="A99" s="179" t="s">
        <v>1542</v>
      </c>
      <c r="B99" s="364">
        <v>45956</v>
      </c>
      <c r="C99" s="270" t="s">
        <v>1906</v>
      </c>
      <c r="D99" s="361">
        <v>45955</v>
      </c>
      <c r="E99" s="262" t="s">
        <v>1546</v>
      </c>
      <c r="F99" s="180" t="s">
        <v>561</v>
      </c>
      <c r="G99" s="179" t="s">
        <v>131</v>
      </c>
      <c r="H99" s="181">
        <v>37284</v>
      </c>
      <c r="I99" s="182" t="s">
        <v>1948</v>
      </c>
      <c r="J99" s="272" t="s">
        <v>1548</v>
      </c>
      <c r="K99" s="179" t="s">
        <v>1547</v>
      </c>
      <c r="L99" s="181">
        <v>48797</v>
      </c>
      <c r="M99" s="181" t="s">
        <v>1948</v>
      </c>
      <c r="N99" s="181">
        <v>46350</v>
      </c>
      <c r="O99" s="9">
        <v>46320</v>
      </c>
      <c r="P99" s="309" t="s">
        <v>1540</v>
      </c>
      <c r="Q99" s="174">
        <v>46321</v>
      </c>
      <c r="R99" s="183"/>
      <c r="S99" s="275"/>
      <c r="T99" s="179"/>
      <c r="U99" s="179"/>
    </row>
    <row r="100" spans="1:21" ht="25.5" customHeight="1" x14ac:dyDescent="0.25">
      <c r="A100" s="179" t="s">
        <v>1543</v>
      </c>
      <c r="B100" s="364">
        <v>45956</v>
      </c>
      <c r="C100" s="270" t="s">
        <v>1906</v>
      </c>
      <c r="D100" s="361">
        <v>45955</v>
      </c>
      <c r="E100" s="262" t="s">
        <v>1549</v>
      </c>
      <c r="F100" s="180" t="s">
        <v>561</v>
      </c>
      <c r="G100" s="179" t="s">
        <v>131</v>
      </c>
      <c r="H100" s="181">
        <v>33571</v>
      </c>
      <c r="I100" s="182" t="s">
        <v>1948</v>
      </c>
      <c r="J100" s="272" t="s">
        <v>1551</v>
      </c>
      <c r="K100" s="179" t="s">
        <v>1550</v>
      </c>
      <c r="L100" s="181">
        <v>49266</v>
      </c>
      <c r="M100" s="181" t="s">
        <v>1948</v>
      </c>
      <c r="N100" s="181">
        <v>46350</v>
      </c>
      <c r="O100" s="9">
        <v>46320</v>
      </c>
      <c r="P100" s="309" t="s">
        <v>1540</v>
      </c>
      <c r="Q100" s="174">
        <v>46321</v>
      </c>
      <c r="R100" s="183"/>
      <c r="S100" s="275"/>
      <c r="T100" s="179"/>
      <c r="U100" s="179"/>
    </row>
    <row r="101" spans="1:21" ht="25.5" customHeight="1" x14ac:dyDescent="0.25">
      <c r="A101" s="179" t="s">
        <v>1544</v>
      </c>
      <c r="B101" s="364">
        <v>45956</v>
      </c>
      <c r="C101" s="270" t="s">
        <v>1906</v>
      </c>
      <c r="D101" s="361">
        <v>45955</v>
      </c>
      <c r="E101" s="262" t="s">
        <v>1552</v>
      </c>
      <c r="F101" s="180" t="s">
        <v>561</v>
      </c>
      <c r="G101" s="179" t="s">
        <v>131</v>
      </c>
      <c r="H101" s="181">
        <v>37714</v>
      </c>
      <c r="I101" s="182" t="s">
        <v>1948</v>
      </c>
      <c r="J101" s="272" t="s">
        <v>1554</v>
      </c>
      <c r="K101" s="179" t="s">
        <v>1553</v>
      </c>
      <c r="L101" s="181">
        <v>48887</v>
      </c>
      <c r="M101" s="181" t="s">
        <v>1948</v>
      </c>
      <c r="N101" s="181">
        <v>46350</v>
      </c>
      <c r="O101" s="9">
        <v>46656</v>
      </c>
      <c r="P101" s="309" t="s">
        <v>1540</v>
      </c>
      <c r="Q101" s="174">
        <v>46321</v>
      </c>
      <c r="R101" s="183"/>
      <c r="S101" s="275"/>
      <c r="T101" s="179"/>
      <c r="U101" s="179"/>
    </row>
    <row r="102" spans="1:21" ht="38.25" customHeight="1" x14ac:dyDescent="0.25">
      <c r="A102" s="179" t="s">
        <v>1545</v>
      </c>
      <c r="B102" s="364">
        <v>45956</v>
      </c>
      <c r="C102" s="270" t="s">
        <v>1906</v>
      </c>
      <c r="D102" s="361">
        <v>45955</v>
      </c>
      <c r="E102" s="262" t="s">
        <v>1555</v>
      </c>
      <c r="F102" s="180" t="s">
        <v>561</v>
      </c>
      <c r="G102" s="179" t="s">
        <v>131</v>
      </c>
      <c r="H102" s="181" t="s">
        <v>1556</v>
      </c>
      <c r="I102" s="182" t="s">
        <v>1948</v>
      </c>
      <c r="J102" s="272" t="s">
        <v>1557</v>
      </c>
      <c r="K102" s="179" t="s">
        <v>1558</v>
      </c>
      <c r="L102" s="181">
        <v>48964</v>
      </c>
      <c r="M102" s="181" t="s">
        <v>1948</v>
      </c>
      <c r="N102" s="181">
        <v>46319</v>
      </c>
      <c r="O102" s="9">
        <v>46657</v>
      </c>
      <c r="P102" s="309" t="s">
        <v>1540</v>
      </c>
      <c r="Q102" s="174">
        <v>46321</v>
      </c>
      <c r="R102" s="183"/>
      <c r="S102" s="275"/>
      <c r="T102" s="179"/>
      <c r="U102" s="179"/>
    </row>
    <row r="103" spans="1:21" ht="38.25" customHeight="1" x14ac:dyDescent="0.25">
      <c r="A103" s="179" t="s">
        <v>1560</v>
      </c>
      <c r="B103" s="364">
        <v>45962</v>
      </c>
      <c r="C103" s="270" t="s">
        <v>1907</v>
      </c>
      <c r="D103" s="361">
        <v>45962</v>
      </c>
      <c r="E103" s="262" t="s">
        <v>1565</v>
      </c>
      <c r="F103" s="180" t="s">
        <v>1568</v>
      </c>
      <c r="G103" s="179" t="s">
        <v>133</v>
      </c>
      <c r="H103" s="181">
        <v>35876</v>
      </c>
      <c r="I103" s="182" t="s">
        <v>1948</v>
      </c>
      <c r="J103" s="272" t="s">
        <v>1567</v>
      </c>
      <c r="K103" s="179" t="s">
        <v>1566</v>
      </c>
      <c r="L103" s="181">
        <v>47112</v>
      </c>
      <c r="M103" s="181" t="s">
        <v>1948</v>
      </c>
      <c r="N103" s="181">
        <v>46325</v>
      </c>
      <c r="O103" s="9">
        <v>46341</v>
      </c>
      <c r="P103" s="309" t="s">
        <v>1948</v>
      </c>
      <c r="Q103" s="174" t="s">
        <v>1948</v>
      </c>
      <c r="R103" s="183"/>
      <c r="S103" s="275"/>
      <c r="T103" s="179"/>
      <c r="U103" s="179"/>
    </row>
    <row r="104" spans="1:21" ht="38.25" customHeight="1" x14ac:dyDescent="0.25">
      <c r="A104" s="179" t="s">
        <v>1561</v>
      </c>
      <c r="B104" s="364">
        <v>45971</v>
      </c>
      <c r="C104" s="270" t="s">
        <v>1908</v>
      </c>
      <c r="D104" s="361">
        <v>45869</v>
      </c>
      <c r="E104" s="262" t="s">
        <v>1618</v>
      </c>
      <c r="F104" s="180" t="s">
        <v>1620</v>
      </c>
      <c r="G104" s="179" t="s">
        <v>131</v>
      </c>
      <c r="H104" s="181">
        <v>39216</v>
      </c>
      <c r="I104" s="182" t="s">
        <v>1948</v>
      </c>
      <c r="J104" s="272" t="s">
        <v>1621</v>
      </c>
      <c r="K104" s="179" t="s">
        <v>1622</v>
      </c>
      <c r="L104" s="181">
        <v>47593</v>
      </c>
      <c r="M104" s="181" t="s">
        <v>1948</v>
      </c>
      <c r="N104" s="181">
        <v>46323</v>
      </c>
      <c r="O104" s="9">
        <v>46385</v>
      </c>
      <c r="P104" s="309" t="s">
        <v>1540</v>
      </c>
      <c r="Q104" s="174">
        <v>46392</v>
      </c>
      <c r="R104" s="183"/>
      <c r="S104" s="275"/>
      <c r="T104" s="179"/>
      <c r="U104" s="179"/>
    </row>
    <row r="105" spans="1:21" ht="25.5" customHeight="1" x14ac:dyDescent="0.25">
      <c r="A105" s="179" t="s">
        <v>1734</v>
      </c>
      <c r="B105" s="364" t="s">
        <v>1948</v>
      </c>
      <c r="C105" s="270" t="s">
        <v>1948</v>
      </c>
      <c r="D105" s="361" t="s">
        <v>1948</v>
      </c>
      <c r="E105" s="262" t="s">
        <v>1735</v>
      </c>
      <c r="F105" s="180" t="s">
        <v>561</v>
      </c>
      <c r="G105" s="179" t="s">
        <v>131</v>
      </c>
      <c r="H105" s="181">
        <v>37250</v>
      </c>
      <c r="I105" s="182" t="s">
        <v>1948</v>
      </c>
      <c r="J105" s="272" t="s">
        <v>1737</v>
      </c>
      <c r="K105" s="179" t="s">
        <v>1736</v>
      </c>
      <c r="L105" s="340">
        <v>46362</v>
      </c>
      <c r="M105" s="181" t="s">
        <v>1948</v>
      </c>
      <c r="N105" s="181">
        <v>46350</v>
      </c>
      <c r="O105" s="9">
        <v>46538</v>
      </c>
      <c r="P105" s="309" t="s">
        <v>1948</v>
      </c>
      <c r="Q105" s="174">
        <v>46537</v>
      </c>
      <c r="R105" s="183"/>
      <c r="S105" s="275"/>
      <c r="T105" s="179"/>
      <c r="U105" s="179"/>
    </row>
    <row r="106" spans="1:21" ht="25.5" customHeight="1" x14ac:dyDescent="0.25">
      <c r="A106" s="179" t="s">
        <v>1619</v>
      </c>
      <c r="B106" s="364">
        <v>45987</v>
      </c>
      <c r="C106" s="270" t="s">
        <v>1909</v>
      </c>
      <c r="D106" s="361">
        <v>45986</v>
      </c>
      <c r="E106" s="262" t="s">
        <v>1570</v>
      </c>
      <c r="F106" s="180" t="s">
        <v>561</v>
      </c>
      <c r="G106" s="179" t="s">
        <v>131</v>
      </c>
      <c r="H106" s="181">
        <v>36525</v>
      </c>
      <c r="I106" s="182" t="s">
        <v>1948</v>
      </c>
      <c r="J106" s="272" t="s">
        <v>1572</v>
      </c>
      <c r="K106" s="179" t="s">
        <v>1571</v>
      </c>
      <c r="L106" s="181">
        <v>49050</v>
      </c>
      <c r="M106" s="181" t="s">
        <v>1948</v>
      </c>
      <c r="N106" s="181">
        <v>46350</v>
      </c>
      <c r="O106" s="9">
        <v>46369</v>
      </c>
      <c r="P106" s="309" t="s">
        <v>1540</v>
      </c>
      <c r="Q106" s="174">
        <v>46362</v>
      </c>
      <c r="R106" s="183"/>
      <c r="S106" s="275"/>
      <c r="T106" s="179"/>
      <c r="U106" s="179"/>
    </row>
    <row r="107" spans="1:21" ht="25.5" customHeight="1" x14ac:dyDescent="0.25">
      <c r="A107" s="179" t="s">
        <v>1569</v>
      </c>
      <c r="B107" s="364">
        <v>45973</v>
      </c>
      <c r="C107" s="270" t="s">
        <v>1910</v>
      </c>
      <c r="D107" s="361">
        <v>45973</v>
      </c>
      <c r="E107" s="262" t="s">
        <v>1579</v>
      </c>
      <c r="F107" s="180" t="s">
        <v>1158</v>
      </c>
      <c r="G107" s="179" t="s">
        <v>131</v>
      </c>
      <c r="H107" s="181" t="s">
        <v>1581</v>
      </c>
      <c r="I107" s="182" t="s">
        <v>1948</v>
      </c>
      <c r="J107" s="272" t="s">
        <v>1747</v>
      </c>
      <c r="K107" s="179" t="s">
        <v>1580</v>
      </c>
      <c r="L107" s="181">
        <v>49393</v>
      </c>
      <c r="M107" s="181" t="s">
        <v>1948</v>
      </c>
      <c r="N107" s="181">
        <v>46363</v>
      </c>
      <c r="O107" s="9">
        <v>46644</v>
      </c>
      <c r="P107" s="309" t="s">
        <v>1540</v>
      </c>
      <c r="Q107" s="174">
        <v>46392</v>
      </c>
      <c r="R107" s="183"/>
      <c r="S107" s="275"/>
      <c r="T107" s="179"/>
      <c r="U107" s="179"/>
    </row>
    <row r="108" spans="1:21" ht="25.5" customHeight="1" x14ac:dyDescent="0.25">
      <c r="A108" s="179" t="s">
        <v>1397</v>
      </c>
      <c r="B108" s="364">
        <v>45995</v>
      </c>
      <c r="C108" s="270" t="s">
        <v>1911</v>
      </c>
      <c r="D108" s="361">
        <v>45994</v>
      </c>
      <c r="E108" s="262" t="s">
        <v>323</v>
      </c>
      <c r="F108" s="180" t="s">
        <v>630</v>
      </c>
      <c r="G108" s="179" t="s">
        <v>133</v>
      </c>
      <c r="H108" s="181">
        <v>36091</v>
      </c>
      <c r="I108" s="182" t="s">
        <v>1948</v>
      </c>
      <c r="J108" s="272" t="s">
        <v>1577</v>
      </c>
      <c r="K108" s="179" t="s">
        <v>1578</v>
      </c>
      <c r="L108" s="181">
        <v>46889</v>
      </c>
      <c r="M108" s="181" t="s">
        <v>1948</v>
      </c>
      <c r="N108" s="181">
        <v>46358</v>
      </c>
      <c r="O108" s="9">
        <v>46373</v>
      </c>
      <c r="P108" s="309" t="s">
        <v>1540</v>
      </c>
      <c r="Q108" s="174">
        <v>46362</v>
      </c>
      <c r="R108" s="183"/>
      <c r="S108" s="275"/>
      <c r="T108" s="179"/>
      <c r="U108" s="179"/>
    </row>
    <row r="109" spans="1:21" ht="25.5" customHeight="1" x14ac:dyDescent="0.25">
      <c r="A109" s="179" t="s">
        <v>1588</v>
      </c>
      <c r="B109" s="364">
        <v>46004</v>
      </c>
      <c r="C109" s="270" t="s">
        <v>1912</v>
      </c>
      <c r="D109" s="361">
        <v>46004</v>
      </c>
      <c r="E109" s="262" t="s">
        <v>1585</v>
      </c>
      <c r="F109" s="180" t="s">
        <v>630</v>
      </c>
      <c r="G109" s="179" t="s">
        <v>131</v>
      </c>
      <c r="H109" s="181">
        <v>38994</v>
      </c>
      <c r="I109" s="182" t="s">
        <v>1948</v>
      </c>
      <c r="J109" s="272" t="s">
        <v>1587</v>
      </c>
      <c r="K109" s="179" t="s">
        <v>1586</v>
      </c>
      <c r="L109" s="181">
        <v>49601</v>
      </c>
      <c r="M109" s="181" t="s">
        <v>1948</v>
      </c>
      <c r="N109" s="181">
        <v>46368</v>
      </c>
      <c r="O109" s="9">
        <v>46369</v>
      </c>
      <c r="P109" s="309" t="s">
        <v>1540</v>
      </c>
      <c r="Q109" s="174">
        <v>46392</v>
      </c>
      <c r="R109" s="183"/>
      <c r="S109" s="275"/>
      <c r="T109" s="179"/>
      <c r="U109" s="179"/>
    </row>
    <row r="110" spans="1:21" ht="38.25" customHeight="1" x14ac:dyDescent="0.25">
      <c r="A110" s="179" t="s">
        <v>1600</v>
      </c>
      <c r="B110" s="364">
        <v>46007</v>
      </c>
      <c r="C110" s="270" t="s">
        <v>1913</v>
      </c>
      <c r="D110" s="361">
        <v>46007</v>
      </c>
      <c r="E110" s="262" t="s">
        <v>1596</v>
      </c>
      <c r="F110" s="180" t="s">
        <v>561</v>
      </c>
      <c r="G110" s="179" t="s">
        <v>131</v>
      </c>
      <c r="H110" s="181" t="s">
        <v>1597</v>
      </c>
      <c r="I110" s="182" t="s">
        <v>1948</v>
      </c>
      <c r="J110" s="272" t="s">
        <v>1598</v>
      </c>
      <c r="K110" s="179" t="s">
        <v>1599</v>
      </c>
      <c r="L110" s="181">
        <v>49142</v>
      </c>
      <c r="M110" s="181" t="s">
        <v>1948</v>
      </c>
      <c r="N110" s="181">
        <v>46340</v>
      </c>
      <c r="O110" s="9">
        <v>46385</v>
      </c>
      <c r="P110" s="309" t="s">
        <v>1540</v>
      </c>
      <c r="Q110" s="174">
        <v>46392</v>
      </c>
      <c r="R110" s="183"/>
      <c r="S110" s="275"/>
      <c r="T110" s="179"/>
      <c r="U110" s="179"/>
    </row>
    <row r="111" spans="1:21" ht="25.5" customHeight="1" x14ac:dyDescent="0.25">
      <c r="A111" s="179" t="s">
        <v>1602</v>
      </c>
      <c r="B111" s="364">
        <v>46007</v>
      </c>
      <c r="C111" s="270" t="s">
        <v>1913</v>
      </c>
      <c r="D111" s="361">
        <v>46007</v>
      </c>
      <c r="E111" s="262" t="s">
        <v>1601</v>
      </c>
      <c r="F111" s="180" t="s">
        <v>630</v>
      </c>
      <c r="G111" s="179" t="s">
        <v>131</v>
      </c>
      <c r="H111" s="181" t="s">
        <v>1603</v>
      </c>
      <c r="I111" s="182" t="s">
        <v>1948</v>
      </c>
      <c r="J111" s="272" t="s">
        <v>1604</v>
      </c>
      <c r="K111" s="179" t="s">
        <v>1605</v>
      </c>
      <c r="L111" s="181">
        <v>49613</v>
      </c>
      <c r="M111" s="181" t="s">
        <v>1948</v>
      </c>
      <c r="N111" s="181">
        <v>46371</v>
      </c>
      <c r="O111" s="9">
        <v>46382</v>
      </c>
      <c r="P111" s="309" t="s">
        <v>1540</v>
      </c>
      <c r="Q111" s="174">
        <v>46392</v>
      </c>
      <c r="R111" s="183"/>
      <c r="S111" s="275"/>
      <c r="T111" s="179"/>
      <c r="U111" s="179"/>
    </row>
    <row r="112" spans="1:21" ht="38.25" customHeight="1" x14ac:dyDescent="0.25">
      <c r="A112" s="179" t="s">
        <v>1610</v>
      </c>
      <c r="B112" s="364">
        <v>46008</v>
      </c>
      <c r="C112" s="270" t="s">
        <v>1914</v>
      </c>
      <c r="D112" s="361">
        <v>46007</v>
      </c>
      <c r="E112" s="262" t="s">
        <v>1606</v>
      </c>
      <c r="F112" s="180" t="s">
        <v>520</v>
      </c>
      <c r="G112" s="179" t="s">
        <v>131</v>
      </c>
      <c r="H112" s="181" t="s">
        <v>1607</v>
      </c>
      <c r="I112" s="182" t="s">
        <v>1948</v>
      </c>
      <c r="J112" s="272" t="s">
        <v>1608</v>
      </c>
      <c r="K112" s="179" t="s">
        <v>1609</v>
      </c>
      <c r="L112" s="181">
        <v>49324</v>
      </c>
      <c r="M112" s="181" t="s">
        <v>1948</v>
      </c>
      <c r="N112" s="181">
        <v>46341</v>
      </c>
      <c r="O112" s="9">
        <v>46374</v>
      </c>
      <c r="P112" s="309" t="s">
        <v>1540</v>
      </c>
      <c r="Q112" s="174">
        <v>46392</v>
      </c>
      <c r="R112" s="183"/>
      <c r="S112" s="275"/>
      <c r="T112" s="179"/>
      <c r="U112" s="179"/>
    </row>
    <row r="113" spans="1:21" ht="38.25" customHeight="1" x14ac:dyDescent="0.25">
      <c r="A113" s="179" t="s">
        <v>1623</v>
      </c>
      <c r="B113" s="364">
        <v>46018</v>
      </c>
      <c r="C113" s="270" t="s">
        <v>1915</v>
      </c>
      <c r="D113" s="361">
        <v>46017</v>
      </c>
      <c r="E113" s="262" t="s">
        <v>1624</v>
      </c>
      <c r="F113" s="180" t="s">
        <v>630</v>
      </c>
      <c r="G113" s="179" t="s">
        <v>131</v>
      </c>
      <c r="H113" s="181">
        <v>34952</v>
      </c>
      <c r="I113" s="182" t="s">
        <v>1948</v>
      </c>
      <c r="J113" s="272" t="s">
        <v>1625</v>
      </c>
      <c r="K113" s="179" t="s">
        <v>1626</v>
      </c>
      <c r="L113" s="181">
        <v>49119</v>
      </c>
      <c r="M113" s="181" t="s">
        <v>1948</v>
      </c>
      <c r="N113" s="181">
        <v>46320</v>
      </c>
      <c r="O113" s="9">
        <v>46395</v>
      </c>
      <c r="P113" s="309" t="s">
        <v>1540</v>
      </c>
      <c r="Q113" s="174">
        <v>46392</v>
      </c>
      <c r="R113" s="183"/>
      <c r="S113" s="275"/>
      <c r="T113" s="179"/>
      <c r="U113" s="179"/>
    </row>
    <row r="114" spans="1:21" ht="38.25" customHeight="1" x14ac:dyDescent="0.25">
      <c r="A114" s="179" t="s">
        <v>1638</v>
      </c>
      <c r="B114" s="364">
        <v>46022</v>
      </c>
      <c r="C114" s="270" t="s">
        <v>1916</v>
      </c>
      <c r="D114" s="361">
        <v>46022</v>
      </c>
      <c r="E114" s="290" t="s">
        <v>1639</v>
      </c>
      <c r="F114" s="180" t="s">
        <v>561</v>
      </c>
      <c r="G114" s="179" t="s">
        <v>131</v>
      </c>
      <c r="H114" s="181">
        <v>33746</v>
      </c>
      <c r="I114" s="182" t="s">
        <v>1948</v>
      </c>
      <c r="J114" s="272" t="s">
        <v>1948</v>
      </c>
      <c r="K114" s="179" t="s">
        <v>1660</v>
      </c>
      <c r="L114" s="181">
        <v>49493</v>
      </c>
      <c r="M114" s="181" t="s">
        <v>1948</v>
      </c>
      <c r="N114" s="181" t="s">
        <v>1948</v>
      </c>
      <c r="O114" s="9" t="s">
        <v>1948</v>
      </c>
      <c r="P114" s="309" t="s">
        <v>1948</v>
      </c>
      <c r="Q114" s="174" t="s">
        <v>1948</v>
      </c>
      <c r="R114" s="183"/>
      <c r="S114" s="275"/>
      <c r="T114" s="179"/>
      <c r="U114" s="179"/>
    </row>
    <row r="115" spans="1:21" ht="38.25" customHeight="1" x14ac:dyDescent="0.25">
      <c r="A115" s="179" t="s">
        <v>1641</v>
      </c>
      <c r="B115" s="364">
        <v>46022</v>
      </c>
      <c r="C115" s="270" t="s">
        <v>1916</v>
      </c>
      <c r="D115" s="364">
        <v>46022</v>
      </c>
      <c r="E115" s="290" t="s">
        <v>1640</v>
      </c>
      <c r="F115" s="180" t="s">
        <v>561</v>
      </c>
      <c r="G115" s="179" t="s">
        <v>131</v>
      </c>
      <c r="H115" s="181">
        <v>29863</v>
      </c>
      <c r="I115" s="182" t="s">
        <v>1948</v>
      </c>
      <c r="J115" s="272" t="s">
        <v>1948</v>
      </c>
      <c r="K115" s="179" t="s">
        <v>1661</v>
      </c>
      <c r="L115" s="181">
        <v>48670</v>
      </c>
      <c r="M115" s="181" t="s">
        <v>1948</v>
      </c>
      <c r="N115" s="181" t="s">
        <v>1948</v>
      </c>
      <c r="O115" s="9" t="s">
        <v>1948</v>
      </c>
      <c r="P115" s="309" t="s">
        <v>1948</v>
      </c>
      <c r="Q115" s="174" t="s">
        <v>1948</v>
      </c>
      <c r="R115" s="183"/>
      <c r="S115" s="275"/>
      <c r="T115" s="179"/>
      <c r="U115" s="179"/>
    </row>
    <row r="116" spans="1:21" ht="32.25" customHeight="1" x14ac:dyDescent="0.25">
      <c r="A116" s="179" t="s">
        <v>1643</v>
      </c>
      <c r="B116" s="364">
        <v>46028</v>
      </c>
      <c r="C116" s="270" t="s">
        <v>1917</v>
      </c>
      <c r="D116" s="361">
        <v>46028</v>
      </c>
      <c r="E116" s="339" t="s">
        <v>1642</v>
      </c>
      <c r="F116" s="180" t="s">
        <v>561</v>
      </c>
      <c r="G116" s="179" t="s">
        <v>131</v>
      </c>
      <c r="H116" s="181">
        <v>31778</v>
      </c>
      <c r="I116" s="182" t="s">
        <v>1948</v>
      </c>
      <c r="J116" s="272" t="s">
        <v>1716</v>
      </c>
      <c r="K116" s="179" t="s">
        <v>1662</v>
      </c>
      <c r="L116" s="181">
        <v>49076</v>
      </c>
      <c r="M116" s="181" t="s">
        <v>1948</v>
      </c>
      <c r="N116" s="181">
        <v>46380</v>
      </c>
      <c r="O116" s="9">
        <v>46474</v>
      </c>
      <c r="P116" s="309" t="s">
        <v>1724</v>
      </c>
      <c r="Q116" s="174">
        <v>46510</v>
      </c>
      <c r="R116" s="183"/>
      <c r="S116" s="275"/>
      <c r="T116" s="179"/>
      <c r="U116" s="179"/>
    </row>
    <row r="117" spans="1:21" ht="32.25" customHeight="1" x14ac:dyDescent="0.25">
      <c r="A117" s="179" t="s">
        <v>1645</v>
      </c>
      <c r="B117" s="364">
        <v>46028</v>
      </c>
      <c r="C117" s="270" t="s">
        <v>1917</v>
      </c>
      <c r="D117" s="364">
        <v>46028</v>
      </c>
      <c r="E117" s="339" t="s">
        <v>1644</v>
      </c>
      <c r="F117" s="180" t="s">
        <v>561</v>
      </c>
      <c r="G117" s="179" t="s">
        <v>131</v>
      </c>
      <c r="H117" s="181">
        <v>34700</v>
      </c>
      <c r="I117" s="182" t="s">
        <v>1948</v>
      </c>
      <c r="J117" s="272" t="s">
        <v>1699</v>
      </c>
      <c r="K117" s="179" t="s">
        <v>1663</v>
      </c>
      <c r="L117" s="181">
        <v>46587</v>
      </c>
      <c r="M117" s="181" t="s">
        <v>1948</v>
      </c>
      <c r="N117" s="181">
        <v>46350</v>
      </c>
      <c r="O117" s="9">
        <v>46474</v>
      </c>
      <c r="P117" s="309" t="s">
        <v>1724</v>
      </c>
      <c r="Q117" s="174">
        <v>46510</v>
      </c>
      <c r="R117" s="183"/>
      <c r="S117" s="275"/>
      <c r="T117" s="179"/>
      <c r="U117" s="179"/>
    </row>
    <row r="118" spans="1:21" ht="38.25" customHeight="1" x14ac:dyDescent="0.25">
      <c r="A118" s="8" t="s">
        <v>1647</v>
      </c>
      <c r="B118" s="364">
        <v>46038</v>
      </c>
      <c r="C118" s="270" t="s">
        <v>1918</v>
      </c>
      <c r="D118" s="364">
        <v>46038</v>
      </c>
      <c r="E118" s="262" t="s">
        <v>1646</v>
      </c>
      <c r="F118" s="180" t="s">
        <v>1648</v>
      </c>
      <c r="G118" s="179" t="s">
        <v>1649</v>
      </c>
      <c r="H118" s="181">
        <v>33187</v>
      </c>
      <c r="I118" s="182" t="s">
        <v>1948</v>
      </c>
      <c r="J118" s="272" t="s">
        <v>1654</v>
      </c>
      <c r="K118" s="179" t="s">
        <v>1655</v>
      </c>
      <c r="L118" s="181">
        <v>47020</v>
      </c>
      <c r="M118" s="181" t="s">
        <v>1948</v>
      </c>
      <c r="N118" s="181">
        <v>46340</v>
      </c>
      <c r="O118" s="9">
        <v>46412</v>
      </c>
      <c r="P118" s="309" t="s">
        <v>1540</v>
      </c>
      <c r="Q118" s="174">
        <v>46430</v>
      </c>
      <c r="R118" s="183"/>
      <c r="S118" s="275"/>
      <c r="T118" s="179"/>
      <c r="U118" s="179"/>
    </row>
    <row r="119" spans="1:21" ht="32.25" customHeight="1" x14ac:dyDescent="0.25">
      <c r="A119" s="179" t="s">
        <v>1651</v>
      </c>
      <c r="B119" s="364">
        <v>46051</v>
      </c>
      <c r="C119" s="270" t="s">
        <v>1919</v>
      </c>
      <c r="D119" s="364">
        <v>46051</v>
      </c>
      <c r="E119" s="262" t="s">
        <v>1650</v>
      </c>
      <c r="F119" s="180" t="s">
        <v>520</v>
      </c>
      <c r="G119" s="179" t="s">
        <v>133</v>
      </c>
      <c r="H119" s="181">
        <v>37590</v>
      </c>
      <c r="I119" s="182" t="s">
        <v>1948</v>
      </c>
      <c r="J119" s="272" t="s">
        <v>1656</v>
      </c>
      <c r="K119" s="179" t="s">
        <v>1657</v>
      </c>
      <c r="L119" s="181">
        <v>49230</v>
      </c>
      <c r="M119" s="181" t="s">
        <v>1948</v>
      </c>
      <c r="N119" s="181">
        <v>46414</v>
      </c>
      <c r="O119" s="9">
        <v>46414</v>
      </c>
      <c r="P119" s="309" t="s">
        <v>1540</v>
      </c>
      <c r="Q119" s="174">
        <v>46430</v>
      </c>
      <c r="R119" s="183"/>
      <c r="S119" s="275"/>
      <c r="T119" s="179"/>
      <c r="U119" s="179"/>
    </row>
    <row r="120" spans="1:21" ht="32.25" customHeight="1" x14ac:dyDescent="0.25">
      <c r="A120" s="179" t="s">
        <v>1653</v>
      </c>
      <c r="B120" s="364">
        <v>46052</v>
      </c>
      <c r="C120" s="270" t="s">
        <v>1920</v>
      </c>
      <c r="D120" s="361">
        <v>46052</v>
      </c>
      <c r="E120" s="262" t="s">
        <v>1652</v>
      </c>
      <c r="F120" s="180" t="s">
        <v>830</v>
      </c>
      <c r="G120" s="179" t="s">
        <v>133</v>
      </c>
      <c r="H120" s="181">
        <v>36289</v>
      </c>
      <c r="I120" s="182" t="s">
        <v>1948</v>
      </c>
      <c r="J120" s="272" t="s">
        <v>1659</v>
      </c>
      <c r="K120" s="179" t="s">
        <v>1658</v>
      </c>
      <c r="L120" s="181">
        <v>48904</v>
      </c>
      <c r="M120" s="181" t="s">
        <v>1948</v>
      </c>
      <c r="N120" s="181">
        <v>46384</v>
      </c>
      <c r="O120" s="9">
        <v>46418</v>
      </c>
      <c r="P120" s="309" t="s">
        <v>1540</v>
      </c>
      <c r="Q120" s="174">
        <v>46430</v>
      </c>
      <c r="R120" s="183"/>
      <c r="S120" s="275"/>
      <c r="T120" s="179"/>
      <c r="U120" s="179"/>
    </row>
    <row r="121" spans="1:21" ht="32.25" customHeight="1" x14ac:dyDescent="0.25">
      <c r="A121" s="179" t="s">
        <v>1667</v>
      </c>
      <c r="B121" s="364">
        <v>46065</v>
      </c>
      <c r="C121" s="270" t="s">
        <v>1921</v>
      </c>
      <c r="D121" s="361">
        <v>46064</v>
      </c>
      <c r="E121" s="262" t="s">
        <v>1665</v>
      </c>
      <c r="F121" s="180" t="s">
        <v>561</v>
      </c>
      <c r="G121" s="179" t="s">
        <v>131</v>
      </c>
      <c r="H121" s="181">
        <v>34990</v>
      </c>
      <c r="I121" s="182" t="s">
        <v>1948</v>
      </c>
      <c r="J121" s="272" t="s">
        <v>1666</v>
      </c>
      <c r="K121" s="179" t="s">
        <v>1668</v>
      </c>
      <c r="L121" s="181">
        <v>49585</v>
      </c>
      <c r="M121" s="181" t="s">
        <v>1948</v>
      </c>
      <c r="N121" s="181">
        <v>46428</v>
      </c>
      <c r="O121" s="9">
        <v>46429</v>
      </c>
      <c r="P121" s="309" t="s">
        <v>1540</v>
      </c>
      <c r="Q121" s="174">
        <v>46460</v>
      </c>
      <c r="R121" s="183"/>
      <c r="S121" s="275"/>
      <c r="T121" s="179"/>
      <c r="U121" s="179"/>
    </row>
    <row r="122" spans="1:21" ht="38.25" customHeight="1" x14ac:dyDescent="0.25">
      <c r="A122" s="179" t="s">
        <v>1675</v>
      </c>
      <c r="B122" s="364">
        <v>46069</v>
      </c>
      <c r="C122" s="270" t="s">
        <v>1922</v>
      </c>
      <c r="D122" s="361" t="s">
        <v>1948</v>
      </c>
      <c r="E122" s="262" t="s">
        <v>1669</v>
      </c>
      <c r="F122" s="180" t="s">
        <v>630</v>
      </c>
      <c r="G122" s="179" t="s">
        <v>131</v>
      </c>
      <c r="H122" s="181">
        <v>38614</v>
      </c>
      <c r="I122" s="182" t="s">
        <v>1948</v>
      </c>
      <c r="J122" s="272" t="s">
        <v>1683</v>
      </c>
      <c r="K122" s="179" t="s">
        <v>1682</v>
      </c>
      <c r="L122" s="181">
        <v>49426</v>
      </c>
      <c r="M122" s="181" t="s">
        <v>1948</v>
      </c>
      <c r="N122" s="181">
        <v>46340</v>
      </c>
      <c r="O122" s="9">
        <v>46440</v>
      </c>
      <c r="P122" s="309" t="s">
        <v>1540</v>
      </c>
      <c r="Q122" s="174">
        <v>46460</v>
      </c>
      <c r="R122" s="183"/>
      <c r="S122" s="275"/>
      <c r="T122" s="179"/>
      <c r="U122" s="179"/>
    </row>
    <row r="123" spans="1:21" ht="38.25" customHeight="1" x14ac:dyDescent="0.25">
      <c r="A123" s="179" t="s">
        <v>1676</v>
      </c>
      <c r="B123" s="364">
        <v>46068</v>
      </c>
      <c r="C123" s="270" t="s">
        <v>1923</v>
      </c>
      <c r="D123" s="361" t="s">
        <v>1948</v>
      </c>
      <c r="E123" s="339" t="s">
        <v>1670</v>
      </c>
      <c r="F123" s="180" t="s">
        <v>561</v>
      </c>
      <c r="G123" s="179" t="s">
        <v>131</v>
      </c>
      <c r="H123" s="181">
        <v>32857</v>
      </c>
      <c r="I123" s="182" t="s">
        <v>1948</v>
      </c>
      <c r="J123" s="272" t="s">
        <v>1751</v>
      </c>
      <c r="K123" s="179" t="s">
        <v>1684</v>
      </c>
      <c r="L123" s="181">
        <v>49544</v>
      </c>
      <c r="M123" s="181" t="s">
        <v>1948</v>
      </c>
      <c r="N123" s="181">
        <v>46329</v>
      </c>
      <c r="O123" s="9">
        <v>46537</v>
      </c>
      <c r="P123" s="309" t="s">
        <v>1948</v>
      </c>
      <c r="Q123" s="174">
        <v>46537</v>
      </c>
      <c r="R123" s="183"/>
      <c r="S123" s="275"/>
      <c r="T123" s="179"/>
      <c r="U123" s="179"/>
    </row>
    <row r="124" spans="1:21" ht="38.25" customHeight="1" x14ac:dyDescent="0.25">
      <c r="A124" s="179" t="s">
        <v>1677</v>
      </c>
      <c r="B124" s="364">
        <v>46069</v>
      </c>
      <c r="C124" s="270" t="s">
        <v>1922</v>
      </c>
      <c r="D124" s="361" t="s">
        <v>1948</v>
      </c>
      <c r="E124" s="339" t="s">
        <v>1671</v>
      </c>
      <c r="F124" s="180" t="s">
        <v>561</v>
      </c>
      <c r="G124" s="179" t="s">
        <v>131</v>
      </c>
      <c r="H124" s="181">
        <v>29224</v>
      </c>
      <c r="I124" s="182" t="s">
        <v>1948</v>
      </c>
      <c r="J124" s="272" t="s">
        <v>1752</v>
      </c>
      <c r="K124" s="179" t="s">
        <v>1685</v>
      </c>
      <c r="L124" s="181">
        <v>49271</v>
      </c>
      <c r="M124" s="181" t="s">
        <v>1948</v>
      </c>
      <c r="N124" s="181">
        <v>46338</v>
      </c>
      <c r="O124" s="9">
        <v>46537</v>
      </c>
      <c r="P124" s="309" t="s">
        <v>1948</v>
      </c>
      <c r="Q124" s="174">
        <v>46537</v>
      </c>
      <c r="R124" s="183"/>
      <c r="S124" s="275"/>
      <c r="T124" s="179"/>
      <c r="U124" s="179"/>
    </row>
    <row r="125" spans="1:21" ht="32.25" customHeight="1" x14ac:dyDescent="0.25">
      <c r="A125" s="179" t="s">
        <v>1678</v>
      </c>
      <c r="B125" s="364">
        <v>46070</v>
      </c>
      <c r="C125" s="270" t="s">
        <v>1924</v>
      </c>
      <c r="D125" s="361" t="s">
        <v>1948</v>
      </c>
      <c r="E125" s="262" t="s">
        <v>1672</v>
      </c>
      <c r="F125" s="180" t="s">
        <v>830</v>
      </c>
      <c r="G125" s="179" t="s">
        <v>133</v>
      </c>
      <c r="H125" s="181">
        <v>36133</v>
      </c>
      <c r="I125" s="182" t="s">
        <v>1948</v>
      </c>
      <c r="J125" s="272" t="s">
        <v>1700</v>
      </c>
      <c r="K125" s="179" t="s">
        <v>1686</v>
      </c>
      <c r="L125" s="181">
        <v>49093</v>
      </c>
      <c r="M125" s="181" t="s">
        <v>1948</v>
      </c>
      <c r="N125" s="181">
        <v>46433</v>
      </c>
      <c r="O125" s="9">
        <v>46441</v>
      </c>
      <c r="P125" s="309" t="s">
        <v>1540</v>
      </c>
      <c r="Q125" s="174">
        <v>46460</v>
      </c>
      <c r="R125" s="183"/>
      <c r="S125" s="275"/>
      <c r="T125" s="179"/>
      <c r="U125" s="179"/>
    </row>
    <row r="126" spans="1:21" ht="32.25" customHeight="1" x14ac:dyDescent="0.25">
      <c r="A126" s="179" t="s">
        <v>1679</v>
      </c>
      <c r="B126" s="364">
        <v>46075</v>
      </c>
      <c r="C126" s="270" t="s">
        <v>1925</v>
      </c>
      <c r="D126" s="361" t="s">
        <v>1948</v>
      </c>
      <c r="E126" s="262" t="s">
        <v>1673</v>
      </c>
      <c r="F126" s="180" t="s">
        <v>630</v>
      </c>
      <c r="G126" s="179" t="s">
        <v>131</v>
      </c>
      <c r="H126" s="181">
        <v>36839</v>
      </c>
      <c r="I126" s="182" t="s">
        <v>1948</v>
      </c>
      <c r="J126" s="272" t="s">
        <v>1688</v>
      </c>
      <c r="K126" s="179" t="s">
        <v>1687</v>
      </c>
      <c r="L126" s="181">
        <v>49250</v>
      </c>
      <c r="M126" s="181" t="s">
        <v>1948</v>
      </c>
      <c r="N126" s="181">
        <v>46376</v>
      </c>
      <c r="O126" s="9">
        <v>46446</v>
      </c>
      <c r="P126" s="309" t="s">
        <v>1540</v>
      </c>
      <c r="Q126" s="174">
        <v>46460</v>
      </c>
      <c r="R126" s="183"/>
      <c r="S126" s="275"/>
      <c r="T126" s="179"/>
      <c r="U126" s="179"/>
    </row>
    <row r="127" spans="1:21" ht="32.25" customHeight="1" x14ac:dyDescent="0.25">
      <c r="A127" s="179" t="s">
        <v>1414</v>
      </c>
      <c r="B127" s="364">
        <v>46078</v>
      </c>
      <c r="C127" s="270" t="s">
        <v>1926</v>
      </c>
      <c r="D127" s="361" t="s">
        <v>1948</v>
      </c>
      <c r="E127" s="262" t="s">
        <v>1681</v>
      </c>
      <c r="F127" s="180" t="s">
        <v>1689</v>
      </c>
      <c r="G127" s="179" t="s">
        <v>133</v>
      </c>
      <c r="H127" s="30">
        <v>34522</v>
      </c>
      <c r="I127" s="182" t="s">
        <v>1948</v>
      </c>
      <c r="J127" s="272" t="s">
        <v>1690</v>
      </c>
      <c r="K127" s="179" t="s">
        <v>763</v>
      </c>
      <c r="L127" s="181">
        <v>48737</v>
      </c>
      <c r="M127" s="181" t="s">
        <v>1948</v>
      </c>
      <c r="N127" s="181">
        <v>46379</v>
      </c>
      <c r="O127" s="9">
        <v>46447</v>
      </c>
      <c r="P127" s="309" t="s">
        <v>853</v>
      </c>
      <c r="Q127" s="174">
        <v>46484</v>
      </c>
      <c r="R127" s="183"/>
      <c r="S127" s="275"/>
      <c r="T127" s="179"/>
      <c r="U127" s="179"/>
    </row>
    <row r="128" spans="1:21" ht="38.25" customHeight="1" x14ac:dyDescent="0.25">
      <c r="A128" s="179" t="s">
        <v>1680</v>
      </c>
      <c r="B128" s="364">
        <v>46078</v>
      </c>
      <c r="C128" s="270" t="s">
        <v>1926</v>
      </c>
      <c r="D128" s="361" t="s">
        <v>1948</v>
      </c>
      <c r="E128" s="339" t="s">
        <v>1674</v>
      </c>
      <c r="F128" s="180" t="s">
        <v>561</v>
      </c>
      <c r="G128" s="179" t="s">
        <v>131</v>
      </c>
      <c r="H128" s="30">
        <v>31302</v>
      </c>
      <c r="I128" s="182" t="s">
        <v>1948</v>
      </c>
      <c r="J128" s="272" t="s">
        <v>1753</v>
      </c>
      <c r="K128" s="181" t="s">
        <v>1706</v>
      </c>
      <c r="L128" s="181">
        <v>49170</v>
      </c>
      <c r="M128" s="181" t="s">
        <v>1948</v>
      </c>
      <c r="N128" s="181">
        <v>46336</v>
      </c>
      <c r="O128" s="9">
        <v>46538</v>
      </c>
      <c r="P128" s="309" t="s">
        <v>1948</v>
      </c>
      <c r="Q128" s="174">
        <v>46537</v>
      </c>
      <c r="R128" s="183"/>
      <c r="S128" s="275"/>
      <c r="T128" s="179"/>
      <c r="U128" s="179"/>
    </row>
    <row r="129" spans="1:21" ht="32.25" customHeight="1" x14ac:dyDescent="0.25">
      <c r="A129" s="337" t="s">
        <v>1701</v>
      </c>
      <c r="B129" s="364">
        <v>46083</v>
      </c>
      <c r="C129" s="270" t="s">
        <v>1927</v>
      </c>
      <c r="D129" s="361" t="s">
        <v>1948</v>
      </c>
      <c r="E129" s="338" t="s">
        <v>1703</v>
      </c>
      <c r="F129" s="180" t="s">
        <v>1705</v>
      </c>
      <c r="G129" s="179" t="s">
        <v>133</v>
      </c>
      <c r="H129" s="181">
        <v>34839</v>
      </c>
      <c r="I129" s="182" t="s">
        <v>1948</v>
      </c>
      <c r="J129" s="272" t="s">
        <v>1708</v>
      </c>
      <c r="K129" s="179" t="s">
        <v>1707</v>
      </c>
      <c r="L129" s="181">
        <v>47316</v>
      </c>
      <c r="M129" s="181" t="s">
        <v>1948</v>
      </c>
      <c r="N129" s="181">
        <v>46357</v>
      </c>
      <c r="O129" s="9">
        <v>46454</v>
      </c>
      <c r="P129" s="309" t="s">
        <v>853</v>
      </c>
      <c r="Q129" s="174">
        <v>46484</v>
      </c>
      <c r="R129" s="183"/>
      <c r="S129" s="275"/>
      <c r="T129" s="179"/>
      <c r="U129" s="179"/>
    </row>
    <row r="130" spans="1:21" ht="32.25" customHeight="1" x14ac:dyDescent="0.25">
      <c r="A130" s="337" t="s">
        <v>1702</v>
      </c>
      <c r="B130" s="364">
        <v>46097</v>
      </c>
      <c r="C130" s="270" t="s">
        <v>1928</v>
      </c>
      <c r="D130" s="361" t="s">
        <v>1948</v>
      </c>
      <c r="E130" s="338" t="s">
        <v>1704</v>
      </c>
      <c r="F130" s="180" t="s">
        <v>515</v>
      </c>
      <c r="G130" s="179" t="s">
        <v>132</v>
      </c>
      <c r="H130" s="181">
        <v>37195</v>
      </c>
      <c r="I130" s="182" t="s">
        <v>1948</v>
      </c>
      <c r="J130" s="272" t="s">
        <v>1746</v>
      </c>
      <c r="K130" s="179" t="s">
        <v>1709</v>
      </c>
      <c r="L130" s="181">
        <v>47286</v>
      </c>
      <c r="M130" s="181" t="s">
        <v>1948</v>
      </c>
      <c r="N130" s="181">
        <v>46362</v>
      </c>
      <c r="O130" s="9">
        <v>46547</v>
      </c>
      <c r="P130" s="309" t="s">
        <v>1788</v>
      </c>
      <c r="Q130" s="160">
        <v>46604</v>
      </c>
      <c r="R130" s="183"/>
      <c r="S130" s="275"/>
      <c r="T130" s="179"/>
      <c r="U130" s="179"/>
    </row>
    <row r="131" spans="1:21" ht="32.25" customHeight="1" x14ac:dyDescent="0.25">
      <c r="A131" s="337" t="s">
        <v>1726</v>
      </c>
      <c r="B131" s="364">
        <v>46162</v>
      </c>
      <c r="C131" s="270" t="s">
        <v>1929</v>
      </c>
      <c r="D131" s="361" t="s">
        <v>1948</v>
      </c>
      <c r="E131" s="338" t="s">
        <v>1728</v>
      </c>
      <c r="F131" s="180" t="s">
        <v>520</v>
      </c>
      <c r="G131" s="179" t="s">
        <v>131</v>
      </c>
      <c r="H131" s="181">
        <v>38341</v>
      </c>
      <c r="I131" s="182" t="s">
        <v>1948</v>
      </c>
      <c r="J131" s="181" t="s">
        <v>1731</v>
      </c>
      <c r="K131" s="179" t="s">
        <v>1730</v>
      </c>
      <c r="L131" s="181">
        <v>49257</v>
      </c>
      <c r="M131" s="181" t="s">
        <v>1948</v>
      </c>
      <c r="N131" s="181">
        <v>46495</v>
      </c>
      <c r="O131" s="9">
        <v>46527</v>
      </c>
      <c r="P131" s="309" t="s">
        <v>1948</v>
      </c>
      <c r="Q131" s="174">
        <v>46537</v>
      </c>
      <c r="R131" s="183"/>
      <c r="S131" s="275"/>
      <c r="T131" s="179"/>
      <c r="U131" s="179"/>
    </row>
    <row r="132" spans="1:21" ht="32.25" customHeight="1" x14ac:dyDescent="0.25">
      <c r="A132" s="337" t="s">
        <v>1727</v>
      </c>
      <c r="B132" s="364">
        <v>46170</v>
      </c>
      <c r="C132" s="270" t="s">
        <v>1930</v>
      </c>
      <c r="D132" s="361" t="s">
        <v>1948</v>
      </c>
      <c r="E132" s="338" t="s">
        <v>1729</v>
      </c>
      <c r="F132" s="180" t="s">
        <v>520</v>
      </c>
      <c r="G132" s="179" t="s">
        <v>133</v>
      </c>
      <c r="H132" s="66">
        <v>31549</v>
      </c>
      <c r="I132" s="182" t="s">
        <v>1948</v>
      </c>
      <c r="J132" s="272" t="s">
        <v>1733</v>
      </c>
      <c r="K132" s="179" t="s">
        <v>1732</v>
      </c>
      <c r="L132" s="181">
        <v>47296</v>
      </c>
      <c r="M132" s="181" t="s">
        <v>1948</v>
      </c>
      <c r="N132" s="181">
        <v>46353</v>
      </c>
      <c r="O132" s="9">
        <v>46537</v>
      </c>
      <c r="P132" s="309" t="s">
        <v>1948</v>
      </c>
      <c r="Q132" s="174">
        <v>46552</v>
      </c>
      <c r="R132" s="183"/>
      <c r="S132" s="275"/>
      <c r="T132" s="179"/>
      <c r="U132" s="179"/>
    </row>
    <row r="133" spans="1:21" ht="32.25" customHeight="1" x14ac:dyDescent="0.25">
      <c r="A133" s="337" t="s">
        <v>1741</v>
      </c>
      <c r="B133" s="364">
        <v>46186</v>
      </c>
      <c r="C133" s="270" t="s">
        <v>1931</v>
      </c>
      <c r="D133" s="361" t="s">
        <v>1948</v>
      </c>
      <c r="E133" s="338" t="s">
        <v>1742</v>
      </c>
      <c r="F133" s="338" t="s">
        <v>830</v>
      </c>
      <c r="G133" s="179" t="s">
        <v>133</v>
      </c>
      <c r="H133" s="66" t="s">
        <v>1745</v>
      </c>
      <c r="I133" s="182" t="s">
        <v>1948</v>
      </c>
      <c r="J133" s="272" t="s">
        <v>1743</v>
      </c>
      <c r="K133" s="179" t="s">
        <v>1744</v>
      </c>
      <c r="L133" s="181">
        <v>47068</v>
      </c>
      <c r="M133" s="181" t="s">
        <v>1948</v>
      </c>
      <c r="N133" s="181">
        <v>46368</v>
      </c>
      <c r="O133" s="9">
        <v>46551</v>
      </c>
      <c r="P133" s="309" t="s">
        <v>1948</v>
      </c>
      <c r="Q133" s="174">
        <v>46564</v>
      </c>
      <c r="R133" s="183"/>
      <c r="S133" s="275"/>
      <c r="T133" s="179"/>
      <c r="U133" s="179"/>
    </row>
    <row r="134" spans="1:21" ht="38.25" customHeight="1" x14ac:dyDescent="0.25">
      <c r="A134" s="337" t="s">
        <v>1760</v>
      </c>
      <c r="B134" s="364">
        <v>46208</v>
      </c>
      <c r="C134" s="270" t="s">
        <v>1932</v>
      </c>
      <c r="D134" s="361" t="s">
        <v>1948</v>
      </c>
      <c r="E134" s="338" t="s">
        <v>1759</v>
      </c>
      <c r="F134" s="343" t="s">
        <v>630</v>
      </c>
      <c r="G134" s="179" t="s">
        <v>131</v>
      </c>
      <c r="H134" s="66">
        <v>38064</v>
      </c>
      <c r="I134" s="182" t="s">
        <v>1948</v>
      </c>
      <c r="J134" s="272" t="s">
        <v>1948</v>
      </c>
      <c r="K134" s="179" t="s">
        <v>1761</v>
      </c>
      <c r="L134" s="181">
        <v>49385</v>
      </c>
      <c r="M134" s="181" t="s">
        <v>1948</v>
      </c>
      <c r="N134" s="181" t="s">
        <v>1948</v>
      </c>
      <c r="O134" s="9" t="s">
        <v>1948</v>
      </c>
      <c r="P134" s="309" t="s">
        <v>1948</v>
      </c>
      <c r="Q134" s="174" t="s">
        <v>1948</v>
      </c>
      <c r="R134" s="183"/>
      <c r="S134" s="275"/>
      <c r="T134" s="179"/>
      <c r="U134" s="179"/>
    </row>
    <row r="135" spans="1:21" ht="32.25" customHeight="1" x14ac:dyDescent="0.25">
      <c r="A135" s="337" t="s">
        <v>1764</v>
      </c>
      <c r="B135" s="364">
        <v>46223</v>
      </c>
      <c r="C135" s="270" t="s">
        <v>1933</v>
      </c>
      <c r="D135" s="361" t="s">
        <v>1948</v>
      </c>
      <c r="E135" s="338" t="s">
        <v>1775</v>
      </c>
      <c r="F135" s="343" t="s">
        <v>630</v>
      </c>
      <c r="G135" s="179" t="s">
        <v>1014</v>
      </c>
      <c r="H135" s="66">
        <v>38500</v>
      </c>
      <c r="I135" s="182" t="s">
        <v>1948</v>
      </c>
      <c r="J135" s="272" t="s">
        <v>1766</v>
      </c>
      <c r="K135" s="179" t="s">
        <v>1765</v>
      </c>
      <c r="L135" s="181">
        <v>49202</v>
      </c>
      <c r="M135" s="181" t="s">
        <v>1948</v>
      </c>
      <c r="N135" s="181">
        <v>46374</v>
      </c>
      <c r="O135" s="9">
        <v>46586</v>
      </c>
      <c r="P135" s="309" t="s">
        <v>1540</v>
      </c>
      <c r="Q135" s="174">
        <v>46604</v>
      </c>
      <c r="R135" s="183"/>
      <c r="S135" s="275"/>
      <c r="T135" s="179"/>
      <c r="U135" s="179"/>
    </row>
    <row r="136" spans="1:21" ht="32.25" customHeight="1" x14ac:dyDescent="0.25">
      <c r="A136" s="337" t="s">
        <v>1776</v>
      </c>
      <c r="B136" s="364">
        <v>46228</v>
      </c>
      <c r="C136" s="270" t="s">
        <v>1934</v>
      </c>
      <c r="D136" s="361" t="s">
        <v>1948</v>
      </c>
      <c r="E136" s="338" t="s">
        <v>1767</v>
      </c>
      <c r="F136" s="343" t="s">
        <v>1158</v>
      </c>
      <c r="G136" s="179" t="s">
        <v>131</v>
      </c>
      <c r="H136" s="66">
        <v>37872</v>
      </c>
      <c r="I136" s="182" t="s">
        <v>188</v>
      </c>
      <c r="J136" s="272" t="s">
        <v>1768</v>
      </c>
      <c r="K136" s="179" t="s">
        <v>1769</v>
      </c>
      <c r="L136" s="181">
        <v>49432</v>
      </c>
      <c r="M136" s="181" t="s">
        <v>1948</v>
      </c>
      <c r="N136" s="181">
        <v>46499</v>
      </c>
      <c r="O136" s="9">
        <v>46591</v>
      </c>
      <c r="P136" s="309" t="s">
        <v>1540</v>
      </c>
      <c r="Q136" s="174">
        <v>46604</v>
      </c>
      <c r="R136" s="183"/>
      <c r="S136" s="275"/>
      <c r="T136" s="179"/>
      <c r="U136" s="179"/>
    </row>
    <row r="137" spans="1:21" ht="32.25" customHeight="1" x14ac:dyDescent="0.25">
      <c r="A137" s="337" t="s">
        <v>1777</v>
      </c>
      <c r="B137" s="364">
        <v>46233</v>
      </c>
      <c r="C137" s="270" t="s">
        <v>1935</v>
      </c>
      <c r="D137" s="361" t="s">
        <v>1948</v>
      </c>
      <c r="E137" s="338" t="s">
        <v>1770</v>
      </c>
      <c r="F137" s="343" t="s">
        <v>561</v>
      </c>
      <c r="G137" s="179" t="s">
        <v>131</v>
      </c>
      <c r="H137" s="66">
        <v>36284</v>
      </c>
      <c r="I137" s="182" t="s">
        <v>1948</v>
      </c>
      <c r="J137" s="272" t="s">
        <v>1771</v>
      </c>
      <c r="K137" s="179" t="s">
        <v>1772</v>
      </c>
      <c r="L137" s="181">
        <v>49477</v>
      </c>
      <c r="M137" s="181" t="s">
        <v>1948</v>
      </c>
      <c r="N137" s="181">
        <v>46505</v>
      </c>
      <c r="O137" s="9">
        <v>46607</v>
      </c>
      <c r="P137" s="309" t="s">
        <v>1540</v>
      </c>
      <c r="Q137" s="174">
        <v>46604</v>
      </c>
      <c r="R137" s="183"/>
      <c r="S137" s="275"/>
      <c r="T137" s="179"/>
      <c r="U137" s="179"/>
    </row>
    <row r="138" spans="1:21" ht="32.25" customHeight="1" x14ac:dyDescent="0.25">
      <c r="A138" s="337" t="s">
        <v>1778</v>
      </c>
      <c r="B138" s="364">
        <v>46237</v>
      </c>
      <c r="C138" s="270" t="s">
        <v>1936</v>
      </c>
      <c r="D138" s="361" t="s">
        <v>1948</v>
      </c>
      <c r="E138" s="338" t="s">
        <v>1779</v>
      </c>
      <c r="F138" s="343" t="s">
        <v>561</v>
      </c>
      <c r="G138" s="179" t="s">
        <v>131</v>
      </c>
      <c r="H138" s="66" t="s">
        <v>1780</v>
      </c>
      <c r="I138" s="182" t="s">
        <v>1948</v>
      </c>
      <c r="J138" s="272" t="s">
        <v>1781</v>
      </c>
      <c r="K138" s="179" t="s">
        <v>1782</v>
      </c>
      <c r="L138" s="181">
        <v>48500</v>
      </c>
      <c r="M138" s="181" t="s">
        <v>1948</v>
      </c>
      <c r="N138" s="181">
        <v>46447</v>
      </c>
      <c r="O138" s="9">
        <v>46607</v>
      </c>
      <c r="P138" s="309" t="s">
        <v>1540</v>
      </c>
      <c r="Q138" s="174">
        <v>46625</v>
      </c>
      <c r="R138" s="183"/>
      <c r="S138" s="275"/>
      <c r="T138" s="179"/>
      <c r="U138" s="179"/>
    </row>
    <row r="139" spans="1:21" ht="32.25" customHeight="1" x14ac:dyDescent="0.25">
      <c r="A139" s="337" t="s">
        <v>1786</v>
      </c>
      <c r="B139" s="364">
        <v>46241</v>
      </c>
      <c r="C139" s="270" t="s">
        <v>1937</v>
      </c>
      <c r="D139" s="361" t="s">
        <v>1948</v>
      </c>
      <c r="E139" s="338" t="s">
        <v>1783</v>
      </c>
      <c r="F139" s="343" t="s">
        <v>561</v>
      </c>
      <c r="G139" s="179" t="s">
        <v>131</v>
      </c>
      <c r="H139" s="66">
        <v>37241</v>
      </c>
      <c r="I139" s="182" t="s">
        <v>1948</v>
      </c>
      <c r="J139" s="272" t="s">
        <v>1785</v>
      </c>
      <c r="K139" s="179" t="s">
        <v>1784</v>
      </c>
      <c r="L139" s="181">
        <v>47426</v>
      </c>
      <c r="M139" s="181" t="s">
        <v>1948</v>
      </c>
      <c r="N139" s="181">
        <v>46482</v>
      </c>
      <c r="O139" s="9">
        <v>46608</v>
      </c>
      <c r="P139" s="309" t="s">
        <v>1540</v>
      </c>
      <c r="Q139" s="174">
        <v>46625</v>
      </c>
      <c r="R139" s="183"/>
      <c r="S139" s="275"/>
      <c r="T139" s="179"/>
      <c r="U139" s="179"/>
    </row>
    <row r="140" spans="1:21" ht="32.25" customHeight="1" x14ac:dyDescent="0.25">
      <c r="A140" s="337" t="s">
        <v>1377</v>
      </c>
      <c r="B140" s="364">
        <v>46242</v>
      </c>
      <c r="C140" s="270" t="s">
        <v>1938</v>
      </c>
      <c r="D140" s="361" t="s">
        <v>1948</v>
      </c>
      <c r="E140" s="338" t="s">
        <v>1789</v>
      </c>
      <c r="F140" s="343" t="s">
        <v>630</v>
      </c>
      <c r="G140" s="179" t="s">
        <v>131</v>
      </c>
      <c r="H140" s="66">
        <v>31539</v>
      </c>
      <c r="I140" s="182" t="s">
        <v>1948</v>
      </c>
      <c r="J140" s="272" t="s">
        <v>1790</v>
      </c>
      <c r="K140" s="179" t="s">
        <v>1485</v>
      </c>
      <c r="L140" s="181">
        <v>49545</v>
      </c>
      <c r="M140" s="181" t="s">
        <v>1948</v>
      </c>
      <c r="N140" s="181">
        <v>46367</v>
      </c>
      <c r="O140" s="9">
        <v>46619</v>
      </c>
      <c r="P140" s="309" t="s">
        <v>1540</v>
      </c>
      <c r="Q140" s="174">
        <v>46625</v>
      </c>
      <c r="R140" s="183"/>
      <c r="S140" s="275"/>
      <c r="T140" s="179"/>
      <c r="U140" s="179"/>
    </row>
    <row r="141" spans="1:21" ht="32.25" customHeight="1" x14ac:dyDescent="0.25">
      <c r="A141" s="337" t="s">
        <v>1791</v>
      </c>
      <c r="B141" s="364">
        <v>46250</v>
      </c>
      <c r="C141" s="270" t="s">
        <v>1939</v>
      </c>
      <c r="D141" s="361" t="s">
        <v>1948</v>
      </c>
      <c r="E141" s="338" t="s">
        <v>1805</v>
      </c>
      <c r="F141" s="343" t="s">
        <v>630</v>
      </c>
      <c r="G141" s="179" t="s">
        <v>1014</v>
      </c>
      <c r="H141" s="66" t="s">
        <v>1796</v>
      </c>
      <c r="I141" s="182" t="s">
        <v>1948</v>
      </c>
      <c r="J141" s="272" t="s">
        <v>1797</v>
      </c>
      <c r="K141" s="179" t="s">
        <v>1798</v>
      </c>
      <c r="L141" s="181">
        <v>48733</v>
      </c>
      <c r="M141" s="181" t="s">
        <v>1948</v>
      </c>
      <c r="N141" s="181">
        <v>46433</v>
      </c>
      <c r="O141" s="9">
        <v>46616</v>
      </c>
      <c r="P141" s="309" t="s">
        <v>1540</v>
      </c>
      <c r="Q141" s="174">
        <v>46625</v>
      </c>
      <c r="R141" s="183"/>
      <c r="S141" s="275"/>
      <c r="T141" s="179"/>
      <c r="U141" s="179"/>
    </row>
    <row r="142" spans="1:21" ht="32.25" customHeight="1" x14ac:dyDescent="0.25">
      <c r="A142" s="337" t="s">
        <v>1792</v>
      </c>
      <c r="B142" s="364">
        <v>46250</v>
      </c>
      <c r="C142" s="270" t="s">
        <v>1939</v>
      </c>
      <c r="D142" s="361" t="s">
        <v>1948</v>
      </c>
      <c r="E142" s="338" t="s">
        <v>1793</v>
      </c>
      <c r="F142" s="343" t="s">
        <v>630</v>
      </c>
      <c r="G142" s="179" t="s">
        <v>1014</v>
      </c>
      <c r="H142" s="66">
        <v>38341</v>
      </c>
      <c r="I142" s="182" t="s">
        <v>1948</v>
      </c>
      <c r="J142" s="272" t="s">
        <v>1795</v>
      </c>
      <c r="K142" s="179" t="s">
        <v>1794</v>
      </c>
      <c r="L142" s="181">
        <v>48922</v>
      </c>
      <c r="M142" s="181" t="s">
        <v>1948</v>
      </c>
      <c r="N142" s="181">
        <v>46433</v>
      </c>
      <c r="O142" s="9">
        <v>46616</v>
      </c>
      <c r="P142" s="309" t="s">
        <v>1540</v>
      </c>
      <c r="Q142" s="174">
        <v>46625</v>
      </c>
      <c r="R142" s="183"/>
      <c r="S142" s="275"/>
      <c r="T142" s="179"/>
      <c r="U142" s="179"/>
    </row>
    <row r="143" spans="1:21" ht="32.25" customHeight="1" x14ac:dyDescent="0.25">
      <c r="A143" s="337" t="s">
        <v>1799</v>
      </c>
      <c r="B143" s="364">
        <v>46251</v>
      </c>
      <c r="C143" s="270" t="s">
        <v>1940</v>
      </c>
      <c r="D143" s="361" t="s">
        <v>1948</v>
      </c>
      <c r="E143" s="338" t="s">
        <v>1801</v>
      </c>
      <c r="F143" s="343" t="s">
        <v>561</v>
      </c>
      <c r="G143" s="179" t="s">
        <v>133</v>
      </c>
      <c r="H143" s="66" t="s">
        <v>1804</v>
      </c>
      <c r="I143" s="182" t="s">
        <v>1948</v>
      </c>
      <c r="J143" s="272" t="s">
        <v>1803</v>
      </c>
      <c r="K143" s="179" t="s">
        <v>1802</v>
      </c>
      <c r="L143" s="181">
        <v>49644</v>
      </c>
      <c r="M143" s="181" t="s">
        <v>1948</v>
      </c>
      <c r="N143" s="181">
        <v>46441</v>
      </c>
      <c r="O143" s="9">
        <v>46626</v>
      </c>
      <c r="P143" s="309" t="s">
        <v>1540</v>
      </c>
      <c r="Q143" s="174">
        <v>46625</v>
      </c>
      <c r="R143" s="183"/>
      <c r="S143" s="275"/>
      <c r="T143" s="179"/>
      <c r="U143" s="179"/>
    </row>
    <row r="144" spans="1:21" ht="32.25" customHeight="1" x14ac:dyDescent="0.25">
      <c r="A144" s="337" t="s">
        <v>1948</v>
      </c>
      <c r="B144" s="364" t="s">
        <v>1948</v>
      </c>
      <c r="C144" s="270" t="s">
        <v>1941</v>
      </c>
      <c r="D144" s="361" t="s">
        <v>1948</v>
      </c>
      <c r="E144" s="338" t="s">
        <v>1810</v>
      </c>
      <c r="F144" s="343" t="s">
        <v>520</v>
      </c>
      <c r="G144" s="179" t="s">
        <v>133</v>
      </c>
      <c r="H144" s="66" t="s">
        <v>1811</v>
      </c>
      <c r="I144" s="182" t="s">
        <v>1948</v>
      </c>
      <c r="J144" s="272" t="s">
        <v>1809</v>
      </c>
      <c r="K144" s="179" t="s">
        <v>1812</v>
      </c>
      <c r="L144" s="181">
        <v>49008</v>
      </c>
      <c r="M144" s="181" t="s">
        <v>1948</v>
      </c>
      <c r="N144" s="181">
        <v>46361</v>
      </c>
      <c r="O144" s="9">
        <v>46638</v>
      </c>
      <c r="P144" s="309" t="s">
        <v>1540</v>
      </c>
      <c r="Q144" s="174">
        <v>46641</v>
      </c>
      <c r="R144" s="183"/>
      <c r="S144" s="275"/>
      <c r="T144" s="179"/>
      <c r="U144" s="179"/>
    </row>
    <row r="145" spans="1:21" ht="38.25" customHeight="1" x14ac:dyDescent="0.25">
      <c r="A145" s="337" t="s">
        <v>1948</v>
      </c>
      <c r="B145" s="364" t="s">
        <v>1948</v>
      </c>
      <c r="C145" s="270" t="s">
        <v>1941</v>
      </c>
      <c r="D145" s="361" t="s">
        <v>1948</v>
      </c>
      <c r="E145" s="338" t="s">
        <v>1819</v>
      </c>
      <c r="F145" s="343" t="s">
        <v>1820</v>
      </c>
      <c r="G145" s="179" t="s">
        <v>133</v>
      </c>
      <c r="H145" s="66">
        <v>39317</v>
      </c>
      <c r="I145" s="182" t="s">
        <v>1948</v>
      </c>
      <c r="J145" s="272" t="s">
        <v>1821</v>
      </c>
      <c r="K145" s="179" t="s">
        <v>1822</v>
      </c>
      <c r="L145" s="181">
        <v>49824</v>
      </c>
      <c r="M145" s="181" t="s">
        <v>1948</v>
      </c>
      <c r="N145" s="181" t="s">
        <v>1948</v>
      </c>
      <c r="O145" s="9">
        <v>46671</v>
      </c>
      <c r="P145" s="309" t="s">
        <v>1948</v>
      </c>
      <c r="Q145" s="174" t="s">
        <v>1948</v>
      </c>
      <c r="R145" s="183"/>
      <c r="S145" s="275"/>
      <c r="T145" s="179"/>
      <c r="U145" s="179"/>
    </row>
    <row r="146" spans="1:21" ht="32.25" customHeight="1" x14ac:dyDescent="0.25">
      <c r="C146" s="190" t="s">
        <v>188</v>
      </c>
      <c r="D146" s="365" t="s">
        <v>188</v>
      </c>
    </row>
    <row r="147" spans="1:21" ht="32.25" customHeight="1" x14ac:dyDescent="0.25">
      <c r="D147" s="365" t="s">
        <v>188</v>
      </c>
    </row>
    <row r="148" spans="1:21" ht="32.25" customHeight="1" x14ac:dyDescent="0.25">
      <c r="P148" s="32"/>
    </row>
    <row r="149" spans="1:21" ht="24" customHeight="1" x14ac:dyDescent="0.25">
      <c r="D149" s="367"/>
      <c r="E149" s="191"/>
      <c r="F149" s="8"/>
      <c r="G149" s="30"/>
      <c r="H149" s="23"/>
      <c r="I149" s="3"/>
      <c r="J149" s="8"/>
      <c r="K149" s="3"/>
      <c r="L149" s="192"/>
      <c r="M149" s="3"/>
      <c r="P149" s="191"/>
      <c r="R149" s="219"/>
      <c r="S149" s="219"/>
      <c r="U149" s="3"/>
    </row>
    <row r="150" spans="1:21" ht="24" customHeight="1" x14ac:dyDescent="0.25">
      <c r="D150" s="367"/>
      <c r="E150" s="191"/>
      <c r="F150" s="8"/>
      <c r="G150" s="30"/>
      <c r="H150" s="23"/>
      <c r="I150" s="3"/>
      <c r="J150" s="8"/>
      <c r="K150" s="3"/>
      <c r="L150" s="192"/>
      <c r="M150" s="3"/>
      <c r="P150" s="191"/>
      <c r="R150" s="219"/>
      <c r="S150" s="219"/>
      <c r="U150" s="3"/>
    </row>
    <row r="151" spans="1:21" s="8" customFormat="1" ht="24" customHeight="1" x14ac:dyDescent="0.25">
      <c r="B151" s="365"/>
      <c r="C151" s="190"/>
      <c r="D151" s="368"/>
      <c r="E151" s="23"/>
      <c r="G151" s="30"/>
      <c r="H151" s="23"/>
      <c r="L151" s="221"/>
      <c r="P151" s="23"/>
      <c r="R151" s="336"/>
      <c r="S151" s="336"/>
    </row>
    <row r="152" spans="1:21" s="8" customFormat="1" ht="24" customHeight="1" x14ac:dyDescent="0.25">
      <c r="B152" s="365"/>
      <c r="C152" s="190"/>
      <c r="D152" s="368"/>
      <c r="E152" s="23"/>
      <c r="G152" s="30"/>
      <c r="H152" s="23"/>
      <c r="L152" s="221"/>
      <c r="P152" s="23"/>
      <c r="R152" s="336"/>
      <c r="S152" s="336"/>
    </row>
    <row r="153" spans="1:21" s="8" customFormat="1" ht="24" customHeight="1" x14ac:dyDescent="0.25">
      <c r="B153" s="365"/>
      <c r="C153" s="190"/>
      <c r="D153" s="368"/>
      <c r="E153" s="23"/>
      <c r="G153" s="30"/>
      <c r="H153" s="23"/>
      <c r="L153" s="221"/>
      <c r="P153" s="23"/>
      <c r="R153" s="336"/>
      <c r="S153" s="336"/>
    </row>
    <row r="154" spans="1:21" s="8" customFormat="1" ht="24" customHeight="1" x14ac:dyDescent="0.25">
      <c r="B154" s="365"/>
      <c r="C154" s="190"/>
      <c r="D154" s="368"/>
      <c r="E154" s="23"/>
      <c r="G154" s="30"/>
      <c r="H154" s="23"/>
      <c r="L154" s="221"/>
      <c r="P154" s="23"/>
      <c r="R154" s="336"/>
      <c r="S154" s="336"/>
    </row>
    <row r="155" spans="1:21" s="8" customFormat="1" ht="24" customHeight="1" x14ac:dyDescent="0.25">
      <c r="B155" s="365"/>
      <c r="C155" s="190"/>
      <c r="D155" s="368"/>
      <c r="E155" s="23"/>
      <c r="G155" s="30"/>
      <c r="H155" s="23"/>
      <c r="L155" s="221"/>
      <c r="P155" s="23"/>
      <c r="R155" s="336"/>
      <c r="S155" s="336"/>
    </row>
    <row r="156" spans="1:21" s="8" customFormat="1" ht="24" customHeight="1" x14ac:dyDescent="0.25">
      <c r="B156" s="365"/>
      <c r="C156" s="190"/>
      <c r="D156" s="368"/>
      <c r="E156" s="23"/>
      <c r="G156" s="30"/>
      <c r="H156" s="23"/>
      <c r="L156" s="221"/>
      <c r="P156" s="23"/>
      <c r="R156" s="336"/>
      <c r="S156" s="336"/>
    </row>
    <row r="157" spans="1:21" s="8" customFormat="1" ht="24" customHeight="1" x14ac:dyDescent="0.25">
      <c r="B157" s="365"/>
      <c r="C157" s="190"/>
      <c r="D157" s="368" t="s">
        <v>188</v>
      </c>
      <c r="E157" s="23"/>
      <c r="G157" s="30"/>
      <c r="H157" s="23"/>
      <c r="L157" s="221"/>
      <c r="P157" s="23"/>
      <c r="R157" s="336"/>
      <c r="S157" s="336"/>
    </row>
    <row r="158" spans="1:21" s="8" customFormat="1" ht="24" customHeight="1" x14ac:dyDescent="0.25">
      <c r="B158" s="365"/>
      <c r="C158" s="190"/>
      <c r="D158" s="368"/>
      <c r="E158" s="23"/>
      <c r="G158" s="30"/>
      <c r="H158" s="23"/>
      <c r="L158" s="221"/>
      <c r="P158" s="23"/>
      <c r="R158" s="336"/>
      <c r="S158" s="336"/>
    </row>
    <row r="159" spans="1:21" ht="24" customHeight="1" x14ac:dyDescent="0.25">
      <c r="D159" s="367"/>
      <c r="E159" s="191"/>
      <c r="F159" s="8"/>
      <c r="G159" s="30"/>
      <c r="H159" s="23"/>
      <c r="I159" s="3"/>
      <c r="J159" s="8"/>
      <c r="K159" s="3"/>
      <c r="L159" s="192"/>
      <c r="M159" s="3"/>
      <c r="P159" s="191"/>
      <c r="R159" s="219"/>
      <c r="S159" s="219"/>
      <c r="U159" s="3"/>
    </row>
  </sheetData>
  <phoneticPr fontId="15" type="noConversion"/>
  <conditionalFormatting sqref="A36:D117 B129:D145 A146:H148 A149:G159 A160:H1048576 A2:H3 A27:C35 B118:D118 A119:D128 B24:C26 A4:C4 A5:D23 J1 J10:K11 I12:K12 J13:K15 K16 J17:K17 J20:K20 K26:K28 J29:K145 L26:L145 J21:L23 L16:L18 M18:M23 M2:M5 O67:O89 M29:O30 M33:N145 O32:O36 L1:P1 O90:P95 O64:P66 O27:O28 O31:Q31 N2:P2 P27:Q29 Q2:Q6 P3:P23 O37:Q63 Q7:R21 P32:Q37 S10:S21 Q22:S26 O133:U145 S2 T2:U4 V136:XFD138 V140:XFD145 O96:XFD135 J146:XFD148 I149:XFD159 J160:XFD1048576 R27:U64 V26:XFD64 Q65:XFD95 T6:U16 V1:XFD16 U18:XFD19 V21:XFD21">
    <cfRule type="timePeriod" priority="166" timePeriod="nextWeek">
      <formula>AND(ROUNDDOWN(A1,0)-TODAY()&gt;(7-WEEKDAY(TODAY())),ROUNDDOWN(A1,0)-TODAY()&lt;(15-WEEKDAY(TODAY())))</formula>
    </cfRule>
  </conditionalFormatting>
  <conditionalFormatting sqref="U23:U26 N23:N28 A1 E1:H1 K24 J2:L9 L24:L25 Q1:U1">
    <cfRule type="timePeriod" dxfId="1686" priority="3345" timePeriod="nextWeek">
      <formula>AND(ROUNDDOWN(A1,0)-TODAY()&gt;(7-WEEKDAY(TODAY())),ROUNDDOWN(A1,0)-TODAY()&lt;(15-WEEKDAY(TODAY())))</formula>
    </cfRule>
    <cfRule type="timePeriod" priority="3346" timePeriod="nextWeek">
      <formula>AND(ROUNDDOWN(A1,0)-TODAY()&gt;(7-WEEKDAY(TODAY())),ROUNDDOWN(A1,0)-TODAY()&lt;(15-WEEKDAY(TODAY())))</formula>
    </cfRule>
    <cfRule type="timePeriod" dxfId="1685" priority="3347" timePeriod="lastMonth">
      <formula>AND(MONTH(A1)=MONTH(EDATE(TODAY(),0-1)),YEAR(A1)=YEAR(EDATE(TODAY(),0-1)))</formula>
    </cfRule>
    <cfRule type="timePeriod" dxfId="1684" priority="3348" timePeriod="last7Days">
      <formula>AND(TODAY()-FLOOR(A1,1)&lt;=6,FLOOR(A1,1)&lt;=TODAY())</formula>
    </cfRule>
    <cfRule type="timePeriod" dxfId="1683" priority="3349" timePeriod="thisWeek">
      <formula>AND(TODAY()-ROUNDDOWN(A1,0)&lt;=WEEKDAY(TODAY())-1,ROUNDDOWN(A1,0)-TODAY()&lt;=7-WEEKDAY(TODAY()))</formula>
    </cfRule>
  </conditionalFormatting>
  <conditionalFormatting sqref="A94:C117 O55:P55 Q19 Q27:R28 S19 R55:XFD55">
    <cfRule type="timePeriod" dxfId="1682" priority="164" timePeriod="last7Days">
      <formula>AND(TODAY()-FLOOR(A19,1)&lt;=6,FLOOR(A19,1)&lt;=TODAY())</formula>
    </cfRule>
    <cfRule type="timePeriod" dxfId="1681" priority="165" timePeriod="thisWeek">
      <formula>AND(TODAY()-ROUNDDOWN(A19,0)&lt;=WEEKDAY(TODAY())-1,ROUNDDOWN(A19,0)-TODAY()&lt;=7-WEEKDAY(TODAY()))</formula>
    </cfRule>
  </conditionalFormatting>
  <conditionalFormatting sqref="A26:D117 A2:H4 A146:H148 A149:G159 A160:H1048576 B129:D145 B118:D118 A119:D128 A5:F9 A10:D23 B24:D25 J10:K11 I12:K12 J13:K15 K16 J17:K17 J20:K20 J29:L145 J21:L23 M2:M6 L16:L18 M18:M23 M51:N55 M56:O71 M91:O145 M33:N34 O32:O34 M35:P35 O3:P6 N2:Q2 O31:Q31 M29:P30 P33:Q34 Q22:Q29 M36:Q50 P14:Q14 P17:Q18 Q58 Q60 Q62:Q63 Q96:Q104 Q106:Q122 Q129:Q143 Q9 Q11 R7:R18 P19:R21 Q65:Q82 Q91:Q92 R22:R50 S20 S10:S11 S13:S14 S17:S18 S22:S24 R133:U145 Q144:U145 S26:T26 S2 T2:U4 R129:XFD138 J160:XFD1048576 J146:U148 V140:XFD148 I149:XFD159 S27:U50 V26:XFD50 O51:XFD54 R58:XFD93 R96:XFD122 Q123:XFD128 Q94:XFD95 Q55:XFD57 T6:U17 V1:XFD17 U18:XFD19 V21:XFD21">
    <cfRule type="timePeriod" dxfId="1680" priority="167" timePeriod="nextWeek">
      <formula>AND(ROUNDDOWN(A1,0)-TODAY()&gt;(7-WEEKDAY(TODAY())),ROUNDDOWN(A1,0)-TODAY()&lt;(15-WEEKDAY(TODAY())))</formula>
    </cfRule>
  </conditionalFormatting>
  <conditionalFormatting sqref="D4:D35 P70:P89 F129:H131">
    <cfRule type="timePeriod" priority="1794" timePeriod="nextWeek">
      <formula>AND(ROUNDDOWN(D4,0)-TODAY()&gt;(7-WEEKDAY(TODAY())),ROUNDDOWN(D4,0)-TODAY()&lt;(15-WEEKDAY(TODAY())))</formula>
    </cfRule>
  </conditionalFormatting>
  <conditionalFormatting sqref="D115">
    <cfRule type="timePeriod" dxfId="1679" priority="500" timePeriod="last7Days">
      <formula>AND(TODAY()-FLOOR(D115,1)&lt;=6,FLOOR(D115,1)&lt;=TODAY())</formula>
    </cfRule>
    <cfRule type="timePeriod" dxfId="1678" priority="501" timePeriod="thisWeek">
      <formula>AND(TODAY()-ROUNDDOWN(D115,0)&lt;=WEEKDAY(TODAY())-1,ROUNDDOWN(D115,0)-TODAY()&lt;=7-WEEKDAY(TODAY()))</formula>
    </cfRule>
  </conditionalFormatting>
  <conditionalFormatting sqref="D117:D119">
    <cfRule type="timePeriod" dxfId="1677" priority="494" timePeriod="last7Days">
      <formula>AND(TODAY()-FLOOR(D117,1)&lt;=6,FLOOR(D117,1)&lt;=TODAY())</formula>
    </cfRule>
    <cfRule type="timePeriod" dxfId="1676" priority="495" timePeriod="thisWeek">
      <formula>AND(TODAY()-ROUNDDOWN(D117,0)&lt;=WEEKDAY(TODAY())-1,ROUNDDOWN(D117,0)-TODAY()&lt;=7-WEEKDAY(TODAY()))</formula>
    </cfRule>
  </conditionalFormatting>
  <conditionalFormatting sqref="E17">
    <cfRule type="timePeriod" dxfId="1675" priority="434" timePeriod="nextWeek">
      <formula>AND(ROUNDDOWN(E17,0)-TODAY()&gt;(7-WEEKDAY(TODAY())),ROUNDDOWN(E17,0)-TODAY()&lt;(15-WEEKDAY(TODAY())))</formula>
    </cfRule>
    <cfRule type="timePeriod" priority="435" timePeriod="nextWeek">
      <formula>AND(ROUNDDOWN(E17,0)-TODAY()&gt;(7-WEEKDAY(TODAY())),ROUNDDOWN(E17,0)-TODAY()&lt;(15-WEEKDAY(TODAY())))</formula>
    </cfRule>
    <cfRule type="timePeriod" dxfId="1674" priority="436" timePeriod="lastMonth">
      <formula>AND(MONTH(E17)=MONTH(EDATE(TODAY(),0-1)),YEAR(E17)=YEAR(EDATE(TODAY(),0-1)))</formula>
    </cfRule>
    <cfRule type="timePeriod" dxfId="1673" priority="437" timePeriod="last7Days">
      <formula>AND(TODAY()-FLOOR(E17,1)&lt;=6,FLOOR(E17,1)&lt;=TODAY())</formula>
    </cfRule>
    <cfRule type="timePeriod" dxfId="1672" priority="438" timePeriod="thisWeek">
      <formula>AND(TODAY()-ROUNDDOWN(E17,0)&lt;=WEEKDAY(TODAY())-1,ROUNDDOWN(E17,0)-TODAY()&lt;=7-WEEKDAY(TODAY()))</formula>
    </cfRule>
  </conditionalFormatting>
  <conditionalFormatting sqref="E23:G23">
    <cfRule type="timePeriod" dxfId="1671" priority="3418" timePeriod="nextWeek">
      <formula>AND(ROUNDDOWN(E23,0)-TODAY()&gt;(7-WEEKDAY(TODAY())),ROUNDDOWN(E23,0)-TODAY()&lt;(15-WEEKDAY(TODAY())))</formula>
    </cfRule>
    <cfRule type="timePeriod" dxfId="1670" priority="3420" timePeriod="lastMonth">
      <formula>AND(MONTH(E23)=MONTH(EDATE(TODAY(),0-1)),YEAR(E23)=YEAR(EDATE(TODAY(),0-1)))</formula>
    </cfRule>
    <cfRule type="timePeriod" dxfId="1669" priority="3421" timePeriod="last7Days">
      <formula>AND(TODAY()-FLOOR(E23,1)&lt;=6,FLOOR(E23,1)&lt;=TODAY())</formula>
    </cfRule>
    <cfRule type="timePeriod" dxfId="1668" priority="3422" timePeriod="thisWeek">
      <formula>AND(TODAY()-ROUNDDOWN(E23,0)&lt;=WEEKDAY(TODAY())-1,ROUNDDOWN(E23,0)-TODAY()&lt;=7-WEEKDAY(TODAY()))</formula>
    </cfRule>
    <cfRule type="timePeriod" priority="3486" timePeriod="nextWeek">
      <formula>AND(ROUNDDOWN(E23,0)-TODAY()&gt;(7-WEEKDAY(TODAY())),ROUNDDOWN(E23,0)-TODAY()&lt;(15-WEEKDAY(TODAY())))</formula>
    </cfRule>
  </conditionalFormatting>
  <conditionalFormatting sqref="F127:G128 F35:H126 F129:H131 Q105">
    <cfRule type="timePeriod" dxfId="1667" priority="491" timePeriod="thisWeek">
      <formula>AND(TODAY()-ROUNDDOWN(F35,0)&lt;=WEEKDAY(TODAY())-1,ROUNDDOWN(F35,0)-TODAY()&lt;=7-WEEKDAY(TODAY()))</formula>
    </cfRule>
    <cfRule type="timePeriod" dxfId="1666" priority="493" timePeriod="nextWeek">
      <formula>AND(ROUNDDOWN(F35,0)-TODAY()&gt;(7-WEEKDAY(TODAY())),ROUNDDOWN(F35,0)-TODAY()&lt;(15-WEEKDAY(TODAY())))</formula>
    </cfRule>
  </conditionalFormatting>
  <conditionalFormatting sqref="F132:G145">
    <cfRule type="timePeriod" dxfId="1665" priority="17" timePeriod="nextWeek">
      <formula>AND(ROUNDDOWN(F132,0)-TODAY()&gt;(7-WEEKDAY(TODAY())),ROUNDDOWN(F132,0)-TODAY()&lt;(15-WEEKDAY(TODAY())))</formula>
    </cfRule>
    <cfRule type="timePeriod" priority="18" timePeriod="nextWeek">
      <formula>AND(ROUNDDOWN(F132,0)-TODAY()&gt;(7-WEEKDAY(TODAY())),ROUNDDOWN(F132,0)-TODAY()&lt;(15-WEEKDAY(TODAY())))</formula>
    </cfRule>
    <cfRule type="timePeriod" dxfId="1664" priority="19" timePeriod="lastMonth">
      <formula>AND(MONTH(F132)=MONTH(EDATE(TODAY(),0-1)),YEAR(F132)=YEAR(EDATE(TODAY(),0-1)))</formula>
    </cfRule>
    <cfRule type="timePeriod" dxfId="1663" priority="20" timePeriod="last7Days">
      <formula>AND(TODAY()-FLOOR(F132,1)&lt;=6,FLOOR(F132,1)&lt;=TODAY())</formula>
    </cfRule>
  </conditionalFormatting>
  <conditionalFormatting sqref="F35:H126 F127:G128">
    <cfRule type="timePeriod" priority="492" timePeriod="nextWeek">
      <formula>AND(ROUNDDOWN(F35,0)-TODAY()&gt;(7-WEEKDAY(TODAY())),ROUNDDOWN(F35,0)-TODAY()&lt;(15-WEEKDAY(TODAY())))</formula>
    </cfRule>
  </conditionalFormatting>
  <conditionalFormatting sqref="G5:G23">
    <cfRule type="timePeriod" priority="3404" timePeriod="nextWeek">
      <formula>AND(ROUNDDOWN(G5,0)-TODAY()&gt;(7-WEEKDAY(TODAY())),ROUNDDOWN(G5,0)-TODAY()&lt;(15-WEEKDAY(TODAY())))</formula>
    </cfRule>
    <cfRule type="timePeriod" dxfId="1662" priority="4165" timePeriod="nextWeek">
      <formula>AND(ROUNDDOWN(G5,0)-TODAY()&gt;(7-WEEKDAY(TODAY())),ROUNDDOWN(G5,0)-TODAY()&lt;(15-WEEKDAY(TODAY())))</formula>
    </cfRule>
    <cfRule type="timePeriod" dxfId="1661" priority="4167" timePeriod="lastMonth">
      <formula>AND(MONTH(G5)=MONTH(EDATE(TODAY(),0-1)),YEAR(G5)=YEAR(EDATE(TODAY(),0-1)))</formula>
    </cfRule>
    <cfRule type="timePeriod" dxfId="1660" priority="4168" timePeriod="last7Days">
      <formula>AND(TODAY()-FLOOR(G5,1)&lt;=6,FLOOR(G5,1)&lt;=TODAY())</formula>
    </cfRule>
    <cfRule type="timePeriod" dxfId="1659" priority="4169" timePeriod="thisWeek">
      <formula>AND(TODAY()-ROUNDDOWN(G5,0)&lt;=WEEKDAY(TODAY())-1,ROUNDDOWN(G5,0)-TODAY()&lt;=7-WEEKDAY(TODAY()))</formula>
    </cfRule>
  </conditionalFormatting>
  <conditionalFormatting sqref="G20 J1 K24 J26:L28">
    <cfRule type="timePeriod" dxfId="1658" priority="3465" timePeriod="nextWeek">
      <formula>AND(ROUNDDOWN(G1,0)-TODAY()&gt;(7-WEEKDAY(TODAY())),ROUNDDOWN(G1,0)-TODAY()&lt;(15-WEEKDAY(TODAY())))</formula>
    </cfRule>
    <cfRule type="timePeriod" dxfId="1657" priority="3467" timePeriod="lastMonth">
      <formula>AND(MONTH(G1)=MONTH(EDATE(TODAY(),0-1)),YEAR(G1)=YEAR(EDATE(TODAY(),0-1)))</formula>
    </cfRule>
    <cfRule type="timePeriod" dxfId="1656" priority="3468" timePeriod="last7Days">
      <formula>AND(TODAY()-FLOOR(G1,1)&lt;=6,FLOOR(G1,1)&lt;=TODAY())</formula>
    </cfRule>
    <cfRule type="timePeriod" dxfId="1655" priority="3469" timePeriod="thisWeek">
      <formula>AND(TODAY()-ROUNDDOWN(G1,0)&lt;=WEEKDAY(TODAY())-1,ROUNDDOWN(G1,0)-TODAY()&lt;=7-WEEKDAY(TODAY()))</formula>
    </cfRule>
  </conditionalFormatting>
  <conditionalFormatting sqref="G4:H4">
    <cfRule type="timePeriod" priority="4196" timePeriod="nextWeek">
      <formula>AND(ROUNDDOWN(G4,0)-TODAY()&gt;(7-WEEKDAY(TODAY())),ROUNDDOWN(G4,0)-TODAY()&lt;(15-WEEKDAY(TODAY())))</formula>
    </cfRule>
    <cfRule type="timePeriod" dxfId="1654" priority="4197" timePeriod="lastMonth">
      <formula>AND(MONTH(G4)=MONTH(EDATE(TODAY(),0-1)),YEAR(G4)=YEAR(EDATE(TODAY(),0-1)))</formula>
    </cfRule>
    <cfRule type="timePeriod" dxfId="1653" priority="4198" timePeriod="last7Days">
      <formula>AND(TODAY()-FLOOR(G4,1)&lt;=6,FLOOR(G4,1)&lt;=TODAY())</formula>
    </cfRule>
    <cfRule type="timePeriod" dxfId="1652" priority="4199" timePeriod="thisWeek">
      <formula>AND(TODAY()-ROUNDDOWN(G4,0)&lt;=WEEKDAY(TODAY())-1,ROUNDDOWN(G4,0)-TODAY()&lt;=7-WEEKDAY(TODAY()))</formula>
    </cfRule>
  </conditionalFormatting>
  <conditionalFormatting sqref="J24:K24">
    <cfRule type="timePeriod" dxfId="1651" priority="2890" timePeriod="nextWeek">
      <formula>AND(ROUNDDOWN(J24,0)-TODAY()&gt;(7-WEEKDAY(TODAY())),ROUNDDOWN(J24,0)-TODAY()&lt;(15-WEEKDAY(TODAY())))</formula>
    </cfRule>
    <cfRule type="timePeriod" dxfId="1650" priority="2892" timePeriod="lastMonth">
      <formula>AND(MONTH(J24)=MONTH(EDATE(TODAY(),0-1)),YEAR(J24)=YEAR(EDATE(TODAY(),0-1)))</formula>
    </cfRule>
    <cfRule type="timePeriod" dxfId="1649" priority="2893" timePeriod="last7Days">
      <formula>AND(TODAY()-FLOOR(J24,1)&lt;=6,FLOOR(J24,1)&lt;=TODAY())</formula>
    </cfRule>
    <cfRule type="timePeriod" dxfId="1648" priority="2894" timePeriod="thisWeek">
      <formula>AND(TODAY()-ROUNDDOWN(J24,0)&lt;=WEEKDAY(TODAY())-1,ROUNDDOWN(J24,0)-TODAY()&lt;=7-WEEKDAY(TODAY()))</formula>
    </cfRule>
  </conditionalFormatting>
  <conditionalFormatting sqref="J24:K25">
    <cfRule type="timePeriod" dxfId="1647" priority="2798" timePeriod="nextWeek">
      <formula>AND(ROUNDDOWN(J24,0)-TODAY()&gt;(7-WEEKDAY(TODAY())),ROUNDDOWN(J24,0)-TODAY()&lt;(15-WEEKDAY(TODAY())))</formula>
    </cfRule>
    <cfRule type="timePeriod" dxfId="1646" priority="2800" timePeriod="lastMonth">
      <formula>AND(MONTH(J24)=MONTH(EDATE(TODAY(),0-1)),YEAR(J24)=YEAR(EDATE(TODAY(),0-1)))</formula>
    </cfRule>
    <cfRule type="timePeriod" dxfId="1645" priority="2801" timePeriod="last7Days">
      <formula>AND(TODAY()-FLOOR(J24,1)&lt;=6,FLOOR(J24,1)&lt;=TODAY())</formula>
    </cfRule>
    <cfRule type="timePeriod" dxfId="1644" priority="2802" timePeriod="thisWeek">
      <formula>AND(TODAY()-ROUNDDOWN(J24,0)&lt;=WEEKDAY(TODAY())-1,ROUNDDOWN(J24,0)-TODAY()&lt;=7-WEEKDAY(TODAY()))</formula>
    </cfRule>
  </conditionalFormatting>
  <conditionalFormatting sqref="J25:K26 E26:H32 Q26 M133:M145 B129:C145 A146:H148 A149:G159 A160:H1048576 A119:C128 A93:D93 B118:C118 A40:C92 J10:K11 I12:K12 J13:K15 K16 J17:K17 J20:K20 J29:L145 L16:L17 J21:L23 M19:M23 M2:M5 M29:N30 O66:O89 M33:N143 O90:P102 M144:P145 O2:P18 O31:O50 O56:P57 O64:P66 P31:Q39 P29:Q29 Q14 Q2 Q17:Q18 Q139:Q145 O103:Q143 O60:Q63 P96:Q102 Q65:Q95 R2:R19 P40:R50 R24:R26 R28:R39 S10:S18 R20:S23 S2 S24:S50 R133:U145 V140:XFD148 R60:XFD138 J146:U148 I149:XFD159 J160:XFD1048576 T27:U50 V26:XFD50 O51:XFD54 O58:XFD59 Q57:XFD57 T4:U18 V1:XFD18 U19:XFD19 V21:XFD21">
    <cfRule type="timePeriod" dxfId="1643" priority="1298" timePeriod="last7Days">
      <formula>AND(TODAY()-FLOOR(A1,1)&lt;=6,FLOOR(A1,1)&lt;=TODAY())</formula>
    </cfRule>
  </conditionalFormatting>
  <conditionalFormatting sqref="J25:K26 E26:H32 M72:O90 Q61">
    <cfRule type="timePeriod" dxfId="1642" priority="1295" timePeriod="nextWeek">
      <formula>AND(ROUNDDOWN(E25,0)-TODAY()&gt;(7-WEEKDAY(TODAY())),ROUNDDOWN(E25,0)-TODAY()&lt;(15-WEEKDAY(TODAY())))</formula>
    </cfRule>
    <cfRule type="timePeriod" dxfId="1641" priority="1297" timePeriod="lastMonth">
      <formula>AND(MONTH(E25)=MONTH(EDATE(TODAY(),0-1)),YEAR(E25)=YEAR(EDATE(TODAY(),0-1)))</formula>
    </cfRule>
  </conditionalFormatting>
  <conditionalFormatting sqref="J25:K26 E26:H32 A146:H148 A149:G159 A160:H1048576 A40:C92 A119:C128 B129:C145 A93:D93 B118:C118 J10:K11 I12:K12 J13:K15 K16 J17:K17 J20:K20 J29:L145 L16:L17 J21:L23 M19:M23 M2:M5 M51:N55 M29:N30 K1:N1 M58:O61 M33:N34 M67:O72 O32:O34 M73:P95 M105:P105 M35:P35 M56:P56 M64:P66 O1:P23 P30 N57:P57 O59:P59 M129:P145 M36:Q39 P29:Q29 O31:P31 Q11:Q14 Q133:Q143 Q2:Q9 Q17:Q18 M62:Q63 O58:Q58 O60:Q60 Q31:Q34 R7:R19 Q74:Q80 R21 R25 R28:R34 S10:S18 R20:S20 R22:S24 Q26:S26 S33:S34 S2 M40:S50 P139:U143 Q144:U145 R35:S39 S27:S30 Q81:XFD95 R105:XFD105 M96:XFD104 M106:XFD128 Q129:XFD138 J146:U148 V140:XFD148 I149:XFD159 J160:XFD1048576 T27:U50 V26:XFD50 R62:XFD64 O51:XFD54 R56:XFD60 R69:XFD80 O61:XFD61 Q65:XFD68 T4:U18 V1:XFD18 U19:XFD19 V21:XFD21">
    <cfRule type="timePeriod" dxfId="1640" priority="1299" timePeriod="thisWeek">
      <formula>AND(TODAY()-ROUNDDOWN(A1,0)&lt;=WEEKDAY(TODAY())-1,ROUNDDOWN(A1,0)-TODAY()&lt;=7-WEEKDAY(TODAY()))</formula>
    </cfRule>
  </conditionalFormatting>
  <conditionalFormatting sqref="J27:K27">
    <cfRule type="timePeriod" dxfId="1639" priority="1648" timePeriod="nextWeek">
      <formula>AND(ROUNDDOWN(J27,0)-TODAY()&gt;(7-WEEKDAY(TODAY())),ROUNDDOWN(J27,0)-TODAY()&lt;(15-WEEKDAY(TODAY())))</formula>
    </cfRule>
    <cfRule type="timePeriod" dxfId="1638" priority="1650" timePeriod="lastMonth">
      <formula>AND(MONTH(J27)=MONTH(EDATE(TODAY(),0-1)),YEAR(J27)=YEAR(EDATE(TODAY(),0-1)))</formula>
    </cfRule>
    <cfRule type="timePeriod" dxfId="1637" priority="1651" timePeriod="last7Days">
      <formula>AND(TODAY()-FLOOR(J27,1)&lt;=6,FLOOR(J27,1)&lt;=TODAY())</formula>
    </cfRule>
    <cfRule type="timePeriod" dxfId="1636" priority="1652" timePeriod="thisWeek">
      <formula>AND(TODAY()-ROUNDDOWN(J27,0)&lt;=WEEKDAY(TODAY())-1,ROUNDDOWN(J27,0)-TODAY()&lt;=7-WEEKDAY(TODAY()))</formula>
    </cfRule>
  </conditionalFormatting>
  <conditionalFormatting sqref="J28:K28">
    <cfRule type="timePeriod" dxfId="1635" priority="1390" timePeriod="nextWeek">
      <formula>AND(ROUNDDOWN(J28,0)-TODAY()&gt;(7-WEEKDAY(TODAY())),ROUNDDOWN(J28,0)-TODAY()&lt;(15-WEEKDAY(TODAY())))</formula>
    </cfRule>
    <cfRule type="timePeriod" dxfId="1634" priority="1392" timePeriod="lastMonth">
      <formula>AND(MONTH(J28)=MONTH(EDATE(TODAY(),0-1)),YEAR(J28)=YEAR(EDATE(TODAY(),0-1)))</formula>
    </cfRule>
    <cfRule type="timePeriod" dxfId="1633" priority="1393" timePeriod="last7Days">
      <formula>AND(TODAY()-FLOOR(J28,1)&lt;=6,FLOOR(J28,1)&lt;=TODAY())</formula>
    </cfRule>
    <cfRule type="timePeriod" dxfId="1632" priority="1394" timePeriod="thisWeek">
      <formula>AND(TODAY()-ROUNDDOWN(J28,0)&lt;=WEEKDAY(TODAY())-1,ROUNDDOWN(J28,0)-TODAY()&lt;=7-WEEKDAY(TODAY()))</formula>
    </cfRule>
  </conditionalFormatting>
  <conditionalFormatting sqref="F35:H126 F129:H131 J131 T19:T23 J23:L23 Q56:XFD56">
    <cfRule type="timePeriod" dxfId="1631" priority="3410" timePeriod="lastMonth">
      <formula>AND(MONTH(F19)=MONTH(EDATE(TODAY(),0-1)),YEAR(F19)=YEAR(EDATE(TODAY(),0-1)))</formula>
    </cfRule>
    <cfRule type="timePeriod" dxfId="1630" priority="3411" timePeriod="last7Days">
      <formula>AND(TODAY()-FLOOR(F19,1)&lt;=6,FLOOR(F19,1)&lt;=TODAY())</formula>
    </cfRule>
  </conditionalFormatting>
  <conditionalFormatting sqref="O1:O55">
    <cfRule type="timePeriod" dxfId="1629" priority="738" timePeriod="last7Days">
      <formula>AND(TODAY()-FLOOR(O1,1)&lt;=6,FLOOR(O1,1)&lt;=TODAY())</formula>
    </cfRule>
  </conditionalFormatting>
  <conditionalFormatting sqref="M57">
    <cfRule type="timePeriod" dxfId="1628" priority="734" timePeriod="thisWeek">
      <formula>AND(TODAY()-ROUNDDOWN(M57,0)&lt;=WEEKDAY(TODAY())-1,ROUNDDOWN(M57,0)-TODAY()&lt;=7-WEEKDAY(TODAY()))</formula>
    </cfRule>
  </conditionalFormatting>
  <conditionalFormatting sqref="F132:G145">
    <cfRule type="timePeriod" dxfId="1627" priority="15" timePeriod="thisWeek">
      <formula>AND(TODAY()-ROUNDDOWN(F132,0)&lt;=WEEKDAY(TODAY())-1,ROUNDDOWN(F132,0)-TODAY()&lt;=7-WEEKDAY(TODAY()))</formula>
    </cfRule>
  </conditionalFormatting>
  <conditionalFormatting sqref="S3:S9 S15:S16 S19 Q5 P7:P13 O7:O28 S12 P15:P16 S21 P22:P23 S25 P55:P66 N7:N8 N17 Q30:Q65 M7:M17 L10:L15 L19:L21 M31:M32 T5:U5 E11:F16 E33:I33 E34:H34">
    <cfRule type="timePeriod" dxfId="1626" priority="4333" timePeriod="nextWeek">
      <formula>AND(ROUNDDOWN(E3,0)-TODAY()&gt;(7-WEEKDAY(TODAY())),ROUNDDOWN(E3,0)-TODAY()&lt;(15-WEEKDAY(TODAY())))</formula>
    </cfRule>
  </conditionalFormatting>
  <conditionalFormatting sqref="M28">
    <cfRule type="timePeriod" priority="1218" timePeriod="nextWeek">
      <formula>AND(ROUNDDOWN(M28,0)-TODAY()&gt;(7-WEEKDAY(TODAY())),ROUNDDOWN(M28,0)-TODAY()&lt;(15-WEEKDAY(TODAY())))</formula>
    </cfRule>
  </conditionalFormatting>
  <conditionalFormatting sqref="O1:O34 L10:L15 M6:M18 L19:L21 A27:A34 M32 A35:B39">
    <cfRule type="timePeriod" dxfId="1625" priority="3261" timePeriod="thisWeek">
      <formula>AND(TODAY()-ROUNDDOWN(A1,0)&lt;=WEEKDAY(TODAY())-1,ROUNDDOWN(A1,0)-TODAY()&lt;=7-WEEKDAY(TODAY()))</formula>
    </cfRule>
  </conditionalFormatting>
  <conditionalFormatting sqref="K1:P1">
    <cfRule type="timePeriod" dxfId="1624" priority="3257" timePeriod="nextWeek">
      <formula>AND(ROUNDDOWN(K1,0)-TODAY()&gt;(7-WEEKDAY(TODAY())),ROUNDDOWN(K1,0)-TODAY()&lt;(15-WEEKDAY(TODAY())))</formula>
    </cfRule>
    <cfRule type="timePeriod" dxfId="1623" priority="3259" timePeriod="lastMonth">
      <formula>AND(MONTH(K1)=MONTH(EDATE(TODAY(),0-1)),YEAR(K1)=YEAR(EDATE(TODAY(),0-1)))</formula>
    </cfRule>
    <cfRule type="timePeriod" dxfId="1622" priority="3260" timePeriod="last7Days">
      <formula>AND(TODAY()-FLOOR(K1,1)&lt;=6,FLOOR(K1,1)&lt;=TODAY())</formula>
    </cfRule>
  </conditionalFormatting>
  <conditionalFormatting sqref="K54">
    <cfRule type="timePeriod" dxfId="1621" priority="563" timePeriod="lastMonth">
      <formula>AND(MONTH(K54)=MONTH(EDATE(TODAY(),0-1)),YEAR(K54)=YEAR(EDATE(TODAY(),0-1)))</formula>
    </cfRule>
    <cfRule type="timePeriod" dxfId="1620" priority="564" timePeriod="last7Days">
      <formula>AND(TODAY()-FLOOR(K54,1)&lt;=6,FLOOR(K54,1)&lt;=TODAY())</formula>
    </cfRule>
    <cfRule type="timePeriod" dxfId="1619" priority="565" timePeriod="nextWeek">
      <formula>AND(ROUNDDOWN(K54,0)-TODAY()&gt;(7-WEEKDAY(TODAY())),ROUNDDOWN(K54,0)-TODAY()&lt;(15-WEEKDAY(TODAY())))</formula>
    </cfRule>
  </conditionalFormatting>
  <conditionalFormatting sqref="M24:M25 Q14:Q16">
    <cfRule type="timePeriod" dxfId="1618" priority="531" timePeriod="lastMonth">
      <formula>AND(MONTH(M14)=MONTH(EDATE(TODAY(),0-1)),YEAR(M14)=YEAR(EDATE(TODAY(),0-1)))</formula>
    </cfRule>
    <cfRule type="timePeriod" dxfId="1617" priority="532" timePeriod="last7Days">
      <formula>AND(TODAY()-FLOOR(M14,1)&lt;=6,FLOOR(M14,1)&lt;=TODAY())</formula>
    </cfRule>
    <cfRule type="timePeriod" dxfId="1616" priority="534" timePeriod="thisWeek">
      <formula>AND(TODAY()-ROUNDDOWN(M14,0)&lt;=WEEKDAY(TODAY())-1,ROUNDDOWN(M14,0)-TODAY()&lt;=7-WEEKDAY(TODAY()))</formula>
    </cfRule>
  </conditionalFormatting>
  <conditionalFormatting sqref="M27">
    <cfRule type="timePeriod" dxfId="1615" priority="807" timePeriod="lastMonth">
      <formula>AND(MONTH(M27)=MONTH(EDATE(TODAY(),0-1)),YEAR(M27)=YEAR(EDATE(TODAY(),0-1)))</formula>
    </cfRule>
    <cfRule type="timePeriod" dxfId="1614" priority="808" timePeriod="last7Days">
      <formula>AND(TODAY()-FLOOR(M27,1)&lt;=6,FLOOR(M27,1)&lt;=TODAY())</formula>
    </cfRule>
    <cfRule type="timePeriod" dxfId="1613" priority="809" timePeriod="thisWeek">
      <formula>AND(TODAY()-ROUNDDOWN(M27,0)&lt;=WEEKDAY(TODAY())-1,ROUNDDOWN(M27,0)-TODAY()&lt;=7-WEEKDAY(TODAY()))</formula>
    </cfRule>
  </conditionalFormatting>
  <conditionalFormatting sqref="M24:M27">
    <cfRule type="timePeriod" priority="533" timePeriod="nextWeek">
      <formula>AND(ROUNDDOWN(M24,0)-TODAY()&gt;(7-WEEKDAY(TODAY())),ROUNDDOWN(M24,0)-TODAY()&lt;(15-WEEKDAY(TODAY())))</formula>
    </cfRule>
  </conditionalFormatting>
  <conditionalFormatting sqref="M24:M28">
    <cfRule type="timePeriod" dxfId="1612" priority="1217" timePeriod="nextWeek">
      <formula>AND(ROUNDDOWN(M24,0)-TODAY()&gt;(7-WEEKDAY(TODAY())),ROUNDDOWN(M24,0)-TODAY()&lt;(15-WEEKDAY(TODAY())))</formula>
    </cfRule>
    <cfRule type="timePeriod" dxfId="1611" priority="1219" timePeriod="lastMonth">
      <formula>AND(MONTH(M24)=MONTH(EDATE(TODAY(),0-1)),YEAR(M24)=YEAR(EDATE(TODAY(),0-1)))</formula>
    </cfRule>
    <cfRule type="timePeriod" dxfId="1610" priority="1268" timePeriod="last7Days">
      <formula>AND(TODAY()-FLOOR(M24,1)&lt;=6,FLOOR(M24,1)&lt;=TODAY())</formula>
    </cfRule>
    <cfRule type="timePeriod" dxfId="1609" priority="1269" timePeriod="thisWeek">
      <formula>AND(TODAY()-ROUNDDOWN(M24,0)&lt;=WEEKDAY(TODAY())-1,ROUNDDOWN(M24,0)-TODAY()&lt;=7-WEEKDAY(TODAY()))</formula>
    </cfRule>
  </conditionalFormatting>
  <conditionalFormatting sqref="M133:M143 J10:K11 I12:K12 J13:K15 K16 J17:K17 J20:K20 J29:L145 L16:L17 J21:L23 M19:M23 M2:M5 M134:N145 M29:N30 M51:N55 M67:O71 M91:O91 M92:P95 M59:P59 M61:P61 M64:P66 N56:P57 O32:P32 O55:P55 O133:Q143 N2:Q2 O31:Q31 P29 P14 Q26:Q29 M33:Q50 M58:Q58 M60:Q60 M62:Q63 O51:Q54 P21:Q21 P17:Q18 Q7:Q14 R7:R18 P19:R20 R21:R55 S10:S11 S13:S14 S17:S18 S20 S22:S24 S26:S30 R133:U145 S33:S55 O139:U145 S2 T2:U4 V140:XFD145 J146:XFD148 I149:XFD159 J160:XFD1048576 T32:XFD55 M96:XFD133 R57:XFD64 O134:XFD138 Q65:XFD95 T27:U30 V26:XFD30 S31:XFD31 T6:U18 V1:XFD18 U19:XFD19 V21:XFD21">
    <cfRule type="timePeriod" dxfId="1608" priority="58" timePeriod="lastMonth">
      <formula>AND(MONTH(I1)=MONTH(EDATE(TODAY(),0-1)),YEAR(I1)=YEAR(EDATE(TODAY(),0-1)))</formula>
    </cfRule>
  </conditionalFormatting>
  <conditionalFormatting sqref="E146:H148 D149:G159 E160:H1048576">
    <cfRule type="timePeriod" dxfId="1607" priority="439" timePeriod="lastMonth">
      <formula>AND(MONTH(D146)=MONTH(EDATE(TODAY(),0-1)),YEAR(D146)=YEAR(EDATE(TODAY(),0-1)))</formula>
    </cfRule>
  </conditionalFormatting>
  <conditionalFormatting sqref="L10:L15 M6:M18 L19:L21 P19:P23 O21 A27:A34 M32 A35:B39 Q75:Q80">
    <cfRule type="timePeriod" dxfId="1606" priority="1239" timePeriod="last7Days">
      <formula>AND(TODAY()-FLOOR(A6,1)&lt;=6,FLOOR(A6,1)&lt;=TODAY())</formula>
    </cfRule>
  </conditionalFormatting>
  <conditionalFormatting sqref="P138:P140">
    <cfRule type="timePeriod" dxfId="1605" priority="27" timePeriod="lastMonth">
      <formula>AND(MONTH(P138)=MONTH(EDATE(TODAY(),0-1)),YEAR(P138)=YEAR(EDATE(TODAY(),0-1)))</formula>
    </cfRule>
  </conditionalFormatting>
  <conditionalFormatting sqref="P4:P13 L10:L15 S12 M6:M18 L19:L21 O3:O30 M32">
    <cfRule type="timePeriod" dxfId="1604" priority="752" timePeriod="lastMonth">
      <formula>AND(MONTH(L3)=MONTH(EDATE(TODAY(),0-1)),YEAR(L3)=YEAR(EDATE(TODAY(),0-1)))</formula>
    </cfRule>
  </conditionalFormatting>
  <conditionalFormatting sqref="N1">
    <cfRule type="timePeriod" dxfId="1603" priority="3365" timePeriod="nextWeek">
      <formula>AND(ROUNDDOWN(N1,0)-TODAY()&gt;(7-WEEKDAY(TODAY())),ROUNDDOWN(N1,0)-TODAY()&lt;(15-WEEKDAY(TODAY())))</formula>
    </cfRule>
    <cfRule type="timePeriod" priority="3366" timePeriod="nextWeek">
      <formula>AND(ROUNDDOWN(N1,0)-TODAY()&gt;(7-WEEKDAY(TODAY())),ROUNDDOWN(N1,0)-TODAY()&lt;(15-WEEKDAY(TODAY())))</formula>
    </cfRule>
    <cfRule type="timePeriod" dxfId="1602" priority="3367" timePeriod="lastMonth">
      <formula>AND(MONTH(N1)=MONTH(EDATE(TODAY(),0-1)),YEAR(N1)=YEAR(EDATE(TODAY(),0-1)))</formula>
    </cfRule>
    <cfRule type="timePeriod" dxfId="1601" priority="3368" timePeriod="last7Days">
      <formula>AND(TODAY()-FLOOR(N1,1)&lt;=6,FLOOR(N1,1)&lt;=TODAY())</formula>
    </cfRule>
    <cfRule type="timePeriod" dxfId="1600" priority="3369" timePeriod="thisWeek">
      <formula>AND(TODAY()-ROUNDDOWN(N1,0)&lt;=WEEKDAY(TODAY())-1,ROUNDDOWN(N1,0)-TODAY()&lt;=7-WEEKDAY(TODAY()))</formula>
    </cfRule>
  </conditionalFormatting>
  <conditionalFormatting sqref="N9:N10">
    <cfRule type="timePeriod" dxfId="1599" priority="46" timePeriod="nextWeek">
      <formula>AND(ROUNDDOWN(N9,0)-TODAY()&gt;(7-WEEKDAY(TODAY())),ROUNDDOWN(N9,0)-TODAY()&lt;(15-WEEKDAY(TODAY())))</formula>
    </cfRule>
    <cfRule type="timePeriod" priority="47" timePeriod="nextWeek">
      <formula>AND(ROUNDDOWN(N9,0)-TODAY()&gt;(7-WEEKDAY(TODAY())),ROUNDDOWN(N9,0)-TODAY()&lt;(15-WEEKDAY(TODAY())))</formula>
    </cfRule>
    <cfRule type="timePeriod" dxfId="1598" priority="48" timePeriod="lastMonth">
      <formula>AND(MONTH(N9)=MONTH(EDATE(TODAY(),0-1)),YEAR(N9)=YEAR(EDATE(TODAY(),0-1)))</formula>
    </cfRule>
    <cfRule type="timePeriod" dxfId="1597" priority="49" timePeriod="last7Days">
      <formula>AND(TODAY()-FLOOR(N9,1)&lt;=6,FLOOR(N9,1)&lt;=TODAY())</formula>
    </cfRule>
    <cfRule type="timePeriod" dxfId="1596" priority="50" timePeriod="thisWeek">
      <formula>AND(TODAY()-ROUNDDOWN(N9,0)&lt;=WEEKDAY(TODAY())-1,ROUNDDOWN(N9,0)-TODAY()&lt;=7-WEEKDAY(TODAY()))</formula>
    </cfRule>
  </conditionalFormatting>
  <conditionalFormatting sqref="N18:N21">
    <cfRule type="timePeriod" dxfId="1595" priority="89" timePeriod="lastMonth">
      <formula>AND(MONTH(N18)=MONTH(EDATE(TODAY(),0-1)),YEAR(N18)=YEAR(EDATE(TODAY(),0-1)))</formula>
    </cfRule>
    <cfRule type="timePeriod" dxfId="1594" priority="90" timePeriod="last7Days">
      <formula>AND(TODAY()-FLOOR(N18,1)&lt;=6,FLOOR(N18,1)&lt;=TODAY())</formula>
    </cfRule>
    <cfRule type="timePeriod" dxfId="1593" priority="91" timePeriod="thisWeek">
      <formula>AND(TODAY()-ROUNDDOWN(N18,0)&lt;=WEEKDAY(TODAY())-1,ROUNDDOWN(N18,0)-TODAY()&lt;=7-WEEKDAY(TODAY()))</formula>
    </cfRule>
    <cfRule type="timePeriod" priority="92" timePeriod="nextWeek">
      <formula>AND(ROUNDDOWN(N18,0)-TODAY()&gt;(7-WEEKDAY(TODAY())),ROUNDDOWN(N18,0)-TODAY()&lt;(15-WEEKDAY(TODAY())))</formula>
    </cfRule>
    <cfRule type="timePeriod" dxfId="1592" priority="93" timePeriod="nextWeek">
      <formula>AND(ROUNDDOWN(N18,0)-TODAY()&gt;(7-WEEKDAY(TODAY())),ROUNDDOWN(N18,0)-TODAY()&lt;(15-WEEKDAY(TODAY())))</formula>
    </cfRule>
  </conditionalFormatting>
  <conditionalFormatting sqref="N133:N145">
    <cfRule type="timePeriod" dxfId="1591" priority="22" timePeriod="lastMonth">
      <formula>AND(MONTH(N133)=MONTH(EDATE(TODAY(),0-1)),YEAR(N133)=YEAR(EDATE(TODAY(),0-1)))</formula>
    </cfRule>
    <cfRule type="timePeriod" dxfId="1590" priority="23" timePeriod="last7Days">
      <formula>AND(TODAY()-FLOOR(N133,1)&lt;=6,FLOOR(N133,1)&lt;=TODAY())</formula>
    </cfRule>
    <cfRule type="timePeriod" dxfId="1589" priority="24" timePeriod="nextWeek">
      <formula>AND(ROUNDDOWN(N133,0)-TODAY()&gt;(7-WEEKDAY(TODAY())),ROUNDDOWN(N133,0)-TODAY()&lt;(15-WEEKDAY(TODAY())))</formula>
    </cfRule>
    <cfRule type="timePeriod" dxfId="1588" priority="25" timePeriod="thisWeek">
      <formula>AND(TODAY()-ROUNDDOWN(N133,0)&lt;=WEEKDAY(TODAY())-1,ROUNDDOWN(N133,0)-TODAY()&lt;=7-WEEKDAY(TODAY()))</formula>
    </cfRule>
  </conditionalFormatting>
  <conditionalFormatting sqref="F127:G128">
    <cfRule type="timePeriod" dxfId="1587" priority="489" timePeriod="lastMonth">
      <formula>AND(MONTH(F127)=MONTH(EDATE(TODAY(),0-1)),YEAR(F127)=YEAR(EDATE(TODAY(),0-1)))</formula>
    </cfRule>
    <cfRule type="timePeriod" dxfId="1586" priority="490" timePeriod="last7Days">
      <formula>AND(TODAY()-FLOOR(F127,1)&lt;=6,FLOOR(F127,1)&lt;=TODAY())</formula>
    </cfRule>
  </conditionalFormatting>
  <conditionalFormatting sqref="S3:S9 S15:S16 S19">
    <cfRule type="timePeriod" dxfId="1585" priority="3323" timePeriod="last7Days">
      <formula>AND(TODAY()-FLOOR(S3,1)&lt;=6,FLOOR(S3,1)&lt;=TODAY())</formula>
    </cfRule>
  </conditionalFormatting>
  <conditionalFormatting sqref="O24:O145 P35:P39 P55:P66 O2:P23 S37:S39 S2:S6 R7:S36">
    <cfRule type="cellIs" dxfId="1584" priority="3313" operator="lessThan">
      <formula>15</formula>
    </cfRule>
  </conditionalFormatting>
  <conditionalFormatting sqref="S3:S9 S15:S16 S19 S21 S25 S31:S32">
    <cfRule type="timePeriod" dxfId="1583" priority="3324" timePeriod="thisWeek">
      <formula>AND(TODAY()-ROUNDDOWN(S3,0)&lt;=WEEKDAY(TODAY())-1,ROUNDDOWN(S3,0)-TODAY()&lt;=7-WEEKDAY(TODAY()))</formula>
    </cfRule>
  </conditionalFormatting>
  <conditionalFormatting sqref="Q144:Q145">
    <cfRule type="timePeriod" dxfId="1582" priority="72" timePeriod="last7Days">
      <formula>AND(TODAY()-FLOOR(Q144,1)&lt;=6,FLOOR(Q144,1)&lt;=TODAY())</formula>
    </cfRule>
  </conditionalFormatting>
  <conditionalFormatting sqref="O27">
    <cfRule type="timePeriod" dxfId="1581" priority="109" timePeriod="last7Days">
      <formula>AND(TODAY()-FLOOR(O27,1)&lt;=6,FLOOR(O27,1)&lt;=TODAY())</formula>
    </cfRule>
  </conditionalFormatting>
  <conditionalFormatting sqref="O51">
    <cfRule type="timePeriod" dxfId="1580" priority="105" timePeriod="last7Days">
      <formula>AND(TODAY()-FLOOR(O51,1)&lt;=6,FLOOR(O51,1)&lt;=TODAY())</formula>
    </cfRule>
    <cfRule type="timePeriod" dxfId="1579" priority="106" timePeriod="lastMonth">
      <formula>AND(MONTH(O51)=MONTH(EDATE(TODAY(),0-1)),YEAR(O51)=YEAR(EDATE(TODAY(),0-1)))</formula>
    </cfRule>
    <cfRule type="timePeriod" priority="107" timePeriod="nextWeek">
      <formula>AND(ROUNDDOWN(O51,0)-TODAY()&gt;(7-WEEKDAY(TODAY())),ROUNDDOWN(O51,0)-TODAY()&lt;(15-WEEKDAY(TODAY())))</formula>
    </cfRule>
    <cfRule type="timePeriod" dxfId="1578" priority="799" timePeriod="nextWeek">
      <formula>AND(ROUNDDOWN(O51,0)-TODAY()&gt;(7-WEEKDAY(TODAY())),ROUNDDOWN(O51,0)-TODAY()&lt;(15-WEEKDAY(TODAY())))</formula>
    </cfRule>
    <cfRule type="timePeriod" dxfId="1577" priority="801" timePeriod="last7Days">
      <formula>AND(TODAY()-FLOOR(O51,1)&lt;=6,FLOOR(O51,1)&lt;=TODAY())</formula>
    </cfRule>
    <cfRule type="timePeriod" dxfId="1576" priority="802" timePeriod="thisWeek">
      <formula>AND(TODAY()-ROUNDDOWN(O51,0)&lt;=WEEKDAY(TODAY())-1,ROUNDDOWN(O51,0)-TODAY()&lt;=7-WEEKDAY(TODAY()))</formula>
    </cfRule>
  </conditionalFormatting>
  <conditionalFormatting sqref="O51:O52">
    <cfRule type="timePeriod" dxfId="1575" priority="108" timePeriod="nextWeek">
      <formula>AND(ROUNDDOWN(O51,0)-TODAY()&gt;(7-WEEKDAY(TODAY())),ROUNDDOWN(O51,0)-TODAY()&lt;(15-WEEKDAY(TODAY())))</formula>
    </cfRule>
  </conditionalFormatting>
  <conditionalFormatting sqref="O52">
    <cfRule type="timePeriod" dxfId="1574" priority="430" timePeriod="last7Days">
      <formula>AND(TODAY()-FLOOR(O52,1)&lt;=6,FLOOR(O52,1)&lt;=TODAY())</formula>
    </cfRule>
    <cfRule type="timePeriod" dxfId="1573" priority="431" timePeriod="thisWeek">
      <formula>AND(TODAY()-ROUNDDOWN(O52,0)&lt;=WEEKDAY(TODAY())-1,ROUNDDOWN(O52,0)-TODAY()&lt;=7-WEEKDAY(TODAY()))</formula>
    </cfRule>
    <cfRule type="timePeriod" dxfId="1572" priority="432" timePeriod="lastMonth">
      <formula>AND(MONTH(O52)=MONTH(EDATE(TODAY(),0-1)),YEAR(O52)=YEAR(EDATE(TODAY(),0-1)))</formula>
    </cfRule>
    <cfRule type="timePeriod" dxfId="1571" priority="433" timePeriod="nextWeek">
      <formula>AND(ROUNDDOWN(O52,0)-TODAY()&gt;(7-WEEKDAY(TODAY())),ROUNDDOWN(O52,0)-TODAY()&lt;(15-WEEKDAY(TODAY())))</formula>
    </cfRule>
  </conditionalFormatting>
  <conditionalFormatting sqref="O53:O54">
    <cfRule type="timePeriod" priority="796" timePeriod="nextWeek">
      <formula>AND(ROUNDDOWN(O53,0)-TODAY()&gt;(7-WEEKDAY(TODAY())),ROUNDDOWN(O53,0)-TODAY()&lt;(15-WEEKDAY(TODAY())))</formula>
    </cfRule>
  </conditionalFormatting>
  <conditionalFormatting sqref="O53:O145">
    <cfRule type="timePeriod" dxfId="1570" priority="746" timePeriod="nextWeek">
      <formula>AND(ROUNDDOWN(O53,0)-TODAY()&gt;(7-WEEKDAY(TODAY())),ROUNDDOWN(O53,0)-TODAY()&lt;(15-WEEKDAY(TODAY())))</formula>
    </cfRule>
    <cfRule type="timePeriod" dxfId="1569" priority="748" timePeriod="last7Days">
      <formula>AND(TODAY()-FLOOR(O53,1)&lt;=6,FLOOR(O53,1)&lt;=TODAY())</formula>
    </cfRule>
    <cfRule type="timePeriod" dxfId="1568" priority="749" timePeriod="thisWeek">
      <formula>AND(TODAY()-ROUNDDOWN(O53,0)&lt;=WEEKDAY(TODAY())-1,ROUNDDOWN(O53,0)-TODAY()&lt;=7-WEEKDAY(TODAY()))</formula>
    </cfRule>
  </conditionalFormatting>
  <conditionalFormatting sqref="O61">
    <cfRule type="timePeriod" dxfId="1567" priority="110" timePeriod="lastMonth">
      <formula>AND(MONTH(O61)=MONTH(EDATE(TODAY(),0-1)),YEAR(O61)=YEAR(EDATE(TODAY(),0-1)))</formula>
    </cfRule>
    <cfRule type="timePeriod" dxfId="1566" priority="111" timePeriod="last7Days">
      <formula>AND(TODAY()-FLOOR(O61,1)&lt;=6,FLOOR(O61,1)&lt;=TODAY())</formula>
    </cfRule>
    <cfRule type="timePeriod" dxfId="1565" priority="112" timePeriod="thisWeek">
      <formula>AND(TODAY()-ROUNDDOWN(O61,0)&lt;=WEEKDAY(TODAY())-1,ROUNDDOWN(O61,0)-TODAY()&lt;=7-WEEKDAY(TODAY()))</formula>
    </cfRule>
    <cfRule type="timePeriod" priority="113" timePeriod="nextWeek">
      <formula>AND(ROUNDDOWN(O61,0)-TODAY()&gt;(7-WEEKDAY(TODAY())),ROUNDDOWN(O61,0)-TODAY()&lt;(15-WEEKDAY(TODAY())))</formula>
    </cfRule>
  </conditionalFormatting>
  <conditionalFormatting sqref="O105">
    <cfRule type="timePeriod" dxfId="1564" priority="104" timePeriod="last7Days">
      <formula>AND(TODAY()-FLOOR(O105,1)&lt;=6,FLOOR(O105,1)&lt;=TODAY())</formula>
    </cfRule>
  </conditionalFormatting>
  <conditionalFormatting sqref="O3:O26 J24:K28 E26:H32">
    <cfRule type="timePeriod" priority="1296" timePeriod="nextWeek">
      <formula>AND(ROUNDDOWN(E3,0)-TODAY()&gt;(7-WEEKDAY(TODAY())),ROUNDDOWN(E3,0)-TODAY()&lt;(15-WEEKDAY(TODAY())))</formula>
    </cfRule>
  </conditionalFormatting>
  <conditionalFormatting sqref="G134">
    <cfRule type="timePeriod" dxfId="1563" priority="16" timePeriod="thisWeek">
      <formula>AND(TODAY()-ROUNDDOWN(G134,0)&lt;=WEEKDAY(TODAY())-1,ROUNDDOWN(G134,0)-TODAY()&lt;=7-WEEKDAY(TODAY()))</formula>
    </cfRule>
  </conditionalFormatting>
  <conditionalFormatting sqref="P30">
    <cfRule type="timePeriod" priority="7" timePeriod="nextWeek">
      <formula>AND(ROUNDDOWN(P30,0)-TODAY()&gt;(7-WEEKDAY(TODAY())),ROUNDDOWN(P30,0)-TODAY()&lt;(15-WEEKDAY(TODAY())))</formula>
    </cfRule>
    <cfRule type="timePeriod" dxfId="1562" priority="8" timePeriod="last7Days">
      <formula>AND(TODAY()-FLOOR(P30,1)&lt;=6,FLOOR(P30,1)&lt;=TODAY())</formula>
    </cfRule>
    <cfRule type="timePeriod" dxfId="1561" priority="9" timePeriod="lastMonth">
      <formula>AND(MONTH(P30)=MONTH(EDATE(TODAY(),0-1)),YEAR(P30)=YEAR(EDATE(TODAY(),0-1)))</formula>
    </cfRule>
  </conditionalFormatting>
  <conditionalFormatting sqref="P27:P28">
    <cfRule type="timePeriod" dxfId="1560" priority="1848" timePeriod="nextWeek">
      <formula>AND(ROUNDDOWN(P27,0)-TODAY()&gt;(7-WEEKDAY(TODAY())),ROUNDDOWN(P27,0)-TODAY()&lt;(15-WEEKDAY(TODAY())))</formula>
    </cfRule>
    <cfRule type="timePeriod" dxfId="1559" priority="1850" timePeriod="lastMonth">
      <formula>AND(MONTH(P27)=MONTH(EDATE(TODAY(),0-1)),YEAR(P27)=YEAR(EDATE(TODAY(),0-1)))</formula>
    </cfRule>
    <cfRule type="timePeriod" dxfId="1558" priority="1851" timePeriod="last7Days">
      <formula>AND(TODAY()-FLOOR(P27,1)&lt;=6,FLOOR(P27,1)&lt;=TODAY())</formula>
    </cfRule>
    <cfRule type="timePeriod" dxfId="1557" priority="1852" timePeriod="thisWeek">
      <formula>AND(TODAY()-ROUNDDOWN(P27,0)&lt;=WEEKDAY(TODAY())-1,ROUNDDOWN(P27,0)-TODAY()&lt;=7-WEEKDAY(TODAY()))</formula>
    </cfRule>
  </conditionalFormatting>
  <conditionalFormatting sqref="P32">
    <cfRule type="cellIs" dxfId="1556" priority="682" operator="lessThan">
      <formula>15</formula>
    </cfRule>
  </conditionalFormatting>
  <conditionalFormatting sqref="P32:P34">
    <cfRule type="timePeriod" dxfId="1555" priority="684" timePeriod="thisWeek">
      <formula>AND(TODAY()-ROUNDDOWN(P32,0)&lt;=WEEKDAY(TODAY())-1,ROUNDDOWN(P32,0)-TODAY()&lt;=7-WEEKDAY(TODAY()))</formula>
    </cfRule>
  </conditionalFormatting>
  <conditionalFormatting sqref="P70:P72">
    <cfRule type="timePeriod" dxfId="1554" priority="648" timePeriod="lastMonth">
      <formula>AND(MONTH(P70)=MONTH(EDATE(TODAY(),0-1)),YEAR(P70)=YEAR(EDATE(TODAY(),0-1)))</formula>
    </cfRule>
  </conditionalFormatting>
  <conditionalFormatting sqref="P70:P145">
    <cfRule type="cellIs" dxfId="1553" priority="755" operator="lessThan">
      <formula>15</formula>
    </cfRule>
    <cfRule type="timePeriod" dxfId="1552" priority="758" timePeriod="nextWeek">
      <formula>AND(ROUNDDOWN(P70,0)-TODAY()&gt;(7-WEEKDAY(TODAY())),ROUNDDOWN(P70,0)-TODAY()&lt;(15-WEEKDAY(TODAY())))</formula>
    </cfRule>
  </conditionalFormatting>
  <conditionalFormatting sqref="P73:P92">
    <cfRule type="timePeriod" dxfId="1551" priority="168" timePeriod="lastMonth">
      <formula>AND(MONTH(P73)=MONTH(EDATE(TODAY(),0-1)),YEAR(P73)=YEAR(EDATE(TODAY(),0-1)))</formula>
    </cfRule>
  </conditionalFormatting>
  <conditionalFormatting sqref="P94:P95">
    <cfRule type="timePeriod" dxfId="1550" priority="527" timePeriod="lastMonth">
      <formula>AND(MONTH(P94)=MONTH(EDATE(TODAY(),0-1)),YEAR(P94)=YEAR(EDATE(TODAY(),0-1)))</formula>
    </cfRule>
  </conditionalFormatting>
  <conditionalFormatting sqref="P135:P145">
    <cfRule type="timePeriod" dxfId="1549" priority="12" timePeriod="lastMonth">
      <formula>AND(MONTH(P135)=MONTH(EDATE(TODAY(),0-1)),YEAR(P135)=YEAR(EDATE(TODAY(),0-1)))</formula>
    </cfRule>
    <cfRule type="timePeriod" dxfId="1548" priority="13" timePeriod="last7Days">
      <formula>AND(TODAY()-FLOOR(P135,1)&lt;=6,FLOOR(P135,1)&lt;=TODAY())</formula>
    </cfRule>
  </conditionalFormatting>
  <conditionalFormatting sqref="P22">
    <cfRule type="timePeriod" dxfId="1547" priority="357" timePeriod="lastMonth">
      <formula>AND(MONTH(P22)=MONTH(EDATE(TODAY(),0-1)),YEAR(P22)=YEAR(EDATE(TODAY(),0-1)))</formula>
    </cfRule>
  </conditionalFormatting>
  <conditionalFormatting sqref="P32">
    <cfRule type="timePeriod" dxfId="1546" priority="685" timePeriod="nextWeek">
      <formula>AND(ROUNDDOWN(P32,0)-TODAY()&gt;(7-WEEKDAY(TODAY())),ROUNDDOWN(P32,0)-TODAY()&lt;(15-WEEKDAY(TODAY())))</formula>
    </cfRule>
  </conditionalFormatting>
  <conditionalFormatting sqref="P70:P95">
    <cfRule type="timePeriod" dxfId="1545" priority="169" timePeriod="last7Days">
      <formula>AND(TODAY()-FLOOR(P70,1)&lt;=6,FLOOR(P70,1)&lt;=TODAY())</formula>
    </cfRule>
  </conditionalFormatting>
  <conditionalFormatting sqref="Q15">
    <cfRule type="timePeriod" dxfId="1544" priority="370" timePeriod="lastMonth">
      <formula>AND(MONTH(Q15)=MONTH(EDATE(TODAY(),0-1)),YEAR(Q15)=YEAR(EDATE(TODAY(),0-1)))</formula>
    </cfRule>
    <cfRule type="timePeriod" dxfId="1543" priority="371" timePeriod="last7Days">
      <formula>AND(TODAY()-FLOOR(Q15,1)&lt;=6,FLOOR(Q15,1)&lt;=TODAY())</formula>
    </cfRule>
    <cfRule type="timePeriod" dxfId="1542" priority="372" timePeriod="thisWeek">
      <formula>AND(TODAY()-ROUNDDOWN(Q15,0)&lt;=WEEKDAY(TODAY())-1,ROUNDDOWN(Q15,0)-TODAY()&lt;=7-WEEKDAY(TODAY()))</formula>
    </cfRule>
    <cfRule type="timePeriod" dxfId="1541" priority="374" timePeriod="nextWeek">
      <formula>AND(ROUNDDOWN(Q15,0)-TODAY()&gt;(7-WEEKDAY(TODAY())),ROUNDDOWN(Q15,0)-TODAY()&lt;(15-WEEKDAY(TODAY())))</formula>
    </cfRule>
  </conditionalFormatting>
  <conditionalFormatting sqref="Q21">
    <cfRule type="timePeriod" dxfId="1540" priority="618" timePeriod="lastMonth">
      <formula>AND(MONTH(Q21)=MONTH(EDATE(TODAY(),0-1)),YEAR(Q21)=YEAR(EDATE(TODAY(),0-1)))</formula>
    </cfRule>
    <cfRule type="timePeriod" dxfId="1539" priority="619" timePeriod="last7Days">
      <formula>AND(TODAY()-FLOOR(Q21,1)&lt;=6,FLOOR(Q21,1)&lt;=TODAY())</formula>
    </cfRule>
    <cfRule type="timePeriod" dxfId="1538" priority="620" timePeriod="thisWeek">
      <formula>AND(TODAY()-ROUNDDOWN(Q21,0)&lt;=WEEKDAY(TODAY())-1,ROUNDDOWN(Q21,0)-TODAY()&lt;=7-WEEKDAY(TODAY()))</formula>
    </cfRule>
    <cfRule type="timePeriod" dxfId="1537" priority="778" timePeriod="last7Days">
      <formula>AND(TODAY()-FLOOR(Q21,1)&lt;=6,FLOOR(Q21,1)&lt;=TODAY())</formula>
    </cfRule>
    <cfRule type="timePeriod" dxfId="1536" priority="779" timePeriod="thisWeek">
      <formula>AND(TODAY()-ROUNDDOWN(Q21,0)&lt;=WEEKDAY(TODAY())-1,ROUNDDOWN(Q21,0)-TODAY()&lt;=7-WEEKDAY(TODAY()))</formula>
    </cfRule>
  </conditionalFormatting>
  <conditionalFormatting sqref="Q35">
    <cfRule type="timePeriod" dxfId="1535" priority="240" timePeriod="nextWeek">
      <formula>AND(ROUNDDOWN(Q35,0)-TODAY()&gt;(7-WEEKDAY(TODAY())),ROUNDDOWN(Q35,0)-TODAY()&lt;(15-WEEKDAY(TODAY())))</formula>
    </cfRule>
    <cfRule type="timePeriod" dxfId="1534" priority="243" timePeriod="thisWeek">
      <formula>AND(TODAY()-ROUNDDOWN(Q35,0)&lt;=WEEKDAY(TODAY())-1,ROUNDDOWN(Q35,0)-TODAY()&lt;=7-WEEKDAY(TODAY()))</formula>
    </cfRule>
  </conditionalFormatting>
  <conditionalFormatting sqref="Q144:Q145">
    <cfRule type="timePeriod" dxfId="1533" priority="74" timePeriod="thisWeek">
      <formula>AND(TODAY()-ROUNDDOWN(Q144,0)&lt;=WEEKDAY(TODAY())-1,ROUNDDOWN(Q144,0)-TODAY()&lt;=7-WEEKDAY(TODAY()))</formula>
    </cfRule>
  </conditionalFormatting>
  <conditionalFormatting sqref="Q3">
    <cfRule type="timePeriod" dxfId="1532" priority="423" timePeriod="lastMonth">
      <formula>AND(MONTH(Q3)=MONTH(EDATE(TODAY(),0-1)),YEAR(Q3)=YEAR(EDATE(TODAY(),0-1)))</formula>
    </cfRule>
  </conditionalFormatting>
  <conditionalFormatting sqref="Q3:Q4">
    <cfRule type="timePeriod" dxfId="1531" priority="418" timePeriod="nextWeek">
      <formula>AND(ROUNDDOWN(Q3,0)-TODAY()&gt;(7-WEEKDAY(TODAY())),ROUNDDOWN(Q3,0)-TODAY()&lt;(15-WEEKDAY(TODAY())))</formula>
    </cfRule>
  </conditionalFormatting>
  <conditionalFormatting sqref="Q3:Q13">
    <cfRule type="timePeriod" dxfId="1530" priority="135" timePeriod="last7Days">
      <formula>AND(TODAY()-FLOOR(Q3,1)&lt;=6,FLOOR(Q3,1)&lt;=TODAY())</formula>
    </cfRule>
  </conditionalFormatting>
  <conditionalFormatting sqref="Q4">
    <cfRule type="timePeriod" dxfId="1529" priority="414" timePeriod="lastMonth">
      <formula>AND(MONTH(Q4)=MONTH(EDATE(TODAY(),0-1)),YEAR(Q4)=YEAR(EDATE(TODAY(),0-1)))</formula>
    </cfRule>
  </conditionalFormatting>
  <conditionalFormatting sqref="Q6">
    <cfRule type="timePeriod" dxfId="1528" priority="264" timePeriod="lastMonth">
      <formula>AND(MONTH(Q6)=MONTH(EDATE(TODAY(),0-1)),YEAR(Q6)=YEAR(EDATE(TODAY(),0-1)))</formula>
    </cfRule>
  </conditionalFormatting>
  <conditionalFormatting sqref="Q6:Q8">
    <cfRule type="timePeriod" dxfId="1527" priority="157" timePeriod="nextWeek">
      <formula>AND(ROUNDDOWN(Q6,0)-TODAY()&gt;(7-WEEKDAY(TODAY())),ROUNDDOWN(Q6,0)-TODAY()&lt;(15-WEEKDAY(TODAY())))</formula>
    </cfRule>
  </conditionalFormatting>
  <conditionalFormatting sqref="Q10">
    <cfRule type="timePeriod" dxfId="1526" priority="137" timePeriod="thisWeek">
      <formula>AND(TODAY()-ROUNDDOWN(Q10,0)&lt;=WEEKDAY(TODAY())-1,ROUNDDOWN(Q10,0)-TODAY()&lt;=7-WEEKDAY(TODAY()))</formula>
    </cfRule>
    <cfRule type="timePeriod" dxfId="1525" priority="138" timePeriod="nextWeek">
      <formula>AND(ROUNDDOWN(Q10,0)-TODAY()&gt;(7-WEEKDAY(TODAY())),ROUNDDOWN(Q10,0)-TODAY()&lt;(15-WEEKDAY(TODAY())))</formula>
    </cfRule>
  </conditionalFormatting>
  <conditionalFormatting sqref="Q12:Q13">
    <cfRule type="timePeriod" dxfId="1524" priority="388" timePeriod="nextWeek">
      <formula>AND(ROUNDDOWN(Q12,0)-TODAY()&gt;(7-WEEKDAY(TODAY())),ROUNDDOWN(Q12,0)-TODAY()&lt;(15-WEEKDAY(TODAY())))</formula>
    </cfRule>
  </conditionalFormatting>
  <conditionalFormatting sqref="Q16">
    <cfRule type="timePeriod" dxfId="1523" priority="362" timePeriod="nextWeek">
      <formula>AND(ROUNDDOWN(Q16,0)-TODAY()&gt;(7-WEEKDAY(TODAY())),ROUNDDOWN(Q16,0)-TODAY()&lt;(15-WEEKDAY(TODAY())))</formula>
    </cfRule>
  </conditionalFormatting>
  <conditionalFormatting sqref="Q19">
    <cfRule type="timePeriod" priority="516" timePeriod="nextWeek">
      <formula>AND(ROUNDDOWN(Q19,0)-TODAY()&gt;(7-WEEKDAY(TODAY())),ROUNDDOWN(Q19,0)-TODAY()&lt;(15-WEEKDAY(TODAY())))</formula>
    </cfRule>
  </conditionalFormatting>
  <conditionalFormatting sqref="Q22">
    <cfRule type="timePeriod" dxfId="1522" priority="351" timePeriod="lastMonth">
      <formula>AND(MONTH(Q22)=MONTH(EDATE(TODAY(),0-1)),YEAR(Q22)=YEAR(EDATE(TODAY(),0-1)))</formula>
    </cfRule>
    <cfRule type="timePeriod" dxfId="1521" priority="352" timePeriod="last7Days">
      <formula>AND(TODAY()-FLOOR(Q22,1)&lt;=6,FLOOR(Q22,1)&lt;=TODAY())</formula>
    </cfRule>
    <cfRule type="timePeriod" dxfId="1520" priority="353" timePeriod="thisWeek">
      <formula>AND(TODAY()-ROUNDDOWN(Q22,0)&lt;=WEEKDAY(TODAY())-1,ROUNDDOWN(Q22,0)-TODAY()&lt;=7-WEEKDAY(TODAY()))</formula>
    </cfRule>
  </conditionalFormatting>
  <conditionalFormatting sqref="Q22:Q23">
    <cfRule type="timePeriod" dxfId="1519" priority="337" timePeriod="lastMonth">
      <formula>AND(MONTH(Q22)=MONTH(EDATE(TODAY(),0-1)),YEAR(Q22)=YEAR(EDATE(TODAY(),0-1)))</formula>
    </cfRule>
    <cfRule type="timePeriod" dxfId="1518" priority="338" timePeriod="last7Days">
      <formula>AND(TODAY()-FLOOR(Q22,1)&lt;=6,FLOOR(Q22,1)&lt;=TODAY())</formula>
    </cfRule>
    <cfRule type="timePeriod" dxfId="1517" priority="339" timePeriod="thisWeek">
      <formula>AND(TODAY()-ROUNDDOWN(Q22,0)&lt;=WEEKDAY(TODAY())-1,ROUNDDOWN(Q22,0)-TODAY()&lt;=7-WEEKDAY(TODAY()))</formula>
    </cfRule>
  </conditionalFormatting>
  <conditionalFormatting sqref="Q23:Q25">
    <cfRule type="timePeriod" dxfId="1516" priority="85" timePeriod="lastMonth">
      <formula>AND(MONTH(Q23)=MONTH(EDATE(TODAY(),0-1)),YEAR(Q23)=YEAR(EDATE(TODAY(),0-1)))</formula>
    </cfRule>
    <cfRule type="timePeriod" dxfId="1515" priority="86" timePeriod="last7Days">
      <formula>AND(TODAY()-FLOOR(Q23,1)&lt;=6,FLOOR(Q23,1)&lt;=TODAY())</formula>
    </cfRule>
    <cfRule type="timePeriod" dxfId="1514" priority="87" timePeriod="thisWeek">
      <formula>AND(TODAY()-ROUNDDOWN(Q23,0)&lt;=WEEKDAY(TODAY())-1,ROUNDDOWN(Q23,0)-TODAY()&lt;=7-WEEKDAY(TODAY()))</formula>
    </cfRule>
  </conditionalFormatting>
  <conditionalFormatting sqref="Q24">
    <cfRule type="timePeriod" dxfId="1513" priority="82" timePeriod="lastMonth">
      <formula>AND(MONTH(Q24)=MONTH(EDATE(TODAY(),0-1)),YEAR(Q24)=YEAR(EDATE(TODAY(),0-1)))</formula>
    </cfRule>
    <cfRule type="timePeriod" dxfId="1512" priority="83" timePeriod="last7Days">
      <formula>AND(TODAY()-FLOOR(Q24,1)&lt;=6,FLOOR(Q24,1)&lt;=TODAY())</formula>
    </cfRule>
    <cfRule type="timePeriod" dxfId="1511" priority="84" timePeriod="thisWeek">
      <formula>AND(TODAY()-ROUNDDOWN(Q24,0)&lt;=WEEKDAY(TODAY())-1,ROUNDDOWN(Q24,0)-TODAY()&lt;=7-WEEKDAY(TODAY()))</formula>
    </cfRule>
  </conditionalFormatting>
  <conditionalFormatting sqref="Q25">
    <cfRule type="timePeriod" dxfId="1510" priority="323" timePeriod="lastMonth">
      <formula>AND(MONTH(Q25)=MONTH(EDATE(TODAY(),0-1)),YEAR(Q25)=YEAR(EDATE(TODAY(),0-1)))</formula>
    </cfRule>
    <cfRule type="timePeriod" dxfId="1509" priority="324" timePeriod="last7Days">
      <formula>AND(TODAY()-FLOOR(Q25,1)&lt;=6,FLOOR(Q25,1)&lt;=TODAY())</formula>
    </cfRule>
    <cfRule type="timePeriod" dxfId="1508" priority="325" timePeriod="thisWeek">
      <formula>AND(TODAY()-ROUNDDOWN(Q25,0)&lt;=WEEKDAY(TODAY())-1,ROUNDDOWN(Q25,0)-TODAY()&lt;=7-WEEKDAY(TODAY()))</formula>
    </cfRule>
  </conditionalFormatting>
  <conditionalFormatting sqref="Q30:Q65 M56:M57">
    <cfRule type="timePeriod" dxfId="1507" priority="732" timePeriod="lastMonth">
      <formula>AND(MONTH(M30)=MONTH(EDATE(TODAY(),0-1)),YEAR(M30)=YEAR(EDATE(TODAY(),0-1)))</formula>
    </cfRule>
  </conditionalFormatting>
  <conditionalFormatting sqref="Q30:Q65">
    <cfRule type="timePeriod" priority="114" timePeriod="nextWeek">
      <formula>AND(ROUNDDOWN(Q30,0)-TODAY()&gt;(7-WEEKDAY(TODAY())),ROUNDDOWN(Q30,0)-TODAY()&lt;(15-WEEKDAY(TODAY())))</formula>
    </cfRule>
  </conditionalFormatting>
  <conditionalFormatting sqref="Q30:Q65">
    <cfRule type="timePeriod" dxfId="1506" priority="541" timePeriod="last7Days">
      <formula>AND(TODAY()-FLOOR(Q30,1)&lt;=6,FLOOR(Q30,1)&lt;=TODAY())</formula>
    </cfRule>
  </conditionalFormatting>
  <conditionalFormatting sqref="Q32">
    <cfRule type="timePeriod" dxfId="1505" priority="506" timePeriod="last7Days">
      <formula>AND(TODAY()-FLOOR(Q32,1)&lt;=6,FLOOR(Q32,1)&lt;=TODAY())</formula>
    </cfRule>
    <cfRule type="timePeriod" dxfId="1504" priority="507" timePeriod="thisWeek">
      <formula>AND(TODAY()-ROUNDDOWN(Q32,0)&lt;=WEEKDAY(TODAY())-1,ROUNDDOWN(Q32,0)-TODAY()&lt;=7-WEEKDAY(TODAY()))</formula>
    </cfRule>
    <cfRule type="timePeriod" dxfId="1503" priority="510" timePeriod="nextWeek">
      <formula>AND(ROUNDDOWN(Q32,0)-TODAY()&gt;(7-WEEKDAY(TODAY())),ROUNDDOWN(Q32,0)-TODAY()&lt;(15-WEEKDAY(TODAY())))</formula>
    </cfRule>
    <cfRule type="timePeriod" dxfId="1502" priority="511" timePeriod="lastMonth">
      <formula>AND(MONTH(Q32)=MONTH(EDATE(TODAY(),0-1)),YEAR(Q32)=YEAR(EDATE(TODAY(),0-1)))</formula>
    </cfRule>
  </conditionalFormatting>
  <conditionalFormatting sqref="Q36">
    <cfRule type="timePeriod" dxfId="1501" priority="1142" timePeriod="nextWeek">
      <formula>AND(ROUNDDOWN(Q36,0)-TODAY()&gt;(7-WEEKDAY(TODAY())),ROUNDDOWN(Q36,0)-TODAY()&lt;(15-WEEKDAY(TODAY())))</formula>
    </cfRule>
  </conditionalFormatting>
  <conditionalFormatting sqref="Q55">
    <cfRule type="timePeriod" dxfId="1500" priority="309" timePeriod="lastMonth">
      <formula>AND(MONTH(Q55)=MONTH(EDATE(TODAY(),0-1)),YEAR(Q55)=YEAR(EDATE(TODAY(),0-1)))</formula>
    </cfRule>
    <cfRule type="timePeriod" dxfId="1499" priority="310" timePeriod="last7Days">
      <formula>AND(TODAY()-FLOOR(Q55,1)&lt;=6,FLOOR(Q55,1)&lt;=TODAY())</formula>
    </cfRule>
    <cfRule type="timePeriod" dxfId="1498" priority="311" timePeriod="thisWeek">
      <formula>AND(TODAY()-ROUNDDOWN(Q55,0)&lt;=WEEKDAY(TODAY())-1,ROUNDDOWN(Q55,0)-TODAY()&lt;=7-WEEKDAY(TODAY()))</formula>
    </cfRule>
  </conditionalFormatting>
  <conditionalFormatting sqref="Q55:Q56">
    <cfRule type="timePeriod" dxfId="1497" priority="283" timePeriod="thisWeek">
      <formula>AND(TODAY()-ROUNDDOWN(Q55,0)&lt;=WEEKDAY(TODAY())-1,ROUNDDOWN(Q55,0)-TODAY()&lt;=7-WEEKDAY(TODAY()))</formula>
    </cfRule>
  </conditionalFormatting>
  <conditionalFormatting sqref="Q55:Q57">
    <cfRule type="timePeriod" dxfId="1496" priority="232" timePeriod="lastMonth">
      <formula>AND(MONTH(Q55)=MONTH(EDATE(TODAY(),0-1)),YEAR(Q55)=YEAR(EDATE(TODAY(),0-1)))</formula>
    </cfRule>
    <cfRule type="timePeriod" dxfId="1495" priority="233" timePeriod="last7Days">
      <formula>AND(TODAY()-FLOOR(Q55,1)&lt;=6,FLOOR(Q55,1)&lt;=TODAY())</formula>
    </cfRule>
  </conditionalFormatting>
  <conditionalFormatting sqref="Q56:Q57">
    <cfRule type="timePeriod" dxfId="1494" priority="234" timePeriod="thisWeek">
      <formula>AND(TODAY()-ROUNDDOWN(Q56,0)&lt;=WEEKDAY(TODAY())-1,ROUNDDOWN(Q56,0)-TODAY()&lt;=7-WEEKDAY(TODAY()))</formula>
    </cfRule>
  </conditionalFormatting>
  <conditionalFormatting sqref="Q57">
    <cfRule type="timePeriod" dxfId="1493" priority="229" timePeriod="lastMonth">
      <formula>AND(MONTH(Q57)=MONTH(EDATE(TODAY(),0-1)),YEAR(Q57)=YEAR(EDATE(TODAY(),0-1)))</formula>
    </cfRule>
    <cfRule type="timePeriod" dxfId="1492" priority="231" timePeriod="thisWeek">
      <formula>AND(TODAY()-ROUNDDOWN(Q57,0)&lt;=WEEKDAY(TODAY())-1,ROUNDDOWN(Q57,0)-TODAY()&lt;=7-WEEKDAY(TODAY()))</formula>
    </cfRule>
  </conditionalFormatting>
  <conditionalFormatting sqref="Q59">
    <cfRule type="timePeriod" dxfId="1491" priority="116" timePeriod="thisWeek">
      <formula>AND(TODAY()-ROUNDDOWN(Q59,0)&lt;=WEEKDAY(TODAY())-1,ROUNDDOWN(Q59,0)-TODAY()&lt;=7-WEEKDAY(TODAY()))</formula>
    </cfRule>
    <cfRule type="timePeriod" dxfId="1490" priority="117" timePeriod="lastMonth">
      <formula>AND(MONTH(Q59)=MONTH(EDATE(TODAY(),0-1)),YEAR(Q59)=YEAR(EDATE(TODAY(),0-1)))</formula>
    </cfRule>
    <cfRule type="timePeriod" dxfId="1489" priority="118" timePeriod="nextWeek">
      <formula>AND(ROUNDDOWN(Q59,0)-TODAY()&gt;(7-WEEKDAY(TODAY())),ROUNDDOWN(Q59,0)-TODAY()&lt;(15-WEEKDAY(TODAY())))</formula>
    </cfRule>
  </conditionalFormatting>
  <conditionalFormatting sqref="Q69:Q73 P70:P72">
    <cfRule type="timePeriod" dxfId="1488" priority="642" timePeriod="thisWeek">
      <formula>AND(TODAY()-ROUNDDOWN(P69,0)&lt;=WEEKDAY(TODAY())-1,ROUNDDOWN(P69,0)-TODAY()&lt;=7-WEEKDAY(TODAY()))</formula>
    </cfRule>
  </conditionalFormatting>
  <conditionalFormatting sqref="Q83:Q90">
    <cfRule type="timePeriod" dxfId="1487" priority="172" timePeriod="nextWeek">
      <formula>AND(ROUNDDOWN(Q83,0)-TODAY()&gt;(7-WEEKDAY(TODAY())),ROUNDDOWN(Q83,0)-TODAY()&lt;(15-WEEKDAY(TODAY())))</formula>
    </cfRule>
  </conditionalFormatting>
  <conditionalFormatting sqref="Q93">
    <cfRule type="timePeriod" dxfId="1486" priority="202" timePeriod="nextWeek">
      <formula>AND(ROUNDDOWN(Q93,0)-TODAY()&gt;(7-WEEKDAY(TODAY())),ROUNDDOWN(Q93,0)-TODAY()&lt;(15-WEEKDAY(TODAY())))</formula>
    </cfRule>
  </conditionalFormatting>
  <conditionalFormatting sqref="Q94">
    <cfRule type="timePeriod" dxfId="1485" priority="526" timePeriod="lastMonth">
      <formula>AND(MONTH(Q94)=MONTH(EDATE(TODAY(),0-1)),YEAR(Q94)=YEAR(EDATE(TODAY(),0-1)))</formula>
    </cfRule>
  </conditionalFormatting>
  <conditionalFormatting sqref="O47:O55 Q30:Q65">
    <cfRule type="timePeriod" dxfId="1484" priority="739" timePeriod="thisWeek">
      <formula>AND(TODAY()-ROUNDDOWN(O30,0)&lt;=WEEKDAY(TODAY())-1,ROUNDDOWN(O30,0)-TODAY()&lt;=7-WEEKDAY(TODAY()))</formula>
    </cfRule>
  </conditionalFormatting>
  <conditionalFormatting sqref="R2:R6">
    <cfRule type="timePeriod" dxfId="1483" priority="832" timePeriod="nextWeek">
      <formula>AND(ROUNDDOWN(R2,0)-TODAY()&gt;(7-WEEKDAY(TODAY())),ROUNDDOWN(R2,0)-TODAY()&lt;(15-WEEKDAY(TODAY())))</formula>
    </cfRule>
    <cfRule type="timePeriod" priority="833" timePeriod="nextWeek">
      <formula>AND(ROUNDDOWN(R2,0)-TODAY()&gt;(7-WEEKDAY(TODAY())),ROUNDDOWN(R2,0)-TODAY()&lt;(15-WEEKDAY(TODAY())))</formula>
    </cfRule>
    <cfRule type="timePeriod" dxfId="1482" priority="834" timePeriod="lastMonth">
      <formula>AND(MONTH(R2)=MONTH(EDATE(TODAY(),0-1)),YEAR(R2)=YEAR(EDATE(TODAY(),0-1)))</formula>
    </cfRule>
    <cfRule type="timePeriod" dxfId="1481" priority="836" timePeriod="thisWeek">
      <formula>AND(TODAY()-ROUNDDOWN(R2,0)&lt;=WEEKDAY(TODAY())-1,ROUNDDOWN(R2,0)-TODAY()&lt;=7-WEEKDAY(TODAY()))</formula>
    </cfRule>
  </conditionalFormatting>
  <conditionalFormatting sqref="M6:M17 L10:L15 L19:L21 M31:M32">
    <cfRule type="timePeriod" priority="3424" timePeriod="nextWeek">
      <formula>AND(ROUNDDOWN(L6,0)-TODAY()&gt;(7-WEEKDAY(TODAY())),ROUNDDOWN(L6,0)-TODAY()&lt;(15-WEEKDAY(TODAY())))</formula>
    </cfRule>
  </conditionalFormatting>
  <conditionalFormatting sqref="S3:S4">
    <cfRule type="timePeriod" dxfId="1480" priority="1114" timePeriod="last7Days">
      <formula>AND(TODAY()-FLOOR(S3,1)&lt;=6,FLOOR(S3,1)&lt;=TODAY())</formula>
    </cfRule>
  </conditionalFormatting>
  <conditionalFormatting sqref="O55">
    <cfRule type="timePeriod" dxfId="1479" priority="3408" timePeriod="nextWeek">
      <formula>AND(ROUNDDOWN(O55,0)-TODAY()&gt;(7-WEEKDAY(TODAY())),ROUNDDOWN(O55,0)-TODAY()&lt;(15-WEEKDAY(TODAY())))</formula>
    </cfRule>
  </conditionalFormatting>
  <conditionalFormatting sqref="S7:S8">
    <cfRule type="timePeriod" dxfId="1478" priority="1096" timePeriod="last7Days">
      <formula>AND(TODAY()-FLOOR(S7,1)&lt;=6,FLOOR(S7,1)&lt;=TODAY())</formula>
    </cfRule>
    <cfRule type="timePeriod" dxfId="1477" priority="1097" timePeriod="thisWeek">
      <formula>AND(TODAY()-ROUNDDOWN(S7,0)&lt;=WEEKDAY(TODAY())-1,ROUNDDOWN(S7,0)-TODAY()&lt;=7-WEEKDAY(TODAY()))</formula>
    </cfRule>
  </conditionalFormatting>
  <conditionalFormatting sqref="S3:S4">
    <cfRule type="timePeriod" dxfId="1476" priority="1115" timePeriod="thisWeek">
      <formula>AND(TODAY()-ROUNDDOWN(S3,0)&lt;=WEEKDAY(TODAY())-1,ROUNDDOWN(S3,0)-TODAY()&lt;=7-WEEKDAY(TODAY()))</formula>
    </cfRule>
  </conditionalFormatting>
  <conditionalFormatting sqref="T18:T23">
    <cfRule type="timePeriod" priority="3414" timePeriod="nextWeek">
      <formula>AND(ROUNDDOWN(T18,0)-TODAY()&gt;(7-WEEKDAY(TODAY())),ROUNDDOWN(T18,0)-TODAY()&lt;(15-WEEKDAY(TODAY())))</formula>
    </cfRule>
    <cfRule type="timePeriod" dxfId="1475" priority="3428" timePeriod="nextWeek">
      <formula>AND(ROUNDDOWN(T18,0)-TODAY()&gt;(7-WEEKDAY(TODAY())),ROUNDDOWN(T18,0)-TODAY()&lt;(15-WEEKDAY(TODAY())))</formula>
    </cfRule>
  </conditionalFormatting>
  <conditionalFormatting sqref="T19:T23">
    <cfRule type="timePeriod" dxfId="1474" priority="3412" timePeriod="thisWeek">
      <formula>AND(TODAY()-ROUNDDOWN(T19,0)&lt;=WEEKDAY(TODAY())-1,ROUNDDOWN(T19,0)-TODAY()&lt;=7-WEEKDAY(TODAY()))</formula>
    </cfRule>
  </conditionalFormatting>
  <conditionalFormatting sqref="N2 E2:H3 T2:U3 E4:F9 S5:S9 N7:N8 E11:F16 S15:S16 N17 L18 S19 Q19:Q20 S21 S25 A26 T26 M31 S31:S32 E33:I33 E34:H34 K39">
    <cfRule type="timePeriod" dxfId="1473" priority="4337" timePeriod="thisWeek">
      <formula>AND(TODAY()-ROUNDDOWN(A2,0)&lt;=WEEKDAY(TODAY())-1,ROUNDDOWN(A2,0)-TODAY()&lt;=7-WEEKDAY(TODAY()))</formula>
    </cfRule>
  </conditionalFormatting>
  <conditionalFormatting sqref="N2 T2:U3 E4:F9 S5:S9 N7:N8 E11:F16 S15:S16 N17 L18 S19 Q19:Q20 S21 S25 A26 T26 M31 S31:S32 E33:I33 E34:H34 E2:H3 K39">
    <cfRule type="timePeriod" dxfId="1472" priority="4336" timePeriod="last7Days">
      <formula>AND(TODAY()-FLOOR(A2,1)&lt;=6,FLOOR(A2,1)&lt;=TODAY())</formula>
    </cfRule>
  </conditionalFormatting>
  <conditionalFormatting sqref="E4:F9 T5:U5 S3:S9 N7:N8 E11:F16 N17 T17:U17 A26 T26 E33:I33 E34:H34">
    <cfRule type="timePeriod" priority="4334" timePeriod="nextWeek">
      <formula>AND(ROUNDDOWN(A3,0)-TODAY()&gt;(7-WEEKDAY(TODAY())),ROUNDDOWN(A3,0)-TODAY()&lt;(15-WEEKDAY(TODAY())))</formula>
    </cfRule>
  </conditionalFormatting>
  <conditionalFormatting sqref="P3 E4:F9 Q5 T5:U5 S3:S9 N7:N8 E11:F16 P15:P16 S15:S16 N17 L18 S19 S21 P23 S25 T26 M31 S32 E33:I33 E34:H34 E2:H3">
    <cfRule type="timePeriod" dxfId="1471" priority="4335" timePeriod="lastMonth">
      <formula>AND(MONTH(E2)=MONTH(EDATE(TODAY(),0-1)),YEAR(E2)=YEAR(EDATE(TODAY(),0-1)))</formula>
    </cfRule>
  </conditionalFormatting>
  <conditionalFormatting sqref="K1">
    <cfRule type="timePeriod" priority="1" timePeriod="nextWeek">
      <formula>AND(ROUNDDOWN(K1,0)-TODAY()&gt;(7-WEEKDAY(TODAY())),ROUNDDOWN(K1,0)-TODAY()&lt;(15-WEEKDAY(TODAY())))</formula>
    </cfRule>
  </conditionalFormatting>
  <pageMargins left="0.25" right="0.25" top="0.75" bottom="0.75" header="0.3" footer="0.3"/>
  <pageSetup paperSize="11" scale="1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0348-3D45-4277-9748-0C0C324DBF2D}">
  <sheetPr codeName="Sheet2">
    <tabColor theme="5" tint="-0.499984740745262"/>
    <pageSetUpPr fitToPage="1"/>
  </sheetPr>
  <dimension ref="A1:AK14"/>
  <sheetViews>
    <sheetView zoomScale="85" zoomScaleNormal="85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defaultRowHeight="32.25" customHeight="1" x14ac:dyDescent="0.25"/>
  <cols>
    <col min="1" max="1" width="6.140625" style="8" customWidth="1"/>
    <col min="2" max="2" width="7.7109375" style="8" customWidth="1"/>
    <col min="3" max="3" width="17.42578125" style="190" customWidth="1"/>
    <col min="4" max="4" width="12.28515625" style="190" customWidth="1"/>
    <col min="5" max="5" width="27" style="190" customWidth="1"/>
    <col min="6" max="6" width="18.42578125" style="190" customWidth="1"/>
    <col min="7" max="7" width="31.5703125" style="32" customWidth="1"/>
    <col min="8" max="8" width="27.140625" style="191" customWidth="1"/>
    <col min="9" max="9" width="18.28515625" style="8" customWidth="1"/>
    <col min="10" max="10" width="16.5703125" style="30" customWidth="1"/>
    <col min="11" max="11" width="13.85546875" style="23" customWidth="1"/>
    <col min="12" max="12" width="17.7109375" style="3" customWidth="1"/>
    <col min="13" max="13" width="19.42578125" style="8" customWidth="1"/>
    <col min="14" max="15" width="15.42578125" style="3" customWidth="1"/>
    <col min="16" max="16" width="16" style="3" customWidth="1"/>
    <col min="17" max="17" width="16.140625" style="3" customWidth="1"/>
    <col min="18" max="18" width="9.5703125" style="192" customWidth="1"/>
    <col min="19" max="19" width="19" style="30" customWidth="1"/>
    <col min="20" max="21" width="16.140625" style="3" customWidth="1"/>
    <col min="22" max="22" width="12.42578125" style="3" customWidth="1"/>
    <col min="23" max="23" width="16.140625" style="3" customWidth="1"/>
    <col min="24" max="24" width="10.140625" style="3" customWidth="1"/>
    <col min="25" max="25" width="25.140625" style="8" customWidth="1"/>
    <col min="26" max="26" width="34.85546875" style="191" customWidth="1"/>
    <col min="27" max="27" width="19" style="3" customWidth="1"/>
    <col min="28" max="28" width="10.85546875" style="3" customWidth="1"/>
    <col min="29" max="30" width="16.85546875" style="3" customWidth="1"/>
    <col min="31" max="31" width="20" style="217" customWidth="1"/>
    <col min="32" max="32" width="20.140625" style="8" customWidth="1"/>
    <col min="33" max="33" width="15" style="8" customWidth="1"/>
    <col min="34" max="34" width="29.85546875" style="3" customWidth="1"/>
    <col min="35" max="35" width="14.85546875" style="3" customWidth="1"/>
    <col min="36" max="16384" width="9.140625" style="3"/>
  </cols>
  <sheetData>
    <row r="1" spans="1:37" ht="21" customHeight="1" thickTop="1" thickBot="1" x14ac:dyDescent="0.3">
      <c r="A1" s="20">
        <f ca="1">NOW()</f>
        <v>46316.953917129627</v>
      </c>
      <c r="B1" s="19" t="s">
        <v>149</v>
      </c>
      <c r="C1" s="135">
        <f ca="1">NOW()</f>
        <v>46316.953917129627</v>
      </c>
      <c r="D1" s="135"/>
      <c r="E1" s="135"/>
      <c r="F1" s="135"/>
      <c r="G1" s="209" t="s">
        <v>81</v>
      </c>
      <c r="H1" s="124" t="s">
        <v>508</v>
      </c>
      <c r="I1" s="19" t="s">
        <v>130</v>
      </c>
      <c r="J1" s="28" t="s">
        <v>196</v>
      </c>
      <c r="K1" s="26" t="s">
        <v>191</v>
      </c>
      <c r="L1" s="19" t="s">
        <v>79</v>
      </c>
      <c r="M1" s="47"/>
      <c r="N1" s="349" t="s">
        <v>151</v>
      </c>
      <c r="O1" s="350"/>
      <c r="P1" s="350"/>
      <c r="Q1" s="350"/>
      <c r="R1" s="351"/>
      <c r="S1" s="349" t="s">
        <v>217</v>
      </c>
      <c r="T1" s="351"/>
      <c r="U1" s="349" t="s">
        <v>214</v>
      </c>
      <c r="V1" s="352"/>
      <c r="W1" s="349" t="s">
        <v>897</v>
      </c>
      <c r="X1" s="351"/>
      <c r="Y1" s="349" t="s">
        <v>155</v>
      </c>
      <c r="Z1" s="350"/>
      <c r="AA1" s="350"/>
      <c r="AB1" s="351"/>
      <c r="AC1" s="215" t="s">
        <v>774</v>
      </c>
      <c r="AD1" s="215" t="s">
        <v>1612</v>
      </c>
      <c r="AE1" s="331"/>
      <c r="AF1" s="19" t="s">
        <v>157</v>
      </c>
      <c r="AG1" s="19" t="s">
        <v>135</v>
      </c>
    </row>
    <row r="2" spans="1:37" ht="32.25" customHeight="1" thickTop="1" thickBot="1" x14ac:dyDescent="0.3">
      <c r="A2" s="22"/>
      <c r="B2" s="21"/>
      <c r="C2" s="136" t="s">
        <v>648</v>
      </c>
      <c r="D2" s="136"/>
      <c r="E2" s="136" t="s">
        <v>649</v>
      </c>
      <c r="F2" s="320" t="s">
        <v>1514</v>
      </c>
      <c r="G2" s="210"/>
      <c r="H2" s="125"/>
      <c r="I2" s="21"/>
      <c r="J2" s="29"/>
      <c r="L2" s="21"/>
      <c r="M2" s="91"/>
      <c r="N2" s="251" t="s">
        <v>80</v>
      </c>
      <c r="O2" s="251" t="s">
        <v>80</v>
      </c>
      <c r="P2" s="251" t="s">
        <v>80</v>
      </c>
      <c r="Q2" s="251" t="s">
        <v>153</v>
      </c>
      <c r="R2" s="252" t="s">
        <v>150</v>
      </c>
      <c r="S2" s="253"/>
      <c r="T2" s="252"/>
      <c r="U2" s="13" t="s">
        <v>154</v>
      </c>
      <c r="V2" s="14" t="s">
        <v>150</v>
      </c>
      <c r="W2" s="13" t="s">
        <v>154</v>
      </c>
      <c r="X2" s="14" t="s">
        <v>150</v>
      </c>
      <c r="Y2" s="27" t="s">
        <v>216</v>
      </c>
      <c r="Z2" s="15" t="s">
        <v>152</v>
      </c>
      <c r="AA2" s="251" t="s">
        <v>156</v>
      </c>
      <c r="AB2" s="252" t="s">
        <v>150</v>
      </c>
      <c r="AC2" s="252"/>
      <c r="AD2" s="252"/>
      <c r="AE2" s="256" t="s">
        <v>1611</v>
      </c>
      <c r="AF2" s="91"/>
      <c r="AG2" s="21"/>
    </row>
    <row r="3" spans="1:37" ht="26.25" customHeight="1" thickTop="1" x14ac:dyDescent="0.25">
      <c r="A3" s="4">
        <v>1</v>
      </c>
      <c r="B3" s="179" t="s">
        <v>1458</v>
      </c>
      <c r="C3" s="270">
        <v>45624</v>
      </c>
      <c r="D3" s="271" t="e">
        <f>'Expat(Madihaa)'!#REF!-C3</f>
        <v>#REF!</v>
      </c>
      <c r="E3" s="270" t="e">
        <f t="shared" ref="E3:E9" si="0">DATEDIF(0,D3,"y") &amp; "Years"&amp;DATEDIF(0,D3,"YM") &amp; "Months" &amp;DATEDIF(0,D3,"MD")&amp;"Days"</f>
        <v>#REF!</v>
      </c>
      <c r="F3" s="142">
        <v>45732</v>
      </c>
      <c r="G3" s="262" t="s">
        <v>1180</v>
      </c>
      <c r="H3" s="180" t="s">
        <v>1181</v>
      </c>
      <c r="I3" s="179" t="s">
        <v>133</v>
      </c>
      <c r="J3" s="181">
        <v>31495</v>
      </c>
      <c r="K3" s="182"/>
      <c r="L3" s="272" t="s">
        <v>1713</v>
      </c>
      <c r="M3" s="179"/>
      <c r="N3" s="183"/>
      <c r="O3" s="183"/>
      <c r="P3" s="179" t="s">
        <v>1186</v>
      </c>
      <c r="Q3" s="181">
        <v>48710</v>
      </c>
      <c r="R3" s="184" t="e">
        <f>Q3-'Expat(Madihaa)'!#REF!</f>
        <v>#REF!</v>
      </c>
      <c r="S3" s="181">
        <v>46354</v>
      </c>
      <c r="T3" s="197" t="e">
        <f>S3-'Expat(Madihaa)'!#REF!</f>
        <v>#REF!</v>
      </c>
      <c r="U3" s="181">
        <v>46301</v>
      </c>
      <c r="V3" s="173" t="e">
        <f>U3-'Expat(Madihaa)'!#REF!</f>
        <v>#REF!</v>
      </c>
      <c r="W3" s="9">
        <v>46361</v>
      </c>
      <c r="X3" s="145" t="e">
        <f>W3-'Expat(Madihaa)'!#REF!</f>
        <v>#REF!</v>
      </c>
      <c r="Y3" s="309" t="s">
        <v>853</v>
      </c>
      <c r="Z3" s="189" t="s">
        <v>1633</v>
      </c>
      <c r="AA3" s="174">
        <v>46399</v>
      </c>
      <c r="AB3" s="185" t="e">
        <f>AA3-'Expat(Madihaa)'!#REF!</f>
        <v>#REF!</v>
      </c>
      <c r="AC3" s="183"/>
      <c r="AD3" s="274"/>
      <c r="AE3" s="183"/>
      <c r="AF3" s="275"/>
      <c r="AG3" s="274"/>
      <c r="AH3" s="183"/>
      <c r="AI3" s="275"/>
      <c r="AJ3" s="179" t="s">
        <v>145</v>
      </c>
      <c r="AK3" s="179"/>
    </row>
    <row r="4" spans="1:37" ht="30" customHeight="1" x14ac:dyDescent="0.25">
      <c r="A4" s="4">
        <v>2</v>
      </c>
      <c r="B4" s="5"/>
      <c r="C4" s="142">
        <v>42172</v>
      </c>
      <c r="D4" s="137">
        <f ca="1">$C$1-C4</f>
        <v>4144.9539171296274</v>
      </c>
      <c r="E4" s="137" t="str">
        <f t="shared" ca="1" si="0"/>
        <v>11Years4Months6Days</v>
      </c>
      <c r="F4" s="142">
        <v>45713</v>
      </c>
      <c r="G4" s="324" t="s">
        <v>1025</v>
      </c>
      <c r="H4" s="143" t="s">
        <v>509</v>
      </c>
      <c r="I4" s="5" t="s">
        <v>131</v>
      </c>
      <c r="J4" s="70">
        <v>31837</v>
      </c>
      <c r="K4" s="24"/>
      <c r="L4" s="10" t="s">
        <v>1350</v>
      </c>
      <c r="M4" s="223"/>
      <c r="N4" s="4"/>
      <c r="O4" s="5" t="s">
        <v>1024</v>
      </c>
      <c r="P4" s="144" t="s">
        <v>134</v>
      </c>
      <c r="Q4" s="2">
        <v>49057</v>
      </c>
      <c r="R4" s="145">
        <f ca="1">Q4-$A$1</f>
        <v>2740.0460828703726</v>
      </c>
      <c r="S4" s="193">
        <v>46420</v>
      </c>
      <c r="T4" s="194">
        <f ca="1">S4-$A$1</f>
        <v>103.04608287037263</v>
      </c>
      <c r="U4" s="9">
        <v>46266</v>
      </c>
      <c r="V4" s="145">
        <f ca="1">U4-$A$1</f>
        <v>-50.953917129627371</v>
      </c>
      <c r="W4" s="9">
        <v>46243</v>
      </c>
      <c r="X4" s="145">
        <f ca="1">W4-$A$1</f>
        <v>-73.953917129627371</v>
      </c>
      <c r="Y4" s="146" t="s">
        <v>1359</v>
      </c>
      <c r="Z4" s="147" t="s">
        <v>1773</v>
      </c>
      <c r="AA4" s="1">
        <v>46609</v>
      </c>
      <c r="AB4" s="145">
        <f ca="1">AA4-$A$1</f>
        <v>292.04608287037263</v>
      </c>
      <c r="AC4" s="148" t="s">
        <v>1613</v>
      </c>
      <c r="AD4" s="146" t="s">
        <v>146</v>
      </c>
      <c r="AE4" s="213">
        <v>46170</v>
      </c>
      <c r="AF4" s="4" t="s">
        <v>146</v>
      </c>
      <c r="AG4" s="10" t="s">
        <v>82</v>
      </c>
    </row>
    <row r="5" spans="1:37" ht="30" customHeight="1" x14ac:dyDescent="0.25">
      <c r="A5" s="4">
        <v>3</v>
      </c>
      <c r="B5" s="5"/>
      <c r="C5" s="142">
        <v>42382</v>
      </c>
      <c r="D5" s="137">
        <f ca="1">$C$1-C5</f>
        <v>3934.9539171296274</v>
      </c>
      <c r="E5" s="137" t="str">
        <f t="shared" ca="1" si="0"/>
        <v>10Years9Months8Days</v>
      </c>
      <c r="F5" s="142" t="s">
        <v>1523</v>
      </c>
      <c r="G5" s="143" t="s">
        <v>120</v>
      </c>
      <c r="H5" s="152" t="s">
        <v>512</v>
      </c>
      <c r="I5" s="5" t="s">
        <v>131</v>
      </c>
      <c r="J5" s="70">
        <v>27399</v>
      </c>
      <c r="K5" s="24"/>
      <c r="L5" s="10" t="s">
        <v>1630</v>
      </c>
      <c r="M5" s="223"/>
      <c r="N5" s="4" t="s">
        <v>1023</v>
      </c>
      <c r="O5" s="5" t="s">
        <v>148</v>
      </c>
      <c r="P5" s="144" t="s">
        <v>63</v>
      </c>
      <c r="Q5" s="2">
        <v>49083</v>
      </c>
      <c r="R5" s="145">
        <f ca="1">Q5-$A$1</f>
        <v>2766.0460828703726</v>
      </c>
      <c r="S5" s="198">
        <v>46220</v>
      </c>
      <c r="T5" s="199">
        <f ca="1">S5-$A$1</f>
        <v>-96.953917129627371</v>
      </c>
      <c r="U5" s="9">
        <v>46355</v>
      </c>
      <c r="V5" s="145">
        <f ca="1">U5-$A$1</f>
        <v>38.046082870372629</v>
      </c>
      <c r="W5" s="9">
        <v>46507</v>
      </c>
      <c r="X5" s="145">
        <f ca="1">W5-$A$1</f>
        <v>190.04608287037263</v>
      </c>
      <c r="Y5" s="146" t="s">
        <v>853</v>
      </c>
      <c r="Z5" s="147" t="s">
        <v>1308</v>
      </c>
      <c r="AA5" s="1">
        <v>46567</v>
      </c>
      <c r="AB5" s="145">
        <f ca="1">AA5-$A$1</f>
        <v>250.04608287037263</v>
      </c>
      <c r="AC5" s="148" t="s">
        <v>1614</v>
      </c>
      <c r="AD5" s="146" t="s">
        <v>690</v>
      </c>
      <c r="AE5" s="213">
        <v>46357</v>
      </c>
      <c r="AF5" s="4" t="s">
        <v>146</v>
      </c>
      <c r="AG5" s="10" t="s">
        <v>82</v>
      </c>
    </row>
    <row r="6" spans="1:37" ht="30" customHeight="1" x14ac:dyDescent="0.25">
      <c r="A6" s="4">
        <v>4</v>
      </c>
      <c r="B6" s="144"/>
      <c r="C6" s="142">
        <v>43561</v>
      </c>
      <c r="D6" s="137">
        <f ca="1">$C$1-C6</f>
        <v>2755.9539171296274</v>
      </c>
      <c r="E6" s="137" t="str">
        <f t="shared" ca="1" si="0"/>
        <v>7Years6Months17Days</v>
      </c>
      <c r="F6" s="142">
        <v>45632</v>
      </c>
      <c r="G6" s="260" t="s">
        <v>112</v>
      </c>
      <c r="H6" s="156" t="s">
        <v>1748</v>
      </c>
      <c r="I6" s="144" t="s">
        <v>131</v>
      </c>
      <c r="J6" s="157">
        <v>36559</v>
      </c>
      <c r="K6" s="158"/>
      <c r="L6" s="151" t="s">
        <v>1806</v>
      </c>
      <c r="M6" s="224"/>
      <c r="N6" s="159">
        <v>9957222</v>
      </c>
      <c r="O6" s="144" t="s">
        <v>636</v>
      </c>
      <c r="P6" s="144" t="s">
        <v>76</v>
      </c>
      <c r="Q6" s="160">
        <v>46859</v>
      </c>
      <c r="R6" s="161">
        <f ca="1">Q6-$A$1</f>
        <v>542.04608287037263</v>
      </c>
      <c r="S6" s="200">
        <v>46363</v>
      </c>
      <c r="T6" s="201">
        <f ca="1">S6-$A$1</f>
        <v>46.046082870372629</v>
      </c>
      <c r="U6" s="134">
        <v>46351</v>
      </c>
      <c r="V6" s="161">
        <f ca="1">U6-$A$1</f>
        <v>34.046082870372629</v>
      </c>
      <c r="W6" s="9">
        <v>46498</v>
      </c>
      <c r="X6" s="145">
        <f ca="1">W6-$A$1</f>
        <v>181.04608287037263</v>
      </c>
      <c r="Y6" s="162" t="s">
        <v>853</v>
      </c>
      <c r="Z6" s="147" t="s">
        <v>1807</v>
      </c>
      <c r="AA6" s="160">
        <v>46600</v>
      </c>
      <c r="AB6" s="161">
        <f ca="1">AA6-$A$1</f>
        <v>283.04608287037263</v>
      </c>
      <c r="AC6" s="162" t="s">
        <v>788</v>
      </c>
      <c r="AD6" s="332" t="s">
        <v>690</v>
      </c>
      <c r="AE6" s="213">
        <v>46357</v>
      </c>
      <c r="AF6" s="159" t="s">
        <v>146</v>
      </c>
      <c r="AG6" s="151" t="s">
        <v>82</v>
      </c>
    </row>
    <row r="7" spans="1:37" ht="32.25" customHeight="1" x14ac:dyDescent="0.25">
      <c r="A7" s="4">
        <v>6</v>
      </c>
      <c r="B7" s="179">
        <v>734</v>
      </c>
      <c r="C7" s="270">
        <v>46005</v>
      </c>
      <c r="D7" s="271">
        <f ca="1">$C$1-C7</f>
        <v>311.95391712962737</v>
      </c>
      <c r="E7" s="330" t="str">
        <f t="shared" ca="1" si="0"/>
        <v>0Years10Months6Days</v>
      </c>
      <c r="F7" s="329">
        <v>46002</v>
      </c>
      <c r="G7" s="262" t="s">
        <v>1593</v>
      </c>
      <c r="H7" s="180" t="s">
        <v>520</v>
      </c>
      <c r="I7" s="179" t="s">
        <v>131</v>
      </c>
      <c r="J7" s="181">
        <v>35431</v>
      </c>
      <c r="K7" s="182"/>
      <c r="L7" s="326" t="s">
        <v>1594</v>
      </c>
      <c r="M7" s="179"/>
      <c r="N7" s="183"/>
      <c r="O7" s="183"/>
      <c r="P7" s="179" t="s">
        <v>1595</v>
      </c>
      <c r="Q7" s="181">
        <v>46410</v>
      </c>
      <c r="R7" s="184">
        <f ca="1">Q7-$A$1</f>
        <v>93.046082870372629</v>
      </c>
      <c r="S7" s="327"/>
      <c r="T7" s="197"/>
      <c r="U7" s="181">
        <v>46275</v>
      </c>
      <c r="V7" s="173">
        <f ca="1">U7-$A$1</f>
        <v>-41.953917129627371</v>
      </c>
      <c r="W7" s="9">
        <v>46370</v>
      </c>
      <c r="X7" s="145">
        <f ca="1">W7-$A$1</f>
        <v>53.046082870372629</v>
      </c>
      <c r="Y7" s="328" t="s">
        <v>1359</v>
      </c>
      <c r="Z7" s="189" t="s">
        <v>1631</v>
      </c>
      <c r="AA7" s="174">
        <v>46385</v>
      </c>
      <c r="AB7" s="185">
        <f ca="1">AA7-$A$1</f>
        <v>68.046082870372629</v>
      </c>
      <c r="AC7" s="147" t="s">
        <v>1615</v>
      </c>
      <c r="AD7" s="333" t="s">
        <v>146</v>
      </c>
      <c r="AE7" s="213">
        <v>46348</v>
      </c>
      <c r="AF7" s="4" t="s">
        <v>146</v>
      </c>
      <c r="AG7" s="151" t="s">
        <v>82</v>
      </c>
    </row>
    <row r="8" spans="1:37" ht="32.25" customHeight="1" x14ac:dyDescent="0.25">
      <c r="A8" s="4">
        <v>7</v>
      </c>
      <c r="B8" s="179">
        <v>738</v>
      </c>
      <c r="C8" s="270">
        <v>46004</v>
      </c>
      <c r="D8" s="271">
        <f ca="1">$C$1-C8</f>
        <v>312.95391712962737</v>
      </c>
      <c r="E8" s="330" t="str">
        <f t="shared" ca="1" si="0"/>
        <v>0Years10Months7Days</v>
      </c>
      <c r="F8" s="329">
        <v>46004</v>
      </c>
      <c r="G8" s="262" t="s">
        <v>1589</v>
      </c>
      <c r="H8" s="180" t="s">
        <v>1590</v>
      </c>
      <c r="I8" s="179" t="s">
        <v>131</v>
      </c>
      <c r="J8" s="181">
        <v>36164</v>
      </c>
      <c r="K8" s="182"/>
      <c r="L8" s="326" t="s">
        <v>1591</v>
      </c>
      <c r="M8" s="179"/>
      <c r="N8" s="183"/>
      <c r="O8" s="183"/>
      <c r="P8" s="179" t="s">
        <v>1592</v>
      </c>
      <c r="Q8" s="181">
        <v>48798</v>
      </c>
      <c r="R8" s="184">
        <f ca="1">Q8-$A$1</f>
        <v>2481.0460828703726</v>
      </c>
      <c r="S8" s="327"/>
      <c r="T8" s="197"/>
      <c r="U8" s="181">
        <v>46368</v>
      </c>
      <c r="V8" s="173">
        <f ca="1">U8-$A$1</f>
        <v>51.046082870372629</v>
      </c>
      <c r="W8" s="9">
        <v>46368</v>
      </c>
      <c r="X8" s="145">
        <f ca="1">W8-$A$1</f>
        <v>51.046082870372629</v>
      </c>
      <c r="Y8" s="328" t="s">
        <v>1359</v>
      </c>
      <c r="Z8" s="189" t="s">
        <v>1631</v>
      </c>
      <c r="AA8" s="174">
        <v>46385</v>
      </c>
      <c r="AB8" s="185">
        <f ca="1">AA8-$A$1</f>
        <v>68.046082870372629</v>
      </c>
      <c r="AC8" s="147" t="s">
        <v>1616</v>
      </c>
      <c r="AD8" s="333" t="s">
        <v>146</v>
      </c>
      <c r="AE8" s="213">
        <v>46348</v>
      </c>
      <c r="AF8" s="4" t="s">
        <v>146</v>
      </c>
      <c r="AG8" s="151" t="s">
        <v>82</v>
      </c>
    </row>
    <row r="9" spans="1:37" ht="26.25" customHeight="1" x14ac:dyDescent="0.25">
      <c r="A9" s="4">
        <v>97</v>
      </c>
      <c r="B9" s="179" t="s">
        <v>1335</v>
      </c>
      <c r="C9" s="270">
        <v>45841</v>
      </c>
      <c r="D9" s="271" t="e">
        <f>'Expat(Madihaa)'!#REF!-C9</f>
        <v>#REF!</v>
      </c>
      <c r="E9" s="270" t="e">
        <f t="shared" si="0"/>
        <v>#REF!</v>
      </c>
      <c r="F9" s="142">
        <v>45833</v>
      </c>
      <c r="G9" s="262" t="s">
        <v>1332</v>
      </c>
      <c r="H9" s="180" t="s">
        <v>561</v>
      </c>
      <c r="I9" s="179" t="s">
        <v>131</v>
      </c>
      <c r="J9" s="181">
        <v>37790</v>
      </c>
      <c r="K9" s="182"/>
      <c r="L9" s="272" t="s">
        <v>1334</v>
      </c>
      <c r="M9" s="179"/>
      <c r="N9" s="183"/>
      <c r="O9" s="183"/>
      <c r="P9" s="179" t="s">
        <v>1333</v>
      </c>
      <c r="Q9" s="181">
        <v>49315</v>
      </c>
      <c r="R9" s="184" t="e">
        <f>Q9-'Expat(Madihaa)'!#REF!</f>
        <v>#REF!</v>
      </c>
      <c r="S9" s="181">
        <v>46563</v>
      </c>
      <c r="T9" s="197" t="e">
        <f>S9-'Expat(Madihaa)'!#REF!</f>
        <v>#REF!</v>
      </c>
      <c r="U9" s="181">
        <v>46197</v>
      </c>
      <c r="V9" s="173" t="e">
        <f>U9-'Expat(Madihaa)'!#REF!</f>
        <v>#REF!</v>
      </c>
      <c r="W9" s="9">
        <v>46573</v>
      </c>
      <c r="X9" s="145" t="e">
        <f>W9-'Expat(Madihaa)'!#REF!</f>
        <v>#REF!</v>
      </c>
      <c r="Y9" s="309" t="s">
        <v>1309</v>
      </c>
      <c r="Z9" s="189" t="s">
        <v>1774</v>
      </c>
      <c r="AA9" s="174">
        <v>46583</v>
      </c>
      <c r="AB9" s="185" t="e">
        <f>AA9-'Expat(Madihaa)'!#REF!</f>
        <v>#REF!</v>
      </c>
      <c r="AC9" s="183"/>
      <c r="AD9" s="274"/>
      <c r="AE9" s="183"/>
      <c r="AF9" s="275"/>
      <c r="AG9" s="274"/>
      <c r="AH9" s="183"/>
      <c r="AI9" s="275"/>
      <c r="AJ9" s="179"/>
      <c r="AK9" s="179"/>
    </row>
    <row r="13" spans="1:37" ht="32.25" customHeight="1" x14ac:dyDescent="0.25">
      <c r="M13" s="8" t="s">
        <v>188</v>
      </c>
      <c r="AB13" s="3" t="s">
        <v>188</v>
      </c>
    </row>
    <row r="14" spans="1:37" ht="32.25" customHeight="1" x14ac:dyDescent="0.25">
      <c r="Z14" s="191" t="s">
        <v>188</v>
      </c>
    </row>
  </sheetData>
  <autoFilter ref="A2:AG9" xr:uid="{00000000-0009-0000-0000-000000000000}">
    <sortState xmlns:xlrd2="http://schemas.microsoft.com/office/spreadsheetml/2017/richdata2" ref="A3:AG6">
      <sortCondition ref="A2:A6"/>
    </sortState>
  </autoFilter>
  <mergeCells count="5">
    <mergeCell ref="N1:R1"/>
    <mergeCell ref="S1:T1"/>
    <mergeCell ref="U1:V1"/>
    <mergeCell ref="W1:X1"/>
    <mergeCell ref="Y1:AB1"/>
  </mergeCells>
  <conditionalFormatting sqref="A3:F9 L9:XFD11 L12:Z12 AB12:XFD12 L13:XFD13 L14:W14 Y14:XFD14 L15:XFD1048576">
    <cfRule type="timePeriod" priority="13" timePeriod="nextWeek">
      <formula>AND(ROUNDDOWN(A3,0)-TODAY()&gt;(7-WEEKDAY(TODAY())),ROUNDDOWN(A3,0)-TODAY()&lt;(15-WEEKDAY(TODAY())))</formula>
    </cfRule>
  </conditionalFormatting>
  <conditionalFormatting sqref="A1:J1 B7:C8 L7:AF8 AE4:AE6">
    <cfRule type="timePeriod" dxfId="1470" priority="391" timePeriod="last7Days">
      <formula>AND(TODAY()-FLOOR(A1,1)&lt;=6,FLOOR(A1,1)&lt;=TODAY())</formula>
    </cfRule>
  </conditionalFormatting>
  <conditionalFormatting sqref="A1:J1 B7:C8 L7:AF8 AH7:XFD8 H7:J8">
    <cfRule type="timePeriod" dxfId="1469" priority="392" timePeriod="thisWeek">
      <formula>AND(TODAY()-ROUNDDOWN(A1,0)&lt;=WEEKDAY(TODAY())-1,ROUNDDOWN(A1,0)-TODAY()&lt;=7-WEEKDAY(TODAY()))</formula>
    </cfRule>
  </conditionalFormatting>
  <conditionalFormatting sqref="A1:J1 L9:XFD11 L12:Z12 AB12:XFD12 L13:XFD13 L14:W14 Y14:XFD14 L15:XFD1048576 L7:AF8 AH7:XFD8">
    <cfRule type="timePeriod" dxfId="1468" priority="390" timePeriod="lastMonth">
      <formula>AND(MONTH(A1)=MONTH(EDATE(TODAY(),0-1)),YEAR(A1)=YEAR(EDATE(TODAY(),0-1)))</formula>
    </cfRule>
  </conditionalFormatting>
  <conditionalFormatting sqref="A1:J1 V4:AD5 X6:X8">
    <cfRule type="timePeriod" priority="389" timePeriod="nextWeek">
      <formula>AND(ROUNDDOWN(A1,0)-TODAY()&gt;(7-WEEKDAY(TODAY())),ROUNDDOWN(A1,0)-TODAY()&lt;(15-WEEKDAY(TODAY())))</formula>
    </cfRule>
  </conditionalFormatting>
  <conditionalFormatting sqref="B3:E3 L3:X3">
    <cfRule type="timePeriod" dxfId="1467" priority="19" timePeriod="last7Days">
      <formula>AND(TODAY()-FLOOR(B3,1)&lt;=6,FLOOR(B3,1)&lt;=TODAY())</formula>
    </cfRule>
  </conditionalFormatting>
  <conditionalFormatting sqref="B3:E3">
    <cfRule type="timePeriod" dxfId="1466" priority="26" timePeriod="thisWeek">
      <formula>AND(TODAY()-ROUNDDOWN(B3,0)&lt;=WEEKDAY(TODAY())-1,ROUNDDOWN(B3,0)-TODAY()&lt;=7-WEEKDAY(TODAY()))</formula>
    </cfRule>
  </conditionalFormatting>
  <conditionalFormatting sqref="B9:E9 L9:XFD11 L12:Z12 AB12:XFD12 L13:XFD13 L14:W14 Y14:XFD14 L15:XFD1048576">
    <cfRule type="timePeriod" dxfId="1465" priority="3" timePeriod="last7Days">
      <formula>AND(TODAY()-FLOOR(B9,1)&lt;=6,FLOOR(B9,1)&lt;=TODAY())</formula>
    </cfRule>
    <cfRule type="timePeriod" dxfId="1464" priority="7" timePeriod="thisWeek">
      <formula>AND(TODAY()-ROUNDDOWN(B9,0)&lt;=WEEKDAY(TODAY())-1,ROUNDDOWN(B9,0)-TODAY()&lt;=7-WEEKDAY(TODAY()))</formula>
    </cfRule>
  </conditionalFormatting>
  <conditionalFormatting sqref="G4:H4 L4:T5 AF4:XFD5">
    <cfRule type="timePeriod" priority="415" timePeriod="nextWeek">
      <formula>AND(ROUNDDOWN(G4,0)-TODAY()&gt;(7-WEEKDAY(TODAY())),ROUNDDOWN(G4,0)-TODAY()&lt;(15-WEEKDAY(TODAY())))</formula>
    </cfRule>
  </conditionalFormatting>
  <conditionalFormatting sqref="H3:J3">
    <cfRule type="timePeriod" dxfId="1463" priority="20" timePeriod="thisWeek">
      <formula>AND(TODAY()-ROUNDDOWN(H3,0)&lt;=WEEKDAY(TODAY())-1,ROUNDDOWN(H3,0)-TODAY()&lt;=7-WEEKDAY(TODAY()))</formula>
    </cfRule>
    <cfRule type="timePeriod" priority="21" timePeriod="nextWeek">
      <formula>AND(ROUNDDOWN(H3,0)-TODAY()&gt;(7-WEEKDAY(TODAY())),ROUNDDOWN(H3,0)-TODAY()&lt;(15-WEEKDAY(TODAY())))</formula>
    </cfRule>
    <cfRule type="timePeriod" dxfId="1462" priority="22" timePeriod="nextWeek">
      <formula>AND(ROUNDDOWN(H3,0)-TODAY()&gt;(7-WEEKDAY(TODAY())),ROUNDDOWN(H3,0)-TODAY()&lt;(15-WEEKDAY(TODAY())))</formula>
    </cfRule>
    <cfRule type="timePeriod" dxfId="1461" priority="36" timePeriod="lastMonth">
      <formula>AND(MONTH(H3)=MONTH(EDATE(TODAY(),0-1)),YEAR(H3)=YEAR(EDATE(TODAY(),0-1)))</formula>
    </cfRule>
    <cfRule type="timePeriod" dxfId="1460" priority="37" timePeriod="last7Days">
      <formula>AND(TODAY()-FLOOR(H3,1)&lt;=6,FLOOR(H3,1)&lt;=TODAY())</formula>
    </cfRule>
  </conditionalFormatting>
  <conditionalFormatting sqref="H7:J9">
    <cfRule type="timePeriod" priority="5" timePeriod="nextWeek">
      <formula>AND(ROUNDDOWN(H7,0)-TODAY()&gt;(7-WEEKDAY(TODAY())),ROUNDDOWN(H7,0)-TODAY()&lt;(15-WEEKDAY(TODAY())))</formula>
    </cfRule>
    <cfRule type="timePeriod" dxfId="1459" priority="6" timePeriod="nextWeek">
      <formula>AND(ROUNDDOWN(H7,0)-TODAY()&gt;(7-WEEKDAY(TODAY())),ROUNDDOWN(H7,0)-TODAY()&lt;(15-WEEKDAY(TODAY())))</formula>
    </cfRule>
    <cfRule type="timePeriod" dxfId="1458" priority="15" timePeriod="lastMonth">
      <formula>AND(MONTH(H7)=MONTH(EDATE(TODAY(),0-1)),YEAR(H7)=YEAR(EDATE(TODAY(),0-1)))</formula>
    </cfRule>
    <cfRule type="timePeriod" dxfId="1457" priority="16" timePeriod="last7Days">
      <formula>AND(TODAY()-FLOOR(H7,1)&lt;=6,FLOOR(H7,1)&lt;=TODAY())</formula>
    </cfRule>
  </conditionalFormatting>
  <conditionalFormatting sqref="H9:J9">
    <cfRule type="timePeriod" dxfId="1456" priority="4" timePeriod="thisWeek">
      <formula>AND(TODAY()-ROUNDDOWN(H9,0)&lt;=WEEKDAY(TODAY())-1,ROUNDDOWN(H9,0)-TODAY()&lt;=7-WEEKDAY(TODAY()))</formula>
    </cfRule>
  </conditionalFormatting>
  <conditionalFormatting sqref="I4:I6">
    <cfRule type="timePeriod" priority="403" timePeriod="nextWeek">
      <formula>AND(ROUNDDOWN(I4,0)-TODAY()&gt;(7-WEEKDAY(TODAY())),ROUNDDOWN(I4,0)-TODAY()&lt;(15-WEEKDAY(TODAY())))</formula>
    </cfRule>
    <cfRule type="timePeriod" dxfId="1455" priority="425" timePeriod="nextWeek">
      <formula>AND(ROUNDDOWN(I4,0)-TODAY()&gt;(7-WEEKDAY(TODAY())),ROUNDDOWN(I4,0)-TODAY()&lt;(15-WEEKDAY(TODAY())))</formula>
    </cfRule>
    <cfRule type="timePeriod" dxfId="1454" priority="426" timePeriod="lastMonth">
      <formula>AND(MONTH(I4)=MONTH(EDATE(TODAY(),0-1)),YEAR(I4)=YEAR(EDATE(TODAY(),0-1)))</formula>
    </cfRule>
    <cfRule type="timePeriod" dxfId="1453" priority="427" timePeriod="last7Days">
      <formula>AND(TODAY()-FLOOR(I4,1)&lt;=6,FLOOR(I4,1)&lt;=TODAY())</formula>
    </cfRule>
    <cfRule type="timePeriod" dxfId="1452" priority="428" timePeriod="thisWeek">
      <formula>AND(TODAY()-ROUNDDOWN(I4,0)&lt;=WEEKDAY(TODAY())-1,ROUNDDOWN(I4,0)-TODAY()&lt;=7-WEEKDAY(TODAY()))</formula>
    </cfRule>
  </conditionalFormatting>
  <conditionalFormatting sqref="L1:M1">
    <cfRule type="timePeriod" priority="394" timePeriod="nextWeek">
      <formula>AND(ROUNDDOWN(L1,0)-TODAY()&gt;(7-WEEKDAY(TODAY())),ROUNDDOWN(L1,0)-TODAY()&lt;(15-WEEKDAY(TODAY())))</formula>
    </cfRule>
  </conditionalFormatting>
  <conditionalFormatting sqref="L1:N1">
    <cfRule type="timePeriod" dxfId="1451" priority="393" timePeriod="nextWeek">
      <formula>AND(ROUNDDOWN(L1,0)-TODAY()&gt;(7-WEEKDAY(TODAY())),ROUNDDOWN(L1,0)-TODAY()&lt;(15-WEEKDAY(TODAY())))</formula>
    </cfRule>
    <cfRule type="timePeriod" dxfId="1450" priority="395" timePeriod="lastMonth">
      <formula>AND(MONTH(L1)=MONTH(EDATE(TODAY(),0-1)),YEAR(L1)=YEAR(EDATE(TODAY(),0-1)))</formula>
    </cfRule>
    <cfRule type="timePeriod" dxfId="1449" priority="396" timePeriod="last7Days">
      <formula>AND(TODAY()-FLOOR(L1,1)&lt;=6,FLOOR(L1,1)&lt;=TODAY())</formula>
    </cfRule>
    <cfRule type="timePeriod" dxfId="1448" priority="397" timePeriod="thisWeek">
      <formula>AND(TODAY()-ROUNDDOWN(L1,0)&lt;=WEEKDAY(TODAY())-1,ROUNDDOWN(L1,0)-TODAY()&lt;=7-WEEKDAY(TODAY()))</formula>
    </cfRule>
  </conditionalFormatting>
  <conditionalFormatting sqref="L6:V6">
    <cfRule type="timePeriod" dxfId="1447" priority="357" timePeriod="nextWeek">
      <formula>AND(ROUNDDOWN(L6,0)-TODAY()&gt;(7-WEEKDAY(TODAY())),ROUNDDOWN(L6,0)-TODAY()&lt;(15-WEEKDAY(TODAY())))</formula>
    </cfRule>
  </conditionalFormatting>
  <conditionalFormatting sqref="L3:X3 Z3:XFD3 A3:F8">
    <cfRule type="timePeriod" dxfId="1446" priority="38" timePeriod="nextWeek">
      <formula>AND(ROUNDDOWN(A3,0)-TODAY()&gt;(7-WEEKDAY(TODAY())),ROUNDDOWN(A3,0)-TODAY()&lt;(15-WEEKDAY(TODAY())))</formula>
    </cfRule>
  </conditionalFormatting>
  <conditionalFormatting sqref="L3:X3">
    <cfRule type="timePeriod" dxfId="1445" priority="18" timePeriod="lastMonth">
      <formula>AND(MONTH(L3)=MONTH(EDATE(TODAY(),0-1)),YEAR(L3)=YEAR(EDATE(TODAY(),0-1)))</formula>
    </cfRule>
    <cfRule type="timePeriod" dxfId="1444" priority="28" timePeriod="thisWeek">
      <formula>AND(TODAY()-ROUNDDOWN(L3,0)&lt;=WEEKDAY(TODAY())-1,ROUNDDOWN(L3,0)-TODAY()&lt;=7-WEEKDAY(TODAY()))</formula>
    </cfRule>
    <cfRule type="timePeriod" priority="33" timePeriod="nextWeek">
      <formula>AND(ROUNDDOWN(L3,0)-TODAY()&gt;(7-WEEKDAY(TODAY())),ROUNDDOWN(L3,0)-TODAY()&lt;(15-WEEKDAY(TODAY())))</formula>
    </cfRule>
  </conditionalFormatting>
  <conditionalFormatting sqref="L9:Y9">
    <cfRule type="timePeriod" dxfId="1443" priority="12" timePeriod="nextWeek">
      <formula>AND(ROUNDDOWN(L9,0)-TODAY()&gt;(7-WEEKDAY(TODAY())),ROUNDDOWN(L9,0)-TODAY()&lt;(15-WEEKDAY(TODAY())))</formula>
    </cfRule>
  </conditionalFormatting>
  <conditionalFormatting sqref="L6:AD6">
    <cfRule type="timePeriod" priority="1" timePeriod="nextWeek">
      <formula>AND(ROUNDDOWN(L6,0)-TODAY()&gt;(7-WEEKDAY(TODAY())),ROUNDDOWN(L6,0)-TODAY()&lt;(15-WEEKDAY(TODAY())))</formula>
    </cfRule>
  </conditionalFormatting>
  <conditionalFormatting sqref="L10:XFD11 L12:Z12 AB12:XFD12 L13:XFD13 L14:W14 Y14:XFD14 L15:XFD1048576 A1:J1">
    <cfRule type="timePeriod" dxfId="1442" priority="388" timePeriod="nextWeek">
      <formula>AND(ROUNDDOWN(A1,0)-TODAY()&gt;(7-WEEKDAY(TODAY())),ROUNDDOWN(A1,0)-TODAY()&lt;(15-WEEKDAY(TODAY())))</formula>
    </cfRule>
  </conditionalFormatting>
  <conditionalFormatting sqref="N1:N2">
    <cfRule type="timePeriod" priority="365" timePeriod="nextWeek">
      <formula>AND(ROUNDDOWN(N1,0)-TODAY()&gt;(7-WEEKDAY(TODAY())),ROUNDDOWN(N1,0)-TODAY()&lt;(15-WEEKDAY(TODAY())))</formula>
    </cfRule>
  </conditionalFormatting>
  <conditionalFormatting sqref="N2:Y2 L4:T5 L6:U6 G4:H4 AF4:XFD5 B7:E7">
    <cfRule type="timePeriod" dxfId="1441" priority="368" timePeriod="thisWeek">
      <formula>AND(TODAY()-ROUNDDOWN(B2,0)&lt;=WEEKDAY(TODAY())-1,ROUNDDOWN(B2,0)-TODAY()&lt;=7-WEEKDAY(TODAY()))</formula>
    </cfRule>
  </conditionalFormatting>
  <conditionalFormatting sqref="N2:Y2">
    <cfRule type="timePeriod" dxfId="1440" priority="364" timePeriod="nextWeek">
      <formula>AND(ROUNDDOWN(N2,0)-TODAY()&gt;(7-WEEKDAY(TODAY())),ROUNDDOWN(N2,0)-TODAY()&lt;(15-WEEKDAY(TODAY())))</formula>
    </cfRule>
    <cfRule type="timePeriod" dxfId="1439" priority="366" timePeriod="lastMonth">
      <formula>AND(MONTH(N2)=MONTH(EDATE(TODAY(),0-1)),YEAR(N2)=YEAR(EDATE(TODAY(),0-1)))</formula>
    </cfRule>
    <cfRule type="timePeriod" dxfId="1438" priority="367" timePeriod="last7Days">
      <formula>AND(TODAY()-FLOOR(N2,1)&lt;=6,FLOOR(N2,1)&lt;=TODAY())</formula>
    </cfRule>
  </conditionalFormatting>
  <conditionalFormatting sqref="O2:Y2">
    <cfRule type="timePeriod" priority="369" timePeriod="nextWeek">
      <formula>AND(ROUNDDOWN(O2,0)-TODAY()&gt;(7-WEEKDAY(TODAY())),ROUNDDOWN(O2,0)-TODAY()&lt;(15-WEEKDAY(TODAY())))</formula>
    </cfRule>
  </conditionalFormatting>
  <conditionalFormatting sqref="R4:R6">
    <cfRule type="cellIs" dxfId="1437" priority="334" operator="lessThanOrEqual">
      <formula>65</formula>
    </cfRule>
  </conditionalFormatting>
  <conditionalFormatting sqref="U1 AA2:AE2">
    <cfRule type="timePeriod" dxfId="1436" priority="398" timePeriod="nextWeek">
      <formula>AND(ROUNDDOWN(U1,0)-TODAY()&gt;(7-WEEKDAY(TODAY())),ROUNDDOWN(U1,0)-TODAY()&lt;(15-WEEKDAY(TODAY())))</formula>
    </cfRule>
    <cfRule type="timePeriod" priority="399" timePeriod="nextWeek">
      <formula>AND(ROUNDDOWN(U1,0)-TODAY()&gt;(7-WEEKDAY(TODAY())),ROUNDDOWN(U1,0)-TODAY()&lt;(15-WEEKDAY(TODAY())))</formula>
    </cfRule>
    <cfRule type="timePeriod" dxfId="1435" priority="400" timePeriod="lastMonth">
      <formula>AND(MONTH(U1)=MONTH(EDATE(TODAY(),0-1)),YEAR(U1)=YEAR(EDATE(TODAY(),0-1)))</formula>
    </cfRule>
    <cfRule type="timePeriod" dxfId="1434" priority="401" timePeriod="last7Days">
      <formula>AND(TODAY()-FLOOR(U1,1)&lt;=6,FLOOR(U1,1)&lt;=TODAY())</formula>
    </cfRule>
    <cfRule type="timePeriod" dxfId="1433" priority="402" timePeriod="thisWeek">
      <formula>AND(TODAY()-ROUNDDOWN(U1,0)&lt;=WEEKDAY(TODAY())-1,ROUNDDOWN(U1,0)-TODAY()&lt;=7-WEEKDAY(TODAY()))</formula>
    </cfRule>
  </conditionalFormatting>
  <conditionalFormatting sqref="V4:V6">
    <cfRule type="cellIs" dxfId="1432" priority="354" operator="lessThan">
      <formula>15</formula>
    </cfRule>
  </conditionalFormatting>
  <conditionalFormatting sqref="V6">
    <cfRule type="timePeriod" dxfId="1431" priority="358" timePeriod="lastMonth">
      <formula>AND(MONTH(V6)=MONTH(EDATE(TODAY(),0-1)),YEAR(V6)=YEAR(EDATE(TODAY(),0-1)))</formula>
    </cfRule>
  </conditionalFormatting>
  <conditionalFormatting sqref="V4:Y6 X7:X8">
    <cfRule type="timePeriod" dxfId="1430" priority="356" timePeriod="thisWeek">
      <formula>AND(TODAY()-ROUNDDOWN(V4,0)&lt;=WEEKDAY(TODAY())-1,ROUNDDOWN(V4,0)-TODAY()&lt;=7-WEEKDAY(TODAY()))</formula>
    </cfRule>
  </conditionalFormatting>
  <conditionalFormatting sqref="W3">
    <cfRule type="timePeriod" dxfId="1429" priority="29" timePeriod="nextWeek">
      <formula>AND(ROUNDDOWN(W3,0)-TODAY()&gt;(7-WEEKDAY(TODAY())),ROUNDDOWN(W3,0)-TODAY()&lt;(15-WEEKDAY(TODAY())))</formula>
    </cfRule>
    <cfRule type="timePeriod" dxfId="1428" priority="30" timePeriod="last7Days">
      <formula>AND(TODAY()-FLOOR(W3,1)&lt;=6,FLOOR(W3,1)&lt;=TODAY())</formula>
    </cfRule>
    <cfRule type="timePeriod" dxfId="1427" priority="31" timePeriod="thisWeek">
      <formula>AND(TODAY()-ROUNDDOWN(W3,0)&lt;=WEEKDAY(TODAY())-1,ROUNDDOWN(W3,0)-TODAY()&lt;=7-WEEKDAY(TODAY()))</formula>
    </cfRule>
  </conditionalFormatting>
  <conditionalFormatting sqref="W7">
    <cfRule type="timePeriod" dxfId="1426" priority="82" timePeriod="nextWeek">
      <formula>AND(ROUNDDOWN(W7,0)-TODAY()&gt;(7-WEEKDAY(TODAY())),ROUNDDOWN(W7,0)-TODAY()&lt;(15-WEEKDAY(TODAY())))</formula>
    </cfRule>
    <cfRule type="timePeriod" dxfId="1425" priority="83" timePeriod="last7Days">
      <formula>AND(TODAY()-FLOOR(W7,1)&lt;=6,FLOOR(W7,1)&lt;=TODAY())</formula>
    </cfRule>
    <cfRule type="timePeriod" dxfId="1424" priority="84" timePeriod="thisWeek">
      <formula>AND(TODAY()-ROUNDDOWN(W7,0)&lt;=WEEKDAY(TODAY())-1,ROUNDDOWN(W7,0)-TODAY()&lt;=7-WEEKDAY(TODAY()))</formula>
    </cfRule>
  </conditionalFormatting>
  <conditionalFormatting sqref="W9">
    <cfRule type="timePeriod" dxfId="1423" priority="8" timePeriod="nextWeek">
      <formula>AND(ROUNDDOWN(W9,0)-TODAY()&gt;(7-WEEKDAY(TODAY())),ROUNDDOWN(W9,0)-TODAY()&lt;(15-WEEKDAY(TODAY())))</formula>
    </cfRule>
    <cfRule type="timePeriod" dxfId="1422" priority="9" timePeriod="last7Days">
      <formula>AND(TODAY()-FLOOR(W9,1)&lt;=6,FLOOR(W9,1)&lt;=TODAY())</formula>
    </cfRule>
    <cfRule type="timePeriod" dxfId="1421" priority="10" timePeriod="thisWeek">
      <formula>AND(TODAY()-ROUNDDOWN(W9,0)&lt;=WEEKDAY(TODAY())-1,ROUNDDOWN(W9,0)-TODAY()&lt;=7-WEEKDAY(TODAY()))</formula>
    </cfRule>
  </conditionalFormatting>
  <conditionalFormatting sqref="W4:Y8 AB4:AE8">
    <cfRule type="cellIs" dxfId="1420" priority="385" operator="lessThan">
      <formula>15</formula>
    </cfRule>
  </conditionalFormatting>
  <conditionalFormatting sqref="W9:Y9">
    <cfRule type="cellIs" dxfId="1419" priority="11" operator="lessThan">
      <formula>15</formula>
    </cfRule>
  </conditionalFormatting>
  <conditionalFormatting sqref="X7:X8 B7:E7 W2:X2 G4:H4 AA4 L4:T5 W4:Y5 AF4:XFD5 V4:X6 L6:U6 X6:Y6">
    <cfRule type="timePeriod" dxfId="1418" priority="201" timePeriod="last7Days">
      <formula>AND(TODAY()-FLOOR(B2,1)&lt;=6,FLOOR(B2,1)&lt;=TODAY())</formula>
    </cfRule>
  </conditionalFormatting>
  <conditionalFormatting sqref="X7:X8 Y4 AA4:AD4 V4:X5 Y5:AD5 W6:AD6 L4:T5 G4:H4 AF4:XFD5 AH2:XFD2 A10:J1048576">
    <cfRule type="timePeriod" dxfId="1417" priority="435" timePeriod="nextWeek">
      <formula>AND(ROUNDDOWN(A2,0)-TODAY()&gt;(7-WEEKDAY(TODAY())),ROUNDDOWN(A2,0)-TODAY()&lt;(15-WEEKDAY(TODAY())))</formula>
    </cfRule>
  </conditionalFormatting>
  <conditionalFormatting sqref="Y1">
    <cfRule type="timePeriod" dxfId="1416" priority="380" timePeriod="nextWeek">
      <formula>AND(ROUNDDOWN(Y1,0)-TODAY()&gt;(7-WEEKDAY(TODAY())),ROUNDDOWN(Y1,0)-TODAY()&lt;(15-WEEKDAY(TODAY())))</formula>
    </cfRule>
    <cfRule type="timePeriod" priority="381" timePeriod="nextWeek">
      <formula>AND(ROUNDDOWN(Y1,0)-TODAY()&gt;(7-WEEKDAY(TODAY())),ROUNDDOWN(Y1,0)-TODAY()&lt;(15-WEEKDAY(TODAY())))</formula>
    </cfRule>
    <cfRule type="timePeriod" dxfId="1415" priority="382" timePeriod="lastMonth">
      <formula>AND(MONTH(Y1)=MONTH(EDATE(TODAY(),0-1)),YEAR(Y1)=YEAR(EDATE(TODAY(),0-1)))</formula>
    </cfRule>
    <cfRule type="timePeriod" dxfId="1414" priority="383" timePeriod="last7Days">
      <formula>AND(TODAY()-FLOOR(Y1,1)&lt;=6,FLOOR(Y1,1)&lt;=TODAY())</formula>
    </cfRule>
    <cfRule type="timePeriod" dxfId="1413" priority="384" timePeriod="thisWeek">
      <formula>AND(TODAY()-ROUNDDOWN(Y1,0)&lt;=WEEKDAY(TODAY())-1,ROUNDDOWN(Y1,0)-TODAY()&lt;=7-WEEKDAY(TODAY()))</formula>
    </cfRule>
  </conditionalFormatting>
  <conditionalFormatting sqref="Z4">
    <cfRule type="timePeriod" dxfId="1412" priority="212" timePeriod="nextWeek">
      <formula>AND(ROUNDDOWN(Z4,0)-TODAY()&gt;(7-WEEKDAY(TODAY())),ROUNDDOWN(Z4,0)-TODAY()&lt;(15-WEEKDAY(TODAY())))</formula>
    </cfRule>
    <cfRule type="timePeriod" dxfId="1411" priority="214" timePeriod="lastMonth">
      <formula>AND(MONTH(Z4)=MONTH(EDATE(TODAY(),0-1)),YEAR(Z4)=YEAR(EDATE(TODAY(),0-1)))</formula>
    </cfRule>
    <cfRule type="timePeriod" dxfId="1410" priority="215" timePeriod="last7Days">
      <formula>AND(TODAY()-FLOOR(Z4,1)&lt;=6,FLOOR(Z4,1)&lt;=TODAY())</formula>
    </cfRule>
  </conditionalFormatting>
  <conditionalFormatting sqref="Z4:AA4">
    <cfRule type="timePeriod" dxfId="1409" priority="216" timePeriod="thisWeek">
      <formula>AND(TODAY()-ROUNDDOWN(Z4,0)&lt;=WEEKDAY(TODAY())-1,ROUNDDOWN(Z4,0)-TODAY()&lt;=7-WEEKDAY(TODAY()))</formula>
    </cfRule>
  </conditionalFormatting>
  <conditionalFormatting sqref="Z7:AF7 AA7:AF8 AH7:XFD8">
    <cfRule type="timePeriod" dxfId="1408" priority="56" timePeriod="last7Days">
      <formula>AND(TODAY()-FLOOR(Z7,1)&lt;=6,FLOOR(Z7,1)&lt;=TODAY())</formula>
    </cfRule>
  </conditionalFormatting>
  <conditionalFormatting sqref="Z7:AF7">
    <cfRule type="timePeriod" priority="53" timePeriod="nextWeek">
      <formula>AND(ROUNDDOWN(Z7,0)-TODAY()&gt;(7-WEEKDAY(TODAY())),ROUNDDOWN(Z7,0)-TODAY()&lt;(15-WEEKDAY(TODAY())))</formula>
    </cfRule>
  </conditionalFormatting>
  <conditionalFormatting sqref="Z3:XFD3">
    <cfRule type="timePeriod" dxfId="1407" priority="23" timePeriod="lastMonth">
      <formula>AND(MONTH(Z3)=MONTH(EDATE(TODAY(),0-1)),YEAR(Z3)=YEAR(EDATE(TODAY(),0-1)))</formula>
    </cfRule>
    <cfRule type="timePeriod" priority="24" timePeriod="nextWeek">
      <formula>AND(ROUNDDOWN(Z3,0)-TODAY()&gt;(7-WEEKDAY(TODAY())),ROUNDDOWN(Z3,0)-TODAY()&lt;(15-WEEKDAY(TODAY())))</formula>
    </cfRule>
    <cfRule type="timePeriod" dxfId="1406" priority="25" timePeriod="last7Days">
      <formula>AND(TODAY()-FLOOR(Z3,1)&lt;=6,FLOOR(Z3,1)&lt;=TODAY())</formula>
    </cfRule>
    <cfRule type="timePeriod" dxfId="1405" priority="34" timePeriod="thisWeek">
      <formula>AND(TODAY()-ROUNDDOWN(Z3,0)&lt;=WEEKDAY(TODAY())-1,ROUNDDOWN(Z3,0)-TODAY()&lt;=7-WEEKDAY(TODAY()))</formula>
    </cfRule>
  </conditionalFormatting>
  <conditionalFormatting sqref="Z9:XFD9 A9:F9">
    <cfRule type="timePeriod" dxfId="1404" priority="17" timePeriod="nextWeek">
      <formula>AND(ROUNDDOWN(A9,0)-TODAY()&gt;(7-WEEKDAY(TODAY())),ROUNDDOWN(A9,0)-TODAY()&lt;(15-WEEKDAY(TODAY())))</formula>
    </cfRule>
  </conditionalFormatting>
  <conditionalFormatting sqref="AB3 W3:X3">
    <cfRule type="cellIs" dxfId="1403" priority="35" operator="lessThan">
      <formula>15</formula>
    </cfRule>
  </conditionalFormatting>
  <conditionalFormatting sqref="AB9">
    <cfRule type="cellIs" dxfId="1402" priority="14" operator="lessThan">
      <formula>15</formula>
    </cfRule>
  </conditionalFormatting>
  <conditionalFormatting sqref="AB4:AE6">
    <cfRule type="timePeriod" dxfId="1401" priority="176" timePeriod="last7Days">
      <formula>AND(TODAY()-FLOOR(AB4,1)&lt;=6,FLOOR(AB4,1)&lt;=TODAY())</formula>
    </cfRule>
    <cfRule type="timePeriod" dxfId="1400" priority="177" timePeriod="thisWeek">
      <formula>AND(TODAY()-ROUNDDOWN(AB4,0)&lt;=WEEKDAY(TODAY())-1,ROUNDDOWN(AB4,0)-TODAY()&lt;=7-WEEKDAY(TODAY()))</formula>
    </cfRule>
  </conditionalFormatting>
  <conditionalFormatting sqref="AE4:AE6 L7:AF8 AH7:XFD8">
    <cfRule type="timePeriod" priority="39" timePeriod="nextWeek">
      <formula>AND(ROUNDDOWN(L4,0)-TODAY()&gt;(7-WEEKDAY(TODAY())),ROUNDDOWN(L4,0)-TODAY()&lt;(15-WEEKDAY(TODAY())))</formula>
    </cfRule>
    <cfRule type="timePeriod" dxfId="1399" priority="41" timePeriod="nextWeek">
      <formula>AND(ROUNDDOWN(L4,0)-TODAY()&gt;(7-WEEKDAY(TODAY())),ROUNDDOWN(L4,0)-TODAY()&lt;(15-WEEKDAY(TODAY())))</formula>
    </cfRule>
  </conditionalFormatting>
  <conditionalFormatting sqref="AE4:AE6 X7:X8 G4:H4 Y4 AA4:AD4 L4:T5 V4:V5 AF4:XFD5 W4:X6 L6:U6">
    <cfRule type="timePeriod" dxfId="1398" priority="85" timePeriod="lastMonth">
      <formula>AND(MONTH(G4)=MONTH(EDATE(TODAY(),0-1)),YEAR(G4)=YEAR(EDATE(TODAY(),0-1)))</formula>
    </cfRule>
  </conditionalFormatting>
  <conditionalFormatting sqref="AF6">
    <cfRule type="timePeriod" priority="409" timePeriod="nextWeek">
      <formula>AND(ROUNDDOWN(AF6,0)-TODAY()&gt;(7-WEEKDAY(TODAY())),ROUNDDOWN(AF6,0)-TODAY()&lt;(15-WEEKDAY(TODAY())))</formula>
    </cfRule>
    <cfRule type="timePeriod" dxfId="1397" priority="416" timePeriod="nextWeek">
      <formula>AND(ROUNDDOWN(AF6,0)-TODAY()&gt;(7-WEEKDAY(TODAY())),ROUNDDOWN(AF6,0)-TODAY()&lt;(15-WEEKDAY(TODAY())))</formula>
    </cfRule>
    <cfRule type="timePeriod" dxfId="1396" priority="417" timePeriod="lastMonth">
      <formula>AND(MONTH(AF6)=MONTH(EDATE(TODAY(),0-1)),YEAR(AF6)=YEAR(EDATE(TODAY(),0-1)))</formula>
    </cfRule>
    <cfRule type="timePeriod" dxfId="1395" priority="418" timePeriod="last7Days">
      <formula>AND(TODAY()-FLOOR(AF6,1)&lt;=6,FLOOR(AF6,1)&lt;=TODAY())</formula>
    </cfRule>
    <cfRule type="timePeriod" dxfId="1394" priority="419" timePeriod="thisWeek">
      <formula>AND(TODAY()-ROUNDDOWN(AF6,0)&lt;=WEEKDAY(TODAY())-1,ROUNDDOWN(AF6,0)-TODAY()&lt;=7-WEEKDAY(TODAY()))</formula>
    </cfRule>
  </conditionalFormatting>
  <conditionalFormatting sqref="AF1:AG1">
    <cfRule type="timePeriod" dxfId="1393" priority="370" timePeriod="nextWeek">
      <formula>AND(ROUNDDOWN(AF1,0)-TODAY()&gt;(7-WEEKDAY(TODAY())),ROUNDDOWN(AF1,0)-TODAY()&lt;(15-WEEKDAY(TODAY())))</formula>
    </cfRule>
    <cfRule type="timePeriod" priority="371" timePeriod="nextWeek">
      <formula>AND(ROUNDDOWN(AF1,0)-TODAY()&gt;(7-WEEKDAY(TODAY())),ROUNDDOWN(AF1,0)-TODAY()&lt;(15-WEEKDAY(TODAY())))</formula>
    </cfRule>
    <cfRule type="timePeriod" dxfId="1392" priority="372" timePeriod="lastMonth">
      <formula>AND(MONTH(AF1)=MONTH(EDATE(TODAY(),0-1)),YEAR(AF1)=YEAR(EDATE(TODAY(),0-1)))</formula>
    </cfRule>
    <cfRule type="timePeriod" dxfId="1391" priority="373" timePeriod="last7Days">
      <formula>AND(TODAY()-FLOOR(AF1,1)&lt;=6,FLOOR(AF1,1)&lt;=TODAY())</formula>
    </cfRule>
    <cfRule type="timePeriod" dxfId="1390" priority="374" timePeriod="thisWeek">
      <formula>AND(TODAY()-ROUNDDOWN(AF1,0)&lt;=WEEKDAY(TODAY())-1,ROUNDDOWN(AF1,0)-TODAY()&lt;=7-WEEKDAY(TODAY()))</formula>
    </cfRule>
  </conditionalFormatting>
  <conditionalFormatting sqref="AH2:XFD2 A10:J1048576">
    <cfRule type="timePeriod" priority="436" timePeriod="nextWeek">
      <formula>AND(ROUNDDOWN(A2,0)-TODAY()&gt;(7-WEEKDAY(TODAY())),ROUNDDOWN(A2,0)-TODAY()&lt;(15-WEEKDAY(TODAY())))</formula>
    </cfRule>
  </conditionalFormatting>
  <conditionalFormatting sqref="AH2:XFD2 Y5:AD6 G10:J1048576">
    <cfRule type="timePeriod" dxfId="1389" priority="437" timePeriod="lastMonth">
      <formula>AND(MONTH(G2)=MONTH(EDATE(TODAY(),0-1)),YEAR(G2)=YEAR(EDATE(TODAY(),0-1)))</formula>
    </cfRule>
  </conditionalFormatting>
  <conditionalFormatting sqref="AH2:XFD2 Z5:AA6 A10:J1048576">
    <cfRule type="timePeriod" dxfId="1388" priority="438" timePeriod="last7Days">
      <formula>AND(TODAY()-FLOOR(A2,1)&lt;=6,FLOOR(A2,1)&lt;=TODAY())</formula>
    </cfRule>
    <cfRule type="timePeriod" dxfId="1387" priority="439" timePeriod="thisWeek">
      <formula>AND(TODAY()-ROUNDDOWN(A2,0)&lt;=WEEKDAY(TODAY())-1,ROUNDDOWN(A2,0)-TODAY()&lt;=7-WEEKDAY(TODAY()))</formula>
    </cfRule>
  </conditionalFormatting>
  <pageMargins left="0.25" right="0.25" top="0.75" bottom="0.75" header="0.3" footer="0.3"/>
  <pageSetup paperSize="9" scale="1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F6F7-F04B-4835-83BC-3194A5C86068}">
  <sheetPr codeName="Sheet3" filterMode="1">
    <tabColor rgb="FF00FF00"/>
    <pageSetUpPr fitToPage="1"/>
  </sheetPr>
  <dimension ref="A1:AK20"/>
  <sheetViews>
    <sheetView zoomScale="85" zoomScaleNormal="85" workbookViewId="0">
      <pane xSplit="7" ySplit="2" topLeftCell="W3" activePane="bottomRight" state="frozen"/>
      <selection pane="topRight" activeCell="G1" sqref="G1"/>
      <selection pane="bottomLeft" activeCell="A3" sqref="A3"/>
      <selection pane="bottomRight" activeCell="Z15" sqref="Z15"/>
    </sheetView>
  </sheetViews>
  <sheetFormatPr defaultRowHeight="32.25" customHeight="1" x14ac:dyDescent="0.25"/>
  <cols>
    <col min="1" max="1" width="6.140625" style="8" customWidth="1"/>
    <col min="2" max="2" width="11.140625" style="8" customWidth="1"/>
    <col min="3" max="3" width="17.42578125" style="190" customWidth="1"/>
    <col min="4" max="4" width="12.28515625" style="190" customWidth="1"/>
    <col min="5" max="5" width="27" style="190" customWidth="1"/>
    <col min="6" max="6" width="22" style="190" customWidth="1"/>
    <col min="7" max="7" width="50.140625" style="32" customWidth="1"/>
    <col min="8" max="8" width="27.140625" style="191" customWidth="1"/>
    <col min="9" max="9" width="18.28515625" style="8" customWidth="1"/>
    <col min="10" max="10" width="16.5703125" style="30" customWidth="1"/>
    <col min="11" max="11" width="13.85546875" style="23" customWidth="1"/>
    <col min="12" max="12" width="17.7109375" style="3" customWidth="1"/>
    <col min="13" max="13" width="19.42578125" style="8" customWidth="1"/>
    <col min="14" max="15" width="15.42578125" style="3" customWidth="1"/>
    <col min="16" max="16" width="16" style="3" customWidth="1"/>
    <col min="17" max="17" width="16.140625" style="3" customWidth="1"/>
    <col min="18" max="18" width="9.5703125" style="192" customWidth="1"/>
    <col min="19" max="19" width="19" style="30" customWidth="1"/>
    <col min="20" max="21" width="16.140625" style="3" customWidth="1"/>
    <col min="22" max="22" width="12.42578125" style="3" customWidth="1"/>
    <col min="23" max="23" width="16.140625" style="3" customWidth="1"/>
    <col min="24" max="24" width="10.140625" style="3" customWidth="1"/>
    <col min="25" max="25" width="25.140625" style="8" customWidth="1"/>
    <col min="26" max="26" width="23.5703125" style="191" customWidth="1"/>
    <col min="27" max="27" width="19" style="3" customWidth="1"/>
    <col min="28" max="28" width="9.5703125" style="3" customWidth="1"/>
    <col min="29" max="29" width="16.85546875" style="3" customWidth="1"/>
    <col min="30" max="30" width="14" style="219" customWidth="1"/>
    <col min="31" max="31" width="16.5703125" style="3" customWidth="1"/>
    <col min="32" max="32" width="16.5703125" style="217" customWidth="1"/>
    <col min="33" max="33" width="14" style="219" customWidth="1"/>
    <col min="34" max="34" width="16.5703125" style="3" customWidth="1"/>
    <col min="35" max="35" width="16.5703125" style="217" customWidth="1"/>
    <col min="36" max="36" width="20.140625" style="8" customWidth="1"/>
    <col min="37" max="37" width="15" style="8" customWidth="1"/>
    <col min="38" max="38" width="29.85546875" style="3" customWidth="1"/>
    <col min="39" max="39" width="14.85546875" style="3" customWidth="1"/>
    <col min="40" max="16384" width="9.140625" style="3"/>
  </cols>
  <sheetData>
    <row r="1" spans="1:37" ht="21" customHeight="1" thickTop="1" thickBot="1" x14ac:dyDescent="0.3">
      <c r="A1" s="20">
        <f ca="1">NOW()</f>
        <v>46316.953917129627</v>
      </c>
      <c r="B1" s="19" t="s">
        <v>149</v>
      </c>
      <c r="C1" s="135">
        <f ca="1">NOW()</f>
        <v>46316.953917129627</v>
      </c>
      <c r="D1" s="135"/>
      <c r="E1" s="135"/>
      <c r="F1" s="135"/>
      <c r="G1" s="209" t="s">
        <v>81</v>
      </c>
      <c r="H1" s="124" t="s">
        <v>508</v>
      </c>
      <c r="I1" s="19" t="s">
        <v>130</v>
      </c>
      <c r="J1" s="28" t="s">
        <v>196</v>
      </c>
      <c r="K1" s="26" t="s">
        <v>191</v>
      </c>
      <c r="L1" s="19" t="s">
        <v>79</v>
      </c>
      <c r="M1" s="47"/>
      <c r="N1" s="349" t="s">
        <v>151</v>
      </c>
      <c r="O1" s="350"/>
      <c r="P1" s="350"/>
      <c r="Q1" s="350"/>
      <c r="R1" s="351"/>
      <c r="S1" s="349" t="s">
        <v>217</v>
      </c>
      <c r="T1" s="351"/>
      <c r="U1" s="349" t="s">
        <v>214</v>
      </c>
      <c r="V1" s="352"/>
      <c r="W1" s="349" t="s">
        <v>897</v>
      </c>
      <c r="X1" s="351"/>
      <c r="Y1" s="349" t="s">
        <v>155</v>
      </c>
      <c r="Z1" s="350"/>
      <c r="AA1" s="350"/>
      <c r="AB1" s="351"/>
      <c r="AC1" s="215" t="s">
        <v>774</v>
      </c>
      <c r="AD1" s="353" t="s">
        <v>712</v>
      </c>
      <c r="AE1" s="350"/>
      <c r="AF1" s="354"/>
      <c r="AG1" s="355"/>
      <c r="AH1" s="350"/>
      <c r="AI1" s="356"/>
      <c r="AJ1" s="19" t="s">
        <v>157</v>
      </c>
      <c r="AK1" s="19" t="s">
        <v>135</v>
      </c>
    </row>
    <row r="2" spans="1:37" ht="32.25" customHeight="1" thickTop="1" thickBot="1" x14ac:dyDescent="0.3">
      <c r="A2" s="22"/>
      <c r="B2" s="21"/>
      <c r="C2" s="136" t="s">
        <v>648</v>
      </c>
      <c r="D2" s="136"/>
      <c r="E2" s="136" t="s">
        <v>649</v>
      </c>
      <c r="F2" s="320" t="s">
        <v>1514</v>
      </c>
      <c r="G2" s="210"/>
      <c r="H2" s="125"/>
      <c r="I2" s="21"/>
      <c r="J2" s="29"/>
      <c r="L2" s="21"/>
      <c r="M2" s="91"/>
      <c r="N2" s="251" t="s">
        <v>80</v>
      </c>
      <c r="O2" s="251" t="s">
        <v>80</v>
      </c>
      <c r="P2" s="251" t="s">
        <v>80</v>
      </c>
      <c r="Q2" s="251" t="s">
        <v>153</v>
      </c>
      <c r="R2" s="252" t="s">
        <v>150</v>
      </c>
      <c r="S2" s="253"/>
      <c r="T2" s="252"/>
      <c r="U2" s="13" t="s">
        <v>154</v>
      </c>
      <c r="V2" s="14" t="s">
        <v>150</v>
      </c>
      <c r="W2" s="13" t="s">
        <v>154</v>
      </c>
      <c r="X2" s="14" t="s">
        <v>150</v>
      </c>
      <c r="Y2" s="27" t="s">
        <v>216</v>
      </c>
      <c r="Z2" s="15" t="s">
        <v>152</v>
      </c>
      <c r="AA2" s="251" t="s">
        <v>156</v>
      </c>
      <c r="AB2" s="252" t="s">
        <v>150</v>
      </c>
      <c r="AC2" s="252"/>
      <c r="AD2" s="218">
        <v>2023</v>
      </c>
      <c r="AE2" s="254" t="s">
        <v>773</v>
      </c>
      <c r="AF2" s="255" t="s">
        <v>716</v>
      </c>
      <c r="AG2" s="220">
        <v>2024</v>
      </c>
      <c r="AH2" s="322" t="s">
        <v>773</v>
      </c>
      <c r="AI2" s="323" t="s">
        <v>716</v>
      </c>
      <c r="AJ2" s="91"/>
      <c r="AK2" s="21"/>
    </row>
    <row r="3" spans="1:37" ht="32.25" customHeight="1" thickTop="1" x14ac:dyDescent="0.25">
      <c r="A3" s="4">
        <v>1</v>
      </c>
      <c r="B3" s="64">
        <v>391</v>
      </c>
      <c r="C3" s="142">
        <v>44509</v>
      </c>
      <c r="D3" s="137">
        <f ca="1">$C$1-C3</f>
        <v>1807.9539171296274</v>
      </c>
      <c r="E3" s="137" t="str">
        <f t="shared" ref="E3:E9" ca="1" si="0">DATEDIF(0,D3,"y") &amp; "Years"&amp;DATEDIF(0,D3,"YM") &amp; "Months" &amp;DATEDIF(0,D3,"MD")&amp;"Days"</f>
        <v>4Years11Months11Days</v>
      </c>
      <c r="F3" s="142">
        <v>45731</v>
      </c>
      <c r="G3" s="277" t="s">
        <v>300</v>
      </c>
      <c r="H3" s="82" t="s">
        <v>517</v>
      </c>
      <c r="I3" s="64" t="s">
        <v>133</v>
      </c>
      <c r="J3" s="66">
        <v>29996</v>
      </c>
      <c r="K3" s="67"/>
      <c r="L3" s="64" t="s">
        <v>1175</v>
      </c>
      <c r="M3" s="64"/>
      <c r="N3" s="65"/>
      <c r="O3" s="64" t="s">
        <v>497</v>
      </c>
      <c r="P3" s="64" t="s">
        <v>316</v>
      </c>
      <c r="Q3" s="66">
        <v>48276</v>
      </c>
      <c r="R3" s="172">
        <f ca="1">Q3-$A$1</f>
        <v>1959.0460828703726</v>
      </c>
      <c r="S3" s="203">
        <v>46303</v>
      </c>
      <c r="T3" s="202">
        <f ca="1">S3-$A$1</f>
        <v>-13.953917129627371</v>
      </c>
      <c r="U3" s="165">
        <v>46302</v>
      </c>
      <c r="V3" s="149">
        <f t="shared" ref="V3:V9" ca="1" si="1">U3-$A$1</f>
        <v>-14.953917129627371</v>
      </c>
      <c r="W3" s="9">
        <v>46276</v>
      </c>
      <c r="X3" s="145">
        <f ca="1">W3-$A$1</f>
        <v>-40.953917129627371</v>
      </c>
      <c r="Y3" s="309" t="s">
        <v>1309</v>
      </c>
      <c r="Z3" s="147" t="s">
        <v>1293</v>
      </c>
      <c r="AA3" s="141">
        <v>46527</v>
      </c>
      <c r="AB3" s="149">
        <f ca="1">AA3-$A$1</f>
        <v>210.04608287037263</v>
      </c>
      <c r="AC3" s="221" t="s">
        <v>794</v>
      </c>
      <c r="AD3" s="216">
        <v>2000</v>
      </c>
      <c r="AE3" s="1" t="s">
        <v>793</v>
      </c>
      <c r="AF3" s="1">
        <v>45224</v>
      </c>
      <c r="AG3" s="321" t="s">
        <v>791</v>
      </c>
      <c r="AH3" s="66"/>
      <c r="AI3" s="66"/>
      <c r="AJ3" s="64" t="s">
        <v>145</v>
      </c>
      <c r="AK3" s="10" t="s">
        <v>82</v>
      </c>
    </row>
    <row r="4" spans="1:37" ht="32.25" hidden="1" customHeight="1" x14ac:dyDescent="0.25">
      <c r="A4" s="4">
        <v>2</v>
      </c>
      <c r="B4" s="64"/>
      <c r="C4" s="142">
        <v>45498</v>
      </c>
      <c r="D4" s="137">
        <f ca="1">$C$1-C4</f>
        <v>818.95391712962737</v>
      </c>
      <c r="E4" s="137" t="str">
        <f t="shared" ca="1" si="0"/>
        <v>2Years2Months28Days</v>
      </c>
      <c r="F4" s="142">
        <v>45632</v>
      </c>
      <c r="G4" s="277" t="s">
        <v>543</v>
      </c>
      <c r="H4" s="166" t="s">
        <v>576</v>
      </c>
      <c r="I4" s="64" t="s">
        <v>133</v>
      </c>
      <c r="J4" s="66">
        <v>36440</v>
      </c>
      <c r="K4" s="67"/>
      <c r="L4" s="64" t="s">
        <v>1231</v>
      </c>
      <c r="M4" s="64"/>
      <c r="N4" s="65"/>
      <c r="O4" s="65"/>
      <c r="P4" s="64" t="s">
        <v>545</v>
      </c>
      <c r="Q4" s="66">
        <v>47986</v>
      </c>
      <c r="R4" s="172">
        <f ca="1">Q4-$A$1</f>
        <v>1669.0460828703726</v>
      </c>
      <c r="S4" s="203">
        <v>46405</v>
      </c>
      <c r="T4" s="194">
        <f ca="1">S4-$A$1</f>
        <v>88.046082870372629</v>
      </c>
      <c r="U4" s="66">
        <v>46343</v>
      </c>
      <c r="V4" s="173">
        <f t="shared" ca="1" si="1"/>
        <v>26.046082870372629</v>
      </c>
      <c r="W4" s="9">
        <v>46510</v>
      </c>
      <c r="X4" s="145">
        <f ca="1">W4-$A$1</f>
        <v>193.04608287037263</v>
      </c>
      <c r="Y4" s="64" t="s">
        <v>1309</v>
      </c>
      <c r="Z4" s="147" t="s">
        <v>1503</v>
      </c>
      <c r="AA4" s="174">
        <v>46566</v>
      </c>
      <c r="AB4" s="149">
        <f ca="1">AA4-$A$1</f>
        <v>249.04608287037263</v>
      </c>
      <c r="AC4" s="221" t="s">
        <v>799</v>
      </c>
      <c r="AD4" s="216">
        <v>2000</v>
      </c>
      <c r="AE4" s="1" t="s">
        <v>798</v>
      </c>
      <c r="AF4" s="1">
        <v>45215</v>
      </c>
      <c r="AG4" s="321">
        <v>0</v>
      </c>
      <c r="AH4" s="66"/>
      <c r="AI4" s="66"/>
      <c r="AJ4" s="64" t="s">
        <v>692</v>
      </c>
      <c r="AK4" s="10" t="s">
        <v>82</v>
      </c>
    </row>
    <row r="5" spans="1:37" ht="32.25" customHeight="1" x14ac:dyDescent="0.25">
      <c r="A5" s="4">
        <v>3</v>
      </c>
      <c r="B5" s="64">
        <v>551</v>
      </c>
      <c r="C5" s="142">
        <v>44987</v>
      </c>
      <c r="D5" s="137" t="e">
        <f>'Expat(Madihaa)'!#REF!-C5</f>
        <v>#REF!</v>
      </c>
      <c r="E5" s="137" t="e">
        <f t="shared" si="0"/>
        <v>#REF!</v>
      </c>
      <c r="F5" s="142">
        <v>45632</v>
      </c>
      <c r="G5" s="82" t="s">
        <v>590</v>
      </c>
      <c r="H5" s="166" t="s">
        <v>1315</v>
      </c>
      <c r="I5" s="64" t="s">
        <v>133</v>
      </c>
      <c r="J5" s="66">
        <v>36526</v>
      </c>
      <c r="K5" s="67"/>
      <c r="L5" s="64" t="s">
        <v>1714</v>
      </c>
      <c r="M5" s="64"/>
      <c r="N5" s="65"/>
      <c r="O5" s="65"/>
      <c r="P5" s="64" t="s">
        <v>592</v>
      </c>
      <c r="Q5" s="66">
        <v>47944</v>
      </c>
      <c r="R5" s="172" t="e">
        <f>Q5-'Expat(Madihaa)'!#REF!</f>
        <v>#REF!</v>
      </c>
      <c r="S5" s="176">
        <v>46448</v>
      </c>
      <c r="T5" s="202" t="e">
        <f>S5-'Expat(Madihaa)'!#REF!</f>
        <v>#REF!</v>
      </c>
      <c r="U5" s="66">
        <v>46321</v>
      </c>
      <c r="V5" s="173">
        <f t="shared" ca="1" si="1"/>
        <v>4.0460828703726293</v>
      </c>
      <c r="W5" s="9">
        <v>46471</v>
      </c>
      <c r="X5" s="145" t="e">
        <f>W5-'Expat(Madihaa)'!#REF!</f>
        <v>#REF!</v>
      </c>
      <c r="Y5" s="68" t="s">
        <v>853</v>
      </c>
      <c r="Z5" s="147" t="s">
        <v>1825</v>
      </c>
      <c r="AA5" s="157">
        <v>46513</v>
      </c>
      <c r="AB5" s="149" t="e">
        <f>AA5-'Expat(Madihaa)'!#REF!</f>
        <v>#REF!</v>
      </c>
      <c r="AC5" s="221"/>
      <c r="AD5" s="216"/>
      <c r="AE5" s="1"/>
      <c r="AF5" s="1"/>
      <c r="AG5" s="321"/>
      <c r="AH5" s="66"/>
      <c r="AI5" s="66"/>
      <c r="AJ5" s="64" t="s">
        <v>145</v>
      </c>
      <c r="AK5" s="10" t="s">
        <v>82</v>
      </c>
    </row>
    <row r="6" spans="1:37" ht="32.25" customHeight="1" x14ac:dyDescent="0.25">
      <c r="A6" s="4">
        <v>4</v>
      </c>
      <c r="B6" s="286">
        <v>592</v>
      </c>
      <c r="C6" s="291"/>
      <c r="D6" s="292">
        <f ca="1">$C$1-C6</f>
        <v>46316.953917129627</v>
      </c>
      <c r="E6" s="291" t="str">
        <f t="shared" ca="1" si="0"/>
        <v>126Years9Months21Days</v>
      </c>
      <c r="F6" s="142">
        <v>45632</v>
      </c>
      <c r="G6" s="290" t="s">
        <v>1115</v>
      </c>
      <c r="H6" s="293" t="s">
        <v>1116</v>
      </c>
      <c r="I6" s="286" t="s">
        <v>131</v>
      </c>
      <c r="J6" s="288" t="s">
        <v>1117</v>
      </c>
      <c r="K6" s="294"/>
      <c r="L6" s="295" t="s">
        <v>1118</v>
      </c>
      <c r="M6" s="286"/>
      <c r="N6" s="296"/>
      <c r="O6" s="296"/>
      <c r="P6" s="286" t="s">
        <v>1119</v>
      </c>
      <c r="Q6" s="288">
        <v>48959</v>
      </c>
      <c r="R6" s="297">
        <f ca="1">Q6-$A$1</f>
        <v>2642.0460828703726</v>
      </c>
      <c r="S6" s="288">
        <v>46297</v>
      </c>
      <c r="T6" s="298">
        <f ca="1">S6-$A$1</f>
        <v>-19.953917129627371</v>
      </c>
      <c r="U6" s="288"/>
      <c r="V6" s="173">
        <f t="shared" ca="1" si="1"/>
        <v>-46316.953917129627</v>
      </c>
      <c r="W6" s="299"/>
      <c r="X6" s="300">
        <f ca="1">W6-$A$1</f>
        <v>-46316.953917129627</v>
      </c>
      <c r="Y6" s="301" t="s">
        <v>853</v>
      </c>
      <c r="Z6" s="302" t="s">
        <v>1504</v>
      </c>
      <c r="AA6" s="303">
        <v>46325</v>
      </c>
      <c r="AB6" s="304">
        <f ca="1">AA6-$A$1</f>
        <v>8.0460828703726293</v>
      </c>
      <c r="AC6" s="296"/>
      <c r="AD6" s="305"/>
      <c r="AE6" s="296"/>
      <c r="AF6" s="306"/>
      <c r="AG6" s="305"/>
      <c r="AH6" s="296"/>
      <c r="AI6" s="306"/>
      <c r="AJ6" s="286" t="s">
        <v>145</v>
      </c>
      <c r="AK6" s="286"/>
    </row>
    <row r="7" spans="1:37" ht="32.25" customHeight="1" x14ac:dyDescent="0.25">
      <c r="A7" s="4">
        <v>5</v>
      </c>
      <c r="B7" s="179">
        <v>695</v>
      </c>
      <c r="C7" s="270">
        <v>45822</v>
      </c>
      <c r="D7" s="271">
        <f ca="1">$C$1-C7</f>
        <v>494.95391712962737</v>
      </c>
      <c r="E7" s="270" t="str">
        <f t="shared" ca="1" si="0"/>
        <v>1Years4Months8Days</v>
      </c>
      <c r="F7" s="142">
        <v>45821</v>
      </c>
      <c r="G7" s="262" t="s">
        <v>1314</v>
      </c>
      <c r="H7" s="180" t="s">
        <v>1315</v>
      </c>
      <c r="I7" s="179" t="s">
        <v>131</v>
      </c>
      <c r="J7" s="181">
        <v>35195</v>
      </c>
      <c r="K7" s="182"/>
      <c r="L7" s="272" t="s">
        <v>1316</v>
      </c>
      <c r="M7" s="179"/>
      <c r="N7" s="183"/>
      <c r="O7" s="183"/>
      <c r="P7" s="179" t="s">
        <v>1317</v>
      </c>
      <c r="Q7" s="181">
        <v>48876</v>
      </c>
      <c r="R7" s="184">
        <f ca="1">Q7-$A$1</f>
        <v>2559.0460828703726</v>
      </c>
      <c r="S7" s="181">
        <v>46551</v>
      </c>
      <c r="T7" s="197">
        <f ca="1">S7-$A$1</f>
        <v>234.04608287037263</v>
      </c>
      <c r="U7" s="181">
        <v>46185</v>
      </c>
      <c r="V7" s="173">
        <f t="shared" ca="1" si="1"/>
        <v>-131.95391712962737</v>
      </c>
      <c r="W7" s="9">
        <v>46186</v>
      </c>
      <c r="X7" s="145">
        <f ca="1">W7-$A$1</f>
        <v>-130.95391712962737</v>
      </c>
      <c r="Y7" s="309" t="s">
        <v>1309</v>
      </c>
      <c r="Z7" s="189" t="s">
        <v>1327</v>
      </c>
      <c r="AA7" s="174">
        <v>46566</v>
      </c>
      <c r="AB7" s="185">
        <f ca="1">AA7-$A$1</f>
        <v>249.04608287037263</v>
      </c>
      <c r="AC7" s="183"/>
      <c r="AD7" s="274"/>
      <c r="AE7" s="183"/>
      <c r="AF7" s="275"/>
      <c r="AG7" s="274"/>
      <c r="AH7" s="183"/>
      <c r="AI7" s="275"/>
      <c r="AJ7" s="179" t="s">
        <v>145</v>
      </c>
      <c r="AK7" s="179"/>
    </row>
    <row r="8" spans="1:37" ht="32.25" customHeight="1" x14ac:dyDescent="0.25">
      <c r="A8" s="4">
        <v>6</v>
      </c>
      <c r="B8" s="179">
        <v>617</v>
      </c>
      <c r="C8" s="270">
        <v>45461</v>
      </c>
      <c r="D8" s="271" t="e">
        <f>'Expat(Madihaa)'!#REF!-C8</f>
        <v>#REF!</v>
      </c>
      <c r="E8" s="270" t="e">
        <f t="shared" si="0"/>
        <v>#REF!</v>
      </c>
      <c r="F8" s="142">
        <v>45632</v>
      </c>
      <c r="G8" s="262" t="s">
        <v>1013</v>
      </c>
      <c r="H8" s="180" t="s">
        <v>1016</v>
      </c>
      <c r="I8" s="179" t="s">
        <v>1014</v>
      </c>
      <c r="J8" s="181">
        <v>38317</v>
      </c>
      <c r="K8" s="182"/>
      <c r="L8" s="272" t="s">
        <v>1758</v>
      </c>
      <c r="M8" s="179"/>
      <c r="N8" s="183"/>
      <c r="O8" s="183"/>
      <c r="P8" s="179" t="s">
        <v>1015</v>
      </c>
      <c r="Q8" s="181">
        <v>48673</v>
      </c>
      <c r="R8" s="184" t="e">
        <f>Q8-'Expat(Madihaa)'!#REF!</f>
        <v>#REF!</v>
      </c>
      <c r="S8" s="203">
        <v>46189</v>
      </c>
      <c r="T8" s="197" t="e">
        <f>S8-'Expat(Madihaa)'!#REF!</f>
        <v>#REF!</v>
      </c>
      <c r="U8" s="181">
        <v>46361</v>
      </c>
      <c r="V8" s="173">
        <f t="shared" ca="1" si="1"/>
        <v>44.046082870372629</v>
      </c>
      <c r="W8" s="9">
        <v>46565</v>
      </c>
      <c r="X8" s="145" t="e">
        <f>W8-'Expat(Madihaa)'!#REF!</f>
        <v>#REF!</v>
      </c>
      <c r="Y8" s="148" t="s">
        <v>853</v>
      </c>
      <c r="Z8" s="147" t="s">
        <v>1287</v>
      </c>
      <c r="AA8" s="1">
        <v>46567</v>
      </c>
      <c r="AB8" s="185" t="e">
        <f>AA8-'Expat(Madihaa)'!#REF!</f>
        <v>#REF!</v>
      </c>
      <c r="AC8" s="183"/>
      <c r="AD8" s="274"/>
      <c r="AE8" s="183"/>
      <c r="AF8" s="275"/>
      <c r="AG8" s="274"/>
      <c r="AH8" s="183"/>
      <c r="AI8" s="275"/>
      <c r="AJ8" s="179" t="s">
        <v>145</v>
      </c>
      <c r="AK8" s="179"/>
    </row>
    <row r="9" spans="1:37" ht="32.25" customHeight="1" x14ac:dyDescent="0.25">
      <c r="A9" s="4">
        <v>7</v>
      </c>
      <c r="B9" s="179">
        <v>735</v>
      </c>
      <c r="C9" s="270">
        <v>46005</v>
      </c>
      <c r="D9" s="271" t="e">
        <f>'Expat(Madihaa)'!#REF!-C9</f>
        <v>#REF!</v>
      </c>
      <c r="E9" s="270" t="e">
        <f t="shared" si="0"/>
        <v>#REF!</v>
      </c>
      <c r="F9" s="142">
        <v>46004</v>
      </c>
      <c r="G9" s="262" t="s">
        <v>1582</v>
      </c>
      <c r="H9" s="180" t="s">
        <v>928</v>
      </c>
      <c r="I9" s="179" t="s">
        <v>131</v>
      </c>
      <c r="J9" s="181">
        <v>35952</v>
      </c>
      <c r="K9" s="182"/>
      <c r="L9" s="272" t="s">
        <v>1583</v>
      </c>
      <c r="M9" s="179"/>
      <c r="N9" s="183"/>
      <c r="O9" s="183"/>
      <c r="P9" s="179" t="s">
        <v>1584</v>
      </c>
      <c r="Q9" s="181">
        <v>48980</v>
      </c>
      <c r="R9" s="184" t="e">
        <f>Q9-'Expat(Madihaa)'!#REF!</f>
        <v>#REF!</v>
      </c>
      <c r="S9" s="325"/>
      <c r="T9" s="197"/>
      <c r="U9" s="181">
        <v>46186</v>
      </c>
      <c r="V9" s="173">
        <f t="shared" ca="1" si="1"/>
        <v>-130.95391712962737</v>
      </c>
      <c r="W9" s="9">
        <v>46370</v>
      </c>
      <c r="X9" s="145" t="e">
        <f>W9-'Expat(Madihaa)'!#REF!</f>
        <v>#REF!</v>
      </c>
      <c r="Z9" s="341" t="s">
        <v>1749</v>
      </c>
      <c r="AA9" s="342">
        <v>46392</v>
      </c>
      <c r="AB9" s="185" t="e">
        <f>AA9-'Expat(Madihaa)'!#REF!</f>
        <v>#REF!</v>
      </c>
      <c r="AC9" s="183"/>
      <c r="AD9" s="274"/>
      <c r="AE9" s="183"/>
      <c r="AF9" s="275"/>
      <c r="AG9" s="274"/>
      <c r="AH9" s="183"/>
      <c r="AI9" s="275"/>
      <c r="AJ9" s="179"/>
      <c r="AK9" s="179"/>
    </row>
    <row r="12" spans="1:37" ht="32.25" customHeight="1" x14ac:dyDescent="0.25">
      <c r="E12" s="190" t="s">
        <v>188</v>
      </c>
      <c r="G12" s="32" t="s">
        <v>188</v>
      </c>
    </row>
    <row r="20" ht="62.25" customHeight="1" x14ac:dyDescent="0.25"/>
  </sheetData>
  <autoFilter ref="A2:AK9" xr:uid="{00000000-0009-0000-0000-000000000000}">
    <filterColumn colId="21">
      <filters>
        <filter val="-105"/>
        <filter val="-106"/>
        <filter val="11"/>
        <filter val="-133"/>
        <filter val="30"/>
        <filter val="-46291"/>
      </filters>
    </filterColumn>
    <sortState xmlns:xlrd2="http://schemas.microsoft.com/office/spreadsheetml/2017/richdata2" ref="A3:AK4">
      <sortCondition ref="A2:A4"/>
    </sortState>
  </autoFilter>
  <mergeCells count="6">
    <mergeCell ref="AD1:AI1"/>
    <mergeCell ref="N1:R1"/>
    <mergeCell ref="S1:T1"/>
    <mergeCell ref="U1:V1"/>
    <mergeCell ref="W1:X1"/>
    <mergeCell ref="Y1:AB1"/>
  </mergeCells>
  <conditionalFormatting sqref="A4:E9 L5:X5 L6:XFD8 H6:J9 L9:Y9 L10:XFD1048576">
    <cfRule type="timePeriod" priority="22" timePeriod="nextWeek">
      <formula>AND(ROUNDDOWN(A4,0)-TODAY()&gt;(7-WEEKDAY(TODAY())),ROUNDDOWN(A4,0)-TODAY()&lt;(15-WEEKDAY(TODAY())))</formula>
    </cfRule>
  </conditionalFormatting>
  <conditionalFormatting sqref="A1:J1 AK3 U3:U4 N4:T4">
    <cfRule type="timePeriod" dxfId="1386" priority="445" timePeriod="lastMonth">
      <formula>AND(MONTH(A1)=MONTH(EDATE(TODAY(),0-1)),YEAR(A1)=YEAR(EDATE(TODAY(),0-1)))</formula>
    </cfRule>
    <cfRule type="timePeriod" dxfId="1385" priority="446" timePeriod="last7Days">
      <formula>AND(TODAY()-FLOOR(A1,1)&lt;=6,FLOOR(A1,1)&lt;=TODAY())</formula>
    </cfRule>
    <cfRule type="timePeriod" dxfId="1384" priority="447" timePeriod="thisWeek">
      <formula>AND(TODAY()-ROUNDDOWN(A1,0)&lt;=WEEKDAY(TODAY())-1,ROUNDDOWN(A1,0)-TODAY()&lt;=7-WEEKDAY(TODAY()))</formula>
    </cfRule>
  </conditionalFormatting>
  <conditionalFormatting sqref="A1:J1 AK3 U3:U4">
    <cfRule type="timePeriod" dxfId="1383" priority="443" timePeriod="nextWeek">
      <formula>AND(ROUNDDOWN(A1,0)-TODAY()&gt;(7-WEEKDAY(TODAY())),ROUNDDOWN(A1,0)-TODAY()&lt;(15-WEEKDAY(TODAY())))</formula>
    </cfRule>
  </conditionalFormatting>
  <conditionalFormatting sqref="A1:J1 AK3 U3:V4 N4:T4">
    <cfRule type="timePeriod" priority="444" timePeriod="nextWeek">
      <formula>AND(ROUNDDOWN(A1,0)-TODAY()&gt;(7-WEEKDAY(TODAY())),ROUNDDOWN(A1,0)-TODAY()&lt;(15-WEEKDAY(TODAY())))</formula>
    </cfRule>
  </conditionalFormatting>
  <conditionalFormatting sqref="B4:B5 L5:U5 W6 W7:XFD8 L7:U9 W9:Y9 W3:X5 AB4:AC5">
    <cfRule type="timePeriod" dxfId="1382" priority="25" timePeriod="thisWeek">
      <formula>AND(TODAY()-ROUNDDOWN(B3,0)&lt;=WEEKDAY(TODAY())-1,ROUNDDOWN(B3,0)-TODAY()&lt;=7-WEEKDAY(TODAY()))</formula>
    </cfRule>
  </conditionalFormatting>
  <conditionalFormatting sqref="B4:B5 L5:U9 W6 W7:X9">
    <cfRule type="timePeriod" dxfId="1381" priority="15" timePeriod="last7Days">
      <formula>AND(TODAY()-FLOOR(B4,1)&lt;=6,FLOOR(B4,1)&lt;=TODAY())</formula>
    </cfRule>
  </conditionalFormatting>
  <conditionalFormatting sqref="B6:E9 H6:J9">
    <cfRule type="timePeriod" dxfId="1380" priority="31" timePeriod="last7Days">
      <formula>AND(TODAY()-FLOOR(B6,1)&lt;=6,FLOOR(B6,1)&lt;=TODAY())</formula>
    </cfRule>
    <cfRule type="timePeriod" dxfId="1379" priority="32" timePeriod="thisWeek">
      <formula>AND(TODAY()-ROUNDDOWN(B6,0)&lt;=WEEKDAY(TODAY())-1,ROUNDDOWN(B6,0)-TODAY()&lt;=7-WEEKDAY(TODAY()))</formula>
    </cfRule>
  </conditionalFormatting>
  <conditionalFormatting sqref="C3:E3 P3:Q3 T3 L3:M4">
    <cfRule type="timePeriod" priority="470" timePeriod="nextWeek">
      <formula>AND(ROUNDDOWN(C3,0)-TODAY()&gt;(7-WEEKDAY(TODAY())),ROUNDDOWN(C3,0)-TODAY()&lt;(15-WEEKDAY(TODAY())))</formula>
    </cfRule>
  </conditionalFormatting>
  <conditionalFormatting sqref="F3:F9">
    <cfRule type="timePeriod" priority="7" timePeriod="nextWeek">
      <formula>AND(ROUNDDOWN(F3,0)-TODAY()&gt;(7-WEEKDAY(TODAY())),ROUNDDOWN(F3,0)-TODAY()&lt;(15-WEEKDAY(TODAY())))</formula>
    </cfRule>
    <cfRule type="timePeriod" dxfId="1378" priority="9" timePeriod="nextWeek">
      <formula>AND(ROUNDDOWN(F3,0)-TODAY()&gt;(7-WEEKDAY(TODAY())),ROUNDDOWN(F3,0)-TODAY()&lt;(15-WEEKDAY(TODAY())))</formula>
    </cfRule>
  </conditionalFormatting>
  <conditionalFormatting sqref="G4:J5">
    <cfRule type="timePeriod" dxfId="1377" priority="17" timePeriod="nextWeek">
      <formula>AND(ROUNDDOWN(G4,0)-TODAY()&gt;(7-WEEKDAY(TODAY())),ROUNDDOWN(G4,0)-TODAY()&lt;(15-WEEKDAY(TODAY())))</formula>
    </cfRule>
    <cfRule type="timePeriod" priority="18" timePeriod="nextWeek">
      <formula>AND(ROUNDDOWN(G4,0)-TODAY()&gt;(7-WEEKDAY(TODAY())),ROUNDDOWN(G4,0)-TODAY()&lt;(15-WEEKDAY(TODAY())))</formula>
    </cfRule>
    <cfRule type="timePeriod" dxfId="1376" priority="19" timePeriod="lastMonth">
      <formula>AND(MONTH(G4)=MONTH(EDATE(TODAY(),0-1)),YEAR(G4)=YEAR(EDATE(TODAY(),0-1)))</formula>
    </cfRule>
    <cfRule type="timePeriod" dxfId="1375" priority="20" timePeriod="last7Days">
      <formula>AND(TODAY()-FLOOR(G4,1)&lt;=6,FLOOR(G4,1)&lt;=TODAY())</formula>
    </cfRule>
    <cfRule type="timePeriod" dxfId="1374" priority="21" timePeriod="thisWeek">
      <formula>AND(TODAY()-ROUNDDOWN(G4,0)&lt;=WEEKDAY(TODAY())-1,ROUNDDOWN(G4,0)-TODAY()&lt;=7-WEEKDAY(TODAY()))</formula>
    </cfRule>
  </conditionalFormatting>
  <conditionalFormatting sqref="L1:M1">
    <cfRule type="timePeriod" priority="449" timePeriod="nextWeek">
      <formula>AND(ROUNDDOWN(L1,0)-TODAY()&gt;(7-WEEKDAY(TODAY())),ROUNDDOWN(L1,0)-TODAY()&lt;(15-WEEKDAY(TODAY())))</formula>
    </cfRule>
  </conditionalFormatting>
  <conditionalFormatting sqref="L3:M3">
    <cfRule type="timePeriod" dxfId="1373" priority="363" timePeriod="nextWeek">
      <formula>AND(ROUNDDOWN(L3,0)-TODAY()&gt;(7-WEEKDAY(TODAY())),ROUNDDOWN(L3,0)-TODAY()&lt;(15-WEEKDAY(TODAY())))</formula>
    </cfRule>
    <cfRule type="timePeriod" dxfId="1372" priority="364" timePeriod="lastMonth">
      <formula>AND(MONTH(L3)=MONTH(EDATE(TODAY(),0-1)),YEAR(L3)=YEAR(EDATE(TODAY(),0-1)))</formula>
    </cfRule>
    <cfRule type="timePeriod" dxfId="1371" priority="365" timePeriod="last7Days">
      <formula>AND(TODAY()-FLOOR(L3,1)&lt;=6,FLOOR(L3,1)&lt;=TODAY())</formula>
    </cfRule>
    <cfRule type="timePeriod" dxfId="1370" priority="366" timePeriod="thisWeek">
      <formula>AND(TODAY()-ROUNDDOWN(L3,0)&lt;=WEEKDAY(TODAY())-1,ROUNDDOWN(L3,0)-TODAY()&lt;=7-WEEKDAY(TODAY()))</formula>
    </cfRule>
  </conditionalFormatting>
  <conditionalFormatting sqref="L1:N1">
    <cfRule type="timePeriod" dxfId="1369" priority="448" timePeriod="nextWeek">
      <formula>AND(ROUNDDOWN(L1,0)-TODAY()&gt;(7-WEEKDAY(TODAY())),ROUNDDOWN(L1,0)-TODAY()&lt;(15-WEEKDAY(TODAY())))</formula>
    </cfRule>
    <cfRule type="timePeriod" dxfId="1368" priority="450" timePeriod="lastMonth">
      <formula>AND(MONTH(L1)=MONTH(EDATE(TODAY(),0-1)),YEAR(L1)=YEAR(EDATE(TODAY(),0-1)))</formula>
    </cfRule>
    <cfRule type="timePeriod" dxfId="1367" priority="451" timePeriod="last7Days">
      <formula>AND(TODAY()-FLOOR(L1,1)&lt;=6,FLOOR(L1,1)&lt;=TODAY())</formula>
    </cfRule>
    <cfRule type="timePeriod" dxfId="1366" priority="452" timePeriod="thisWeek">
      <formula>AND(TODAY()-ROUNDDOWN(L1,0)&lt;=WEEKDAY(TODAY())-1,ROUNDDOWN(L1,0)-TODAY()&lt;=7-WEEKDAY(TODAY()))</formula>
    </cfRule>
  </conditionalFormatting>
  <conditionalFormatting sqref="L8:S8 R9">
    <cfRule type="timePeriod" dxfId="1365" priority="56" timePeriod="lastMonth">
      <formula>AND(MONTH(L8)=MONTH(EDATE(TODAY(),0-1)),YEAR(L8)=YEAR(EDATE(TODAY(),0-1)))</formula>
    </cfRule>
    <cfRule type="timePeriod" dxfId="1364" priority="57" timePeriod="thisWeek">
      <formula>AND(TODAY()-ROUNDDOWN(L8,0)&lt;=WEEKDAY(TODAY())-1,ROUNDDOWN(L8,0)-TODAY()&lt;=7-WEEKDAY(TODAY()))</formula>
    </cfRule>
  </conditionalFormatting>
  <conditionalFormatting sqref="L8:U8 R9 W8:X8 AB8">
    <cfRule type="timePeriod" dxfId="1363" priority="58" timePeriod="last7Days">
      <formula>AND(TODAY()-FLOOR(L8,1)&lt;=6,FLOOR(L8,1)&lt;=TODAY())</formula>
    </cfRule>
  </conditionalFormatting>
  <conditionalFormatting sqref="L10:XFD1048576 A3:A4">
    <cfRule type="timePeriod" dxfId="1362" priority="459" timePeriod="nextWeek">
      <formula>AND(ROUNDDOWN(A3,0)-TODAY()&gt;(7-WEEKDAY(TODAY())),ROUNDDOWN(A3,0)-TODAY()&lt;(15-WEEKDAY(TODAY())))</formula>
    </cfRule>
  </conditionalFormatting>
  <conditionalFormatting sqref="L10:XFD1048576">
    <cfRule type="timePeriod" dxfId="1361" priority="348" timePeriod="last7Days">
      <formula>AND(TODAY()-FLOOR(L10,1)&lt;=6,FLOOR(L10,1)&lt;=TODAY())</formula>
    </cfRule>
  </conditionalFormatting>
  <conditionalFormatting sqref="N1:N2">
    <cfRule type="timePeriod" priority="420" timePeriod="nextWeek">
      <formula>AND(ROUNDDOWN(N1,0)-TODAY()&gt;(7-WEEKDAY(TODAY())),ROUNDDOWN(N1,0)-TODAY()&lt;(15-WEEKDAY(TODAY())))</formula>
    </cfRule>
  </conditionalFormatting>
  <conditionalFormatting sqref="N4:T4">
    <cfRule type="timePeriod" dxfId="1360" priority="263" timePeriod="nextWeek">
      <formula>AND(ROUNDDOWN(N4,0)-TODAY()&gt;(7-WEEKDAY(TODAY())),ROUNDDOWN(N4,0)-TODAY()&lt;(15-WEEKDAY(TODAY())))</formula>
    </cfRule>
  </conditionalFormatting>
  <conditionalFormatting sqref="N2:Y2 L10:XFD1048576 W6:XFD6">
    <cfRule type="timePeriod" dxfId="1359" priority="423" timePeriod="thisWeek">
      <formula>AND(TODAY()-ROUNDDOWN(L2,0)&lt;=WEEKDAY(TODAY())-1,ROUNDDOWN(L2,0)-TODAY()&lt;=7-WEEKDAY(TODAY()))</formula>
    </cfRule>
  </conditionalFormatting>
  <conditionalFormatting sqref="N2:Y2">
    <cfRule type="timePeriod" dxfId="1358" priority="419" timePeriod="nextWeek">
      <formula>AND(ROUNDDOWN(N2,0)-TODAY()&gt;(7-WEEKDAY(TODAY())),ROUNDDOWN(N2,0)-TODAY()&lt;(15-WEEKDAY(TODAY())))</formula>
    </cfRule>
    <cfRule type="timePeriod" dxfId="1357" priority="421" timePeriod="lastMonth">
      <formula>AND(MONTH(N2)=MONTH(EDATE(TODAY(),0-1)),YEAR(N2)=YEAR(EDATE(TODAY(),0-1)))</formula>
    </cfRule>
    <cfRule type="timePeriod" dxfId="1356" priority="422" timePeriod="last7Days">
      <formula>AND(TODAY()-FLOOR(N2,1)&lt;=6,FLOOR(N2,1)&lt;=TODAY())</formula>
    </cfRule>
  </conditionalFormatting>
  <conditionalFormatting sqref="O2:Y2">
    <cfRule type="timePeriod" priority="424" timePeriod="nextWeek">
      <formula>AND(ROUNDDOWN(O2,0)-TODAY()&gt;(7-WEEKDAY(TODAY())),ROUNDDOWN(O2,0)-TODAY()&lt;(15-WEEKDAY(TODAY())))</formula>
    </cfRule>
  </conditionalFormatting>
  <conditionalFormatting sqref="P4">
    <cfRule type="timePeriod" dxfId="1355" priority="258" timePeriod="nextWeek">
      <formula>AND(ROUNDDOWN(P4,0)-TODAY()&gt;(7-WEEKDAY(TODAY())),ROUNDDOWN(P4,0)-TODAY()&lt;(15-WEEKDAY(TODAY())))</formula>
    </cfRule>
    <cfRule type="timePeriod" dxfId="1354" priority="260" timePeriod="lastMonth">
      <formula>AND(MONTH(P4)=MONTH(EDATE(TODAY(),0-1)),YEAR(P4)=YEAR(EDATE(TODAY(),0-1)))</formula>
    </cfRule>
    <cfRule type="timePeriod" dxfId="1353" priority="261" timePeriod="last7Days">
      <formula>AND(TODAY()-FLOOR(P4,1)&lt;=6,FLOOR(P4,1)&lt;=TODAY())</formula>
    </cfRule>
    <cfRule type="timePeriod" dxfId="1352" priority="262" timePeriod="thisWeek">
      <formula>AND(TODAY()-ROUNDDOWN(P4,0)&lt;=WEEKDAY(TODAY())-1,ROUNDDOWN(P4,0)-TODAY()&lt;=7-WEEKDAY(TODAY()))</formula>
    </cfRule>
  </conditionalFormatting>
  <conditionalFormatting sqref="P3:Q3 L3:M4 V3:V9">
    <cfRule type="timePeriod" dxfId="1351" priority="270" timePeriod="last7Days">
      <formula>AND(TODAY()-FLOOR(L3,1)&lt;=6,FLOOR(L3,1)&lt;=TODAY())</formula>
    </cfRule>
  </conditionalFormatting>
  <conditionalFormatting sqref="P3:Q3 L3:M4 V4:V9 L6:U6">
    <cfRule type="timePeriod" dxfId="1350" priority="271" timePeriod="thisWeek">
      <formula>AND(TODAY()-ROUNDDOWN(L3,0)&lt;=WEEKDAY(TODAY())-1,ROUNDDOWN(L3,0)-TODAY()&lt;=7-WEEKDAY(TODAY()))</formula>
    </cfRule>
  </conditionalFormatting>
  <conditionalFormatting sqref="P3:Q3 L3:M4 V4:V9">
    <cfRule type="timePeriod" dxfId="1349" priority="267" timePeriod="nextWeek">
      <formula>AND(ROUNDDOWN(L3,0)-TODAY()&gt;(7-WEEKDAY(TODAY())),ROUNDDOWN(L3,0)-TODAY()&lt;(15-WEEKDAY(TODAY())))</formula>
    </cfRule>
    <cfRule type="timePeriod" dxfId="1348" priority="269" timePeriod="lastMonth">
      <formula>AND(MONTH(L3)=MONTH(EDATE(TODAY(),0-1)),YEAR(L3)=YEAR(EDATE(TODAY(),0-1)))</formula>
    </cfRule>
  </conditionalFormatting>
  <conditionalFormatting sqref="T8 AB8">
    <cfRule type="timePeriod" dxfId="1347" priority="59" timePeriod="thisWeek">
      <formula>AND(TODAY()-ROUNDDOWN(T8,0)&lt;=WEEKDAY(TODAY())-1,ROUNDDOWN(T8,0)-TODAY()&lt;=7-WEEKDAY(TODAY()))</formula>
    </cfRule>
  </conditionalFormatting>
  <conditionalFormatting sqref="U1">
    <cfRule type="timePeriod" dxfId="1346" priority="453" timePeriod="nextWeek">
      <formula>AND(ROUNDDOWN(U1,0)-TODAY()&gt;(7-WEEKDAY(TODAY())),ROUNDDOWN(U1,0)-TODAY()&lt;(15-WEEKDAY(TODAY())))</formula>
    </cfRule>
    <cfRule type="timePeriod" priority="454" timePeriod="nextWeek">
      <formula>AND(ROUNDDOWN(U1,0)-TODAY()&gt;(7-WEEKDAY(TODAY())),ROUNDDOWN(U1,0)-TODAY()&lt;(15-WEEKDAY(TODAY())))</formula>
    </cfRule>
    <cfRule type="timePeriod" dxfId="1345" priority="455" timePeriod="lastMonth">
      <formula>AND(MONTH(U1)=MONTH(EDATE(TODAY(),0-1)),YEAR(U1)=YEAR(EDATE(TODAY(),0-1)))</formula>
    </cfRule>
    <cfRule type="timePeriod" dxfId="1344" priority="456" timePeriod="last7Days">
      <formula>AND(TODAY()-FLOOR(U1,1)&lt;=6,FLOOR(U1,1)&lt;=TODAY())</formula>
    </cfRule>
    <cfRule type="timePeriod" dxfId="1343" priority="457" timePeriod="thisWeek">
      <formula>AND(TODAY()-ROUNDDOWN(U1,0)&lt;=WEEKDAY(TODAY())-1,ROUNDDOWN(U1,0)-TODAY()&lt;=7-WEEKDAY(TODAY()))</formula>
    </cfRule>
  </conditionalFormatting>
  <conditionalFormatting sqref="V3">
    <cfRule type="cellIs" dxfId="1342" priority="409" operator="lessThan">
      <formula>15</formula>
    </cfRule>
    <cfRule type="timePeriod" dxfId="1341" priority="411" timePeriod="thisWeek">
      <formula>AND(TODAY()-ROUNDDOWN(V3,0)&lt;=WEEKDAY(TODAY())-1,ROUNDDOWN(V3,0)-TODAY()&lt;=7-WEEKDAY(TODAY()))</formula>
    </cfRule>
    <cfRule type="timePeriod" dxfId="1340" priority="412" timePeriod="nextWeek">
      <formula>AND(ROUNDDOWN(V3,0)-TODAY()&gt;(7-WEEKDAY(TODAY())),ROUNDDOWN(V3,0)-TODAY()&lt;(15-WEEKDAY(TODAY())))</formula>
    </cfRule>
    <cfRule type="timePeriod" dxfId="1339" priority="413" timePeriod="lastMonth">
      <formula>AND(MONTH(V3)=MONTH(EDATE(TODAY(),0-1)),YEAR(V3)=YEAR(EDATE(TODAY(),0-1)))</formula>
    </cfRule>
  </conditionalFormatting>
  <conditionalFormatting sqref="W8">
    <cfRule type="timePeriod" dxfId="1338" priority="61" timePeriod="thisWeek">
      <formula>AND(TODAY()-ROUNDDOWN(W8,0)&lt;=WEEKDAY(TODAY())-1,ROUNDDOWN(W8,0)-TODAY()&lt;=7-WEEKDAY(TODAY()))</formula>
    </cfRule>
    <cfRule type="timePeriod" dxfId="1337" priority="63" timePeriod="last7Days">
      <formula>AND(TODAY()-FLOOR(W8,1)&lt;=6,FLOOR(W8,1)&lt;=TODAY())</formula>
    </cfRule>
    <cfRule type="timePeriod" dxfId="1336" priority="64" timePeriod="thisWeek">
      <formula>AND(TODAY()-ROUNDDOWN(W8,0)&lt;=WEEKDAY(TODAY())-1,ROUNDDOWN(W8,0)-TODAY()&lt;=7-WEEKDAY(TODAY()))</formula>
    </cfRule>
  </conditionalFormatting>
  <conditionalFormatting sqref="W2:X5">
    <cfRule type="timePeriod" dxfId="1335" priority="13" timePeriod="last7Days">
      <formula>AND(TODAY()-FLOOR(W2,1)&lt;=6,FLOOR(W2,1)&lt;=TODAY())</formula>
    </cfRule>
  </conditionalFormatting>
  <conditionalFormatting sqref="W3:X5 A5:E5 L5:U5 A6:A9">
    <cfRule type="timePeriod" dxfId="1334" priority="29" timePeriod="nextWeek">
      <formula>AND(ROUNDDOWN(A3,0)-TODAY()&gt;(7-WEEKDAY(TODAY())),ROUNDDOWN(A3,0)-TODAY()&lt;(15-WEEKDAY(TODAY())))</formula>
    </cfRule>
  </conditionalFormatting>
  <conditionalFormatting sqref="W3:X5 L5:U5 AB5:XFD5">
    <cfRule type="timePeriod" dxfId="1333" priority="14" timePeriod="lastMonth">
      <formula>AND(MONTH(L3)=MONTH(EDATE(TODAY(),0-1)),YEAR(L3)=YEAR(EDATE(TODAY(),0-1)))</formula>
    </cfRule>
  </conditionalFormatting>
  <conditionalFormatting sqref="W3:X5 AB5:AI5">
    <cfRule type="cellIs" dxfId="1332" priority="26" operator="lessThan">
      <formula>15</formula>
    </cfRule>
  </conditionalFormatting>
  <conditionalFormatting sqref="W8:Y8 AB8 X9">
    <cfRule type="cellIs" dxfId="1331" priority="71" operator="lessThan">
      <formula>15</formula>
    </cfRule>
  </conditionalFormatting>
  <conditionalFormatting sqref="W3:AI3">
    <cfRule type="timePeriod" priority="41" timePeriod="nextWeek">
      <formula>AND(ROUNDDOWN(W3,0)-TODAY()&gt;(7-WEEKDAY(TODAY())),ROUNDDOWN(W3,0)-TODAY()&lt;(15-WEEKDAY(TODAY())))</formula>
    </cfRule>
  </conditionalFormatting>
  <conditionalFormatting sqref="W4:XFD4">
    <cfRule type="timePeriod" priority="146" timePeriod="nextWeek">
      <formula>AND(ROUNDDOWN(W4,0)-TODAY()&gt;(7-WEEKDAY(TODAY())),ROUNDDOWN(W4,0)-TODAY()&lt;(15-WEEKDAY(TODAY())))</formula>
    </cfRule>
  </conditionalFormatting>
  <conditionalFormatting sqref="W6:XFD6 L6:U6 Z3:AC3">
    <cfRule type="timePeriod" dxfId="1330" priority="140" timePeriod="lastMonth">
      <formula>AND(MONTH(L3)=MONTH(EDATE(TODAY(),0-1)),YEAR(L3)=YEAR(EDATE(TODAY(),0-1)))</formula>
    </cfRule>
  </conditionalFormatting>
  <conditionalFormatting sqref="W6:XFD6 Z3:AI3">
    <cfRule type="timePeriod" dxfId="1329" priority="256" timePeriod="last7Days">
      <formula>AND(TODAY()-FLOOR(W3,1)&lt;=6,FLOOR(W3,1)&lt;=TODAY())</formula>
    </cfRule>
  </conditionalFormatting>
  <conditionalFormatting sqref="W7:XFD8 L7:U9 W9:Y9 AC9:XFD9 H6:J9">
    <cfRule type="timePeriod" dxfId="1328" priority="30" timePeriod="lastMonth">
      <formula>AND(MONTH(H6)=MONTH(EDATE(TODAY(),0-1)),YEAR(H6)=YEAR(EDATE(TODAY(),0-1)))</formula>
    </cfRule>
  </conditionalFormatting>
  <conditionalFormatting sqref="W8:XFD8 T8:U8">
    <cfRule type="timePeriod" dxfId="1327" priority="65" timePeriod="lastMonth">
      <formula>AND(MONTH(T8)=MONTH(EDATE(TODAY(),0-1)),YEAR(T8)=YEAR(EDATE(TODAY(),0-1)))</formula>
    </cfRule>
  </conditionalFormatting>
  <conditionalFormatting sqref="W8:XFD8 X9 L6:U9">
    <cfRule type="timePeriod" dxfId="1326" priority="72" timePeriod="nextWeek">
      <formula>AND(ROUNDDOWN(L6,0)-TODAY()&gt;(7-WEEKDAY(TODAY())),ROUNDDOWN(L6,0)-TODAY()&lt;(15-WEEKDAY(TODAY())))</formula>
    </cfRule>
  </conditionalFormatting>
  <conditionalFormatting sqref="W8:XFD8 X9 T8:U8">
    <cfRule type="timePeriod" dxfId="1325" priority="68" timePeriod="thisWeek">
      <formula>AND(TODAY()-ROUNDDOWN(T8,0)&lt;=WEEKDAY(TODAY())-1,ROUNDDOWN(T8,0)-TODAY()&lt;=7-WEEKDAY(TODAY()))</formula>
    </cfRule>
  </conditionalFormatting>
  <conditionalFormatting sqref="X8:X9">
    <cfRule type="timePeriod" dxfId="1324" priority="66" timePeriod="thisWeek">
      <formula>AND(TODAY()-ROUNDDOWN(X8,0)&lt;=WEEKDAY(TODAY())-1,ROUNDDOWN(X8,0)-TODAY()&lt;=7-WEEKDAY(TODAY()))</formula>
    </cfRule>
  </conditionalFormatting>
  <conditionalFormatting sqref="X8:XFD8 X9">
    <cfRule type="timePeriod" dxfId="1323" priority="67" timePeriod="last7Days">
      <formula>AND(TODAY()-FLOOR(X8,1)&lt;=6,FLOOR(X8,1)&lt;=TODAY())</formula>
    </cfRule>
  </conditionalFormatting>
  <conditionalFormatting sqref="Y1">
    <cfRule type="timePeriod" dxfId="1322" priority="435" timePeriod="nextWeek">
      <formula>AND(ROUNDDOWN(Y1,0)-TODAY()&gt;(7-WEEKDAY(TODAY())),ROUNDDOWN(Y1,0)-TODAY()&lt;(15-WEEKDAY(TODAY())))</formula>
    </cfRule>
    <cfRule type="timePeriod" priority="436" timePeriod="nextWeek">
      <formula>AND(ROUNDDOWN(Y1,0)-TODAY()&gt;(7-WEEKDAY(TODAY())),ROUNDDOWN(Y1,0)-TODAY()&lt;(15-WEEKDAY(TODAY())))</formula>
    </cfRule>
    <cfRule type="timePeriod" dxfId="1321" priority="437" timePeriod="lastMonth">
      <formula>AND(MONTH(Y1)=MONTH(EDATE(TODAY(),0-1)),YEAR(Y1)=YEAR(EDATE(TODAY(),0-1)))</formula>
    </cfRule>
    <cfRule type="timePeriod" dxfId="1320" priority="438" timePeriod="last7Days">
      <formula>AND(TODAY()-FLOOR(Y1,1)&lt;=6,FLOOR(Y1,1)&lt;=TODAY())</formula>
    </cfRule>
    <cfRule type="timePeriod" dxfId="1319" priority="439" timePeriod="thisWeek">
      <formula>AND(TODAY()-ROUNDDOWN(Y1,0)&lt;=WEEKDAY(TODAY())-1,ROUNDDOWN(Y1,0)-TODAY()&lt;=7-WEEKDAY(TODAY()))</formula>
    </cfRule>
  </conditionalFormatting>
  <conditionalFormatting sqref="Y3">
    <cfRule type="timePeriod" dxfId="1318" priority="39" timePeriod="thisWeek">
      <formula>AND(TODAY()-ROUNDDOWN(Y3,0)&lt;=WEEKDAY(TODAY())-1,ROUNDDOWN(Y3,0)-TODAY()&lt;=7-WEEKDAY(TODAY()))</formula>
    </cfRule>
    <cfRule type="timePeriod" dxfId="1317" priority="40" timePeriod="lastMonth">
      <formula>AND(MONTH(Y3)=MONTH(EDATE(TODAY(),0-1)),YEAR(Y3)=YEAR(EDATE(TODAY(),0-1)))</formula>
    </cfRule>
    <cfRule type="timePeriod" dxfId="1316" priority="42" timePeriod="last7Days">
      <formula>AND(TODAY()-FLOOR(Y3,1)&lt;=6,FLOOR(Y3,1)&lt;=TODAY())</formula>
    </cfRule>
    <cfRule type="cellIs" dxfId="1315" priority="43" operator="lessThan">
      <formula>15</formula>
    </cfRule>
  </conditionalFormatting>
  <conditionalFormatting sqref="Y6">
    <cfRule type="timePeriod" dxfId="1314" priority="145" timePeriod="nextWeek">
      <formula>AND(ROUNDDOWN(Y6,0)-TODAY()&gt;(7-WEEKDAY(TODAY())),ROUNDDOWN(Y6,0)-TODAY()&lt;(15-WEEKDAY(TODAY())))</formula>
    </cfRule>
  </conditionalFormatting>
  <conditionalFormatting sqref="Y7:Y9">
    <cfRule type="timePeriod" dxfId="1313" priority="50" timePeriod="nextWeek">
      <formula>AND(ROUNDDOWN(Y7,0)-TODAY()&gt;(7-WEEKDAY(TODAY())),ROUNDDOWN(Y7,0)-TODAY()&lt;(15-WEEKDAY(TODAY())))</formula>
    </cfRule>
  </conditionalFormatting>
  <conditionalFormatting sqref="Y3:AA3">
    <cfRule type="timePeriod" dxfId="1312" priority="44" timePeriod="nextWeek">
      <formula>AND(ROUNDDOWN(Y3,0)-TODAY()&gt;(7-WEEKDAY(TODAY())),ROUNDDOWN(Y3,0)-TODAY()&lt;(15-WEEKDAY(TODAY())))</formula>
    </cfRule>
  </conditionalFormatting>
  <conditionalFormatting sqref="Y4:AC4">
    <cfRule type="timePeriod" dxfId="1311" priority="169" timePeriod="nextWeek">
      <formula>AND(ROUNDDOWN(Y4,0)-TODAY()&gt;(7-WEEKDAY(TODAY())),ROUNDDOWN(Y4,0)-TODAY()&lt;(15-WEEKDAY(TODAY())))</formula>
    </cfRule>
    <cfRule type="timePeriod" dxfId="1310" priority="239" timePeriod="lastMonth">
      <formula>AND(MONTH(Y4)=MONTH(EDATE(TODAY(),0-1)),YEAR(Y4)=YEAR(EDATE(TODAY(),0-1)))</formula>
    </cfRule>
  </conditionalFormatting>
  <conditionalFormatting sqref="Y4:XFD4">
    <cfRule type="timePeriod" dxfId="1309" priority="240" timePeriod="last7Days">
      <formula>AND(TODAY()-FLOOR(Y4,1)&lt;=6,FLOOR(Y4,1)&lt;=TODAY())</formula>
    </cfRule>
  </conditionalFormatting>
  <conditionalFormatting sqref="Y7:XFD8 X9:Y9 AC9:XFD9">
    <cfRule type="timePeriod" dxfId="1308" priority="48" timePeriod="last7Days">
      <formula>AND(TODAY()-FLOOR(X7,1)&lt;=6,FLOOR(X7,1)&lt;=TODAY())</formula>
    </cfRule>
  </conditionalFormatting>
  <conditionalFormatting sqref="Z3:AA3">
    <cfRule type="timePeriod" dxfId="1307" priority="300" timePeriod="thisWeek">
      <formula>AND(TODAY()-ROUNDDOWN(Z3,0)&lt;=WEEKDAY(TODAY())-1,ROUNDDOWN(Z3,0)-TODAY()&lt;=7-WEEKDAY(TODAY()))</formula>
    </cfRule>
  </conditionalFormatting>
  <conditionalFormatting sqref="Z5:AA5">
    <cfRule type="timePeriod" dxfId="1306" priority="11" timePeriod="thisWeek">
      <formula>AND(TODAY()-ROUNDDOWN(Z5,0)&lt;=WEEKDAY(TODAY())-1,ROUNDDOWN(Z5,0)-TODAY()&lt;=7-WEEKDAY(TODAY()))</formula>
    </cfRule>
    <cfRule type="timePeriod" dxfId="1305" priority="23" timePeriod="nextWeek">
      <formula>AND(ROUNDDOWN(Z5,0)-TODAY()&gt;(7-WEEKDAY(TODAY())),ROUNDDOWN(Z5,0)-TODAY()&lt;(15-WEEKDAY(TODAY())))</formula>
    </cfRule>
    <cfRule type="timePeriod" dxfId="1304" priority="24" timePeriod="lastMonth">
      <formula>AND(MONTH(Z5)=MONTH(EDATE(TODAY(),0-1)),YEAR(Z5)=YEAR(EDATE(TODAY(),0-1)))</formula>
    </cfRule>
  </conditionalFormatting>
  <conditionalFormatting sqref="Z5:XFD5">
    <cfRule type="timePeriod" dxfId="1303" priority="10" timePeriod="last7Days">
      <formula>AND(TODAY()-FLOOR(Z5,1)&lt;=6,FLOOR(Z5,1)&lt;=TODAY())</formula>
    </cfRule>
    <cfRule type="timePeriod" priority="12" timePeriod="nextWeek">
      <formula>AND(ROUNDDOWN(Z5,0)-TODAY()&gt;(7-WEEKDAY(TODAY())),ROUNDDOWN(Z5,0)-TODAY()&lt;(15-WEEKDAY(TODAY())))</formula>
    </cfRule>
  </conditionalFormatting>
  <conditionalFormatting sqref="Z6:XFD8 W6:X9 AC9:XFD9 A6:E9 H6:J9">
    <cfRule type="timePeriod" dxfId="1302" priority="73" timePeriod="nextWeek">
      <formula>AND(ROUNDDOWN(A6,0)-TODAY()&gt;(7-WEEKDAY(TODAY())),ROUNDDOWN(A6,0)-TODAY()&lt;(15-WEEKDAY(TODAY())))</formula>
    </cfRule>
  </conditionalFormatting>
  <conditionalFormatting sqref="AA2:AI2">
    <cfRule type="timePeriod" dxfId="1301" priority="430" timePeriod="nextWeek">
      <formula>AND(ROUNDDOWN(AA2,0)-TODAY()&gt;(7-WEEKDAY(TODAY())),ROUNDDOWN(AA2,0)-TODAY()&lt;(15-WEEKDAY(TODAY())))</formula>
    </cfRule>
    <cfRule type="timePeriod" priority="431" timePeriod="nextWeek">
      <formula>AND(ROUNDDOWN(AA2,0)-TODAY()&gt;(7-WEEKDAY(TODAY())),ROUNDDOWN(AA2,0)-TODAY()&lt;(15-WEEKDAY(TODAY())))</formula>
    </cfRule>
    <cfRule type="timePeriod" dxfId="1300" priority="432" timePeriod="lastMonth">
      <formula>AND(MONTH(AA2)=MONTH(EDATE(TODAY(),0-1)),YEAR(AA2)=YEAR(EDATE(TODAY(),0-1)))</formula>
    </cfRule>
    <cfRule type="timePeriod" dxfId="1299" priority="433" timePeriod="last7Days">
      <formula>AND(TODAY()-FLOOR(AA2,1)&lt;=6,FLOOR(AA2,1)&lt;=TODAY())</formula>
    </cfRule>
    <cfRule type="timePeriod" dxfId="1298" priority="434" timePeriod="thisWeek">
      <formula>AND(TODAY()-ROUNDDOWN(AA2,0)&lt;=WEEKDAY(TODAY())-1,ROUNDDOWN(AA2,0)-TODAY()&lt;=7-WEEKDAY(TODAY()))</formula>
    </cfRule>
  </conditionalFormatting>
  <conditionalFormatting sqref="AB6:AB8 W6:Y9 AB3:AI4">
    <cfRule type="cellIs" dxfId="1297" priority="440" operator="lessThan">
      <formula>15</formula>
    </cfRule>
  </conditionalFormatting>
  <conditionalFormatting sqref="AB9">
    <cfRule type="timePeriod" dxfId="1296" priority="1" timePeriod="lastMonth">
      <formula>AND(MONTH(AB9)=MONTH(EDATE(TODAY(),0-1)),YEAR(AB9)=YEAR(EDATE(TODAY(),0-1)))</formula>
    </cfRule>
    <cfRule type="timePeriod" dxfId="1295" priority="3" timePeriod="last7Days">
      <formula>AND(TODAY()-FLOOR(AB9,1)&lt;=6,FLOOR(AB9,1)&lt;=TODAY())</formula>
    </cfRule>
    <cfRule type="cellIs" dxfId="1294" priority="5" operator="lessThan">
      <formula>15</formula>
    </cfRule>
    <cfRule type="timePeriod" dxfId="1293" priority="6" timePeriod="nextWeek">
      <formula>AND(ROUNDDOWN(AB9,0)-TODAY()&gt;(7-WEEKDAY(TODAY())),ROUNDDOWN(AB9,0)-TODAY()&lt;(15-WEEKDAY(TODAY())))</formula>
    </cfRule>
  </conditionalFormatting>
  <conditionalFormatting sqref="AB3:AI3 AD4:AF4">
    <cfRule type="timePeriod" dxfId="1292" priority="442" timePeriod="thisWeek">
      <formula>AND(TODAY()-ROUNDDOWN(AB3,0)&lt;=WEEKDAY(TODAY())-1,ROUNDDOWN(AB3,0)-TODAY()&lt;=7-WEEKDAY(TODAY()))</formula>
    </cfRule>
  </conditionalFormatting>
  <conditionalFormatting sqref="AB3:AI3 AD4:XFD4 B4:E4 AL2:XFD2 C3:E3 T3 A10:J1048576">
    <cfRule type="timePeriod" dxfId="1291" priority="490" timePeriod="nextWeek">
      <formula>AND(ROUNDDOWN(A2,0)-TODAY()&gt;(7-WEEKDAY(TODAY())),ROUNDDOWN(A2,0)-TODAY()&lt;(15-WEEKDAY(TODAY())))</formula>
    </cfRule>
  </conditionalFormatting>
  <conditionalFormatting sqref="AB5:XFD5">
    <cfRule type="timePeriod" dxfId="1290" priority="27" timePeriod="nextWeek">
      <formula>AND(ROUNDDOWN(AB5,0)-TODAY()&gt;(7-WEEKDAY(TODAY())),ROUNDDOWN(AB5,0)-TODAY()&lt;(15-WEEKDAY(TODAY())))</formula>
    </cfRule>
  </conditionalFormatting>
  <conditionalFormatting sqref="AB9:XFD9">
    <cfRule type="timePeriod" priority="2" timePeriod="nextWeek">
      <formula>AND(ROUNDDOWN(AB9,0)-TODAY()&gt;(7-WEEKDAY(TODAY())),ROUNDDOWN(AB9,0)-TODAY()&lt;(15-WEEKDAY(TODAY())))</formula>
    </cfRule>
    <cfRule type="timePeriod" dxfId="1289" priority="4" timePeriod="thisWeek">
      <formula>AND(TODAY()-ROUNDDOWN(AB9,0)&lt;=WEEKDAY(TODAY())-1,ROUNDDOWN(AB9,0)-TODAY()&lt;=7-WEEKDAY(TODAY()))</formula>
    </cfRule>
  </conditionalFormatting>
  <conditionalFormatting sqref="AD5:XFD5">
    <cfRule type="timePeriod" dxfId="1288" priority="16" timePeriod="thisWeek">
      <formula>AND(TODAY()-ROUNDDOWN(AD5,0)&lt;=WEEKDAY(TODAY())-1,ROUNDDOWN(AD5,0)-TODAY()&lt;=7-WEEKDAY(TODAY()))</formula>
    </cfRule>
  </conditionalFormatting>
  <conditionalFormatting sqref="AG4:XFD4">
    <cfRule type="timePeriod" dxfId="1287" priority="257" timePeriod="thisWeek">
      <formula>AND(TODAY()-ROUNDDOWN(AG4,0)&lt;=WEEKDAY(TODAY())-1,ROUNDDOWN(AG4,0)-TODAY()&lt;=7-WEEKDAY(TODAY()))</formula>
    </cfRule>
  </conditionalFormatting>
  <conditionalFormatting sqref="AJ1:AK1">
    <cfRule type="timePeriod" dxfId="1286" priority="425" timePeriod="nextWeek">
      <formula>AND(ROUNDDOWN(AJ1,0)-TODAY()&gt;(7-WEEKDAY(TODAY())),ROUNDDOWN(AJ1,0)-TODAY()&lt;(15-WEEKDAY(TODAY())))</formula>
    </cfRule>
    <cfRule type="timePeriod" priority="426" timePeriod="nextWeek">
      <formula>AND(ROUNDDOWN(AJ1,0)-TODAY()&gt;(7-WEEKDAY(TODAY())),ROUNDDOWN(AJ1,0)-TODAY()&lt;(15-WEEKDAY(TODAY())))</formula>
    </cfRule>
    <cfRule type="timePeriod" dxfId="1285" priority="427" timePeriod="lastMonth">
      <formula>AND(MONTH(AJ1)=MONTH(EDATE(TODAY(),0-1)),YEAR(AJ1)=YEAR(EDATE(TODAY(),0-1)))</formula>
    </cfRule>
    <cfRule type="timePeriod" dxfId="1284" priority="428" timePeriod="last7Days">
      <formula>AND(TODAY()-FLOOR(AJ1,1)&lt;=6,FLOOR(AJ1,1)&lt;=TODAY())</formula>
    </cfRule>
    <cfRule type="timePeriod" dxfId="1283" priority="429" timePeriod="thisWeek">
      <formula>AND(TODAY()-ROUNDDOWN(AJ1,0)&lt;=WEEKDAY(TODAY())-1,ROUNDDOWN(AJ1,0)-TODAY()&lt;=7-WEEKDAY(TODAY()))</formula>
    </cfRule>
  </conditionalFormatting>
  <conditionalFormatting sqref="AL2:XFD2 A3 A10:J1048576">
    <cfRule type="timePeriod" priority="491" timePeriod="nextWeek">
      <formula>AND(ROUNDDOWN(A2,0)-TODAY()&gt;(7-WEEKDAY(TODAY())),ROUNDDOWN(A2,0)-TODAY()&lt;(15-WEEKDAY(TODAY())))</formula>
    </cfRule>
  </conditionalFormatting>
  <conditionalFormatting sqref="AL2:XFD2 T3 AD3:AI3 AD4:XFD4 G10:J1048576 L10:XFD1048576">
    <cfRule type="timePeriod" dxfId="1282" priority="492" timePeriod="lastMonth">
      <formula>AND(MONTH(G2)=MONTH(EDATE(TODAY(),0-1)),YEAR(G2)=YEAR(EDATE(TODAY(),0-1)))</formula>
    </cfRule>
  </conditionalFormatting>
  <conditionalFormatting sqref="AL2:XFD2 T3 AG3:AI3 AD3:AF4 A10:J1048576 W4:AA4">
    <cfRule type="timePeriod" dxfId="1281" priority="494" timePeriod="thisWeek">
      <formula>AND(TODAY()-ROUNDDOWN(A2,0)&lt;=WEEKDAY(TODAY())-1,ROUNDDOWN(A2,0)-TODAY()&lt;=7-WEEKDAY(TODAY()))</formula>
    </cfRule>
  </conditionalFormatting>
  <conditionalFormatting sqref="AL2:XFD2 T3 AG3:AI3 AD3:AF4 A10:J1048576">
    <cfRule type="timePeriod" dxfId="1280" priority="493" timePeriod="last7Days">
      <formula>AND(TODAY()-FLOOR(A2,1)&lt;=6,FLOOR(A2,1)&lt;=TODAY())</formula>
    </cfRule>
  </conditionalFormatting>
  <pageMargins left="0.25" right="0.25" top="0.75" bottom="0.75" header="0.3" footer="0.3"/>
  <pageSetup paperSize="9" fitToWidth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O225"/>
  <sheetViews>
    <sheetView zoomScale="85" zoomScaleNormal="85" workbookViewId="0">
      <pane ySplit="2" topLeftCell="A190" activePane="bottomLeft" state="frozen"/>
      <selection pane="bottomLeft" activeCell="K205" sqref="K205"/>
    </sheetView>
  </sheetViews>
  <sheetFormatPr defaultRowHeight="32.25" customHeight="1" x14ac:dyDescent="0.25"/>
  <cols>
    <col min="1" max="1" width="7.140625" style="8" customWidth="1"/>
    <col min="2" max="2" width="16.7109375" style="8" customWidth="1"/>
    <col min="3" max="3" width="43.28515625" style="3" customWidth="1"/>
    <col min="4" max="4" width="19.140625" style="8" customWidth="1"/>
    <col min="5" max="5" width="18.5703125" style="3" customWidth="1"/>
    <col min="6" max="9" width="17.28515625" style="3" customWidth="1"/>
    <col min="10" max="10" width="40.140625" style="32" customWidth="1"/>
    <col min="11" max="11" width="42.140625" style="31" customWidth="1"/>
    <col min="12" max="12" width="31" style="72" customWidth="1"/>
    <col min="13" max="13" width="19.7109375" style="266" customWidth="1"/>
    <col min="14" max="14" width="36.85546875" style="3" customWidth="1"/>
    <col min="15" max="16384" width="9.140625" style="3"/>
  </cols>
  <sheetData>
    <row r="1" spans="1:14" ht="21" customHeight="1" thickTop="1" thickBot="1" x14ac:dyDescent="0.3">
      <c r="A1" s="20">
        <f ca="1">NOW()</f>
        <v>46316.953917129627</v>
      </c>
      <c r="B1" s="19" t="s">
        <v>149</v>
      </c>
      <c r="C1" s="19" t="s">
        <v>81</v>
      </c>
      <c r="D1" s="19" t="s">
        <v>130</v>
      </c>
      <c r="E1" s="19" t="s">
        <v>79</v>
      </c>
      <c r="F1" s="349" t="s">
        <v>151</v>
      </c>
      <c r="G1" s="350"/>
      <c r="H1" s="350"/>
      <c r="I1" s="350"/>
      <c r="J1" s="357" t="s">
        <v>135</v>
      </c>
      <c r="K1" s="358" t="s">
        <v>232</v>
      </c>
      <c r="L1" s="103"/>
      <c r="M1" s="266" t="s">
        <v>188</v>
      </c>
    </row>
    <row r="2" spans="1:14" ht="32.25" customHeight="1" thickTop="1" x14ac:dyDescent="0.25">
      <c r="A2" s="45"/>
      <c r="B2" s="46"/>
      <c r="C2" s="46"/>
      <c r="D2" s="46"/>
      <c r="E2" s="46"/>
      <c r="F2" s="19" t="s">
        <v>80</v>
      </c>
      <c r="G2" s="19" t="s">
        <v>80</v>
      </c>
      <c r="H2" s="19" t="s">
        <v>80</v>
      </c>
      <c r="I2" s="47" t="s">
        <v>153</v>
      </c>
      <c r="J2" s="357"/>
      <c r="K2" s="358"/>
      <c r="L2" s="103" t="s">
        <v>248</v>
      </c>
      <c r="M2" s="267" t="s">
        <v>379</v>
      </c>
      <c r="N2" s="104" t="s">
        <v>380</v>
      </c>
    </row>
    <row r="3" spans="1:14" ht="30" customHeight="1" x14ac:dyDescent="0.25">
      <c r="A3" s="33">
        <v>1</v>
      </c>
      <c r="B3" s="33">
        <v>38</v>
      </c>
      <c r="C3" s="34" t="s">
        <v>125</v>
      </c>
      <c r="D3" s="33" t="s">
        <v>133</v>
      </c>
      <c r="E3" s="33" t="s">
        <v>10</v>
      </c>
      <c r="F3" s="33"/>
      <c r="G3" s="33"/>
      <c r="H3" s="33" t="s">
        <v>56</v>
      </c>
      <c r="I3" s="35">
        <v>46787</v>
      </c>
      <c r="J3" s="37" t="s">
        <v>222</v>
      </c>
      <c r="K3" s="38" t="s">
        <v>231</v>
      </c>
      <c r="L3" s="105">
        <v>3500</v>
      </c>
      <c r="M3" s="266">
        <v>44213</v>
      </c>
    </row>
    <row r="4" spans="1:14" ht="30" customHeight="1" x14ac:dyDescent="0.25">
      <c r="A4" s="33">
        <v>2</v>
      </c>
      <c r="B4" s="33">
        <v>25</v>
      </c>
      <c r="C4" s="48" t="s">
        <v>90</v>
      </c>
      <c r="D4" s="33" t="s">
        <v>131</v>
      </c>
      <c r="E4" s="33" t="s">
        <v>12</v>
      </c>
      <c r="F4" s="33"/>
      <c r="G4" s="33"/>
      <c r="H4" s="33" t="s">
        <v>57</v>
      </c>
      <c r="I4" s="35">
        <v>44115</v>
      </c>
      <c r="J4" s="37" t="s">
        <v>222</v>
      </c>
      <c r="K4" s="38" t="s">
        <v>230</v>
      </c>
      <c r="L4" s="72">
        <v>8000</v>
      </c>
      <c r="M4" s="266">
        <v>44213</v>
      </c>
    </row>
    <row r="5" spans="1:14" ht="30" customHeight="1" x14ac:dyDescent="0.25">
      <c r="A5" s="33">
        <v>3</v>
      </c>
      <c r="B5" s="33">
        <v>87</v>
      </c>
      <c r="C5" s="49" t="s">
        <v>103</v>
      </c>
      <c r="D5" s="33" t="s">
        <v>131</v>
      </c>
      <c r="E5" s="33" t="s">
        <v>15</v>
      </c>
      <c r="F5" s="33"/>
      <c r="G5" s="33"/>
      <c r="H5" s="33" t="s">
        <v>58</v>
      </c>
      <c r="I5" s="50">
        <v>43851</v>
      </c>
      <c r="J5" s="37" t="s">
        <v>222</v>
      </c>
      <c r="K5" s="38" t="s">
        <v>229</v>
      </c>
      <c r="L5" s="72">
        <v>8000</v>
      </c>
      <c r="M5" s="266">
        <v>43916</v>
      </c>
    </row>
    <row r="6" spans="1:14" ht="30" customHeight="1" x14ac:dyDescent="0.25">
      <c r="A6" s="33">
        <v>4</v>
      </c>
      <c r="B6" s="33">
        <v>208</v>
      </c>
      <c r="C6" s="34" t="s">
        <v>85</v>
      </c>
      <c r="D6" s="33" t="s">
        <v>133</v>
      </c>
      <c r="E6" s="33" t="s">
        <v>27</v>
      </c>
      <c r="F6" s="33"/>
      <c r="G6" s="33"/>
      <c r="H6" s="33" t="s">
        <v>65</v>
      </c>
      <c r="I6" s="35">
        <v>45997</v>
      </c>
      <c r="J6" s="37" t="s">
        <v>222</v>
      </c>
      <c r="K6" s="38" t="s">
        <v>228</v>
      </c>
      <c r="L6" s="72">
        <v>3500</v>
      </c>
      <c r="M6" s="266">
        <v>43901</v>
      </c>
    </row>
    <row r="7" spans="1:14" ht="30" customHeight="1" x14ac:dyDescent="0.25">
      <c r="A7" s="33">
        <v>5</v>
      </c>
      <c r="B7" s="33">
        <v>283</v>
      </c>
      <c r="C7" s="34" t="s">
        <v>160</v>
      </c>
      <c r="D7" s="33" t="s">
        <v>133</v>
      </c>
      <c r="E7" s="33" t="s">
        <v>161</v>
      </c>
      <c r="F7" s="33"/>
      <c r="G7" s="33"/>
      <c r="H7" s="33" t="s">
        <v>162</v>
      </c>
      <c r="I7" s="35">
        <v>47229</v>
      </c>
      <c r="J7" s="37" t="s">
        <v>222</v>
      </c>
      <c r="K7" s="38" t="s">
        <v>227</v>
      </c>
      <c r="L7" s="72">
        <v>3500</v>
      </c>
      <c r="M7" s="266">
        <v>44059</v>
      </c>
    </row>
    <row r="8" spans="1:14" ht="30" customHeight="1" x14ac:dyDescent="0.25">
      <c r="A8" s="33">
        <v>6</v>
      </c>
      <c r="B8" s="33">
        <v>285</v>
      </c>
      <c r="C8" s="34" t="s">
        <v>165</v>
      </c>
      <c r="D8" s="33" t="s">
        <v>133</v>
      </c>
      <c r="E8" s="33" t="s">
        <v>163</v>
      </c>
      <c r="F8" s="39"/>
      <c r="G8" s="33"/>
      <c r="H8" s="33" t="s">
        <v>164</v>
      </c>
      <c r="I8" s="35">
        <v>46564</v>
      </c>
      <c r="J8" s="37" t="s">
        <v>222</v>
      </c>
      <c r="K8" s="38" t="s">
        <v>224</v>
      </c>
      <c r="L8" s="72">
        <v>3500</v>
      </c>
      <c r="M8" s="266">
        <v>44117</v>
      </c>
    </row>
    <row r="9" spans="1:14" ht="30" customHeight="1" x14ac:dyDescent="0.25">
      <c r="A9" s="33">
        <v>7</v>
      </c>
      <c r="B9" s="33">
        <v>290</v>
      </c>
      <c r="C9" s="34" t="s">
        <v>167</v>
      </c>
      <c r="D9" s="33" t="s">
        <v>133</v>
      </c>
      <c r="E9" s="33" t="s">
        <v>172</v>
      </c>
      <c r="F9" s="39"/>
      <c r="G9" s="33"/>
      <c r="H9" s="33" t="s">
        <v>168</v>
      </c>
      <c r="I9" s="35">
        <v>44779</v>
      </c>
      <c r="J9" s="37" t="s">
        <v>222</v>
      </c>
      <c r="K9" s="38" t="s">
        <v>225</v>
      </c>
      <c r="L9" s="72">
        <v>3500</v>
      </c>
      <c r="M9" s="266">
        <v>44059</v>
      </c>
    </row>
    <row r="10" spans="1:14" ht="30" customHeight="1" x14ac:dyDescent="0.25">
      <c r="A10" s="33">
        <v>8</v>
      </c>
      <c r="B10" s="33">
        <v>291</v>
      </c>
      <c r="C10" s="34" t="s">
        <v>169</v>
      </c>
      <c r="D10" s="33" t="s">
        <v>133</v>
      </c>
      <c r="E10" s="33" t="s">
        <v>171</v>
      </c>
      <c r="F10" s="39"/>
      <c r="G10" s="33"/>
      <c r="H10" s="33" t="s">
        <v>170</v>
      </c>
      <c r="I10" s="35">
        <v>47468</v>
      </c>
      <c r="J10" s="37" t="s">
        <v>222</v>
      </c>
      <c r="K10" s="38" t="s">
        <v>226</v>
      </c>
      <c r="L10" s="72">
        <v>3500</v>
      </c>
      <c r="M10" s="266">
        <v>44059</v>
      </c>
    </row>
    <row r="11" spans="1:14" ht="30" customHeight="1" x14ac:dyDescent="0.25">
      <c r="A11" s="33">
        <v>9</v>
      </c>
      <c r="B11" s="33"/>
      <c r="C11" s="40" t="s">
        <v>121</v>
      </c>
      <c r="D11" s="39" t="s">
        <v>131</v>
      </c>
      <c r="E11" s="39" t="s">
        <v>23</v>
      </c>
      <c r="F11" s="39"/>
      <c r="G11" s="39"/>
      <c r="H11" s="39" t="s">
        <v>64</v>
      </c>
      <c r="I11" s="41">
        <v>43855</v>
      </c>
      <c r="J11" s="37" t="s">
        <v>222</v>
      </c>
      <c r="K11" s="38" t="s">
        <v>223</v>
      </c>
      <c r="L11" s="72">
        <v>8000</v>
      </c>
      <c r="M11" s="266">
        <v>43716</v>
      </c>
    </row>
    <row r="12" spans="1:14" ht="30" customHeight="1" x14ac:dyDescent="0.25">
      <c r="A12" s="33">
        <v>10</v>
      </c>
      <c r="B12" s="33"/>
      <c r="C12" s="42" t="s">
        <v>96</v>
      </c>
      <c r="D12" s="39" t="s">
        <v>131</v>
      </c>
      <c r="E12" s="39" t="s">
        <v>49</v>
      </c>
      <c r="F12" s="39"/>
      <c r="G12" s="39"/>
      <c r="H12" s="39" t="s">
        <v>67</v>
      </c>
      <c r="I12" s="41">
        <v>44740</v>
      </c>
      <c r="J12" s="37" t="s">
        <v>222</v>
      </c>
      <c r="K12" s="38" t="s">
        <v>233</v>
      </c>
      <c r="L12" s="72">
        <v>3500</v>
      </c>
      <c r="M12" s="266">
        <v>43676</v>
      </c>
    </row>
    <row r="13" spans="1:14" ht="30" customHeight="1" x14ac:dyDescent="0.25">
      <c r="A13" s="33">
        <v>11</v>
      </c>
      <c r="B13" s="33"/>
      <c r="C13" s="48" t="s">
        <v>201</v>
      </c>
      <c r="D13" s="33" t="s">
        <v>133</v>
      </c>
      <c r="E13" s="33" t="s">
        <v>212</v>
      </c>
      <c r="F13" s="39"/>
      <c r="G13" s="48"/>
      <c r="H13" s="48"/>
      <c r="I13" s="33" t="s">
        <v>206</v>
      </c>
      <c r="J13" s="37" t="s">
        <v>222</v>
      </c>
      <c r="K13" s="38" t="s">
        <v>262</v>
      </c>
      <c r="L13" s="72">
        <v>3500</v>
      </c>
      <c r="M13" s="266">
        <v>44415</v>
      </c>
    </row>
    <row r="14" spans="1:14" ht="32.25" customHeight="1" x14ac:dyDescent="0.25">
      <c r="A14" s="33">
        <v>12</v>
      </c>
      <c r="B14" s="33"/>
      <c r="C14" s="34" t="s">
        <v>138</v>
      </c>
      <c r="D14" s="33" t="s">
        <v>132</v>
      </c>
      <c r="E14" s="33" t="s">
        <v>36</v>
      </c>
      <c r="F14" s="39"/>
      <c r="G14" s="33">
        <v>7413865</v>
      </c>
      <c r="H14" s="33"/>
      <c r="I14" s="33" t="s">
        <v>73</v>
      </c>
      <c r="J14" s="37" t="s">
        <v>222</v>
      </c>
      <c r="K14" s="76" t="s">
        <v>261</v>
      </c>
      <c r="L14" s="72">
        <v>4000</v>
      </c>
      <c r="M14" s="266">
        <v>44415</v>
      </c>
    </row>
    <row r="15" spans="1:14" ht="32.25" customHeight="1" x14ac:dyDescent="0.25">
      <c r="A15" s="33">
        <v>13</v>
      </c>
      <c r="B15" s="33">
        <v>213</v>
      </c>
      <c r="C15" s="48" t="s">
        <v>141</v>
      </c>
      <c r="D15" s="33" t="s">
        <v>133</v>
      </c>
      <c r="E15" s="33" t="s">
        <v>48</v>
      </c>
      <c r="F15" s="39"/>
      <c r="G15" s="33"/>
      <c r="H15" s="33" t="s">
        <v>77</v>
      </c>
      <c r="I15" s="35">
        <v>45370</v>
      </c>
      <c r="J15" s="37" t="s">
        <v>222</v>
      </c>
      <c r="K15" s="38" t="s">
        <v>263</v>
      </c>
      <c r="L15" s="72">
        <v>3500</v>
      </c>
      <c r="M15" s="266">
        <v>44435</v>
      </c>
    </row>
    <row r="16" spans="1:14" ht="32.25" customHeight="1" x14ac:dyDescent="0.25">
      <c r="A16" s="33">
        <v>14</v>
      </c>
      <c r="B16" s="77"/>
      <c r="C16" s="78" t="s">
        <v>200</v>
      </c>
      <c r="D16" s="77" t="s">
        <v>133</v>
      </c>
      <c r="E16" s="77" t="s">
        <v>211</v>
      </c>
      <c r="F16" s="39"/>
      <c r="G16" s="78"/>
      <c r="H16" s="78"/>
      <c r="I16" s="77" t="s">
        <v>204</v>
      </c>
      <c r="J16" s="37" t="s">
        <v>222</v>
      </c>
      <c r="K16" s="79" t="s">
        <v>264</v>
      </c>
      <c r="L16" s="72">
        <v>3500</v>
      </c>
      <c r="M16" s="266">
        <v>44435</v>
      </c>
    </row>
    <row r="17" spans="1:15" ht="30" customHeight="1" x14ac:dyDescent="0.25">
      <c r="A17" s="33">
        <v>15</v>
      </c>
      <c r="B17" s="33">
        <v>216</v>
      </c>
      <c r="C17" s="34" t="s">
        <v>97</v>
      </c>
      <c r="D17" s="33" t="s">
        <v>133</v>
      </c>
      <c r="E17" s="33" t="s">
        <v>31</v>
      </c>
      <c r="F17" s="75"/>
      <c r="G17" s="78"/>
      <c r="H17" s="33"/>
      <c r="I17" s="33" t="s">
        <v>68</v>
      </c>
      <c r="J17" s="37" t="s">
        <v>222</v>
      </c>
      <c r="K17" s="79" t="s">
        <v>358</v>
      </c>
      <c r="L17" s="72">
        <v>3500</v>
      </c>
      <c r="M17" s="266">
        <v>44467</v>
      </c>
    </row>
    <row r="18" spans="1:15" ht="32.25" customHeight="1" x14ac:dyDescent="0.25">
      <c r="A18" s="33">
        <v>16</v>
      </c>
      <c r="B18" s="77"/>
      <c r="C18" s="78" t="s">
        <v>268</v>
      </c>
      <c r="D18" s="77" t="s">
        <v>133</v>
      </c>
      <c r="E18" s="77" t="s">
        <v>269</v>
      </c>
      <c r="F18" s="75"/>
      <c r="G18" s="77" t="s">
        <v>270</v>
      </c>
      <c r="H18" s="78"/>
      <c r="I18" s="78"/>
      <c r="J18" s="78" t="s">
        <v>360</v>
      </c>
      <c r="K18" s="79" t="s">
        <v>361</v>
      </c>
      <c r="L18" s="72">
        <v>3500</v>
      </c>
      <c r="M18" s="266">
        <v>44643</v>
      </c>
    </row>
    <row r="19" spans="1:15" ht="32.25" customHeight="1" x14ac:dyDescent="0.25">
      <c r="A19" s="33">
        <v>17</v>
      </c>
      <c r="B19" s="99"/>
      <c r="C19" s="100" t="s">
        <v>281</v>
      </c>
      <c r="D19" s="99" t="s">
        <v>133</v>
      </c>
      <c r="E19" s="99" t="s">
        <v>284</v>
      </c>
      <c r="F19" s="75"/>
      <c r="G19" s="99" t="s">
        <v>285</v>
      </c>
      <c r="H19" s="101"/>
      <c r="I19" s="101"/>
      <c r="J19" s="78" t="s">
        <v>360</v>
      </c>
      <c r="K19" s="79" t="s">
        <v>362</v>
      </c>
      <c r="L19" s="72">
        <v>3500</v>
      </c>
      <c r="M19" s="266">
        <v>44643</v>
      </c>
    </row>
    <row r="20" spans="1:15" ht="30" customHeight="1" x14ac:dyDescent="0.25">
      <c r="A20" s="33">
        <v>18</v>
      </c>
      <c r="B20" s="77">
        <v>209</v>
      </c>
      <c r="C20" s="102" t="s">
        <v>126</v>
      </c>
      <c r="D20" s="77" t="s">
        <v>131</v>
      </c>
      <c r="E20" s="77" t="s">
        <v>16</v>
      </c>
      <c r="F20" s="75"/>
      <c r="G20" s="77" t="s">
        <v>59</v>
      </c>
      <c r="H20" s="33" t="s">
        <v>158</v>
      </c>
      <c r="I20" s="78"/>
      <c r="J20" s="78" t="s">
        <v>360</v>
      </c>
      <c r="K20" s="79" t="s">
        <v>378</v>
      </c>
      <c r="L20" s="72">
        <v>8000</v>
      </c>
      <c r="M20" s="266">
        <v>44646</v>
      </c>
    </row>
    <row r="21" spans="1:15" ht="32.25" customHeight="1" x14ac:dyDescent="0.25">
      <c r="A21" s="33">
        <v>19</v>
      </c>
      <c r="B21" s="33">
        <v>226</v>
      </c>
      <c r="C21" s="48" t="s">
        <v>100</v>
      </c>
      <c r="D21" s="33" t="s">
        <v>131</v>
      </c>
      <c r="E21" s="33" t="s">
        <v>33</v>
      </c>
      <c r="F21" s="75"/>
      <c r="G21" s="33" t="s">
        <v>71</v>
      </c>
      <c r="H21" s="78"/>
      <c r="I21" s="33" t="s">
        <v>188</v>
      </c>
      <c r="J21" s="78" t="s">
        <v>360</v>
      </c>
      <c r="K21" s="79" t="s">
        <v>377</v>
      </c>
      <c r="L21" s="72">
        <v>8000</v>
      </c>
      <c r="M21" s="266">
        <v>44646</v>
      </c>
      <c r="N21" s="72"/>
      <c r="O21" s="72"/>
    </row>
    <row r="22" spans="1:15" ht="32.25" customHeight="1" x14ac:dyDescent="0.25">
      <c r="A22" s="33">
        <v>20</v>
      </c>
      <c r="B22" s="77"/>
      <c r="C22" s="78" t="s">
        <v>235</v>
      </c>
      <c r="D22" s="77" t="s">
        <v>133</v>
      </c>
      <c r="E22" s="77" t="s">
        <v>236</v>
      </c>
      <c r="F22" s="75"/>
      <c r="G22" s="77" t="s">
        <v>237</v>
      </c>
      <c r="H22" s="78"/>
      <c r="I22" s="78"/>
      <c r="J22" s="78" t="s">
        <v>360</v>
      </c>
      <c r="K22" s="79" t="s">
        <v>376</v>
      </c>
      <c r="L22" s="72">
        <v>3500</v>
      </c>
      <c r="M22" s="266">
        <v>44646</v>
      </c>
    </row>
    <row r="23" spans="1:15" ht="32.25" customHeight="1" x14ac:dyDescent="0.25">
      <c r="A23" s="33">
        <v>21</v>
      </c>
      <c r="B23" s="77"/>
      <c r="C23" s="78" t="s">
        <v>369</v>
      </c>
      <c r="D23" s="77" t="s">
        <v>133</v>
      </c>
      <c r="E23" s="77" t="s">
        <v>370</v>
      </c>
      <c r="F23" s="75"/>
      <c r="G23" s="77" t="s">
        <v>371</v>
      </c>
      <c r="H23" s="78"/>
      <c r="I23" s="78"/>
      <c r="J23" s="78" t="s">
        <v>360</v>
      </c>
      <c r="K23" s="79" t="s">
        <v>375</v>
      </c>
      <c r="L23" s="72">
        <v>3500</v>
      </c>
      <c r="M23" s="266">
        <v>44646</v>
      </c>
    </row>
    <row r="24" spans="1:15" ht="32.25" customHeight="1" x14ac:dyDescent="0.25">
      <c r="A24" s="33">
        <v>22</v>
      </c>
      <c r="B24" s="99"/>
      <c r="C24" s="101" t="s">
        <v>321</v>
      </c>
      <c r="D24" s="99" t="s">
        <v>133</v>
      </c>
      <c r="E24" s="99" t="s">
        <v>319</v>
      </c>
      <c r="F24" s="75"/>
      <c r="G24" s="99" t="s">
        <v>320</v>
      </c>
      <c r="H24" s="101"/>
      <c r="I24" s="101"/>
      <c r="J24" s="78" t="s">
        <v>360</v>
      </c>
      <c r="K24" s="79" t="s">
        <v>387</v>
      </c>
      <c r="L24" s="72">
        <v>3500</v>
      </c>
      <c r="M24" s="266">
        <v>44652</v>
      </c>
      <c r="N24" s="3" t="s">
        <v>381</v>
      </c>
    </row>
    <row r="25" spans="1:15" ht="32.25" customHeight="1" x14ac:dyDescent="0.25">
      <c r="A25" s="33">
        <v>23</v>
      </c>
      <c r="B25" s="77"/>
      <c r="C25" s="78" t="s">
        <v>245</v>
      </c>
      <c r="D25" s="77" t="s">
        <v>133</v>
      </c>
      <c r="E25" s="77" t="s">
        <v>246</v>
      </c>
      <c r="F25" s="75"/>
      <c r="G25" s="77" t="s">
        <v>247</v>
      </c>
      <c r="H25" s="78"/>
      <c r="I25" s="78"/>
      <c r="J25" s="78" t="s">
        <v>360</v>
      </c>
      <c r="K25" s="79" t="s">
        <v>388</v>
      </c>
      <c r="L25" s="72">
        <v>3500</v>
      </c>
      <c r="M25" s="266">
        <v>44652</v>
      </c>
      <c r="N25" s="3" t="s">
        <v>381</v>
      </c>
    </row>
    <row r="26" spans="1:15" ht="32.25" customHeight="1" x14ac:dyDescent="0.25">
      <c r="A26" s="33">
        <v>24</v>
      </c>
      <c r="B26" s="77"/>
      <c r="C26" s="78" t="s">
        <v>313</v>
      </c>
      <c r="D26" s="77" t="s">
        <v>133</v>
      </c>
      <c r="E26" s="77" t="s">
        <v>314</v>
      </c>
      <c r="F26" s="75"/>
      <c r="G26" s="77" t="s">
        <v>315</v>
      </c>
      <c r="H26" s="78"/>
      <c r="I26" s="78"/>
      <c r="J26" s="78" t="s">
        <v>360</v>
      </c>
      <c r="K26" s="79" t="s">
        <v>389</v>
      </c>
      <c r="L26" s="72">
        <v>3500</v>
      </c>
      <c r="M26" s="266">
        <v>44652</v>
      </c>
      <c r="N26" s="3" t="s">
        <v>381</v>
      </c>
    </row>
    <row r="27" spans="1:15" ht="32.25" customHeight="1" x14ac:dyDescent="0.25">
      <c r="A27" s="33">
        <v>25</v>
      </c>
      <c r="B27" s="77"/>
      <c r="C27" s="78" t="s">
        <v>363</v>
      </c>
      <c r="D27" s="77" t="s">
        <v>133</v>
      </c>
      <c r="E27" s="77" t="s">
        <v>364</v>
      </c>
      <c r="F27" s="75"/>
      <c r="G27" s="77" t="s">
        <v>365</v>
      </c>
      <c r="H27" s="78"/>
      <c r="I27" s="78"/>
      <c r="J27" s="78" t="s">
        <v>360</v>
      </c>
      <c r="K27" s="106" t="s">
        <v>391</v>
      </c>
      <c r="L27" s="72">
        <v>3500</v>
      </c>
      <c r="M27" s="266">
        <v>44652</v>
      </c>
      <c r="N27" s="3" t="s">
        <v>381</v>
      </c>
    </row>
    <row r="28" spans="1:15" ht="32.25" customHeight="1" x14ac:dyDescent="0.25">
      <c r="A28" s="33">
        <v>26</v>
      </c>
      <c r="B28" s="77">
        <v>338</v>
      </c>
      <c r="C28" s="78" t="s">
        <v>208</v>
      </c>
      <c r="D28" s="77" t="s">
        <v>133</v>
      </c>
      <c r="E28" s="77" t="s">
        <v>213</v>
      </c>
      <c r="F28" s="75"/>
      <c r="G28" s="77" t="s">
        <v>207</v>
      </c>
      <c r="H28" s="78"/>
      <c r="I28" s="78"/>
      <c r="J28" s="78" t="s">
        <v>360</v>
      </c>
      <c r="K28" s="106" t="s">
        <v>392</v>
      </c>
      <c r="L28" s="72">
        <v>3500</v>
      </c>
      <c r="M28" s="266">
        <v>44652</v>
      </c>
      <c r="N28" s="3" t="s">
        <v>381</v>
      </c>
    </row>
    <row r="29" spans="1:15" ht="32.25" customHeight="1" x14ac:dyDescent="0.25">
      <c r="A29" s="33">
        <v>27</v>
      </c>
      <c r="B29" s="77"/>
      <c r="C29" s="78" t="s">
        <v>366</v>
      </c>
      <c r="D29" s="77" t="s">
        <v>133</v>
      </c>
      <c r="E29" s="77" t="s">
        <v>367</v>
      </c>
      <c r="F29" s="75"/>
      <c r="G29" s="77" t="s">
        <v>368</v>
      </c>
      <c r="H29" s="78"/>
      <c r="I29" s="78"/>
      <c r="J29" s="78" t="s">
        <v>360</v>
      </c>
      <c r="K29" s="79" t="s">
        <v>390</v>
      </c>
      <c r="L29" s="72">
        <v>3500</v>
      </c>
      <c r="M29" s="266">
        <v>44652</v>
      </c>
      <c r="N29" s="3" t="s">
        <v>381</v>
      </c>
    </row>
    <row r="30" spans="1:15" ht="32.25" customHeight="1" x14ac:dyDescent="0.25">
      <c r="A30" s="33">
        <v>28</v>
      </c>
      <c r="B30" s="77"/>
      <c r="C30" s="78" t="s">
        <v>384</v>
      </c>
      <c r="D30" s="77" t="s">
        <v>133</v>
      </c>
      <c r="E30" s="77" t="s">
        <v>385</v>
      </c>
      <c r="F30" s="75"/>
      <c r="G30" s="77" t="s">
        <v>386</v>
      </c>
      <c r="H30" s="78"/>
      <c r="I30" s="78"/>
      <c r="J30" s="78" t="s">
        <v>360</v>
      </c>
      <c r="K30" s="79" t="s">
        <v>471</v>
      </c>
      <c r="L30" s="72">
        <v>3500</v>
      </c>
      <c r="M30" s="266">
        <v>44667</v>
      </c>
      <c r="N30" s="3" t="s">
        <v>381</v>
      </c>
    </row>
    <row r="31" spans="1:15" ht="32.25" customHeight="1" x14ac:dyDescent="0.25">
      <c r="A31" s="33">
        <v>29</v>
      </c>
      <c r="B31" s="77"/>
      <c r="C31" s="78" t="s">
        <v>265</v>
      </c>
      <c r="D31" s="77" t="s">
        <v>133</v>
      </c>
      <c r="E31" s="77" t="s">
        <v>266</v>
      </c>
      <c r="F31" s="75"/>
      <c r="G31" s="77" t="s">
        <v>267</v>
      </c>
      <c r="H31" s="78"/>
      <c r="I31" s="78"/>
      <c r="J31" s="78" t="s">
        <v>360</v>
      </c>
      <c r="K31" s="79" t="s">
        <v>472</v>
      </c>
      <c r="L31" s="72">
        <v>3500</v>
      </c>
      <c r="M31" s="268"/>
    </row>
    <row r="32" spans="1:15" ht="32.25" customHeight="1" x14ac:dyDescent="0.25">
      <c r="A32" s="33">
        <v>30</v>
      </c>
      <c r="B32" s="77"/>
      <c r="C32" s="78" t="s">
        <v>468</v>
      </c>
      <c r="D32" s="77" t="s">
        <v>133</v>
      </c>
      <c r="E32" s="77" t="s">
        <v>469</v>
      </c>
      <c r="F32" s="75"/>
      <c r="G32" s="77" t="s">
        <v>470</v>
      </c>
      <c r="H32" s="78"/>
      <c r="I32" s="78"/>
      <c r="J32" s="78" t="s">
        <v>360</v>
      </c>
      <c r="K32" s="79" t="s">
        <v>474</v>
      </c>
      <c r="L32" s="72">
        <v>3500</v>
      </c>
    </row>
    <row r="33" spans="1:13" ht="32.25" customHeight="1" x14ac:dyDescent="0.25">
      <c r="A33" s="33">
        <v>31</v>
      </c>
      <c r="B33" s="77"/>
      <c r="C33" s="78" t="s">
        <v>199</v>
      </c>
      <c r="D33" s="77" t="s">
        <v>133</v>
      </c>
      <c r="E33" s="77" t="s">
        <v>210</v>
      </c>
      <c r="F33" s="75"/>
      <c r="G33" s="77" t="s">
        <v>205</v>
      </c>
      <c r="H33" s="78"/>
      <c r="I33" s="78"/>
      <c r="J33" s="78" t="s">
        <v>360</v>
      </c>
      <c r="K33" s="79" t="s">
        <v>475</v>
      </c>
      <c r="L33" s="72">
        <v>3500</v>
      </c>
      <c r="M33" s="268"/>
    </row>
    <row r="34" spans="1:13" ht="32.25" customHeight="1" x14ac:dyDescent="0.25">
      <c r="A34" s="33">
        <v>32</v>
      </c>
      <c r="B34" s="77"/>
      <c r="C34" s="78" t="s">
        <v>326</v>
      </c>
      <c r="D34" s="77" t="s">
        <v>133</v>
      </c>
      <c r="E34" s="77" t="s">
        <v>317</v>
      </c>
      <c r="F34" s="75"/>
      <c r="G34" s="77" t="s">
        <v>318</v>
      </c>
      <c r="H34" s="78"/>
      <c r="I34" s="78"/>
      <c r="J34" s="78" t="s">
        <v>360</v>
      </c>
      <c r="K34" s="79" t="s">
        <v>476</v>
      </c>
      <c r="L34" s="72">
        <v>3500</v>
      </c>
      <c r="M34" s="268"/>
    </row>
    <row r="35" spans="1:13" ht="32.25" customHeight="1" x14ac:dyDescent="0.25">
      <c r="A35" s="33">
        <v>33</v>
      </c>
      <c r="B35" s="77"/>
      <c r="C35" s="78" t="s">
        <v>477</v>
      </c>
      <c r="D35" s="77" t="s">
        <v>133</v>
      </c>
      <c r="E35" s="77" t="s">
        <v>478</v>
      </c>
      <c r="F35" s="75"/>
      <c r="G35" s="77" t="s">
        <v>69</v>
      </c>
      <c r="H35" s="78" t="s">
        <v>188</v>
      </c>
      <c r="I35" s="78"/>
      <c r="J35" s="78" t="s">
        <v>360</v>
      </c>
      <c r="K35" s="79" t="s">
        <v>479</v>
      </c>
      <c r="L35" s="72">
        <v>3500</v>
      </c>
      <c r="M35" s="268"/>
    </row>
    <row r="36" spans="1:13" ht="32.25" customHeight="1" x14ac:dyDescent="0.25">
      <c r="A36" s="33">
        <v>34</v>
      </c>
      <c r="B36" s="77"/>
      <c r="C36" s="78" t="s">
        <v>480</v>
      </c>
      <c r="D36" s="77" t="s">
        <v>133</v>
      </c>
      <c r="E36" s="77" t="s">
        <v>481</v>
      </c>
      <c r="F36" s="75"/>
      <c r="G36" s="77" t="s">
        <v>482</v>
      </c>
      <c r="H36" s="78"/>
      <c r="I36" s="78"/>
      <c r="J36" s="78" t="s">
        <v>360</v>
      </c>
      <c r="K36" s="79" t="s">
        <v>483</v>
      </c>
      <c r="L36" s="72">
        <v>3500</v>
      </c>
      <c r="M36" s="268"/>
    </row>
    <row r="37" spans="1:13" ht="32.25" customHeight="1" x14ac:dyDescent="0.25">
      <c r="A37" s="33">
        <v>35</v>
      </c>
      <c r="B37" s="77"/>
      <c r="C37" s="78" t="s">
        <v>277</v>
      </c>
      <c r="D37" s="77" t="s">
        <v>133</v>
      </c>
      <c r="E37" s="77" t="s">
        <v>278</v>
      </c>
      <c r="F37" s="75"/>
      <c r="G37" s="77" t="s">
        <v>279</v>
      </c>
      <c r="H37" s="78"/>
      <c r="I37" s="78"/>
      <c r="J37" s="78" t="s">
        <v>360</v>
      </c>
      <c r="K37" s="79" t="s">
        <v>484</v>
      </c>
      <c r="L37" s="72">
        <v>3500</v>
      </c>
      <c r="M37" s="268"/>
    </row>
    <row r="38" spans="1:13" ht="32.25" customHeight="1" x14ac:dyDescent="0.25">
      <c r="A38" s="33">
        <v>36</v>
      </c>
      <c r="B38" s="77"/>
      <c r="C38" s="78" t="s">
        <v>485</v>
      </c>
      <c r="D38" s="77" t="s">
        <v>133</v>
      </c>
      <c r="E38" s="77" t="s">
        <v>487</v>
      </c>
      <c r="F38" s="75"/>
      <c r="G38" s="77" t="s">
        <v>488</v>
      </c>
      <c r="H38" s="78"/>
      <c r="I38" s="78"/>
      <c r="J38" s="78" t="s">
        <v>360</v>
      </c>
      <c r="K38" s="79" t="s">
        <v>486</v>
      </c>
      <c r="L38" s="72">
        <v>3500</v>
      </c>
      <c r="M38" s="268"/>
    </row>
    <row r="39" spans="1:13" ht="32.25" customHeight="1" x14ac:dyDescent="0.25">
      <c r="A39" s="33">
        <v>37</v>
      </c>
      <c r="B39" s="77"/>
      <c r="C39" s="78" t="s">
        <v>310</v>
      </c>
      <c r="D39" s="77" t="s">
        <v>133</v>
      </c>
      <c r="E39" s="77" t="s">
        <v>311</v>
      </c>
      <c r="F39" s="75"/>
      <c r="G39" s="77" t="s">
        <v>312</v>
      </c>
      <c r="H39" s="78"/>
      <c r="I39" s="78"/>
      <c r="J39" s="78" t="s">
        <v>360</v>
      </c>
      <c r="K39" s="79" t="s">
        <v>521</v>
      </c>
      <c r="L39" s="72">
        <v>3500</v>
      </c>
      <c r="M39" s="268"/>
    </row>
    <row r="40" spans="1:13" ht="32.25" customHeight="1" x14ac:dyDescent="0.25">
      <c r="A40" s="33">
        <v>38</v>
      </c>
      <c r="B40" s="77"/>
      <c r="C40" s="78" t="s">
        <v>242</v>
      </c>
      <c r="D40" s="77" t="s">
        <v>133</v>
      </c>
      <c r="E40" s="77" t="s">
        <v>243</v>
      </c>
      <c r="F40" s="75"/>
      <c r="G40" s="77" t="s">
        <v>244</v>
      </c>
      <c r="H40" s="78"/>
      <c r="I40" s="78"/>
      <c r="J40" s="78" t="s">
        <v>360</v>
      </c>
      <c r="K40" s="79" t="s">
        <v>524</v>
      </c>
      <c r="L40" s="72">
        <v>3500</v>
      </c>
      <c r="M40" s="268"/>
    </row>
    <row r="41" spans="1:13" ht="32.25" customHeight="1" x14ac:dyDescent="0.25">
      <c r="A41" s="33">
        <v>39</v>
      </c>
      <c r="B41" s="77">
        <v>372</v>
      </c>
      <c r="C41" s="78" t="s">
        <v>258</v>
      </c>
      <c r="D41" s="77" t="s">
        <v>133</v>
      </c>
      <c r="E41" s="77" t="s">
        <v>259</v>
      </c>
      <c r="F41" s="75"/>
      <c r="G41" s="77" t="s">
        <v>260</v>
      </c>
      <c r="H41" s="78"/>
      <c r="I41" s="78"/>
      <c r="J41" s="78" t="s">
        <v>360</v>
      </c>
      <c r="K41" s="79" t="s">
        <v>653</v>
      </c>
      <c r="L41" s="72">
        <v>3500</v>
      </c>
      <c r="M41" s="268"/>
    </row>
    <row r="42" spans="1:13" ht="32.25" customHeight="1" x14ac:dyDescent="0.25">
      <c r="A42" s="33">
        <v>40</v>
      </c>
      <c r="B42" s="77"/>
      <c r="C42" s="138" t="s">
        <v>274</v>
      </c>
      <c r="D42" s="77" t="s">
        <v>132</v>
      </c>
      <c r="E42" s="77" t="s">
        <v>275</v>
      </c>
      <c r="F42" s="75"/>
      <c r="G42" s="77" t="s">
        <v>276</v>
      </c>
      <c r="H42" s="78"/>
      <c r="I42" s="78"/>
      <c r="J42" s="78" t="s">
        <v>360</v>
      </c>
      <c r="K42" s="79" t="s">
        <v>654</v>
      </c>
      <c r="L42" s="72">
        <v>4000</v>
      </c>
      <c r="M42" s="268"/>
    </row>
    <row r="43" spans="1:13" ht="32.25" customHeight="1" x14ac:dyDescent="0.25">
      <c r="A43" s="33">
        <v>41</v>
      </c>
      <c r="B43" s="77"/>
      <c r="C43" s="138" t="s">
        <v>287</v>
      </c>
      <c r="D43" s="77" t="s">
        <v>133</v>
      </c>
      <c r="E43" s="77" t="s">
        <v>288</v>
      </c>
      <c r="F43" s="75"/>
      <c r="G43" s="77" t="s">
        <v>289</v>
      </c>
      <c r="H43" s="78"/>
      <c r="I43" s="78"/>
      <c r="J43" s="78" t="s">
        <v>360</v>
      </c>
      <c r="K43" s="79" t="s">
        <v>655</v>
      </c>
      <c r="L43" s="72">
        <v>3500</v>
      </c>
      <c r="M43" s="268"/>
    </row>
    <row r="44" spans="1:13" ht="32.25" customHeight="1" x14ac:dyDescent="0.25">
      <c r="A44" s="33">
        <v>42</v>
      </c>
      <c r="B44" s="77"/>
      <c r="C44" s="138" t="s">
        <v>249</v>
      </c>
      <c r="D44" s="77" t="s">
        <v>133</v>
      </c>
      <c r="E44" s="77" t="s">
        <v>250</v>
      </c>
      <c r="F44" s="75"/>
      <c r="G44" s="77" t="s">
        <v>251</v>
      </c>
      <c r="H44" s="78"/>
      <c r="I44" s="78"/>
      <c r="J44" s="78" t="s">
        <v>360</v>
      </c>
      <c r="K44" s="79" t="s">
        <v>656</v>
      </c>
      <c r="L44" s="72">
        <v>3500</v>
      </c>
      <c r="M44" s="268"/>
    </row>
    <row r="45" spans="1:13" ht="32.25" customHeight="1" x14ac:dyDescent="0.25">
      <c r="A45" s="33">
        <v>43</v>
      </c>
      <c r="B45" s="77"/>
      <c r="C45" s="138" t="s">
        <v>527</v>
      </c>
      <c r="D45" s="77" t="s">
        <v>133</v>
      </c>
      <c r="E45" s="77" t="s">
        <v>528</v>
      </c>
      <c r="F45" s="75"/>
      <c r="G45" s="77" t="s">
        <v>529</v>
      </c>
      <c r="H45" s="78"/>
      <c r="I45" s="78"/>
      <c r="J45" s="78" t="s">
        <v>360</v>
      </c>
      <c r="K45" s="79" t="s">
        <v>657</v>
      </c>
      <c r="L45" s="72">
        <v>3500</v>
      </c>
      <c r="M45" s="268"/>
    </row>
    <row r="46" spans="1:13" ht="32.25" customHeight="1" x14ac:dyDescent="0.25">
      <c r="A46" s="33">
        <v>44</v>
      </c>
      <c r="B46" s="77"/>
      <c r="C46" s="138" t="s">
        <v>301</v>
      </c>
      <c r="D46" s="77" t="s">
        <v>133</v>
      </c>
      <c r="E46" s="77" t="s">
        <v>302</v>
      </c>
      <c r="F46" s="75"/>
      <c r="G46" s="77" t="s">
        <v>303</v>
      </c>
      <c r="H46" s="78"/>
      <c r="I46" s="78"/>
      <c r="J46" s="78" t="s">
        <v>360</v>
      </c>
      <c r="K46" s="79" t="s">
        <v>671</v>
      </c>
      <c r="L46" s="3"/>
      <c r="M46" s="268"/>
    </row>
    <row r="47" spans="1:13" ht="32.25" customHeight="1" x14ac:dyDescent="0.25">
      <c r="A47" s="33">
        <v>45</v>
      </c>
      <c r="B47" s="77"/>
      <c r="C47" s="138" t="s">
        <v>280</v>
      </c>
      <c r="D47" s="77" t="s">
        <v>133</v>
      </c>
      <c r="E47" s="77" t="s">
        <v>299</v>
      </c>
      <c r="F47" s="75"/>
      <c r="G47" s="77" t="s">
        <v>286</v>
      </c>
      <c r="H47" s="78"/>
      <c r="I47" s="78"/>
      <c r="J47" s="78" t="s">
        <v>360</v>
      </c>
      <c r="K47" s="79" t="s">
        <v>530</v>
      </c>
      <c r="L47" s="72">
        <v>3500</v>
      </c>
      <c r="M47" s="268"/>
    </row>
    <row r="48" spans="1:13" ht="32.25" customHeight="1" x14ac:dyDescent="0.25">
      <c r="A48" s="33">
        <v>46</v>
      </c>
      <c r="B48" s="77">
        <v>433</v>
      </c>
      <c r="C48" s="138" t="s">
        <v>505</v>
      </c>
      <c r="D48" s="77" t="s">
        <v>133</v>
      </c>
      <c r="E48" s="77" t="s">
        <v>506</v>
      </c>
      <c r="F48" s="75"/>
      <c r="G48" s="77" t="s">
        <v>507</v>
      </c>
      <c r="H48" s="78"/>
      <c r="I48" s="78"/>
      <c r="J48" s="78" t="s">
        <v>360</v>
      </c>
      <c r="K48" s="79" t="s">
        <v>531</v>
      </c>
      <c r="L48" s="72">
        <v>3500</v>
      </c>
      <c r="M48" s="268"/>
    </row>
    <row r="49" spans="1:15" ht="32.25" customHeight="1" x14ac:dyDescent="0.25">
      <c r="A49" s="33">
        <v>47</v>
      </c>
      <c r="B49" s="77"/>
      <c r="C49" s="138" t="s">
        <v>489</v>
      </c>
      <c r="D49" s="77" t="s">
        <v>133</v>
      </c>
      <c r="E49" s="77" t="s">
        <v>490</v>
      </c>
      <c r="F49" s="75"/>
      <c r="G49" s="77" t="s">
        <v>658</v>
      </c>
      <c r="H49" s="78"/>
      <c r="I49" s="78"/>
      <c r="J49" s="78" t="s">
        <v>360</v>
      </c>
      <c r="K49" s="79" t="s">
        <v>549</v>
      </c>
      <c r="L49" s="72">
        <v>3500</v>
      </c>
      <c r="M49" s="268"/>
    </row>
    <row r="50" spans="1:15" ht="32.25" customHeight="1" x14ac:dyDescent="0.25">
      <c r="A50" s="33">
        <v>48</v>
      </c>
      <c r="B50" s="77"/>
      <c r="C50" s="138" t="s">
        <v>599</v>
      </c>
      <c r="D50" s="77" t="s">
        <v>133</v>
      </c>
      <c r="E50" s="77" t="s">
        <v>600</v>
      </c>
      <c r="F50" s="75"/>
      <c r="G50" s="77" t="s">
        <v>601</v>
      </c>
      <c r="H50" s="78"/>
      <c r="I50" s="78"/>
      <c r="J50" s="78" t="s">
        <v>360</v>
      </c>
      <c r="K50" s="79" t="s">
        <v>602</v>
      </c>
      <c r="L50" s="72">
        <v>3500</v>
      </c>
      <c r="M50" s="268"/>
    </row>
    <row r="51" spans="1:15" ht="32.25" customHeight="1" x14ac:dyDescent="0.25">
      <c r="A51" s="33">
        <v>49</v>
      </c>
      <c r="B51" s="77"/>
      <c r="C51" s="138" t="s">
        <v>603</v>
      </c>
      <c r="D51" s="77" t="s">
        <v>133</v>
      </c>
      <c r="E51" s="77" t="s">
        <v>604</v>
      </c>
      <c r="F51" s="75"/>
      <c r="G51" s="77" t="s">
        <v>605</v>
      </c>
      <c r="H51" s="78"/>
      <c r="I51" s="78"/>
      <c r="J51" s="78" t="s">
        <v>360</v>
      </c>
      <c r="K51" s="79" t="s">
        <v>606</v>
      </c>
      <c r="L51" s="72">
        <v>3500</v>
      </c>
      <c r="M51" s="268"/>
    </row>
    <row r="52" spans="1:15" ht="32.25" customHeight="1" x14ac:dyDescent="0.25">
      <c r="A52" s="33">
        <v>50</v>
      </c>
      <c r="B52" s="77"/>
      <c r="C52" s="138" t="s">
        <v>607</v>
      </c>
      <c r="D52" s="77" t="s">
        <v>133</v>
      </c>
      <c r="E52" s="77" t="s">
        <v>608</v>
      </c>
      <c r="F52" s="75"/>
      <c r="G52" s="77" t="s">
        <v>609</v>
      </c>
      <c r="H52" s="78"/>
      <c r="I52" s="78"/>
      <c r="J52" s="78" t="s">
        <v>360</v>
      </c>
      <c r="K52" s="79" t="s">
        <v>610</v>
      </c>
      <c r="L52" s="72">
        <v>3500</v>
      </c>
      <c r="M52" s="268"/>
    </row>
    <row r="53" spans="1:15" ht="32.25" customHeight="1" x14ac:dyDescent="0.25">
      <c r="A53" s="33">
        <v>51</v>
      </c>
      <c r="B53" s="77"/>
      <c r="C53" s="138" t="s">
        <v>611</v>
      </c>
      <c r="D53" s="77" t="s">
        <v>133</v>
      </c>
      <c r="E53" s="77" t="s">
        <v>612</v>
      </c>
      <c r="F53" s="75"/>
      <c r="G53" s="77" t="s">
        <v>613</v>
      </c>
      <c r="H53" s="78"/>
      <c r="I53" s="78"/>
      <c r="J53" s="78" t="s">
        <v>360</v>
      </c>
      <c r="K53" s="79" t="s">
        <v>614</v>
      </c>
      <c r="L53" s="72">
        <v>3500</v>
      </c>
      <c r="M53" s="268"/>
    </row>
    <row r="54" spans="1:15" ht="32.25" customHeight="1" x14ac:dyDescent="0.25">
      <c r="A54" s="33">
        <v>52</v>
      </c>
      <c r="B54" s="77"/>
      <c r="C54" s="138" t="s">
        <v>615</v>
      </c>
      <c r="D54" s="77" t="s">
        <v>133</v>
      </c>
      <c r="E54" s="77" t="s">
        <v>187</v>
      </c>
      <c r="F54" s="75"/>
      <c r="G54" s="77" t="s">
        <v>525</v>
      </c>
      <c r="H54" s="78"/>
      <c r="I54" s="78"/>
      <c r="J54" s="78" t="s">
        <v>360</v>
      </c>
      <c r="K54" s="79" t="s">
        <v>616</v>
      </c>
      <c r="L54" s="72">
        <v>3500</v>
      </c>
      <c r="M54" s="268"/>
    </row>
    <row r="55" spans="1:15" ht="32.25" customHeight="1" x14ac:dyDescent="0.25">
      <c r="A55" s="33">
        <v>53</v>
      </c>
      <c r="B55" s="77"/>
      <c r="C55" s="138" t="s">
        <v>282</v>
      </c>
      <c r="D55" s="77" t="s">
        <v>133</v>
      </c>
      <c r="E55" s="77" t="s">
        <v>283</v>
      </c>
      <c r="F55" s="75"/>
      <c r="G55" s="77" t="s">
        <v>617</v>
      </c>
      <c r="H55" s="78"/>
      <c r="I55" s="78"/>
      <c r="J55" s="78" t="s">
        <v>360</v>
      </c>
      <c r="K55" s="79" t="s">
        <v>618</v>
      </c>
      <c r="L55" s="72">
        <v>3500</v>
      </c>
      <c r="M55" s="268"/>
    </row>
    <row r="56" spans="1:15" ht="32.25" customHeight="1" x14ac:dyDescent="0.25">
      <c r="A56" s="33">
        <v>54</v>
      </c>
      <c r="B56" s="77"/>
      <c r="C56" s="138" t="s">
        <v>571</v>
      </c>
      <c r="D56" s="77" t="s">
        <v>133</v>
      </c>
      <c r="E56" s="77" t="s">
        <v>619</v>
      </c>
      <c r="F56" s="75"/>
      <c r="G56" s="77" t="s">
        <v>620</v>
      </c>
      <c r="H56" s="78"/>
      <c r="I56" s="78"/>
      <c r="J56" s="78" t="s">
        <v>360</v>
      </c>
      <c r="K56" s="79" t="s">
        <v>621</v>
      </c>
      <c r="L56" s="72">
        <v>3500</v>
      </c>
      <c r="M56" s="268"/>
    </row>
    <row r="57" spans="1:15" ht="32.25" customHeight="1" x14ac:dyDescent="0.25">
      <c r="A57" s="33">
        <v>55</v>
      </c>
      <c r="B57" s="77"/>
      <c r="C57" s="138" t="s">
        <v>296</v>
      </c>
      <c r="D57" s="77" t="s">
        <v>133</v>
      </c>
      <c r="E57" s="77" t="s">
        <v>297</v>
      </c>
      <c r="F57" s="75"/>
      <c r="G57" s="77" t="s">
        <v>298</v>
      </c>
      <c r="H57" s="78"/>
      <c r="I57" s="78"/>
      <c r="J57" s="78" t="s">
        <v>360</v>
      </c>
      <c r="K57" s="79" t="s">
        <v>650</v>
      </c>
      <c r="L57" s="72">
        <v>3500</v>
      </c>
      <c r="M57" s="268"/>
    </row>
    <row r="58" spans="1:15" ht="32.25" customHeight="1" x14ac:dyDescent="0.25">
      <c r="A58" s="33">
        <v>56</v>
      </c>
      <c r="B58" s="77"/>
      <c r="C58" s="138" t="s">
        <v>564</v>
      </c>
      <c r="D58" s="77" t="s">
        <v>132</v>
      </c>
      <c r="E58" s="77" t="s">
        <v>553</v>
      </c>
      <c r="F58" s="75"/>
      <c r="G58" s="77" t="s">
        <v>554</v>
      </c>
      <c r="H58" s="78"/>
      <c r="I58" s="78"/>
      <c r="J58" s="78" t="s">
        <v>360</v>
      </c>
      <c r="K58" s="79" t="s">
        <v>651</v>
      </c>
      <c r="L58" s="72">
        <v>3500</v>
      </c>
      <c r="M58" s="268"/>
    </row>
    <row r="59" spans="1:15" ht="32.25" customHeight="1" x14ac:dyDescent="0.25">
      <c r="A59" s="33">
        <v>57</v>
      </c>
      <c r="B59" s="77"/>
      <c r="C59" s="138" t="s">
        <v>540</v>
      </c>
      <c r="D59" s="77" t="s">
        <v>133</v>
      </c>
      <c r="E59" s="77" t="s">
        <v>541</v>
      </c>
      <c r="F59" s="75"/>
      <c r="G59" s="77" t="s">
        <v>542</v>
      </c>
      <c r="H59" s="78"/>
      <c r="I59" s="78"/>
      <c r="J59" s="78" t="s">
        <v>360</v>
      </c>
      <c r="K59" s="79" t="s">
        <v>652</v>
      </c>
      <c r="L59" s="72">
        <v>3500</v>
      </c>
      <c r="M59" s="268"/>
    </row>
    <row r="60" spans="1:15" ht="30" customHeight="1" x14ac:dyDescent="0.25">
      <c r="A60" s="33">
        <v>58</v>
      </c>
      <c r="B60" s="77"/>
      <c r="C60" s="138" t="s">
        <v>95</v>
      </c>
      <c r="D60" s="77" t="s">
        <v>659</v>
      </c>
      <c r="E60" s="77" t="s">
        <v>30</v>
      </c>
      <c r="F60" s="75"/>
      <c r="G60" s="77" t="s">
        <v>66</v>
      </c>
      <c r="H60" s="78"/>
      <c r="I60" s="78"/>
      <c r="J60" s="78" t="s">
        <v>360</v>
      </c>
      <c r="K60" s="79" t="s">
        <v>661</v>
      </c>
      <c r="L60" s="3"/>
      <c r="M60" s="268"/>
    </row>
    <row r="61" spans="1:15" ht="32.25" customHeight="1" x14ac:dyDescent="0.25">
      <c r="A61" s="33">
        <v>59</v>
      </c>
      <c r="B61" s="77"/>
      <c r="C61" s="138" t="s">
        <v>587</v>
      </c>
      <c r="D61" s="77" t="s">
        <v>133</v>
      </c>
      <c r="E61" s="77" t="s">
        <v>589</v>
      </c>
      <c r="F61" s="75"/>
      <c r="G61" s="77" t="s">
        <v>588</v>
      </c>
      <c r="H61" s="78"/>
      <c r="I61" s="78"/>
      <c r="J61" s="78" t="s">
        <v>360</v>
      </c>
      <c r="K61" s="79" t="s">
        <v>660</v>
      </c>
      <c r="L61" s="3"/>
      <c r="M61" s="268"/>
    </row>
    <row r="62" spans="1:15" ht="32.25" customHeight="1" x14ac:dyDescent="0.25">
      <c r="A62" s="33">
        <v>60</v>
      </c>
      <c r="B62" s="77"/>
      <c r="C62" s="138" t="s">
        <v>330</v>
      </c>
      <c r="D62" s="77" t="s">
        <v>133</v>
      </c>
      <c r="E62" s="77" t="s">
        <v>331</v>
      </c>
      <c r="F62" s="75"/>
      <c r="G62" s="77" t="s">
        <v>332</v>
      </c>
      <c r="H62" s="78"/>
      <c r="I62" s="78"/>
      <c r="J62" s="78" t="s">
        <v>575</v>
      </c>
      <c r="K62" s="79" t="s">
        <v>672</v>
      </c>
      <c r="L62" s="73"/>
      <c r="M62" s="268"/>
    </row>
    <row r="63" spans="1:15" s="140" customFormat="1" ht="32.25" customHeight="1" x14ac:dyDescent="0.25">
      <c r="A63" s="33">
        <v>61</v>
      </c>
      <c r="B63" s="77"/>
      <c r="C63" s="138" t="s">
        <v>343</v>
      </c>
      <c r="D63" s="77" t="s">
        <v>133</v>
      </c>
      <c r="E63" s="77" t="s">
        <v>346</v>
      </c>
      <c r="F63" s="75"/>
      <c r="G63" s="77" t="s">
        <v>347</v>
      </c>
      <c r="H63" s="78"/>
      <c r="I63" s="78"/>
      <c r="J63" s="78" t="s">
        <v>575</v>
      </c>
      <c r="K63" s="79" t="s">
        <v>673</v>
      </c>
      <c r="L63" s="73"/>
      <c r="M63" s="268"/>
      <c r="N63" s="3"/>
      <c r="O63" s="3"/>
    </row>
    <row r="64" spans="1:15" ht="32.25" customHeight="1" x14ac:dyDescent="0.25">
      <c r="A64" s="33">
        <v>62</v>
      </c>
      <c r="B64" s="77"/>
      <c r="C64" s="138" t="s">
        <v>491</v>
      </c>
      <c r="D64" s="77" t="s">
        <v>133</v>
      </c>
      <c r="E64" s="77" t="s">
        <v>492</v>
      </c>
      <c r="F64" s="75"/>
      <c r="G64" s="77" t="s">
        <v>493</v>
      </c>
      <c r="H64" s="78"/>
      <c r="I64" s="78"/>
      <c r="J64" s="78" t="s">
        <v>575</v>
      </c>
      <c r="K64" s="79" t="s">
        <v>674</v>
      </c>
      <c r="L64" s="73"/>
      <c r="M64" s="268"/>
    </row>
    <row r="65" spans="1:31" ht="32.25" customHeight="1" x14ac:dyDescent="0.25">
      <c r="A65" s="33">
        <v>63</v>
      </c>
      <c r="B65" s="77"/>
      <c r="C65" s="138" t="s">
        <v>252</v>
      </c>
      <c r="D65" s="77" t="s">
        <v>133</v>
      </c>
      <c r="E65" s="77" t="s">
        <v>253</v>
      </c>
      <c r="F65" s="75"/>
      <c r="G65" s="77" t="s">
        <v>254</v>
      </c>
      <c r="H65" s="78"/>
      <c r="I65" s="78"/>
      <c r="J65" s="78" t="s">
        <v>575</v>
      </c>
      <c r="K65" s="79" t="s">
        <v>675</v>
      </c>
      <c r="L65" s="73"/>
      <c r="M65" s="268"/>
    </row>
    <row r="66" spans="1:31" ht="32.25" customHeight="1" x14ac:dyDescent="0.25">
      <c r="A66" s="33">
        <v>64</v>
      </c>
      <c r="B66" s="77"/>
      <c r="C66" s="138" t="s">
        <v>501</v>
      </c>
      <c r="D66" s="77" t="s">
        <v>133</v>
      </c>
      <c r="E66" s="77" t="s">
        <v>502</v>
      </c>
      <c r="F66" s="75"/>
      <c r="G66" s="77" t="s">
        <v>503</v>
      </c>
      <c r="H66" s="78"/>
      <c r="I66" s="78"/>
      <c r="J66" s="78" t="s">
        <v>575</v>
      </c>
      <c r="K66" s="79" t="s">
        <v>683</v>
      </c>
      <c r="L66" s="3" t="s">
        <v>188</v>
      </c>
      <c r="M66" s="268"/>
    </row>
    <row r="67" spans="1:31" ht="32.25" customHeight="1" x14ac:dyDescent="0.25">
      <c r="A67" s="33">
        <v>65</v>
      </c>
      <c r="B67" s="77">
        <v>429</v>
      </c>
      <c r="C67" s="138" t="s">
        <v>465</v>
      </c>
      <c r="D67" s="77" t="s">
        <v>133</v>
      </c>
      <c r="E67" s="77" t="s">
        <v>466</v>
      </c>
      <c r="F67" s="75"/>
      <c r="G67" s="77" t="s">
        <v>467</v>
      </c>
      <c r="H67" s="78"/>
      <c r="I67" s="78"/>
      <c r="J67" s="78" t="s">
        <v>575</v>
      </c>
      <c r="K67" s="79" t="s">
        <v>684</v>
      </c>
      <c r="L67" s="3"/>
      <c r="M67" s="268"/>
    </row>
    <row r="68" spans="1:31" ht="32.25" customHeight="1" x14ac:dyDescent="0.25">
      <c r="A68" s="33">
        <v>66</v>
      </c>
      <c r="B68" s="77"/>
      <c r="C68" s="138" t="s">
        <v>694</v>
      </c>
      <c r="D68" s="77" t="s">
        <v>133</v>
      </c>
      <c r="E68" s="77" t="s">
        <v>695</v>
      </c>
      <c r="F68" s="75"/>
      <c r="G68" s="77" t="s">
        <v>696</v>
      </c>
      <c r="H68" s="78"/>
      <c r="I68" s="78"/>
      <c r="J68" s="78" t="s">
        <v>575</v>
      </c>
      <c r="K68" s="79" t="s">
        <v>697</v>
      </c>
      <c r="L68" s="3"/>
      <c r="M68" s="268"/>
    </row>
    <row r="69" spans="1:31" ht="32.25" customHeight="1" x14ac:dyDescent="0.25">
      <c r="A69" s="33">
        <v>67</v>
      </c>
      <c r="B69" s="77">
        <v>430</v>
      </c>
      <c r="C69" s="138" t="s">
        <v>494</v>
      </c>
      <c r="D69" s="77" t="s">
        <v>133</v>
      </c>
      <c r="E69" s="77" t="s">
        <v>495</v>
      </c>
      <c r="F69" s="75"/>
      <c r="G69" s="77" t="s">
        <v>496</v>
      </c>
      <c r="H69" s="78"/>
      <c r="I69" s="78"/>
      <c r="J69" s="78" t="s">
        <v>575</v>
      </c>
      <c r="K69" s="79" t="s">
        <v>702</v>
      </c>
      <c r="L69" s="3"/>
      <c r="M69" s="268"/>
    </row>
    <row r="70" spans="1:31" ht="32.25" customHeight="1" x14ac:dyDescent="0.25">
      <c r="A70" s="33">
        <v>68</v>
      </c>
      <c r="B70" s="77">
        <v>512</v>
      </c>
      <c r="C70" s="138" t="s">
        <v>522</v>
      </c>
      <c r="D70" s="77" t="s">
        <v>133</v>
      </c>
      <c r="E70" s="77" t="s">
        <v>532</v>
      </c>
      <c r="F70" s="75"/>
      <c r="G70" s="77" t="s">
        <v>523</v>
      </c>
      <c r="H70" s="78"/>
      <c r="I70" s="78"/>
      <c r="J70" s="78" t="s">
        <v>575</v>
      </c>
      <c r="K70" s="79" t="s">
        <v>703</v>
      </c>
      <c r="L70" s="3"/>
      <c r="M70" s="268"/>
    </row>
    <row r="71" spans="1:31" ht="32.25" customHeight="1" x14ac:dyDescent="0.25">
      <c r="A71" s="33">
        <v>69</v>
      </c>
      <c r="B71" s="77"/>
      <c r="C71" s="138" t="s">
        <v>536</v>
      </c>
      <c r="D71" s="77" t="s">
        <v>133</v>
      </c>
      <c r="E71" s="77" t="s">
        <v>537</v>
      </c>
      <c r="F71" s="75"/>
      <c r="G71" s="77" t="s">
        <v>538</v>
      </c>
      <c r="H71" s="78"/>
      <c r="I71" s="78"/>
      <c r="J71" s="78" t="s">
        <v>575</v>
      </c>
      <c r="K71" s="78" t="s">
        <v>710</v>
      </c>
      <c r="L71" s="72" t="s">
        <v>188</v>
      </c>
      <c r="N71" s="72"/>
      <c r="O71" s="72"/>
    </row>
    <row r="72" spans="1:31" ht="32.25" customHeight="1" x14ac:dyDescent="0.25">
      <c r="A72" s="33">
        <v>70</v>
      </c>
      <c r="B72" s="77"/>
      <c r="C72" s="138" t="s">
        <v>626</v>
      </c>
      <c r="D72" s="77" t="s">
        <v>133</v>
      </c>
      <c r="E72" s="77" t="s">
        <v>627</v>
      </c>
      <c r="F72" s="75"/>
      <c r="G72" s="77" t="s">
        <v>628</v>
      </c>
      <c r="H72" s="78"/>
      <c r="I72" s="78"/>
      <c r="J72" s="78" t="s">
        <v>575</v>
      </c>
      <c r="K72" s="78" t="s">
        <v>711</v>
      </c>
      <c r="L72" s="72" t="s">
        <v>188</v>
      </c>
      <c r="N72" s="72"/>
      <c r="O72" s="72"/>
    </row>
    <row r="73" spans="1:31" ht="32.25" customHeight="1" x14ac:dyDescent="0.25">
      <c r="A73" s="33">
        <v>71</v>
      </c>
      <c r="B73" s="77"/>
      <c r="C73" s="138" t="s">
        <v>676</v>
      </c>
      <c r="D73" s="77" t="s">
        <v>133</v>
      </c>
      <c r="E73" s="77" t="s">
        <v>678</v>
      </c>
      <c r="F73" s="75"/>
      <c r="G73" s="77" t="s">
        <v>677</v>
      </c>
      <c r="H73" s="78"/>
      <c r="I73" s="78"/>
      <c r="J73" s="78" t="s">
        <v>575</v>
      </c>
      <c r="K73" s="78" t="s">
        <v>713</v>
      </c>
      <c r="L73" s="72" t="s">
        <v>188</v>
      </c>
      <c r="N73" s="72"/>
      <c r="O73" s="72"/>
    </row>
    <row r="74" spans="1:31" s="140" customFormat="1" ht="32.25" customHeight="1" x14ac:dyDescent="0.25">
      <c r="A74" s="33">
        <v>72</v>
      </c>
      <c r="B74" s="77"/>
      <c r="C74" s="138" t="s">
        <v>327</v>
      </c>
      <c r="D74" s="77" t="s">
        <v>133</v>
      </c>
      <c r="E74" s="77" t="s">
        <v>328</v>
      </c>
      <c r="F74" s="75"/>
      <c r="G74" s="77" t="s">
        <v>329</v>
      </c>
      <c r="H74" s="78"/>
      <c r="I74" s="78"/>
      <c r="J74" s="78" t="s">
        <v>575</v>
      </c>
      <c r="K74" s="78" t="s">
        <v>718</v>
      </c>
      <c r="M74" s="269" t="s">
        <v>188</v>
      </c>
    </row>
    <row r="75" spans="1:31" ht="32.25" customHeight="1" x14ac:dyDescent="0.25">
      <c r="A75" s="33">
        <v>73</v>
      </c>
      <c r="B75" s="77">
        <v>394</v>
      </c>
      <c r="C75" s="138" t="s">
        <v>290</v>
      </c>
      <c r="D75" s="77" t="s">
        <v>133</v>
      </c>
      <c r="E75" s="77" t="s">
        <v>291</v>
      </c>
      <c r="F75" s="75"/>
      <c r="G75" s="77" t="s">
        <v>292</v>
      </c>
      <c r="H75" s="78"/>
      <c r="I75" s="78"/>
      <c r="J75" s="78" t="s">
        <v>575</v>
      </c>
      <c r="K75" s="78" t="s">
        <v>719</v>
      </c>
      <c r="L75" s="3"/>
      <c r="M75" s="268"/>
    </row>
    <row r="76" spans="1:31" s="140" customFormat="1" ht="32.25" customHeight="1" x14ac:dyDescent="0.25">
      <c r="A76" s="33">
        <v>74</v>
      </c>
      <c r="B76" s="77">
        <v>424</v>
      </c>
      <c r="C76" s="138" t="s">
        <v>353</v>
      </c>
      <c r="D76" s="77" t="s">
        <v>133</v>
      </c>
      <c r="E76" s="77" t="s">
        <v>355</v>
      </c>
      <c r="F76" s="75"/>
      <c r="G76" s="77" t="s">
        <v>356</v>
      </c>
      <c r="H76" s="78"/>
      <c r="I76" s="78"/>
      <c r="J76" s="78" t="s">
        <v>575</v>
      </c>
      <c r="K76" s="78" t="s">
        <v>738</v>
      </c>
      <c r="M76" s="269"/>
    </row>
    <row r="77" spans="1:31" s="140" customFormat="1" ht="30" customHeight="1" x14ac:dyDescent="0.25">
      <c r="A77" s="33">
        <v>75</v>
      </c>
      <c r="B77" s="77"/>
      <c r="C77" s="138" t="s">
        <v>197</v>
      </c>
      <c r="D77" s="77" t="s">
        <v>133</v>
      </c>
      <c r="E77" s="77" t="s">
        <v>209</v>
      </c>
      <c r="F77" s="75"/>
      <c r="G77" s="77" t="s">
        <v>198</v>
      </c>
      <c r="H77" s="78"/>
      <c r="I77" s="78"/>
      <c r="J77" s="78" t="s">
        <v>575</v>
      </c>
      <c r="K77" s="78" t="s">
        <v>739</v>
      </c>
      <c r="M77" s="269"/>
    </row>
    <row r="78" spans="1:31" s="140" customFormat="1" ht="32.25" customHeight="1" x14ac:dyDescent="0.25">
      <c r="A78" s="33">
        <v>76</v>
      </c>
      <c r="B78" s="77"/>
      <c r="C78" s="138" t="s">
        <v>239</v>
      </c>
      <c r="D78" s="77"/>
      <c r="E78" s="77" t="s">
        <v>240</v>
      </c>
      <c r="F78" s="75"/>
      <c r="G78" s="77" t="s">
        <v>241</v>
      </c>
      <c r="H78" s="78"/>
      <c r="I78" s="78"/>
      <c r="J78" s="78" t="s">
        <v>575</v>
      </c>
      <c r="K78" s="78" t="s">
        <v>747</v>
      </c>
      <c r="L78" s="140" t="s">
        <v>188</v>
      </c>
      <c r="M78" s="269"/>
    </row>
    <row r="79" spans="1:31" ht="32.25" customHeight="1" x14ac:dyDescent="0.25">
      <c r="A79" s="33">
        <v>77</v>
      </c>
      <c r="B79" s="77">
        <v>401</v>
      </c>
      <c r="C79" s="138" t="s">
        <v>307</v>
      </c>
      <c r="D79" s="77" t="s">
        <v>133</v>
      </c>
      <c r="E79" s="77" t="s">
        <v>308</v>
      </c>
      <c r="F79" s="75"/>
      <c r="G79" s="77" t="s">
        <v>309</v>
      </c>
      <c r="H79" s="78"/>
      <c r="I79" s="78"/>
      <c r="J79" s="78" t="s">
        <v>575</v>
      </c>
      <c r="K79" s="78" t="s">
        <v>751</v>
      </c>
      <c r="L79" s="140" t="s">
        <v>188</v>
      </c>
      <c r="M79" s="269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</row>
    <row r="80" spans="1:31" ht="30" customHeight="1" x14ac:dyDescent="0.25">
      <c r="A80" s="33">
        <v>78</v>
      </c>
      <c r="B80" s="77"/>
      <c r="C80" s="138" t="s">
        <v>504</v>
      </c>
      <c r="D80" s="77" t="s">
        <v>133</v>
      </c>
      <c r="E80" s="77" t="s">
        <v>189</v>
      </c>
      <c r="F80" s="75"/>
      <c r="G80" s="77" t="s">
        <v>183</v>
      </c>
      <c r="H80" s="78"/>
      <c r="I80" s="78"/>
      <c r="J80" s="78" t="s">
        <v>575</v>
      </c>
      <c r="K80" s="78" t="s">
        <v>767</v>
      </c>
      <c r="L80" s="140" t="s">
        <v>188</v>
      </c>
      <c r="M80" s="269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</row>
    <row r="81" spans="1:34" s="140" customFormat="1" ht="32.25" customHeight="1" x14ac:dyDescent="0.25">
      <c r="A81" s="33">
        <v>79</v>
      </c>
      <c r="B81" s="77"/>
      <c r="C81" s="138" t="s">
        <v>550</v>
      </c>
      <c r="D81" s="77" t="s">
        <v>132</v>
      </c>
      <c r="E81" s="77" t="s">
        <v>551</v>
      </c>
      <c r="F81" s="75"/>
      <c r="G81" s="77" t="s">
        <v>552</v>
      </c>
      <c r="H81" s="78"/>
      <c r="I81" s="78"/>
      <c r="J81" s="78" t="s">
        <v>575</v>
      </c>
      <c r="K81" s="78" t="s">
        <v>772</v>
      </c>
      <c r="L81" s="140" t="s">
        <v>188</v>
      </c>
      <c r="M81" s="269"/>
      <c r="AF81" s="3"/>
      <c r="AG81" s="3"/>
      <c r="AH81" s="3"/>
    </row>
    <row r="82" spans="1:34" ht="32.25" customHeight="1" x14ac:dyDescent="0.25">
      <c r="A82" s="33">
        <v>80</v>
      </c>
      <c r="B82" s="77">
        <v>425</v>
      </c>
      <c r="C82" s="138" t="s">
        <v>354</v>
      </c>
      <c r="D82" s="77" t="s">
        <v>133</v>
      </c>
      <c r="E82" s="77" t="s">
        <v>352</v>
      </c>
      <c r="F82" s="75"/>
      <c r="G82" s="77" t="s">
        <v>357</v>
      </c>
      <c r="H82" s="78"/>
      <c r="I82" s="78"/>
      <c r="J82" s="78" t="s">
        <v>575</v>
      </c>
      <c r="K82" s="78" t="s">
        <v>820</v>
      </c>
      <c r="L82" s="140" t="s">
        <v>188</v>
      </c>
      <c r="M82" s="269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</row>
    <row r="83" spans="1:34" ht="32.25" customHeight="1" x14ac:dyDescent="0.25">
      <c r="A83" s="33">
        <v>81</v>
      </c>
      <c r="B83" s="77"/>
      <c r="C83" s="138" t="s">
        <v>804</v>
      </c>
      <c r="D83" s="77" t="s">
        <v>132</v>
      </c>
      <c r="E83" s="77" t="s">
        <v>805</v>
      </c>
      <c r="F83" s="75"/>
      <c r="G83" s="77" t="s">
        <v>806</v>
      </c>
      <c r="H83" s="78"/>
      <c r="I83" s="78"/>
      <c r="J83" s="78" t="s">
        <v>575</v>
      </c>
      <c r="K83" s="78" t="s">
        <v>807</v>
      </c>
      <c r="L83" s="140" t="s">
        <v>188</v>
      </c>
      <c r="M83" s="269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</row>
    <row r="84" spans="1:34" ht="32.25" customHeight="1" x14ac:dyDescent="0.25">
      <c r="A84" s="33">
        <v>82</v>
      </c>
      <c r="B84" s="77"/>
      <c r="C84" s="138" t="s">
        <v>815</v>
      </c>
      <c r="D84" s="77" t="s">
        <v>132</v>
      </c>
      <c r="E84" s="77" t="s">
        <v>817</v>
      </c>
      <c r="F84" s="75"/>
      <c r="G84" s="77" t="s">
        <v>818</v>
      </c>
      <c r="H84" s="78"/>
      <c r="I84" s="78"/>
      <c r="J84" s="78" t="s">
        <v>575</v>
      </c>
      <c r="K84" s="78" t="s">
        <v>838</v>
      </c>
      <c r="L84" s="140"/>
      <c r="M84" s="269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</row>
    <row r="85" spans="1:34" ht="32.25" customHeight="1" x14ac:dyDescent="0.25">
      <c r="A85" s="33">
        <v>83</v>
      </c>
      <c r="B85" s="77"/>
      <c r="C85" s="138" t="s">
        <v>584</v>
      </c>
      <c r="D85" s="77" t="s">
        <v>132</v>
      </c>
      <c r="E85" s="77" t="s">
        <v>585</v>
      </c>
      <c r="F85" s="75"/>
      <c r="G85" s="77" t="s">
        <v>586</v>
      </c>
      <c r="H85" s="78"/>
      <c r="I85" s="78"/>
      <c r="J85" s="78" t="s">
        <v>575</v>
      </c>
      <c r="K85" s="78" t="s">
        <v>819</v>
      </c>
      <c r="L85" s="140" t="s">
        <v>188</v>
      </c>
      <c r="M85" s="269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</row>
    <row r="86" spans="1:34" ht="32.25" customHeight="1" x14ac:dyDescent="0.25">
      <c r="A86" s="33">
        <v>84</v>
      </c>
      <c r="B86" s="77"/>
      <c r="C86" s="138" t="s">
        <v>557</v>
      </c>
      <c r="D86" s="77" t="s">
        <v>132</v>
      </c>
      <c r="E86" s="77" t="s">
        <v>558</v>
      </c>
      <c r="F86" s="75"/>
      <c r="G86" s="77" t="s">
        <v>559</v>
      </c>
      <c r="H86" s="78"/>
      <c r="I86" s="78"/>
      <c r="J86" s="78" t="s">
        <v>575</v>
      </c>
      <c r="K86" s="78" t="s">
        <v>836</v>
      </c>
      <c r="L86" s="140"/>
      <c r="M86" s="269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</row>
    <row r="87" spans="1:34" ht="32.25" customHeight="1" x14ac:dyDescent="0.25">
      <c r="A87" s="33">
        <v>85</v>
      </c>
      <c r="B87" s="77"/>
      <c r="C87" s="138" t="s">
        <v>720</v>
      </c>
      <c r="D87" s="77" t="s">
        <v>132</v>
      </c>
      <c r="E87" s="77" t="s">
        <v>721</v>
      </c>
      <c r="F87" s="75"/>
      <c r="G87" s="77" t="s">
        <v>722</v>
      </c>
      <c r="H87" s="78"/>
      <c r="I87" s="78"/>
      <c r="J87" s="78" t="s">
        <v>575</v>
      </c>
      <c r="K87" s="78" t="s">
        <v>839</v>
      </c>
      <c r="L87" s="140"/>
      <c r="M87" s="269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</row>
    <row r="88" spans="1:34" ht="32.25" customHeight="1" x14ac:dyDescent="0.25">
      <c r="A88" s="33">
        <v>86</v>
      </c>
      <c r="B88" s="77"/>
      <c r="C88" s="138" t="s">
        <v>723</v>
      </c>
      <c r="D88" s="77" t="s">
        <v>132</v>
      </c>
      <c r="E88" s="77" t="s">
        <v>724</v>
      </c>
      <c r="F88" s="75"/>
      <c r="G88" s="77" t="s">
        <v>725</v>
      </c>
      <c r="H88" s="78"/>
      <c r="I88" s="78"/>
      <c r="J88" s="78" t="s">
        <v>575</v>
      </c>
      <c r="K88" s="78" t="s">
        <v>833</v>
      </c>
      <c r="L88" s="140"/>
      <c r="M88" s="269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</row>
    <row r="89" spans="1:34" ht="32.25" customHeight="1" x14ac:dyDescent="0.25">
      <c r="A89" s="33">
        <v>87</v>
      </c>
      <c r="B89" s="77"/>
      <c r="C89" s="138" t="s">
        <v>111</v>
      </c>
      <c r="D89" s="77" t="s">
        <v>131</v>
      </c>
      <c r="E89" s="77" t="s">
        <v>47</v>
      </c>
      <c r="F89" s="75"/>
      <c r="G89" s="77" t="s">
        <v>681</v>
      </c>
      <c r="H89" s="78"/>
      <c r="I89" s="78"/>
      <c r="J89" s="78" t="s">
        <v>575</v>
      </c>
      <c r="K89" s="78" t="s">
        <v>834</v>
      </c>
      <c r="L89" s="140"/>
      <c r="M89" s="269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</row>
    <row r="90" spans="1:34" ht="32.25" customHeight="1" x14ac:dyDescent="0.25">
      <c r="A90" s="33">
        <v>88</v>
      </c>
      <c r="B90" s="77"/>
      <c r="C90" s="138" t="s">
        <v>741</v>
      </c>
      <c r="D90" s="77" t="s">
        <v>132</v>
      </c>
      <c r="E90" s="77" t="s">
        <v>742</v>
      </c>
      <c r="F90" s="75"/>
      <c r="G90" s="77" t="s">
        <v>743</v>
      </c>
      <c r="H90" s="78"/>
      <c r="I90" s="78"/>
      <c r="J90" s="78" t="s">
        <v>575</v>
      </c>
      <c r="K90" s="78" t="s">
        <v>835</v>
      </c>
      <c r="L90" s="140"/>
      <c r="M90" s="269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</row>
    <row r="91" spans="1:34" ht="32.25" customHeight="1" x14ac:dyDescent="0.25">
      <c r="A91" s="33">
        <v>89</v>
      </c>
      <c r="B91" s="77"/>
      <c r="C91" s="138" t="s">
        <v>563</v>
      </c>
      <c r="D91" s="77" t="s">
        <v>132</v>
      </c>
      <c r="E91" s="77" t="s">
        <v>555</v>
      </c>
      <c r="F91" s="75"/>
      <c r="G91" s="77" t="s">
        <v>556</v>
      </c>
      <c r="H91" s="78"/>
      <c r="I91" s="78"/>
      <c r="J91" s="78" t="s">
        <v>575</v>
      </c>
      <c r="K91" s="78" t="s">
        <v>847</v>
      </c>
      <c r="L91" s="140"/>
      <c r="M91" s="269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</row>
    <row r="92" spans="1:34" ht="30" customHeight="1" x14ac:dyDescent="0.25">
      <c r="A92" s="33">
        <v>90</v>
      </c>
      <c r="B92" s="77"/>
      <c r="C92" s="263" t="s">
        <v>54</v>
      </c>
      <c r="D92" s="264" t="s">
        <v>131</v>
      </c>
      <c r="E92" s="77" t="s">
        <v>8</v>
      </c>
      <c r="F92" s="78"/>
      <c r="G92" s="77" t="s">
        <v>185</v>
      </c>
      <c r="H92" s="265"/>
      <c r="I92" s="265"/>
      <c r="J92" s="106" t="s">
        <v>888</v>
      </c>
      <c r="K92" s="78" t="s">
        <v>910</v>
      </c>
      <c r="L92" s="140"/>
      <c r="M92" s="269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</row>
    <row r="93" spans="1:34" ht="32.25" customHeight="1" x14ac:dyDescent="0.25">
      <c r="A93" s="33">
        <v>91</v>
      </c>
      <c r="B93" s="77">
        <v>561</v>
      </c>
      <c r="C93" s="263" t="s">
        <v>841</v>
      </c>
      <c r="D93" s="264" t="s">
        <v>132</v>
      </c>
      <c r="E93" s="77" t="s">
        <v>842</v>
      </c>
      <c r="F93" s="78"/>
      <c r="G93" s="77" t="s">
        <v>909</v>
      </c>
      <c r="H93" s="265"/>
      <c r="I93" s="265"/>
      <c r="J93" s="78" t="s">
        <v>575</v>
      </c>
      <c r="K93" s="106" t="s">
        <v>908</v>
      </c>
      <c r="L93" s="140"/>
      <c r="M93" s="268"/>
    </row>
    <row r="94" spans="1:34" ht="32.25" customHeight="1" x14ac:dyDescent="0.25">
      <c r="A94" s="33">
        <v>92</v>
      </c>
      <c r="B94" s="77"/>
      <c r="C94" s="263" t="s">
        <v>568</v>
      </c>
      <c r="D94" s="264" t="s">
        <v>133</v>
      </c>
      <c r="E94" s="77" t="s">
        <v>569</v>
      </c>
      <c r="F94" s="78"/>
      <c r="G94" s="265" t="s">
        <v>570</v>
      </c>
      <c r="H94" s="265"/>
      <c r="I94" s="265"/>
      <c r="J94" s="78" t="s">
        <v>575</v>
      </c>
      <c r="K94" s="106" t="s">
        <v>898</v>
      </c>
      <c r="L94" s="3">
        <v>3500</v>
      </c>
      <c r="M94" s="268">
        <v>45305</v>
      </c>
    </row>
    <row r="95" spans="1:34" ht="32.25" customHeight="1" x14ac:dyDescent="0.25">
      <c r="A95" s="33">
        <v>93</v>
      </c>
      <c r="B95" s="77">
        <v>578</v>
      </c>
      <c r="C95" s="263" t="s">
        <v>918</v>
      </c>
      <c r="D95" s="264" t="s">
        <v>131</v>
      </c>
      <c r="E95" s="77" t="s">
        <v>920</v>
      </c>
      <c r="F95" s="78"/>
      <c r="G95" s="265" t="s">
        <v>919</v>
      </c>
      <c r="H95" s="265"/>
      <c r="I95" s="265"/>
      <c r="J95" s="78" t="s">
        <v>575</v>
      </c>
      <c r="K95" s="106" t="s">
        <v>942</v>
      </c>
      <c r="L95" s="140"/>
      <c r="M95" s="269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</row>
    <row r="96" spans="1:34" ht="32.25" customHeight="1" x14ac:dyDescent="0.25">
      <c r="A96" s="33">
        <v>94</v>
      </c>
      <c r="B96" s="77"/>
      <c r="C96" s="263" t="s">
        <v>744</v>
      </c>
      <c r="D96" s="264" t="s">
        <v>561</v>
      </c>
      <c r="E96" s="77" t="s">
        <v>745</v>
      </c>
      <c r="F96" s="78"/>
      <c r="G96" s="265" t="s">
        <v>746</v>
      </c>
      <c r="H96" s="265"/>
      <c r="I96" s="265"/>
      <c r="J96" s="78" t="s">
        <v>575</v>
      </c>
      <c r="K96" s="106" t="s">
        <v>961</v>
      </c>
      <c r="L96" s="140"/>
      <c r="M96" s="269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</row>
    <row r="97" spans="1:37" ht="30" customHeight="1" x14ac:dyDescent="0.25">
      <c r="A97" s="33">
        <v>95</v>
      </c>
      <c r="B97" s="77"/>
      <c r="C97" s="263" t="s">
        <v>109</v>
      </c>
      <c r="D97" s="264" t="s">
        <v>131</v>
      </c>
      <c r="E97" s="77" t="s">
        <v>44</v>
      </c>
      <c r="F97" s="78"/>
      <c r="G97" s="265" t="s">
        <v>219</v>
      </c>
      <c r="H97" s="265"/>
      <c r="I97" s="265"/>
      <c r="J97" s="78" t="s">
        <v>575</v>
      </c>
      <c r="K97" s="106" t="s">
        <v>971</v>
      </c>
      <c r="L97" s="140"/>
      <c r="M97" s="268"/>
      <c r="AJ97" s="3" t="s">
        <v>913</v>
      </c>
    </row>
    <row r="98" spans="1:37" ht="32.25" customHeight="1" x14ac:dyDescent="0.25">
      <c r="A98" s="33">
        <v>96</v>
      </c>
      <c r="B98" s="77"/>
      <c r="C98" s="263" t="s">
        <v>668</v>
      </c>
      <c r="D98" s="264" t="s">
        <v>659</v>
      </c>
      <c r="E98" s="77" t="s">
        <v>669</v>
      </c>
      <c r="F98" s="78"/>
      <c r="G98" s="265" t="s">
        <v>670</v>
      </c>
      <c r="H98" s="265"/>
      <c r="I98" s="265"/>
      <c r="J98" s="78" t="s">
        <v>575</v>
      </c>
      <c r="K98" s="106" t="s">
        <v>973</v>
      </c>
      <c r="L98" s="140"/>
      <c r="M98" s="268"/>
      <c r="AJ98" s="3" t="s">
        <v>913</v>
      </c>
    </row>
    <row r="99" spans="1:37" ht="32.25" customHeight="1" x14ac:dyDescent="0.25">
      <c r="A99" s="33">
        <v>97</v>
      </c>
      <c r="B99" s="77"/>
      <c r="C99" s="78" t="s">
        <v>732</v>
      </c>
      <c r="D99" s="265" t="s">
        <v>132</v>
      </c>
      <c r="E99" s="77" t="s">
        <v>733</v>
      </c>
      <c r="F99" s="265"/>
      <c r="G99" s="265" t="s">
        <v>734</v>
      </c>
      <c r="H99" s="265"/>
      <c r="I99" s="265"/>
      <c r="J99" s="78" t="s">
        <v>575</v>
      </c>
      <c r="K99" s="106" t="s">
        <v>974</v>
      </c>
      <c r="L99" s="140"/>
      <c r="M99" s="268"/>
      <c r="AJ99" s="3" t="s">
        <v>913</v>
      </c>
    </row>
    <row r="100" spans="1:37" ht="32.25" customHeight="1" x14ac:dyDescent="0.25">
      <c r="A100" s="33">
        <v>98</v>
      </c>
      <c r="B100" s="77"/>
      <c r="C100" s="78" t="s">
        <v>344</v>
      </c>
      <c r="D100" s="265" t="s">
        <v>133</v>
      </c>
      <c r="E100" s="77" t="s">
        <v>348</v>
      </c>
      <c r="F100" s="265"/>
      <c r="G100" s="265" t="s">
        <v>349</v>
      </c>
      <c r="H100" s="265"/>
      <c r="I100" s="265"/>
      <c r="J100" s="78" t="s">
        <v>575</v>
      </c>
      <c r="K100" s="106" t="s">
        <v>907</v>
      </c>
      <c r="L100" s="3" t="s">
        <v>899</v>
      </c>
      <c r="M100" s="268"/>
    </row>
    <row r="101" spans="1:37" ht="32.25" customHeight="1" x14ac:dyDescent="0.25">
      <c r="A101" s="33">
        <v>99</v>
      </c>
      <c r="B101" s="77"/>
      <c r="C101" s="78" t="s">
        <v>726</v>
      </c>
      <c r="D101" s="265" t="s">
        <v>132</v>
      </c>
      <c r="E101" s="77" t="s">
        <v>727</v>
      </c>
      <c r="F101" s="265"/>
      <c r="G101" s="265" t="s">
        <v>728</v>
      </c>
      <c r="H101" s="265"/>
      <c r="I101" s="265"/>
      <c r="J101" s="78" t="s">
        <v>575</v>
      </c>
      <c r="K101" s="106" t="s">
        <v>911</v>
      </c>
      <c r="L101" s="3" t="s">
        <v>899</v>
      </c>
      <c r="M101" s="268"/>
    </row>
    <row r="102" spans="1:37" ht="32.25" customHeight="1" x14ac:dyDescent="0.25">
      <c r="A102" s="33">
        <v>100</v>
      </c>
      <c r="B102" s="77"/>
      <c r="C102" s="78" t="s">
        <v>809</v>
      </c>
      <c r="D102" s="265" t="s">
        <v>132</v>
      </c>
      <c r="E102" s="77" t="s">
        <v>810</v>
      </c>
      <c r="F102" s="265"/>
      <c r="G102" s="265" t="s">
        <v>811</v>
      </c>
      <c r="H102" s="265"/>
      <c r="I102" s="265"/>
      <c r="J102" s="78" t="s">
        <v>575</v>
      </c>
      <c r="K102" s="106" t="s">
        <v>912</v>
      </c>
      <c r="L102" s="3" t="s">
        <v>899</v>
      </c>
      <c r="M102" s="268"/>
      <c r="AJ102" s="3" t="s">
        <v>913</v>
      </c>
    </row>
    <row r="103" spans="1:37" ht="32.25" customHeight="1" x14ac:dyDescent="0.25">
      <c r="A103" s="33">
        <v>101</v>
      </c>
      <c r="B103" s="77"/>
      <c r="C103" s="78" t="s">
        <v>994</v>
      </c>
      <c r="D103" s="265" t="s">
        <v>133</v>
      </c>
      <c r="E103" s="77" t="s">
        <v>995</v>
      </c>
      <c r="F103" s="265"/>
      <c r="G103" s="265" t="s">
        <v>996</v>
      </c>
      <c r="H103" s="265"/>
      <c r="I103" s="265"/>
      <c r="J103" s="78" t="s">
        <v>575</v>
      </c>
      <c r="K103" s="106" t="s">
        <v>993</v>
      </c>
      <c r="L103" s="31" t="s">
        <v>899</v>
      </c>
      <c r="M103" s="268"/>
      <c r="AJ103" s="3" t="s">
        <v>913</v>
      </c>
    </row>
    <row r="104" spans="1:37" ht="32.25" customHeight="1" x14ac:dyDescent="0.25">
      <c r="A104" s="33">
        <v>102</v>
      </c>
      <c r="B104" s="77"/>
      <c r="C104" s="78" t="s">
        <v>826</v>
      </c>
      <c r="D104" s="265" t="s">
        <v>132</v>
      </c>
      <c r="E104" s="77" t="s">
        <v>827</v>
      </c>
      <c r="F104" s="265"/>
      <c r="G104" s="265" t="s">
        <v>828</v>
      </c>
      <c r="H104" s="265"/>
      <c r="I104" s="265"/>
      <c r="J104" s="78" t="s">
        <v>575</v>
      </c>
      <c r="K104" s="106" t="s">
        <v>997</v>
      </c>
      <c r="L104" s="31" t="s">
        <v>899</v>
      </c>
      <c r="M104" s="268"/>
      <c r="AJ104" s="3" t="s">
        <v>913</v>
      </c>
    </row>
    <row r="105" spans="1:37" ht="32.25" customHeight="1" x14ac:dyDescent="0.25">
      <c r="A105" s="33">
        <v>103</v>
      </c>
      <c r="B105" s="77"/>
      <c r="C105" s="78" t="s">
        <v>735</v>
      </c>
      <c r="D105" s="265" t="s">
        <v>133</v>
      </c>
      <c r="E105" s="77" t="s">
        <v>736</v>
      </c>
      <c r="F105" s="265"/>
      <c r="G105" s="265" t="s">
        <v>740</v>
      </c>
      <c r="H105" s="265"/>
      <c r="I105" s="265"/>
      <c r="J105" s="78" t="s">
        <v>575</v>
      </c>
      <c r="K105" s="106" t="s">
        <v>1009</v>
      </c>
      <c r="L105" s="31" t="s">
        <v>899</v>
      </c>
      <c r="M105" s="268"/>
      <c r="AJ105" s="3" t="s">
        <v>913</v>
      </c>
    </row>
    <row r="106" spans="1:37" ht="32.25" customHeight="1" x14ac:dyDescent="0.25">
      <c r="A106" s="33">
        <v>104</v>
      </c>
      <c r="B106" s="77"/>
      <c r="C106" s="78" t="s">
        <v>1027</v>
      </c>
      <c r="D106" s="265" t="s">
        <v>132</v>
      </c>
      <c r="E106" s="77" t="s">
        <v>1028</v>
      </c>
      <c r="F106" s="265"/>
      <c r="G106" s="265" t="s">
        <v>1029</v>
      </c>
      <c r="H106" s="265"/>
      <c r="I106" s="265"/>
      <c r="J106" s="78" t="s">
        <v>575</v>
      </c>
      <c r="K106" s="106" t="s">
        <v>1026</v>
      </c>
      <c r="L106" s="31" t="s">
        <v>899</v>
      </c>
      <c r="M106" s="268"/>
      <c r="AJ106" s="3" t="s">
        <v>913</v>
      </c>
    </row>
    <row r="107" spans="1:37" ht="32.25" customHeight="1" x14ac:dyDescent="0.25">
      <c r="A107" s="33">
        <v>105</v>
      </c>
      <c r="B107" s="77"/>
      <c r="C107" s="78" t="s">
        <v>823</v>
      </c>
      <c r="D107" s="265" t="s">
        <v>132</v>
      </c>
      <c r="E107" s="77" t="s">
        <v>824</v>
      </c>
      <c r="F107" s="265"/>
      <c r="G107" s="265" t="s">
        <v>825</v>
      </c>
      <c r="H107" s="265"/>
      <c r="I107" s="265">
        <v>38184</v>
      </c>
      <c r="J107" s="78" t="s">
        <v>575</v>
      </c>
      <c r="K107" s="106" t="s">
        <v>1044</v>
      </c>
      <c r="L107" s="31" t="s">
        <v>899</v>
      </c>
    </row>
    <row r="108" spans="1:37" ht="32.25" customHeight="1" x14ac:dyDescent="0.25">
      <c r="A108" s="33">
        <v>106</v>
      </c>
      <c r="B108" s="77"/>
      <c r="C108" s="78" t="s">
        <v>764</v>
      </c>
      <c r="D108" s="265" t="s">
        <v>132</v>
      </c>
      <c r="E108" s="77" t="s">
        <v>765</v>
      </c>
      <c r="F108" s="265"/>
      <c r="G108" s="265" t="s">
        <v>766</v>
      </c>
      <c r="H108" s="265"/>
      <c r="I108" s="265"/>
      <c r="J108" s="78" t="s">
        <v>575</v>
      </c>
      <c r="K108" s="106" t="s">
        <v>1053</v>
      </c>
      <c r="L108" s="31" t="s">
        <v>899</v>
      </c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</row>
    <row r="109" spans="1:37" ht="32.25" customHeight="1" x14ac:dyDescent="0.25">
      <c r="A109" s="33">
        <v>107</v>
      </c>
      <c r="B109" s="77"/>
      <c r="C109" s="78" t="s">
        <v>340</v>
      </c>
      <c r="D109" s="265" t="s">
        <v>133</v>
      </c>
      <c r="E109" s="77" t="s">
        <v>341</v>
      </c>
      <c r="F109" s="265"/>
      <c r="G109" s="265" t="s">
        <v>342</v>
      </c>
      <c r="H109" s="265"/>
      <c r="I109" s="265"/>
      <c r="J109" s="78" t="s">
        <v>575</v>
      </c>
      <c r="K109" s="106" t="s">
        <v>1060</v>
      </c>
      <c r="L109" s="31" t="s">
        <v>899</v>
      </c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</row>
    <row r="110" spans="1:37" ht="32.25" customHeight="1" x14ac:dyDescent="0.25">
      <c r="A110" s="33">
        <v>108</v>
      </c>
      <c r="B110" s="77"/>
      <c r="C110" s="78" t="s">
        <v>900</v>
      </c>
      <c r="D110" s="265" t="s">
        <v>132</v>
      </c>
      <c r="E110" s="77" t="s">
        <v>904</v>
      </c>
      <c r="F110" s="265"/>
      <c r="G110" s="265" t="s">
        <v>901</v>
      </c>
      <c r="H110" s="265"/>
      <c r="I110" s="265"/>
      <c r="J110" s="78" t="s">
        <v>575</v>
      </c>
      <c r="K110" s="106" t="s">
        <v>1061</v>
      </c>
      <c r="L110" s="31" t="s">
        <v>899</v>
      </c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</row>
    <row r="111" spans="1:37" ht="32.25" customHeight="1" x14ac:dyDescent="0.25">
      <c r="A111" s="33">
        <v>109</v>
      </c>
      <c r="B111" s="77"/>
      <c r="C111" s="78" t="s">
        <v>812</v>
      </c>
      <c r="D111" s="265" t="s">
        <v>132</v>
      </c>
      <c r="E111" s="77" t="s">
        <v>813</v>
      </c>
      <c r="F111" s="265"/>
      <c r="G111" s="265" t="s">
        <v>814</v>
      </c>
      <c r="H111" s="265"/>
      <c r="I111" s="265">
        <v>35092</v>
      </c>
      <c r="J111" s="78" t="s">
        <v>575</v>
      </c>
      <c r="K111" s="106" t="s">
        <v>1081</v>
      </c>
      <c r="L111" s="31" t="s">
        <v>899</v>
      </c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</row>
    <row r="112" spans="1:37" ht="32.25" customHeight="1" x14ac:dyDescent="0.25">
      <c r="A112" s="33">
        <v>110</v>
      </c>
      <c r="B112" s="77"/>
      <c r="C112" s="78" t="s">
        <v>755</v>
      </c>
      <c r="D112" s="265" t="s">
        <v>133</v>
      </c>
      <c r="E112" s="77" t="s">
        <v>756</v>
      </c>
      <c r="F112" s="265"/>
      <c r="G112" s="265" t="s">
        <v>757</v>
      </c>
      <c r="H112" s="265"/>
      <c r="I112" s="265"/>
      <c r="J112" s="78" t="s">
        <v>575</v>
      </c>
      <c r="K112" s="106" t="s">
        <v>1080</v>
      </c>
      <c r="L112" s="31" t="s">
        <v>899</v>
      </c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</row>
    <row r="113" spans="1:36" ht="30" customHeight="1" x14ac:dyDescent="0.25">
      <c r="A113" s="33">
        <v>111</v>
      </c>
      <c r="B113" s="77"/>
      <c r="C113" s="78" t="s">
        <v>729</v>
      </c>
      <c r="D113" s="265" t="s">
        <v>132</v>
      </c>
      <c r="E113" s="77" t="s">
        <v>730</v>
      </c>
      <c r="F113" s="265"/>
      <c r="G113" s="265" t="s">
        <v>731</v>
      </c>
      <c r="H113" s="265"/>
      <c r="I113" s="265">
        <v>34776</v>
      </c>
      <c r="J113" s="78" t="s">
        <v>575</v>
      </c>
      <c r="K113" s="106" t="s">
        <v>1082</v>
      </c>
      <c r="L113" s="31" t="s">
        <v>899</v>
      </c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</row>
    <row r="114" spans="1:36" ht="32.25" customHeight="1" x14ac:dyDescent="0.25">
      <c r="A114" s="33">
        <v>112</v>
      </c>
      <c r="B114" s="77"/>
      <c r="C114" s="78" t="s">
        <v>931</v>
      </c>
      <c r="D114" s="265" t="s">
        <v>132</v>
      </c>
      <c r="E114" s="77" t="s">
        <v>932</v>
      </c>
      <c r="F114" s="265"/>
      <c r="G114" s="265" t="s">
        <v>933</v>
      </c>
      <c r="H114" s="265"/>
      <c r="I114" s="265">
        <v>32141</v>
      </c>
      <c r="J114" s="78" t="s">
        <v>575</v>
      </c>
      <c r="K114" s="106" t="s">
        <v>1083</v>
      </c>
      <c r="L114" s="31" t="s">
        <v>899</v>
      </c>
      <c r="M114" s="269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</row>
    <row r="115" spans="1:36" ht="32.25" customHeight="1" x14ac:dyDescent="0.25">
      <c r="A115" s="33">
        <v>113</v>
      </c>
      <c r="B115" s="77"/>
      <c r="C115" s="78" t="s">
        <v>536</v>
      </c>
      <c r="D115" s="265" t="s">
        <v>133</v>
      </c>
      <c r="E115" s="77" t="s">
        <v>822</v>
      </c>
      <c r="F115" s="265"/>
      <c r="G115" s="265" t="s">
        <v>538</v>
      </c>
      <c r="H115" s="265"/>
      <c r="I115" s="265">
        <v>36504</v>
      </c>
      <c r="J115" s="78" t="s">
        <v>575</v>
      </c>
      <c r="K115" s="106" t="s">
        <v>1093</v>
      </c>
      <c r="L115" s="31" t="s">
        <v>899</v>
      </c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</row>
    <row r="116" spans="1:36" ht="32.25" customHeight="1" x14ac:dyDescent="0.25">
      <c r="A116" s="33">
        <v>114</v>
      </c>
      <c r="B116" s="77"/>
      <c r="C116" s="78" t="s">
        <v>939</v>
      </c>
      <c r="D116" s="265" t="s">
        <v>133</v>
      </c>
      <c r="E116" s="77" t="s">
        <v>941</v>
      </c>
      <c r="F116" s="265"/>
      <c r="G116" s="265" t="s">
        <v>940</v>
      </c>
      <c r="H116" s="265"/>
      <c r="I116" s="265"/>
      <c r="J116" s="78" t="s">
        <v>575</v>
      </c>
      <c r="K116" s="106" t="s">
        <v>1099</v>
      </c>
      <c r="L116" s="31" t="s">
        <v>899</v>
      </c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</row>
    <row r="117" spans="1:36" ht="30" customHeight="1" x14ac:dyDescent="0.25">
      <c r="A117" s="33">
        <v>115</v>
      </c>
      <c r="B117" s="77"/>
      <c r="C117" s="78" t="s">
        <v>215</v>
      </c>
      <c r="D117" s="265" t="s">
        <v>133</v>
      </c>
      <c r="E117" s="77" t="s">
        <v>238</v>
      </c>
      <c r="F117" s="265"/>
      <c r="G117" s="265" t="s">
        <v>972</v>
      </c>
      <c r="H117" s="265"/>
      <c r="I117" s="265">
        <v>35341</v>
      </c>
      <c r="J117" s="78" t="s">
        <v>575</v>
      </c>
      <c r="K117" s="106" t="s">
        <v>1100</v>
      </c>
      <c r="L117" s="31" t="s">
        <v>899</v>
      </c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</row>
    <row r="118" spans="1:36" ht="32.25" customHeight="1" x14ac:dyDescent="0.25">
      <c r="A118" s="33">
        <v>116</v>
      </c>
      <c r="B118" s="77"/>
      <c r="C118" s="78" t="s">
        <v>335</v>
      </c>
      <c r="D118" s="265" t="s">
        <v>133</v>
      </c>
      <c r="E118" s="77" t="s">
        <v>333</v>
      </c>
      <c r="F118" s="265"/>
      <c r="G118" s="265" t="s">
        <v>334</v>
      </c>
      <c r="H118" s="265"/>
      <c r="I118" s="265">
        <v>35264</v>
      </c>
      <c r="J118" s="78" t="s">
        <v>575</v>
      </c>
      <c r="K118" s="106" t="s">
        <v>1101</v>
      </c>
      <c r="L118" s="31" t="s">
        <v>899</v>
      </c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</row>
    <row r="119" spans="1:36" ht="32.25" customHeight="1" x14ac:dyDescent="0.25">
      <c r="A119" s="33">
        <v>117</v>
      </c>
      <c r="B119" s="77"/>
      <c r="C119" s="78" t="s">
        <v>546</v>
      </c>
      <c r="D119" s="265" t="s">
        <v>133</v>
      </c>
      <c r="E119" s="77" t="s">
        <v>547</v>
      </c>
      <c r="F119" s="265"/>
      <c r="G119" s="265" t="s">
        <v>548</v>
      </c>
      <c r="H119" s="265"/>
      <c r="I119" s="265">
        <v>34895</v>
      </c>
      <c r="J119" s="78" t="s">
        <v>575</v>
      </c>
      <c r="K119" s="106" t="s">
        <v>1102</v>
      </c>
      <c r="L119" s="31" t="s">
        <v>899</v>
      </c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</row>
    <row r="120" spans="1:36" ht="32.25" customHeight="1" x14ac:dyDescent="0.25">
      <c r="A120" s="33">
        <v>118</v>
      </c>
      <c r="B120" s="77"/>
      <c r="C120" s="78" t="s">
        <v>1085</v>
      </c>
      <c r="D120" s="265" t="s">
        <v>147</v>
      </c>
      <c r="E120" s="77" t="s">
        <v>1086</v>
      </c>
      <c r="F120" s="265"/>
      <c r="G120" s="265" t="s">
        <v>1087</v>
      </c>
      <c r="H120" s="265"/>
      <c r="I120" s="265">
        <v>35618</v>
      </c>
      <c r="J120" s="78" t="s">
        <v>575</v>
      </c>
      <c r="K120" s="106" t="s">
        <v>1107</v>
      </c>
      <c r="L120" s="31" t="s">
        <v>899</v>
      </c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</row>
    <row r="121" spans="1:36" ht="32.25" customHeight="1" x14ac:dyDescent="0.25">
      <c r="A121" s="33">
        <v>119</v>
      </c>
      <c r="B121" s="77"/>
      <c r="C121" s="78" t="s">
        <v>1109</v>
      </c>
      <c r="D121" s="265" t="s">
        <v>133</v>
      </c>
      <c r="E121" s="77" t="s">
        <v>350</v>
      </c>
      <c r="F121" s="265"/>
      <c r="G121" s="265" t="s">
        <v>351</v>
      </c>
      <c r="H121" s="265"/>
      <c r="I121" s="265"/>
      <c r="J121" s="78" t="s">
        <v>575</v>
      </c>
      <c r="K121" s="106" t="s">
        <v>1108</v>
      </c>
      <c r="L121" s="31" t="s">
        <v>899</v>
      </c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</row>
    <row r="122" spans="1:36" ht="32.25" customHeight="1" x14ac:dyDescent="0.25">
      <c r="A122" s="33">
        <v>120</v>
      </c>
      <c r="B122" s="286"/>
      <c r="C122" s="287" t="s">
        <v>629</v>
      </c>
      <c r="D122" s="265" t="s">
        <v>133</v>
      </c>
      <c r="E122" s="286" t="s">
        <v>631</v>
      </c>
      <c r="F122" s="265"/>
      <c r="G122" s="286" t="s">
        <v>632</v>
      </c>
      <c r="H122" s="286"/>
      <c r="I122" s="288"/>
      <c r="J122" s="78" t="s">
        <v>575</v>
      </c>
      <c r="K122" s="106" t="s">
        <v>1113</v>
      </c>
      <c r="L122" s="31" t="s">
        <v>899</v>
      </c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</row>
    <row r="123" spans="1:36" ht="32.25" customHeight="1" x14ac:dyDescent="0.25">
      <c r="A123" s="33">
        <v>121</v>
      </c>
      <c r="B123" s="77"/>
      <c r="C123" s="263" t="s">
        <v>271</v>
      </c>
      <c r="D123" s="289" t="s">
        <v>132</v>
      </c>
      <c r="E123" s="77" t="s">
        <v>272</v>
      </c>
      <c r="F123" s="265"/>
      <c r="G123" s="77" t="s">
        <v>273</v>
      </c>
      <c r="H123" s="77" t="s">
        <v>132</v>
      </c>
      <c r="I123" s="265">
        <v>24208</v>
      </c>
      <c r="J123" s="78" t="s">
        <v>575</v>
      </c>
      <c r="K123" s="106" t="s">
        <v>1114</v>
      </c>
      <c r="L123" s="31" t="s">
        <v>899</v>
      </c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</row>
    <row r="124" spans="1:36" ht="32.25" customHeight="1" x14ac:dyDescent="0.25">
      <c r="A124" s="33">
        <v>122</v>
      </c>
      <c r="B124" s="77"/>
      <c r="C124" s="263" t="s">
        <v>99</v>
      </c>
      <c r="D124" s="289" t="s">
        <v>133</v>
      </c>
      <c r="E124" s="77" t="s">
        <v>322</v>
      </c>
      <c r="F124" s="265"/>
      <c r="G124" s="77" t="s">
        <v>69</v>
      </c>
      <c r="H124" s="77"/>
      <c r="I124" s="265"/>
      <c r="J124" s="78" t="s">
        <v>575</v>
      </c>
      <c r="K124" s="106" t="s">
        <v>1123</v>
      </c>
      <c r="L124" s="31" t="s">
        <v>899</v>
      </c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</row>
    <row r="125" spans="1:36" ht="32.25" customHeight="1" x14ac:dyDescent="0.25">
      <c r="A125" s="33">
        <v>123</v>
      </c>
      <c r="B125" s="77"/>
      <c r="C125" s="263" t="s">
        <v>354</v>
      </c>
      <c r="D125" s="307" t="s">
        <v>133</v>
      </c>
      <c r="E125" s="77" t="s">
        <v>1125</v>
      </c>
      <c r="F125" s="265"/>
      <c r="G125" s="77" t="s">
        <v>1126</v>
      </c>
      <c r="H125" s="77"/>
      <c r="I125" s="265"/>
      <c r="J125" s="78" t="s">
        <v>575</v>
      </c>
      <c r="K125" s="106" t="s">
        <v>1124</v>
      </c>
      <c r="L125" s="31" t="s">
        <v>899</v>
      </c>
      <c r="M125" s="269" t="s">
        <v>188</v>
      </c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</row>
    <row r="126" spans="1:36" ht="32.25" customHeight="1" x14ac:dyDescent="0.25">
      <c r="A126" s="33">
        <v>124</v>
      </c>
      <c r="B126" s="77"/>
      <c r="C126" s="287" t="s">
        <v>1138</v>
      </c>
      <c r="D126" s="307" t="s">
        <v>133</v>
      </c>
      <c r="E126" s="308" t="s">
        <v>1139</v>
      </c>
      <c r="F126" s="288"/>
      <c r="G126" s="286" t="s">
        <v>1140</v>
      </c>
      <c r="H126" s="308"/>
      <c r="I126" s="265"/>
      <c r="J126" s="78" t="s">
        <v>575</v>
      </c>
      <c r="K126" s="106" t="s">
        <v>1141</v>
      </c>
      <c r="L126" s="31" t="s">
        <v>899</v>
      </c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</row>
    <row r="127" spans="1:36" ht="32.25" customHeight="1" x14ac:dyDescent="0.25">
      <c r="A127" s="33">
        <v>125</v>
      </c>
      <c r="B127" s="77"/>
      <c r="C127" s="287" t="s">
        <v>1110</v>
      </c>
      <c r="D127" s="286" t="s">
        <v>659</v>
      </c>
      <c r="E127" s="295" t="s">
        <v>1111</v>
      </c>
      <c r="F127" s="288"/>
      <c r="G127" s="294" t="s">
        <v>1112</v>
      </c>
      <c r="H127" s="295" t="s">
        <v>133</v>
      </c>
      <c r="I127" s="265"/>
      <c r="J127" s="78" t="s">
        <v>575</v>
      </c>
      <c r="K127" s="106" t="s">
        <v>1137</v>
      </c>
      <c r="L127" s="31" t="s">
        <v>899</v>
      </c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</row>
    <row r="128" spans="1:36" ht="32.25" customHeight="1" x14ac:dyDescent="0.25">
      <c r="A128" s="33">
        <v>126</v>
      </c>
      <c r="B128" s="77"/>
      <c r="C128" s="287" t="s">
        <v>1145</v>
      </c>
      <c r="D128" s="286" t="s">
        <v>659</v>
      </c>
      <c r="E128" s="295" t="s">
        <v>679</v>
      </c>
      <c r="F128" s="288"/>
      <c r="G128" s="294" t="s">
        <v>680</v>
      </c>
      <c r="H128" s="295" t="s">
        <v>133</v>
      </c>
      <c r="I128" s="265"/>
      <c r="J128" s="78" t="s">
        <v>575</v>
      </c>
      <c r="K128" s="106" t="s">
        <v>1146</v>
      </c>
      <c r="L128" s="31" t="s">
        <v>899</v>
      </c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</row>
    <row r="129" spans="1:36" ht="32.25" customHeight="1" x14ac:dyDescent="0.25">
      <c r="A129" s="33">
        <v>126</v>
      </c>
      <c r="B129" s="77"/>
      <c r="C129" s="287" t="s">
        <v>1147</v>
      </c>
      <c r="D129" s="286" t="s">
        <v>659</v>
      </c>
      <c r="E129" s="295" t="s">
        <v>905</v>
      </c>
      <c r="F129" s="288"/>
      <c r="G129" s="294" t="s">
        <v>906</v>
      </c>
      <c r="H129" s="295" t="s">
        <v>133</v>
      </c>
      <c r="I129" s="265"/>
      <c r="J129" s="78" t="s">
        <v>575</v>
      </c>
      <c r="K129" s="106" t="s">
        <v>1148</v>
      </c>
      <c r="L129" s="31" t="s">
        <v>899</v>
      </c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</row>
    <row r="130" spans="1:36" ht="32.25" customHeight="1" x14ac:dyDescent="0.25">
      <c r="A130" s="33"/>
      <c r="B130" s="77"/>
      <c r="C130" s="287" t="s">
        <v>1131</v>
      </c>
      <c r="D130" s="286" t="s">
        <v>133</v>
      </c>
      <c r="E130" s="295" t="s">
        <v>1133</v>
      </c>
      <c r="F130" s="288"/>
      <c r="G130" s="294" t="s">
        <v>1132</v>
      </c>
      <c r="H130" s="295"/>
      <c r="I130" s="265">
        <v>30682</v>
      </c>
      <c r="J130" s="78" t="s">
        <v>575</v>
      </c>
      <c r="K130" s="106" t="s">
        <v>1149</v>
      </c>
      <c r="L130" s="31" t="s">
        <v>899</v>
      </c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</row>
    <row r="131" spans="1:36" ht="32.25" customHeight="1" x14ac:dyDescent="0.25">
      <c r="A131" s="33"/>
      <c r="B131" s="77"/>
      <c r="C131" s="287" t="s">
        <v>1169</v>
      </c>
      <c r="D131" s="286" t="s">
        <v>133</v>
      </c>
      <c r="E131" s="308" t="s">
        <v>1170</v>
      </c>
      <c r="F131" s="288"/>
      <c r="G131" s="294" t="s">
        <v>1171</v>
      </c>
      <c r="H131" s="308"/>
      <c r="I131" s="265"/>
      <c r="J131" s="78" t="s">
        <v>575</v>
      </c>
      <c r="K131" s="106" t="s">
        <v>1172</v>
      </c>
      <c r="L131" s="31" t="s">
        <v>899</v>
      </c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</row>
    <row r="132" spans="1:36" ht="32.25" customHeight="1" x14ac:dyDescent="0.25">
      <c r="A132" s="77">
        <v>41</v>
      </c>
      <c r="B132" s="77">
        <v>461</v>
      </c>
      <c r="C132" s="263" t="s">
        <v>572</v>
      </c>
      <c r="D132" s="264" t="s">
        <v>133</v>
      </c>
      <c r="E132" s="77" t="s">
        <v>573</v>
      </c>
      <c r="F132" s="78"/>
      <c r="G132" s="138" t="s">
        <v>520</v>
      </c>
      <c r="H132" s="77" t="s">
        <v>133</v>
      </c>
      <c r="I132" s="265">
        <v>35980</v>
      </c>
      <c r="J132" s="78" t="s">
        <v>575</v>
      </c>
      <c r="K132" s="78" t="s">
        <v>1174</v>
      </c>
      <c r="L132" s="31" t="s">
        <v>899</v>
      </c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</row>
    <row r="133" spans="1:36" ht="32.25" customHeight="1" x14ac:dyDescent="0.25">
      <c r="A133" s="77"/>
      <c r="B133" s="77"/>
      <c r="C133" s="263" t="s">
        <v>1057</v>
      </c>
      <c r="D133" s="77" t="s">
        <v>133</v>
      </c>
      <c r="E133" s="77" t="s">
        <v>1058</v>
      </c>
      <c r="F133" s="78"/>
      <c r="G133" s="138" t="s">
        <v>561</v>
      </c>
      <c r="H133" s="77" t="s">
        <v>1059</v>
      </c>
      <c r="I133" s="265"/>
      <c r="J133" s="78" t="s">
        <v>575</v>
      </c>
      <c r="K133" s="78" t="s">
        <v>1176</v>
      </c>
      <c r="L133" s="31" t="s">
        <v>899</v>
      </c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</row>
    <row r="134" spans="1:36" ht="32.25" customHeight="1" x14ac:dyDescent="0.25">
      <c r="A134" s="77"/>
      <c r="B134" s="77"/>
      <c r="C134" s="263" t="s">
        <v>1193</v>
      </c>
      <c r="D134" s="77" t="s">
        <v>133</v>
      </c>
      <c r="E134" s="77" t="s">
        <v>1194</v>
      </c>
      <c r="F134" s="78"/>
      <c r="G134" s="138" t="s">
        <v>561</v>
      </c>
      <c r="H134" s="77" t="s">
        <v>1195</v>
      </c>
      <c r="I134" s="265"/>
      <c r="J134" s="78" t="s">
        <v>575</v>
      </c>
      <c r="K134" s="78" t="s">
        <v>1196</v>
      </c>
      <c r="L134" s="31" t="s">
        <v>899</v>
      </c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</row>
    <row r="135" spans="1:36" ht="32.25" customHeight="1" x14ac:dyDescent="0.25">
      <c r="A135" s="77"/>
      <c r="B135" s="77"/>
      <c r="C135" s="263" t="s">
        <v>1229</v>
      </c>
      <c r="D135" s="77" t="s">
        <v>133</v>
      </c>
      <c r="E135" s="77" t="s">
        <v>1230</v>
      </c>
      <c r="F135" s="78"/>
      <c r="G135" s="138" t="s">
        <v>561</v>
      </c>
      <c r="H135" s="77"/>
      <c r="I135" s="265"/>
      <c r="J135" s="78" t="s">
        <v>575</v>
      </c>
      <c r="K135" s="78" t="s">
        <v>1228</v>
      </c>
      <c r="L135" s="31" t="s">
        <v>899</v>
      </c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</row>
    <row r="136" spans="1:36" ht="32.25" customHeight="1" x14ac:dyDescent="0.25">
      <c r="A136" s="77"/>
      <c r="B136" s="77"/>
      <c r="C136" s="263" t="s">
        <v>300</v>
      </c>
      <c r="D136" s="77" t="s">
        <v>133</v>
      </c>
      <c r="E136" s="77" t="s">
        <v>1233</v>
      </c>
      <c r="F136" s="78"/>
      <c r="G136" s="138"/>
      <c r="H136" s="77"/>
      <c r="I136" s="265"/>
      <c r="J136" s="78" t="s">
        <v>575</v>
      </c>
      <c r="K136" s="78" t="s">
        <v>1232</v>
      </c>
      <c r="L136" s="31" t="s">
        <v>1234</v>
      </c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</row>
    <row r="137" spans="1:36" ht="32.25" customHeight="1" x14ac:dyDescent="0.25">
      <c r="A137" s="77"/>
      <c r="B137" s="77"/>
      <c r="C137" s="263" t="s">
        <v>543</v>
      </c>
      <c r="D137" s="77" t="s">
        <v>133</v>
      </c>
      <c r="E137" s="77" t="s">
        <v>544</v>
      </c>
      <c r="F137" s="78"/>
      <c r="G137" s="138"/>
      <c r="H137" s="77"/>
      <c r="I137" s="265"/>
      <c r="J137" s="78" t="s">
        <v>575</v>
      </c>
      <c r="K137" s="78" t="s">
        <v>1235</v>
      </c>
      <c r="L137" s="31" t="s">
        <v>1234</v>
      </c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</row>
    <row r="138" spans="1:36" ht="32.25" customHeight="1" x14ac:dyDescent="0.25">
      <c r="A138" s="77"/>
      <c r="B138" s="77"/>
      <c r="C138" s="263" t="s">
        <v>304</v>
      </c>
      <c r="D138" s="77" t="s">
        <v>133</v>
      </c>
      <c r="E138" s="77" t="s">
        <v>305</v>
      </c>
      <c r="F138" s="78"/>
      <c r="G138" s="138" t="s">
        <v>561</v>
      </c>
      <c r="H138" s="77" t="s">
        <v>306</v>
      </c>
      <c r="I138" s="265"/>
      <c r="J138" s="78" t="s">
        <v>575</v>
      </c>
      <c r="K138" s="78" t="s">
        <v>1236</v>
      </c>
      <c r="L138" s="31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</row>
    <row r="139" spans="1:36" ht="32.25" customHeight="1" x14ac:dyDescent="0.25">
      <c r="A139" s="77"/>
      <c r="B139" s="77"/>
      <c r="C139" s="263" t="s">
        <v>780</v>
      </c>
      <c r="D139" s="77" t="s">
        <v>133</v>
      </c>
      <c r="E139" s="77" t="s">
        <v>781</v>
      </c>
      <c r="F139" s="78"/>
      <c r="G139" s="138"/>
      <c r="H139" s="77" t="s">
        <v>782</v>
      </c>
      <c r="I139" s="265"/>
      <c r="J139" s="78" t="s">
        <v>575</v>
      </c>
      <c r="K139" s="78" t="s">
        <v>1237</v>
      </c>
      <c r="L139" s="31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</row>
    <row r="140" spans="1:36" ht="32.25" customHeight="1" x14ac:dyDescent="0.25">
      <c r="A140" s="77"/>
      <c r="B140" s="77"/>
      <c r="C140" s="263" t="s">
        <v>1238</v>
      </c>
      <c r="D140" s="77" t="s">
        <v>131</v>
      </c>
      <c r="E140" s="77" t="s">
        <v>78</v>
      </c>
      <c r="F140" s="78"/>
      <c r="G140" s="138"/>
      <c r="H140" s="77"/>
      <c r="I140" s="265"/>
      <c r="J140" s="78" t="s">
        <v>575</v>
      </c>
      <c r="K140" s="78" t="s">
        <v>1239</v>
      </c>
      <c r="L140" s="31" t="s">
        <v>1234</v>
      </c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</row>
    <row r="141" spans="1:36" ht="32.25" customHeight="1" x14ac:dyDescent="0.25">
      <c r="A141" s="77"/>
      <c r="B141" s="77"/>
      <c r="C141" s="263" t="s">
        <v>662</v>
      </c>
      <c r="D141" s="77" t="s">
        <v>133</v>
      </c>
      <c r="E141" s="77" t="s">
        <v>663</v>
      </c>
      <c r="F141" s="78"/>
      <c r="G141" s="138"/>
      <c r="H141" s="77" t="s">
        <v>664</v>
      </c>
      <c r="I141" s="265"/>
      <c r="J141" s="78" t="s">
        <v>575</v>
      </c>
      <c r="K141" s="78" t="s">
        <v>1258</v>
      </c>
      <c r="L141" s="140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</row>
    <row r="142" spans="1:36" ht="32.25" customHeight="1" x14ac:dyDescent="0.25">
      <c r="A142" s="77"/>
      <c r="B142" s="77"/>
      <c r="C142" s="263" t="s">
        <v>780</v>
      </c>
      <c r="D142" s="77" t="s">
        <v>133</v>
      </c>
      <c r="E142" s="77" t="s">
        <v>781</v>
      </c>
      <c r="F142" s="78"/>
      <c r="G142" s="138"/>
      <c r="H142" s="77" t="s">
        <v>782</v>
      </c>
      <c r="I142" s="265"/>
      <c r="J142" s="78" t="s">
        <v>575</v>
      </c>
      <c r="K142" s="78" t="s">
        <v>1259</v>
      </c>
      <c r="L142" s="140"/>
      <c r="M142" s="269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</row>
    <row r="143" spans="1:36" ht="32.25" customHeight="1" x14ac:dyDescent="0.25">
      <c r="A143" s="77"/>
      <c r="B143" s="77"/>
      <c r="C143" s="263" t="s">
        <v>1263</v>
      </c>
      <c r="D143" s="77" t="s">
        <v>1063</v>
      </c>
      <c r="E143" s="77" t="s">
        <v>1262</v>
      </c>
      <c r="F143" s="78"/>
      <c r="G143" s="138"/>
      <c r="H143" s="77"/>
      <c r="I143" s="265"/>
      <c r="J143" s="78" t="s">
        <v>575</v>
      </c>
      <c r="K143" s="78" t="s">
        <v>1261</v>
      </c>
      <c r="L143" s="140" t="s">
        <v>1264</v>
      </c>
      <c r="M143" s="269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</row>
    <row r="144" spans="1:36" s="140" customFormat="1" ht="32.25" customHeight="1" x14ac:dyDescent="0.25">
      <c r="A144" s="77"/>
      <c r="B144" s="77"/>
      <c r="C144" s="263" t="s">
        <v>336</v>
      </c>
      <c r="D144" s="77" t="s">
        <v>659</v>
      </c>
      <c r="E144" s="77" t="s">
        <v>337</v>
      </c>
      <c r="F144" s="78"/>
      <c r="G144" s="138"/>
      <c r="H144" s="77" t="s">
        <v>338</v>
      </c>
      <c r="I144" s="265"/>
      <c r="J144" s="78" t="s">
        <v>575</v>
      </c>
      <c r="K144" s="78" t="s">
        <v>1269</v>
      </c>
      <c r="M144" s="269"/>
      <c r="AF144" s="3"/>
      <c r="AG144" s="3"/>
      <c r="AH144" s="3"/>
      <c r="AI144" s="3"/>
      <c r="AJ144" s="3"/>
    </row>
    <row r="145" spans="1:37" s="140" customFormat="1" ht="32.25" customHeight="1" x14ac:dyDescent="0.25">
      <c r="A145" s="77"/>
      <c r="B145" s="77"/>
      <c r="C145" s="263" t="s">
        <v>637</v>
      </c>
      <c r="D145" s="77" t="s">
        <v>659</v>
      </c>
      <c r="E145" s="77" t="s">
        <v>638</v>
      </c>
      <c r="F145" s="78"/>
      <c r="G145" s="138"/>
      <c r="H145" s="77" t="s">
        <v>639</v>
      </c>
      <c r="I145" s="265"/>
      <c r="J145" s="78" t="s">
        <v>575</v>
      </c>
      <c r="K145" s="78" t="s">
        <v>1270</v>
      </c>
      <c r="M145" s="269"/>
      <c r="AF145" s="3"/>
      <c r="AG145" s="3"/>
      <c r="AH145" s="3"/>
      <c r="AI145" s="3"/>
      <c r="AJ145" s="3"/>
    </row>
    <row r="146" spans="1:37" s="140" customFormat="1" ht="32.25" customHeight="1" x14ac:dyDescent="0.25">
      <c r="A146" s="77"/>
      <c r="B146" s="77"/>
      <c r="C146" s="263" t="s">
        <v>1271</v>
      </c>
      <c r="D146" s="77" t="s">
        <v>132</v>
      </c>
      <c r="E146" s="77" t="s">
        <v>1272</v>
      </c>
      <c r="F146" s="78"/>
      <c r="G146" s="138"/>
      <c r="H146" s="77" t="s">
        <v>1273</v>
      </c>
      <c r="I146" s="265"/>
      <c r="J146" s="78" t="s">
        <v>575</v>
      </c>
      <c r="K146" s="78" t="s">
        <v>1274</v>
      </c>
      <c r="L146" s="140" t="s">
        <v>1275</v>
      </c>
      <c r="M146" s="269"/>
      <c r="AF146" s="3"/>
      <c r="AG146" s="3"/>
      <c r="AH146" s="3"/>
      <c r="AI146" s="3"/>
      <c r="AJ146" s="3"/>
    </row>
    <row r="147" spans="1:37" ht="32.25" customHeight="1" x14ac:dyDescent="0.25">
      <c r="A147" s="77">
        <v>90</v>
      </c>
      <c r="B147" s="77">
        <v>626</v>
      </c>
      <c r="C147" s="263" t="s">
        <v>1045</v>
      </c>
      <c r="D147" s="77" t="s">
        <v>133</v>
      </c>
      <c r="E147" s="77" t="s">
        <v>1046</v>
      </c>
      <c r="F147" s="78"/>
      <c r="G147" s="138"/>
      <c r="H147" s="77" t="s">
        <v>1047</v>
      </c>
      <c r="I147" s="265"/>
      <c r="J147" s="78" t="s">
        <v>575</v>
      </c>
      <c r="K147" s="78" t="s">
        <v>1276</v>
      </c>
      <c r="L147" s="140"/>
      <c r="M147" s="269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</row>
    <row r="148" spans="1:37" ht="32.25" customHeight="1" x14ac:dyDescent="0.25">
      <c r="A148" s="77">
        <v>113</v>
      </c>
      <c r="B148" s="77">
        <v>665</v>
      </c>
      <c r="C148" s="263" t="s">
        <v>1184</v>
      </c>
      <c r="D148" s="77" t="s">
        <v>133</v>
      </c>
      <c r="E148" s="77" t="s">
        <v>1189</v>
      </c>
      <c r="F148" s="78"/>
      <c r="G148" s="138"/>
      <c r="H148" s="77" t="s">
        <v>1190</v>
      </c>
      <c r="I148" s="265"/>
      <c r="J148" s="78" t="s">
        <v>575</v>
      </c>
      <c r="K148" s="78" t="s">
        <v>1277</v>
      </c>
      <c r="L148" s="140" t="s">
        <v>188</v>
      </c>
      <c r="M148" s="269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</row>
    <row r="149" spans="1:37" s="140" customFormat="1" ht="32.25" customHeight="1" x14ac:dyDescent="0.25">
      <c r="A149" s="77">
        <v>49</v>
      </c>
      <c r="B149" s="77">
        <v>542</v>
      </c>
      <c r="C149" s="263" t="s">
        <v>837</v>
      </c>
      <c r="D149" s="77" t="s">
        <v>132</v>
      </c>
      <c r="E149" s="77" t="s">
        <v>714</v>
      </c>
      <c r="F149" s="78"/>
      <c r="G149" s="138"/>
      <c r="H149" s="77" t="s">
        <v>715</v>
      </c>
      <c r="I149" s="265"/>
      <c r="J149" s="78" t="s">
        <v>575</v>
      </c>
      <c r="K149" s="78" t="s">
        <v>1278</v>
      </c>
      <c r="M149" s="269"/>
      <c r="AF149" s="3"/>
      <c r="AG149" s="3"/>
      <c r="AH149" s="3"/>
      <c r="AI149" s="3"/>
      <c r="AJ149" s="3"/>
      <c r="AK149" s="3"/>
    </row>
    <row r="150" spans="1:37" s="140" customFormat="1" ht="32.25" customHeight="1" x14ac:dyDescent="0.25">
      <c r="A150" s="77">
        <v>85</v>
      </c>
      <c r="B150" s="77">
        <v>619</v>
      </c>
      <c r="C150" s="263" t="s">
        <v>1020</v>
      </c>
      <c r="D150" s="77" t="s">
        <v>133</v>
      </c>
      <c r="E150" s="77" t="s">
        <v>1021</v>
      </c>
      <c r="F150" s="78"/>
      <c r="G150" s="138"/>
      <c r="H150" s="77" t="s">
        <v>1022</v>
      </c>
      <c r="I150" s="265"/>
      <c r="J150" s="78" t="s">
        <v>575</v>
      </c>
      <c r="K150" s="78" t="s">
        <v>1279</v>
      </c>
      <c r="M150" s="269"/>
      <c r="AF150" s="3"/>
      <c r="AG150" s="3"/>
      <c r="AH150" s="3"/>
      <c r="AI150" s="3"/>
      <c r="AJ150" s="3"/>
      <c r="AK150" s="3"/>
    </row>
    <row r="151" spans="1:37" ht="32.25" customHeight="1" x14ac:dyDescent="0.25">
      <c r="A151" s="77">
        <v>82</v>
      </c>
      <c r="B151" s="77">
        <v>614</v>
      </c>
      <c r="C151" s="263" t="s">
        <v>1010</v>
      </c>
      <c r="D151" s="77" t="s">
        <v>133</v>
      </c>
      <c r="E151" s="77" t="s">
        <v>1012</v>
      </c>
      <c r="F151" s="78"/>
      <c r="G151" s="138" t="s">
        <v>520</v>
      </c>
      <c r="H151" s="77" t="s">
        <v>1011</v>
      </c>
      <c r="I151" s="265"/>
      <c r="J151" s="78" t="s">
        <v>575</v>
      </c>
      <c r="K151" s="78" t="s">
        <v>1280</v>
      </c>
      <c r="L151" s="140"/>
      <c r="M151" s="269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</row>
    <row r="152" spans="1:37" ht="32.25" customHeight="1" x14ac:dyDescent="0.25">
      <c r="A152" s="77">
        <v>106</v>
      </c>
      <c r="B152" s="77">
        <v>660</v>
      </c>
      <c r="C152" s="263" t="s">
        <v>1178</v>
      </c>
      <c r="D152" s="77" t="s">
        <v>133</v>
      </c>
      <c r="E152" s="77" t="s">
        <v>1177</v>
      </c>
      <c r="F152" s="78"/>
      <c r="G152" s="138" t="s">
        <v>699</v>
      </c>
      <c r="H152" s="77" t="s">
        <v>1179</v>
      </c>
      <c r="I152" s="265">
        <v>33729</v>
      </c>
      <c r="J152" s="78" t="s">
        <v>575</v>
      </c>
      <c r="K152" s="78" t="s">
        <v>1288</v>
      </c>
      <c r="L152" s="140"/>
      <c r="M152" s="269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</row>
    <row r="153" spans="1:37" ht="32.25" customHeight="1" x14ac:dyDescent="0.25">
      <c r="A153" s="77">
        <v>93</v>
      </c>
      <c r="B153" s="77">
        <v>638</v>
      </c>
      <c r="C153" s="263" t="s">
        <v>1078</v>
      </c>
      <c r="D153" s="77" t="s">
        <v>133</v>
      </c>
      <c r="E153" s="77" t="s">
        <v>1070</v>
      </c>
      <c r="F153" s="78"/>
      <c r="G153" s="138"/>
      <c r="H153" s="77" t="s">
        <v>1079</v>
      </c>
      <c r="I153" s="265"/>
      <c r="J153" s="78" t="s">
        <v>575</v>
      </c>
      <c r="K153" s="78" t="s">
        <v>1289</v>
      </c>
      <c r="L153" s="140"/>
      <c r="M153" s="269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</row>
    <row r="154" spans="1:37" ht="32.25" customHeight="1" x14ac:dyDescent="0.25">
      <c r="A154" s="77">
        <v>93</v>
      </c>
      <c r="B154" s="77">
        <v>640</v>
      </c>
      <c r="C154" s="263" t="s">
        <v>1088</v>
      </c>
      <c r="D154" s="77" t="s">
        <v>659</v>
      </c>
      <c r="E154" s="77" t="s">
        <v>1071</v>
      </c>
      <c r="F154" s="78"/>
      <c r="G154" s="138" t="s">
        <v>561</v>
      </c>
      <c r="H154" s="77" t="s">
        <v>1089</v>
      </c>
      <c r="I154" s="265">
        <v>32874</v>
      </c>
      <c r="J154" s="78" t="s">
        <v>575</v>
      </c>
      <c r="K154" s="78" t="s">
        <v>1290</v>
      </c>
      <c r="L154" s="140"/>
      <c r="M154" s="269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</row>
    <row r="155" spans="1:37" s="140" customFormat="1" ht="32.25" customHeight="1" x14ac:dyDescent="0.25">
      <c r="A155" s="77">
        <v>49</v>
      </c>
      <c r="B155" s="77">
        <v>555</v>
      </c>
      <c r="C155" s="263" t="s">
        <v>752</v>
      </c>
      <c r="D155" s="77" t="s">
        <v>133</v>
      </c>
      <c r="E155" s="77" t="s">
        <v>753</v>
      </c>
      <c r="F155" s="78"/>
      <c r="G155" s="138" t="s">
        <v>514</v>
      </c>
      <c r="H155" s="77" t="s">
        <v>754</v>
      </c>
      <c r="I155" s="265">
        <v>37924</v>
      </c>
      <c r="J155" s="78" t="s">
        <v>575</v>
      </c>
      <c r="K155" s="78" t="s">
        <v>1292</v>
      </c>
      <c r="M155" s="269"/>
      <c r="AF155" s="3"/>
      <c r="AG155" s="3"/>
      <c r="AH155" s="3"/>
      <c r="AI155" s="3"/>
      <c r="AJ155" s="3"/>
      <c r="AK155" s="3"/>
    </row>
    <row r="156" spans="1:37" ht="32.25" customHeight="1" x14ac:dyDescent="0.25">
      <c r="A156" s="77">
        <v>87</v>
      </c>
      <c r="B156" s="77">
        <v>628</v>
      </c>
      <c r="C156" s="263" t="s">
        <v>1054</v>
      </c>
      <c r="D156" s="77" t="s">
        <v>1014</v>
      </c>
      <c r="E156" s="77" t="s">
        <v>1056</v>
      </c>
      <c r="F156" s="78"/>
      <c r="G156" s="138" t="s">
        <v>1055</v>
      </c>
      <c r="H156" s="77">
        <v>10490329</v>
      </c>
      <c r="I156" s="265"/>
      <c r="J156" s="78" t="s">
        <v>575</v>
      </c>
      <c r="K156" s="78" t="s">
        <v>1310</v>
      </c>
      <c r="L156" s="140"/>
      <c r="M156" s="269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</row>
    <row r="157" spans="1:37" ht="32.25" customHeight="1" x14ac:dyDescent="0.25">
      <c r="A157" s="77"/>
      <c r="B157" s="77"/>
      <c r="C157" s="263" t="s">
        <v>1008</v>
      </c>
      <c r="D157" s="77" t="s">
        <v>133</v>
      </c>
      <c r="E157" s="77" t="s">
        <v>1260</v>
      </c>
      <c r="F157" s="78"/>
      <c r="G157" s="138"/>
      <c r="H157" s="77" t="s">
        <v>1195</v>
      </c>
      <c r="I157" s="265"/>
      <c r="J157" s="78" t="s">
        <v>575</v>
      </c>
      <c r="K157" s="78" t="s">
        <v>1311</v>
      </c>
      <c r="L157" s="140"/>
      <c r="M157" s="269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</row>
    <row r="158" spans="1:37" ht="32.25" customHeight="1" x14ac:dyDescent="0.25">
      <c r="A158" s="77">
        <v>83</v>
      </c>
      <c r="B158" s="77"/>
      <c r="C158" s="263" t="s">
        <v>1033</v>
      </c>
      <c r="D158" s="77" t="s">
        <v>133</v>
      </c>
      <c r="E158" s="77" t="s">
        <v>1034</v>
      </c>
      <c r="F158" s="78"/>
      <c r="G158" s="138"/>
      <c r="H158" s="77" t="s">
        <v>1035</v>
      </c>
      <c r="I158" s="265"/>
      <c r="J158" s="78" t="s">
        <v>575</v>
      </c>
      <c r="K158" s="78" t="s">
        <v>1312</v>
      </c>
      <c r="L158" s="140"/>
      <c r="M158" s="269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</row>
    <row r="159" spans="1:37" ht="32.25" customHeight="1" x14ac:dyDescent="0.25">
      <c r="A159" s="77">
        <v>56</v>
      </c>
      <c r="B159" s="77">
        <v>574</v>
      </c>
      <c r="C159" s="263" t="s">
        <v>914</v>
      </c>
      <c r="D159" s="77" t="s">
        <v>132</v>
      </c>
      <c r="E159" s="77" t="s">
        <v>916</v>
      </c>
      <c r="F159" s="78"/>
      <c r="G159" s="138"/>
      <c r="H159" s="77" t="s">
        <v>915</v>
      </c>
      <c r="I159" s="265">
        <v>37896</v>
      </c>
      <c r="J159" s="78" t="s">
        <v>575</v>
      </c>
      <c r="K159" s="78" t="s">
        <v>1313</v>
      </c>
      <c r="L159" s="140"/>
      <c r="M159" s="269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</row>
    <row r="160" spans="1:37" ht="32.25" customHeight="1" x14ac:dyDescent="0.25">
      <c r="A160" s="77">
        <v>47</v>
      </c>
      <c r="B160" s="77">
        <v>540</v>
      </c>
      <c r="C160" s="263" t="s">
        <v>707</v>
      </c>
      <c r="D160" s="77" t="s">
        <v>133</v>
      </c>
      <c r="E160" s="77" t="s">
        <v>708</v>
      </c>
      <c r="F160" s="78"/>
      <c r="G160" s="138" t="s">
        <v>561</v>
      </c>
      <c r="H160" s="77" t="s">
        <v>709</v>
      </c>
      <c r="I160" s="265"/>
      <c r="J160" s="78" t="s">
        <v>575</v>
      </c>
      <c r="K160" s="78" t="s">
        <v>1349</v>
      </c>
      <c r="L160" s="140"/>
      <c r="M160" s="269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</row>
    <row r="161" spans="1:37" ht="32.25" customHeight="1" x14ac:dyDescent="0.25">
      <c r="A161" s="77">
        <v>6</v>
      </c>
      <c r="B161" s="77">
        <v>698</v>
      </c>
      <c r="C161" s="263" t="s">
        <v>1322</v>
      </c>
      <c r="D161" s="77" t="s">
        <v>131</v>
      </c>
      <c r="E161" s="77" t="s">
        <v>1324</v>
      </c>
      <c r="F161" s="78"/>
      <c r="G161" s="138" t="s">
        <v>591</v>
      </c>
      <c r="H161" s="77" t="s">
        <v>1325</v>
      </c>
      <c r="I161" s="265" t="s">
        <v>1323</v>
      </c>
      <c r="J161" s="78" t="s">
        <v>575</v>
      </c>
      <c r="K161" s="78" t="s">
        <v>1351</v>
      </c>
      <c r="L161" s="140"/>
      <c r="M161" s="269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</row>
    <row r="162" spans="1:37" ht="32.25" customHeight="1" x14ac:dyDescent="0.25">
      <c r="A162" s="77">
        <v>35</v>
      </c>
      <c r="B162" s="77">
        <v>467</v>
      </c>
      <c r="C162" s="263" t="s">
        <v>622</v>
      </c>
      <c r="D162" s="77" t="s">
        <v>132</v>
      </c>
      <c r="E162" s="77" t="s">
        <v>717</v>
      </c>
      <c r="F162" s="78"/>
      <c r="G162" s="138" t="s">
        <v>576</v>
      </c>
      <c r="H162" s="77" t="s">
        <v>577</v>
      </c>
      <c r="I162" s="265"/>
      <c r="J162" s="78" t="s">
        <v>575</v>
      </c>
      <c r="K162" s="78" t="s">
        <v>1352</v>
      </c>
      <c r="L162" s="140"/>
      <c r="M162" s="269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</row>
    <row r="163" spans="1:37" ht="32.25" customHeight="1" x14ac:dyDescent="0.25">
      <c r="A163" s="77">
        <v>56</v>
      </c>
      <c r="B163" s="77">
        <v>579</v>
      </c>
      <c r="C163" s="263" t="s">
        <v>921</v>
      </c>
      <c r="D163" s="77" t="s">
        <v>131</v>
      </c>
      <c r="E163" s="77" t="s">
        <v>923</v>
      </c>
      <c r="F163" s="78"/>
      <c r="G163" s="138" t="s">
        <v>561</v>
      </c>
      <c r="H163" s="77" t="s">
        <v>922</v>
      </c>
      <c r="I163" s="265">
        <v>36891</v>
      </c>
      <c r="J163" s="78" t="s">
        <v>575</v>
      </c>
      <c r="K163" s="78" t="s">
        <v>1353</v>
      </c>
      <c r="L163" s="140"/>
      <c r="M163" s="269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</row>
    <row r="164" spans="1:37" ht="32.25" customHeight="1" x14ac:dyDescent="0.25">
      <c r="A164" s="77">
        <v>75</v>
      </c>
      <c r="B164" s="77">
        <v>609</v>
      </c>
      <c r="C164" s="263" t="s">
        <v>998</v>
      </c>
      <c r="D164" s="77" t="s">
        <v>133</v>
      </c>
      <c r="E164" s="77" t="s">
        <v>1000</v>
      </c>
      <c r="F164" s="78"/>
      <c r="G164" s="138" t="s">
        <v>999</v>
      </c>
      <c r="H164" s="77" t="s">
        <v>1001</v>
      </c>
      <c r="I164" s="265">
        <v>37462</v>
      </c>
      <c r="J164" s="78" t="s">
        <v>575</v>
      </c>
      <c r="K164" s="78" t="s">
        <v>1354</v>
      </c>
      <c r="L164" s="140" t="s">
        <v>188</v>
      </c>
      <c r="M164" s="269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</row>
    <row r="165" spans="1:37" ht="32.25" customHeight="1" x14ac:dyDescent="0.25">
      <c r="A165" s="77">
        <v>94</v>
      </c>
      <c r="B165" s="77"/>
      <c r="C165" s="263" t="s">
        <v>1183</v>
      </c>
      <c r="D165" s="77" t="s">
        <v>133</v>
      </c>
      <c r="E165" s="77" t="s">
        <v>1187</v>
      </c>
      <c r="F165" s="78"/>
      <c r="G165" s="138" t="s">
        <v>591</v>
      </c>
      <c r="H165" s="77" t="s">
        <v>1188</v>
      </c>
      <c r="I165" s="265"/>
      <c r="J165" s="78" t="s">
        <v>575</v>
      </c>
      <c r="K165" s="78" t="s">
        <v>1483</v>
      </c>
      <c r="L165" s="140" t="s">
        <v>188</v>
      </c>
      <c r="M165" s="269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</row>
    <row r="166" spans="1:37" s="212" customFormat="1" ht="32.25" customHeight="1" x14ac:dyDescent="0.25">
      <c r="A166" s="77">
        <v>4</v>
      </c>
      <c r="B166" s="77"/>
      <c r="C166" s="263" t="s">
        <v>580</v>
      </c>
      <c r="D166" s="77" t="s">
        <v>133</v>
      </c>
      <c r="E166" s="77" t="s">
        <v>582</v>
      </c>
      <c r="F166" s="78"/>
      <c r="G166" s="138" t="s">
        <v>581</v>
      </c>
      <c r="H166" s="77" t="s">
        <v>583</v>
      </c>
      <c r="I166" s="265">
        <v>36618</v>
      </c>
      <c r="J166" s="78" t="s">
        <v>575</v>
      </c>
      <c r="K166" s="78" t="s">
        <v>1484</v>
      </c>
      <c r="L166" s="140" t="s">
        <v>188</v>
      </c>
      <c r="M166" s="269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3"/>
      <c r="AG166" s="3"/>
      <c r="AH166" s="3"/>
      <c r="AI166" s="3"/>
      <c r="AJ166" s="3"/>
      <c r="AK166" s="3"/>
    </row>
    <row r="167" spans="1:37" ht="32.25" customHeight="1" x14ac:dyDescent="0.25">
      <c r="A167" s="77">
        <v>5</v>
      </c>
      <c r="B167" s="77">
        <v>597</v>
      </c>
      <c r="C167" s="263" t="s">
        <v>955</v>
      </c>
      <c r="D167" s="77" t="s">
        <v>131</v>
      </c>
      <c r="E167" s="77" t="s">
        <v>957</v>
      </c>
      <c r="F167" s="78"/>
      <c r="G167" s="138" t="s">
        <v>561</v>
      </c>
      <c r="H167" s="77" t="s">
        <v>956</v>
      </c>
      <c r="I167" s="265">
        <v>38420</v>
      </c>
      <c r="J167" s="78" t="s">
        <v>575</v>
      </c>
      <c r="K167" s="78" t="s">
        <v>1487</v>
      </c>
      <c r="L167" s="140" t="s">
        <v>188</v>
      </c>
      <c r="M167" s="269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</row>
    <row r="168" spans="1:37" ht="32.25" customHeight="1" x14ac:dyDescent="0.25">
      <c r="A168" s="77">
        <v>52</v>
      </c>
      <c r="B168" s="77" t="s">
        <v>1419</v>
      </c>
      <c r="C168" s="263" t="s">
        <v>829</v>
      </c>
      <c r="D168" s="77" t="s">
        <v>133</v>
      </c>
      <c r="E168" s="77" t="s">
        <v>832</v>
      </c>
      <c r="F168" s="78"/>
      <c r="G168" s="138" t="s">
        <v>830</v>
      </c>
      <c r="H168" s="77" t="s">
        <v>831</v>
      </c>
      <c r="I168" s="265">
        <v>32888</v>
      </c>
      <c r="J168" s="78" t="s">
        <v>575</v>
      </c>
      <c r="K168" s="78" t="s">
        <v>1494</v>
      </c>
      <c r="L168" s="140" t="s">
        <v>188</v>
      </c>
      <c r="M168" s="269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</row>
    <row r="169" spans="1:37" ht="32.25" customHeight="1" x14ac:dyDescent="0.25">
      <c r="A169" s="77">
        <v>28</v>
      </c>
      <c r="B169" s="77" t="s">
        <v>1397</v>
      </c>
      <c r="C169" s="263" t="s">
        <v>323</v>
      </c>
      <c r="D169" s="77" t="s">
        <v>133</v>
      </c>
      <c r="E169" s="77" t="s">
        <v>324</v>
      </c>
      <c r="F169" s="78"/>
      <c r="G169" s="138" t="s">
        <v>509</v>
      </c>
      <c r="H169" s="77" t="s">
        <v>325</v>
      </c>
      <c r="I169" s="265">
        <v>36091</v>
      </c>
      <c r="J169" s="78" t="s">
        <v>575</v>
      </c>
      <c r="K169" s="78" t="s">
        <v>1496</v>
      </c>
      <c r="L169" s="140" t="s">
        <v>188</v>
      </c>
      <c r="M169" s="269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</row>
    <row r="170" spans="1:37" ht="24.75" customHeight="1" x14ac:dyDescent="0.25">
      <c r="A170" s="77">
        <v>41</v>
      </c>
      <c r="B170" s="77" t="s">
        <v>1409</v>
      </c>
      <c r="C170" s="263" t="s">
        <v>640</v>
      </c>
      <c r="D170" s="77" t="s">
        <v>133</v>
      </c>
      <c r="E170" s="77"/>
      <c r="F170" s="78"/>
      <c r="G170" s="138" t="s">
        <v>561</v>
      </c>
      <c r="H170" s="77" t="s">
        <v>641</v>
      </c>
      <c r="I170" s="265">
        <v>35621</v>
      </c>
      <c r="J170" s="78" t="s">
        <v>575</v>
      </c>
      <c r="K170" s="78" t="s">
        <v>1497</v>
      </c>
      <c r="L170" s="140" t="s">
        <v>188</v>
      </c>
      <c r="M170" s="269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</row>
    <row r="171" spans="1:37" ht="26.25" customHeight="1" x14ac:dyDescent="0.25">
      <c r="A171" s="77">
        <v>80</v>
      </c>
      <c r="B171" s="77" t="s">
        <v>1451</v>
      </c>
      <c r="C171" s="263" t="s">
        <v>1127</v>
      </c>
      <c r="D171" s="77" t="s">
        <v>133</v>
      </c>
      <c r="E171" s="77" t="s">
        <v>1130</v>
      </c>
      <c r="F171" s="78">
        <v>45732</v>
      </c>
      <c r="G171" s="138"/>
      <c r="H171" s="77" t="s">
        <v>1129</v>
      </c>
      <c r="I171" s="265"/>
      <c r="J171" s="78" t="s">
        <v>575</v>
      </c>
      <c r="K171" s="78" t="s">
        <v>1541</v>
      </c>
      <c r="L171" s="140" t="s">
        <v>188</v>
      </c>
      <c r="M171" s="269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</row>
    <row r="172" spans="1:37" ht="26.25" customHeight="1" x14ac:dyDescent="0.25">
      <c r="A172" s="77">
        <v>43</v>
      </c>
      <c r="B172" s="77" t="s">
        <v>1414</v>
      </c>
      <c r="C172" s="263" t="s">
        <v>761</v>
      </c>
      <c r="D172" s="77" t="s">
        <v>133</v>
      </c>
      <c r="E172" s="77" t="s">
        <v>762</v>
      </c>
      <c r="F172" s="78"/>
      <c r="G172" s="138"/>
      <c r="H172" s="77" t="s">
        <v>763</v>
      </c>
      <c r="I172" s="265"/>
      <c r="J172" s="78" t="s">
        <v>575</v>
      </c>
      <c r="K172" s="78" t="s">
        <v>1573</v>
      </c>
      <c r="L172" s="140" t="s">
        <v>188</v>
      </c>
      <c r="M172" s="269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</row>
    <row r="173" spans="1:37" ht="26.25" customHeight="1" x14ac:dyDescent="0.25">
      <c r="A173" s="77">
        <v>105</v>
      </c>
      <c r="B173" s="77" t="s">
        <v>1476</v>
      </c>
      <c r="C173" s="263" t="s">
        <v>1267</v>
      </c>
      <c r="D173" s="77" t="s">
        <v>133</v>
      </c>
      <c r="E173" s="77" t="s">
        <v>1268</v>
      </c>
      <c r="F173" s="78">
        <v>45769</v>
      </c>
      <c r="G173" s="138"/>
      <c r="H173" s="77" t="s">
        <v>972</v>
      </c>
      <c r="I173" s="265"/>
      <c r="J173" s="78" t="s">
        <v>575</v>
      </c>
      <c r="K173" s="78" t="s">
        <v>1574</v>
      </c>
      <c r="L173" s="140" t="s">
        <v>188</v>
      </c>
      <c r="M173" s="269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</row>
    <row r="174" spans="1:37" ht="26.25" customHeight="1" x14ac:dyDescent="0.25">
      <c r="A174" s="77">
        <v>102</v>
      </c>
      <c r="B174" s="77" t="s">
        <v>1473</v>
      </c>
      <c r="C174" s="263" t="s">
        <v>1256</v>
      </c>
      <c r="D174" s="77" t="s">
        <v>1575</v>
      </c>
      <c r="E174" s="77" t="s">
        <v>1257</v>
      </c>
      <c r="F174" s="78">
        <v>45769</v>
      </c>
      <c r="G174" s="138"/>
      <c r="H174" s="77">
        <v>11901570</v>
      </c>
      <c r="I174" s="265" t="s">
        <v>1063</v>
      </c>
      <c r="J174" s="78" t="s">
        <v>575</v>
      </c>
      <c r="K174" s="78" t="s">
        <v>1576</v>
      </c>
      <c r="L174" s="140" t="s">
        <v>188</v>
      </c>
      <c r="M174" s="269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</row>
    <row r="175" spans="1:37" ht="26.25" customHeight="1" x14ac:dyDescent="0.25">
      <c r="A175" s="77">
        <v>43</v>
      </c>
      <c r="B175" s="77" t="s">
        <v>1415</v>
      </c>
      <c r="C175" s="263" t="s">
        <v>758</v>
      </c>
      <c r="D175" s="77" t="s">
        <v>133</v>
      </c>
      <c r="E175" s="77" t="s">
        <v>759</v>
      </c>
      <c r="F175" s="78"/>
      <c r="G175" s="138"/>
      <c r="H175" s="77" t="s">
        <v>760</v>
      </c>
      <c r="I175" s="265"/>
      <c r="J175" s="78" t="s">
        <v>575</v>
      </c>
      <c r="K175" s="78" t="s">
        <v>1617</v>
      </c>
      <c r="L175" s="140" t="s">
        <v>188</v>
      </c>
      <c r="M175" s="269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</row>
    <row r="176" spans="1:37" ht="26.25" customHeight="1" x14ac:dyDescent="0.25">
      <c r="A176" s="77"/>
      <c r="B176" s="77"/>
      <c r="C176" s="263" t="s">
        <v>120</v>
      </c>
      <c r="D176" s="77" t="s">
        <v>131</v>
      </c>
      <c r="E176" s="77" t="s">
        <v>22</v>
      </c>
      <c r="F176" s="78"/>
      <c r="G176" s="138"/>
      <c r="H176" s="77" t="s">
        <v>1023</v>
      </c>
      <c r="I176" s="265"/>
      <c r="J176" s="78" t="s">
        <v>575</v>
      </c>
      <c r="K176" s="78" t="s">
        <v>1627</v>
      </c>
      <c r="L176" s="140" t="s">
        <v>188</v>
      </c>
      <c r="M176" s="269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</row>
    <row r="177" spans="1:41" ht="26.25" customHeight="1" x14ac:dyDescent="0.25">
      <c r="A177" s="77">
        <v>38</v>
      </c>
      <c r="B177" s="77" t="s">
        <v>1410</v>
      </c>
      <c r="C177" s="263" t="s">
        <v>666</v>
      </c>
      <c r="D177" s="77" t="s">
        <v>133</v>
      </c>
      <c r="E177" s="77" t="s">
        <v>665</v>
      </c>
      <c r="F177" s="78">
        <v>45769</v>
      </c>
      <c r="G177" s="138"/>
      <c r="H177" s="77" t="s">
        <v>667</v>
      </c>
      <c r="I177" s="265"/>
      <c r="J177" s="78" t="s">
        <v>575</v>
      </c>
      <c r="K177" s="78" t="s">
        <v>1628</v>
      </c>
      <c r="L177" s="140" t="s">
        <v>188</v>
      </c>
      <c r="M177" s="269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</row>
    <row r="178" spans="1:41" ht="26.25" customHeight="1" x14ac:dyDescent="0.25">
      <c r="A178" s="334">
        <v>43</v>
      </c>
      <c r="B178" s="77" t="s">
        <v>1417</v>
      </c>
      <c r="C178" s="263" t="s">
        <v>801</v>
      </c>
      <c r="D178" s="307" t="s">
        <v>133</v>
      </c>
      <c r="E178" s="77" t="s">
        <v>802</v>
      </c>
      <c r="F178" s="335"/>
      <c r="G178" s="138"/>
      <c r="H178" s="77" t="s">
        <v>803</v>
      </c>
      <c r="I178" s="77" t="s">
        <v>133</v>
      </c>
      <c r="J178" s="78" t="s">
        <v>575</v>
      </c>
      <c r="K178" s="78" t="s">
        <v>1629</v>
      </c>
      <c r="L178" s="140" t="s">
        <v>188</v>
      </c>
      <c r="M178" s="269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</row>
    <row r="179" spans="1:41" ht="26.25" customHeight="1" x14ac:dyDescent="0.25">
      <c r="A179" s="334">
        <v>37</v>
      </c>
      <c r="B179" s="77" t="s">
        <v>1408</v>
      </c>
      <c r="C179" s="263" t="s">
        <v>645</v>
      </c>
      <c r="D179" s="307" t="s">
        <v>133</v>
      </c>
      <c r="E179" s="77" t="s">
        <v>646</v>
      </c>
      <c r="F179" s="335"/>
      <c r="G179" s="138"/>
      <c r="H179" s="77" t="s">
        <v>647</v>
      </c>
      <c r="I179" s="77"/>
      <c r="J179" s="78" t="s">
        <v>575</v>
      </c>
      <c r="K179" s="78" t="s">
        <v>1632</v>
      </c>
      <c r="L179" s="3"/>
      <c r="M179" s="269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</row>
    <row r="180" spans="1:41" ht="26.25" customHeight="1" x14ac:dyDescent="0.25">
      <c r="A180" s="334">
        <v>102</v>
      </c>
      <c r="B180" s="77" t="s">
        <v>1480</v>
      </c>
      <c r="C180" s="263" t="s">
        <v>1302</v>
      </c>
      <c r="D180" s="307" t="s">
        <v>131</v>
      </c>
      <c r="E180" s="77" t="s">
        <v>1303</v>
      </c>
      <c r="F180" s="335"/>
      <c r="G180" s="138"/>
      <c r="H180" s="77" t="s">
        <v>1304</v>
      </c>
      <c r="I180" s="77"/>
      <c r="J180" s="78" t="s">
        <v>575</v>
      </c>
      <c r="K180" s="78" t="s">
        <v>1634</v>
      </c>
      <c r="L180" s="3"/>
      <c r="M180" s="269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</row>
    <row r="181" spans="1:41" ht="26.25" customHeight="1" x14ac:dyDescent="0.25">
      <c r="A181" s="334">
        <v>39</v>
      </c>
      <c r="B181" s="77" t="s">
        <v>1412</v>
      </c>
      <c r="C181" s="263" t="s">
        <v>704</v>
      </c>
      <c r="D181" s="307" t="s">
        <v>133</v>
      </c>
      <c r="E181" s="77" t="s">
        <v>705</v>
      </c>
      <c r="F181" s="335"/>
      <c r="G181" s="138"/>
      <c r="H181" s="77" t="s">
        <v>706</v>
      </c>
      <c r="I181" s="77"/>
      <c r="J181" s="78" t="s">
        <v>575</v>
      </c>
      <c r="K181" s="78" t="s">
        <v>1635</v>
      </c>
      <c r="L181" s="3"/>
      <c r="M181" s="269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</row>
    <row r="182" spans="1:41" ht="26.25" customHeight="1" x14ac:dyDescent="0.25">
      <c r="A182" s="334">
        <v>36</v>
      </c>
      <c r="B182" s="77" t="s">
        <v>1407</v>
      </c>
      <c r="C182" s="263" t="s">
        <v>642</v>
      </c>
      <c r="D182" s="307" t="s">
        <v>133</v>
      </c>
      <c r="E182" s="77" t="s">
        <v>643</v>
      </c>
      <c r="F182" s="335"/>
      <c r="G182" s="138"/>
      <c r="H182" s="77" t="s">
        <v>644</v>
      </c>
      <c r="I182" s="77"/>
      <c r="J182" s="78" t="s">
        <v>575</v>
      </c>
      <c r="K182" s="78" t="s">
        <v>1636</v>
      </c>
      <c r="L182" s="3"/>
      <c r="M182" s="269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</row>
    <row r="183" spans="1:41" ht="26.25" customHeight="1" x14ac:dyDescent="0.25">
      <c r="A183" s="334">
        <v>80</v>
      </c>
      <c r="B183" s="77" t="s">
        <v>1457</v>
      </c>
      <c r="C183" s="263" t="s">
        <v>1165</v>
      </c>
      <c r="D183" s="307" t="s">
        <v>133</v>
      </c>
      <c r="E183" s="77" t="s">
        <v>1167</v>
      </c>
      <c r="F183" s="335">
        <v>45769</v>
      </c>
      <c r="G183" s="138"/>
      <c r="H183" s="77" t="s">
        <v>1166</v>
      </c>
      <c r="I183" s="77"/>
      <c r="J183" s="78" t="s">
        <v>575</v>
      </c>
      <c r="K183" s="78" t="s">
        <v>1637</v>
      </c>
      <c r="L183" s="3"/>
      <c r="M183" s="269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</row>
    <row r="184" spans="1:41" ht="26.25" customHeight="1" x14ac:dyDescent="0.25">
      <c r="A184" s="334">
        <v>46</v>
      </c>
      <c r="B184" s="77" t="s">
        <v>1534</v>
      </c>
      <c r="C184" s="263" t="s">
        <v>943</v>
      </c>
      <c r="D184" s="307" t="s">
        <v>132</v>
      </c>
      <c r="E184" s="77" t="s">
        <v>975</v>
      </c>
      <c r="F184" s="335"/>
      <c r="G184" s="138"/>
      <c r="H184" s="77" t="s">
        <v>944</v>
      </c>
      <c r="I184" s="77"/>
      <c r="J184" s="78" t="s">
        <v>575</v>
      </c>
      <c r="K184" s="78" t="s">
        <v>1664</v>
      </c>
      <c r="L184" s="3"/>
      <c r="M184" s="269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</row>
    <row r="185" spans="1:41" s="140" customFormat="1" ht="26.25" customHeight="1" x14ac:dyDescent="0.25">
      <c r="A185" s="334">
        <v>61</v>
      </c>
      <c r="B185" s="77" t="s">
        <v>1440</v>
      </c>
      <c r="C185" s="263" t="s">
        <v>1030</v>
      </c>
      <c r="D185" s="307" t="s">
        <v>133</v>
      </c>
      <c r="E185" s="77" t="s">
        <v>1031</v>
      </c>
      <c r="F185" s="335" t="s">
        <v>1519</v>
      </c>
      <c r="G185" s="138"/>
      <c r="H185" s="77" t="s">
        <v>1032</v>
      </c>
      <c r="I185" s="77"/>
      <c r="J185" s="78" t="s">
        <v>575</v>
      </c>
      <c r="K185" s="78" t="s">
        <v>1691</v>
      </c>
      <c r="L185" s="3"/>
      <c r="M185" s="269"/>
      <c r="AF185" s="3"/>
      <c r="AG185" s="3"/>
      <c r="AH185" s="3"/>
      <c r="AI185" s="3"/>
      <c r="AJ185" s="3"/>
      <c r="AK185" s="3"/>
      <c r="AL185" s="3"/>
      <c r="AM185" s="3"/>
    </row>
    <row r="186" spans="1:41" ht="32.25" customHeight="1" x14ac:dyDescent="0.25">
      <c r="A186" s="334">
        <v>119</v>
      </c>
      <c r="B186" s="77" t="s">
        <v>1559</v>
      </c>
      <c r="C186" s="263" t="s">
        <v>1562</v>
      </c>
      <c r="D186" s="307" t="s">
        <v>132</v>
      </c>
      <c r="E186" s="77" t="s">
        <v>1564</v>
      </c>
      <c r="F186" s="335"/>
      <c r="G186" s="138"/>
      <c r="H186" s="77" t="s">
        <v>1563</v>
      </c>
      <c r="I186" s="77"/>
      <c r="J186" s="78" t="s">
        <v>575</v>
      </c>
      <c r="K186" s="78" t="s">
        <v>1692</v>
      </c>
      <c r="L186" s="3"/>
      <c r="M186" s="269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N186" s="140"/>
      <c r="AO186" s="140"/>
    </row>
    <row r="187" spans="1:41" ht="26.25" customHeight="1" x14ac:dyDescent="0.25">
      <c r="A187" s="334">
        <v>6</v>
      </c>
      <c r="B187" s="77" t="s">
        <v>1377</v>
      </c>
      <c r="C187" s="263" t="s">
        <v>1495</v>
      </c>
      <c r="D187" s="307" t="s">
        <v>131</v>
      </c>
      <c r="E187" s="77" t="s">
        <v>2</v>
      </c>
      <c r="F187" s="335"/>
      <c r="G187" s="138"/>
      <c r="H187" s="77" t="s">
        <v>1485</v>
      </c>
      <c r="I187" s="77"/>
      <c r="J187" s="78" t="s">
        <v>910</v>
      </c>
      <c r="K187" s="78" t="s">
        <v>1693</v>
      </c>
      <c r="L187" s="3"/>
      <c r="M187" s="269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N187" s="140"/>
      <c r="AO187" s="140"/>
    </row>
    <row r="188" spans="1:41" ht="26.25" customHeight="1" x14ac:dyDescent="0.25">
      <c r="A188" s="334">
        <v>35</v>
      </c>
      <c r="B188" s="77" t="s">
        <v>1406</v>
      </c>
      <c r="C188" s="263" t="s">
        <v>623</v>
      </c>
      <c r="D188" s="307" t="s">
        <v>133</v>
      </c>
      <c r="E188" s="77" t="s">
        <v>624</v>
      </c>
      <c r="F188" s="335"/>
      <c r="G188" s="138"/>
      <c r="H188" s="77" t="s">
        <v>625</v>
      </c>
      <c r="I188" s="77"/>
      <c r="J188" s="78" t="s">
        <v>575</v>
      </c>
      <c r="K188" s="78" t="s">
        <v>1694</v>
      </c>
      <c r="L188" s="3"/>
      <c r="M188" s="269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N188" s="140"/>
      <c r="AO188" s="140"/>
    </row>
    <row r="189" spans="1:41" ht="26.25" customHeight="1" x14ac:dyDescent="0.25">
      <c r="A189" s="334">
        <v>65</v>
      </c>
      <c r="B189" s="77" t="s">
        <v>1445</v>
      </c>
      <c r="C189" s="263" t="s">
        <v>1072</v>
      </c>
      <c r="D189" s="307" t="s">
        <v>1063</v>
      </c>
      <c r="E189" s="77" t="s">
        <v>1067</v>
      </c>
      <c r="F189" s="335"/>
      <c r="G189" s="138"/>
      <c r="H189" s="77" t="s">
        <v>1073</v>
      </c>
      <c r="I189" s="77"/>
      <c r="J189" s="78" t="s">
        <v>575</v>
      </c>
      <c r="K189" s="78" t="s">
        <v>1695</v>
      </c>
      <c r="L189" s="3"/>
      <c r="M189" s="269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N189" s="140"/>
      <c r="AO189" s="140"/>
    </row>
    <row r="190" spans="1:41" ht="43.5" customHeight="1" x14ac:dyDescent="0.25">
      <c r="A190" s="334">
        <v>4</v>
      </c>
      <c r="B190" s="77">
        <v>583</v>
      </c>
      <c r="C190" s="263" t="s">
        <v>927</v>
      </c>
      <c r="D190" s="307" t="s">
        <v>132</v>
      </c>
      <c r="E190" s="77" t="s">
        <v>929</v>
      </c>
      <c r="F190" s="335"/>
      <c r="G190" s="138"/>
      <c r="H190" s="77" t="s">
        <v>930</v>
      </c>
      <c r="I190" s="77"/>
      <c r="J190" s="78" t="s">
        <v>575</v>
      </c>
      <c r="K190" s="78" t="s">
        <v>1696</v>
      </c>
      <c r="L190" s="3"/>
      <c r="M190" s="269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</row>
    <row r="191" spans="1:41" ht="32.25" customHeight="1" x14ac:dyDescent="0.25">
      <c r="A191" s="334">
        <v>6</v>
      </c>
      <c r="B191" s="77">
        <v>648</v>
      </c>
      <c r="C191" s="263" t="s">
        <v>1120</v>
      </c>
      <c r="D191" s="307" t="s">
        <v>1063</v>
      </c>
      <c r="E191" s="77" t="s">
        <v>1121</v>
      </c>
      <c r="F191" s="335"/>
      <c r="G191" s="138"/>
      <c r="H191" s="77" t="s">
        <v>1122</v>
      </c>
      <c r="I191" s="77"/>
      <c r="J191" s="78" t="s">
        <v>575</v>
      </c>
      <c r="K191" s="78" t="s">
        <v>1697</v>
      </c>
      <c r="L191" s="3"/>
      <c r="M191" s="269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</row>
    <row r="192" spans="1:41" ht="32.25" customHeight="1" x14ac:dyDescent="0.25">
      <c r="A192" s="334">
        <v>5</v>
      </c>
      <c r="B192" s="77">
        <v>665</v>
      </c>
      <c r="C192" s="263" t="s">
        <v>1182</v>
      </c>
      <c r="D192" s="307" t="s">
        <v>1014</v>
      </c>
      <c r="E192" s="77" t="s">
        <v>1185</v>
      </c>
      <c r="F192" s="335"/>
      <c r="G192" s="138"/>
      <c r="H192" s="77">
        <v>11196956</v>
      </c>
      <c r="I192" s="77"/>
      <c r="J192" s="78" t="s">
        <v>575</v>
      </c>
      <c r="K192" s="78" t="s">
        <v>1698</v>
      </c>
      <c r="L192" s="3"/>
      <c r="M192" s="269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</row>
    <row r="193" spans="1:31" ht="26.25" customHeight="1" x14ac:dyDescent="0.25">
      <c r="A193" s="334">
        <v>92</v>
      </c>
      <c r="B193" s="77" t="s">
        <v>1474</v>
      </c>
      <c r="C193" s="263" t="s">
        <v>1240</v>
      </c>
      <c r="D193" s="307" t="s">
        <v>1063</v>
      </c>
      <c r="E193" s="77" t="s">
        <v>1241</v>
      </c>
      <c r="F193" s="335"/>
      <c r="G193" s="138"/>
      <c r="H193" s="77" t="s">
        <v>1242</v>
      </c>
      <c r="I193" s="77"/>
      <c r="J193" s="78" t="s">
        <v>575</v>
      </c>
      <c r="K193" s="78" t="s">
        <v>1710</v>
      </c>
      <c r="L193" s="3"/>
      <c r="M193" s="269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</row>
    <row r="194" spans="1:31" ht="26.25" customHeight="1" x14ac:dyDescent="0.25">
      <c r="A194" s="334">
        <v>99</v>
      </c>
      <c r="B194" s="77" t="s">
        <v>1358</v>
      </c>
      <c r="C194" s="263" t="s">
        <v>1355</v>
      </c>
      <c r="D194" s="307" t="s">
        <v>659</v>
      </c>
      <c r="E194" s="77" t="s">
        <v>1357</v>
      </c>
      <c r="F194" s="335"/>
      <c r="G194" s="138"/>
      <c r="H194" s="77" t="s">
        <v>1356</v>
      </c>
      <c r="I194" s="77"/>
      <c r="J194" s="78" t="s">
        <v>575</v>
      </c>
      <c r="K194" s="78" t="s">
        <v>1720</v>
      </c>
      <c r="L194" s="3"/>
      <c r="M194" s="269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</row>
    <row r="195" spans="1:31" ht="26.25" customHeight="1" x14ac:dyDescent="0.25">
      <c r="A195" s="334">
        <v>35</v>
      </c>
      <c r="B195" s="77"/>
      <c r="C195" s="263" t="s">
        <v>698</v>
      </c>
      <c r="D195" s="307" t="s">
        <v>132</v>
      </c>
      <c r="E195" s="77" t="s">
        <v>700</v>
      </c>
      <c r="F195" s="335"/>
      <c r="G195" s="138"/>
      <c r="H195" s="77" t="s">
        <v>701</v>
      </c>
      <c r="I195" s="77"/>
      <c r="J195" s="78" t="s">
        <v>575</v>
      </c>
      <c r="K195" s="78" t="s">
        <v>1721</v>
      </c>
      <c r="L195" s="3"/>
      <c r="M195" s="269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</row>
    <row r="196" spans="1:31" ht="26.25" customHeight="1" x14ac:dyDescent="0.25">
      <c r="A196" s="334">
        <v>69</v>
      </c>
      <c r="B196" s="77" t="s">
        <v>1452</v>
      </c>
      <c r="C196" s="263" t="s">
        <v>1142</v>
      </c>
      <c r="D196" s="307" t="s">
        <v>133</v>
      </c>
      <c r="E196" s="77" t="s">
        <v>1143</v>
      </c>
      <c r="F196" s="335"/>
      <c r="G196" s="138"/>
      <c r="H196" s="77" t="s">
        <v>1144</v>
      </c>
      <c r="I196" s="77"/>
      <c r="J196" s="78" t="s">
        <v>575</v>
      </c>
      <c r="K196" s="78" t="s">
        <v>1722</v>
      </c>
      <c r="L196" s="3"/>
      <c r="M196" s="269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</row>
    <row r="197" spans="1:31" ht="26.25" customHeight="1" x14ac:dyDescent="0.25">
      <c r="A197" s="334">
        <v>71</v>
      </c>
      <c r="B197" s="77" t="s">
        <v>1454</v>
      </c>
      <c r="C197" s="263" t="s">
        <v>1154</v>
      </c>
      <c r="D197" s="307" t="s">
        <v>133</v>
      </c>
      <c r="E197" s="77" t="s">
        <v>1156</v>
      </c>
      <c r="F197" s="335"/>
      <c r="G197" s="138"/>
      <c r="H197" s="77" t="s">
        <v>1155</v>
      </c>
      <c r="I197" s="77"/>
      <c r="J197" s="78" t="s">
        <v>575</v>
      </c>
      <c r="K197" s="78" t="s">
        <v>1740</v>
      </c>
      <c r="L197" s="3"/>
      <c r="M197" s="269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</row>
    <row r="198" spans="1:31" ht="26.25" customHeight="1" x14ac:dyDescent="0.25">
      <c r="A198" s="334">
        <v>65</v>
      </c>
      <c r="B198" s="77" t="s">
        <v>1448</v>
      </c>
      <c r="C198" s="263" t="s">
        <v>1090</v>
      </c>
      <c r="D198" s="307" t="s">
        <v>659</v>
      </c>
      <c r="E198" s="77" t="s">
        <v>1091</v>
      </c>
      <c r="F198" s="335"/>
      <c r="G198" s="138"/>
      <c r="H198" s="77" t="s">
        <v>1092</v>
      </c>
      <c r="I198" s="77"/>
      <c r="J198" s="78" t="s">
        <v>575</v>
      </c>
      <c r="K198" s="78" t="s">
        <v>1755</v>
      </c>
      <c r="L198" s="3"/>
      <c r="M198" s="269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</row>
    <row r="199" spans="1:31" ht="32.25" customHeight="1" x14ac:dyDescent="0.25">
      <c r="A199" s="334">
        <v>5</v>
      </c>
      <c r="B199" s="77">
        <v>553</v>
      </c>
      <c r="C199" s="263" t="s">
        <v>748</v>
      </c>
      <c r="D199" s="307" t="s">
        <v>133</v>
      </c>
      <c r="E199" s="77" t="s">
        <v>749</v>
      </c>
      <c r="F199" s="335"/>
      <c r="G199" s="138"/>
      <c r="H199" s="77" t="s">
        <v>750</v>
      </c>
      <c r="I199" s="77"/>
      <c r="J199" s="78" t="s">
        <v>575</v>
      </c>
      <c r="K199" s="78" t="s">
        <v>1756</v>
      </c>
      <c r="L199" s="3"/>
      <c r="M199" s="269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</row>
    <row r="200" spans="1:31" ht="26.25" customHeight="1" x14ac:dyDescent="0.25">
      <c r="A200" s="334">
        <v>56</v>
      </c>
      <c r="B200" s="77" t="s">
        <v>1437</v>
      </c>
      <c r="C200" s="263" t="s">
        <v>1002</v>
      </c>
      <c r="D200" s="307" t="s">
        <v>133</v>
      </c>
      <c r="E200" s="77" t="s">
        <v>1003</v>
      </c>
      <c r="F200" s="335"/>
      <c r="G200" s="138"/>
      <c r="H200" s="77" t="s">
        <v>1004</v>
      </c>
      <c r="I200" s="77"/>
      <c r="J200" s="78" t="s">
        <v>575</v>
      </c>
      <c r="K200" s="78" t="s">
        <v>1757</v>
      </c>
      <c r="L200" s="3"/>
      <c r="M200" s="269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</row>
    <row r="201" spans="1:31" ht="26.25" customHeight="1" x14ac:dyDescent="0.25">
      <c r="A201" s="334">
        <v>74</v>
      </c>
      <c r="B201" s="77" t="s">
        <v>1459</v>
      </c>
      <c r="C201" s="263" t="s">
        <v>1169</v>
      </c>
      <c r="D201" s="307" t="s">
        <v>133</v>
      </c>
      <c r="E201" s="77" t="s">
        <v>1191</v>
      </c>
      <c r="F201" s="335"/>
      <c r="G201" s="138"/>
      <c r="H201" s="77" t="s">
        <v>1192</v>
      </c>
      <c r="I201" s="77"/>
      <c r="J201" s="78" t="s">
        <v>575</v>
      </c>
      <c r="K201" s="78" t="s">
        <v>1762</v>
      </c>
      <c r="L201" s="3"/>
      <c r="M201" s="269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</row>
    <row r="202" spans="1:31" ht="26.25" customHeight="1" x14ac:dyDescent="0.25">
      <c r="A202" s="334">
        <v>73</v>
      </c>
      <c r="B202" s="77" t="s">
        <v>1456</v>
      </c>
      <c r="C202" s="263" t="s">
        <v>1162</v>
      </c>
      <c r="D202" s="307" t="s">
        <v>133</v>
      </c>
      <c r="E202" s="77" t="s">
        <v>1164</v>
      </c>
      <c r="F202" s="335"/>
      <c r="G202" s="138"/>
      <c r="H202" s="77" t="s">
        <v>1163</v>
      </c>
      <c r="I202" s="77"/>
      <c r="J202" s="78" t="s">
        <v>575</v>
      </c>
      <c r="K202" s="78" t="s">
        <v>1787</v>
      </c>
      <c r="L202" s="3"/>
      <c r="M202" s="269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</row>
    <row r="203" spans="1:31" ht="26.25" customHeight="1" x14ac:dyDescent="0.25">
      <c r="A203" s="334"/>
      <c r="B203" s="77" t="s">
        <v>1800</v>
      </c>
      <c r="C203" s="263" t="s">
        <v>1815</v>
      </c>
      <c r="D203" s="307" t="s">
        <v>131</v>
      </c>
      <c r="E203" s="77" t="s">
        <v>1814</v>
      </c>
      <c r="F203" s="335"/>
      <c r="G203" s="138"/>
      <c r="H203" s="77" t="s">
        <v>1816</v>
      </c>
      <c r="I203" s="77"/>
      <c r="J203" s="78" t="s">
        <v>575</v>
      </c>
      <c r="K203" s="78" t="s">
        <v>1813</v>
      </c>
      <c r="L203" s="3"/>
      <c r="M203" s="269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</row>
    <row r="204" spans="1:31" ht="26.25" customHeight="1" x14ac:dyDescent="0.25">
      <c r="A204" s="344">
        <v>73</v>
      </c>
      <c r="B204" s="77" t="s">
        <v>1465</v>
      </c>
      <c r="C204" s="263" t="s">
        <v>95</v>
      </c>
      <c r="D204" s="292" t="s">
        <v>659</v>
      </c>
      <c r="E204" s="77" t="s">
        <v>1286</v>
      </c>
      <c r="F204" s="345"/>
      <c r="G204" s="138"/>
      <c r="H204" s="77" t="s">
        <v>66</v>
      </c>
      <c r="I204" s="77"/>
      <c r="J204" s="78" t="s">
        <v>575</v>
      </c>
      <c r="K204" s="78" t="s">
        <v>1817</v>
      </c>
      <c r="L204" s="3"/>
      <c r="M204" s="269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</row>
    <row r="205" spans="1:31" ht="25.5" customHeight="1" x14ac:dyDescent="0.25">
      <c r="A205" s="344">
        <v>96</v>
      </c>
      <c r="B205" s="77" t="s">
        <v>1524</v>
      </c>
      <c r="C205" s="263" t="s">
        <v>1527</v>
      </c>
      <c r="D205" s="292" t="s">
        <v>133</v>
      </c>
      <c r="E205" s="77" t="s">
        <v>1526</v>
      </c>
      <c r="F205" s="345"/>
      <c r="G205" s="138"/>
      <c r="H205" s="77" t="s">
        <v>1525</v>
      </c>
      <c r="I205" s="77"/>
      <c r="J205" s="78" t="s">
        <v>575</v>
      </c>
      <c r="K205" s="78" t="s">
        <v>1818</v>
      </c>
      <c r="L205" s="3"/>
      <c r="M205" s="269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</row>
    <row r="206" spans="1:31" ht="30" customHeight="1" x14ac:dyDescent="0.25">
      <c r="A206" s="94">
        <v>3</v>
      </c>
      <c r="B206" s="94" t="s">
        <v>1373</v>
      </c>
      <c r="C206" s="95" t="s">
        <v>123</v>
      </c>
      <c r="D206" s="94" t="s">
        <v>131</v>
      </c>
      <c r="E206" s="94" t="s">
        <v>3</v>
      </c>
      <c r="F206" s="96"/>
      <c r="G206" s="94" t="s">
        <v>510</v>
      </c>
      <c r="H206" s="94" t="s">
        <v>498</v>
      </c>
      <c r="I206" s="97"/>
      <c r="J206" s="97" t="s">
        <v>234</v>
      </c>
      <c r="K206" s="98" t="s">
        <v>359</v>
      </c>
      <c r="L206" s="3"/>
      <c r="M206" s="269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</row>
    <row r="207" spans="1:31" ht="32.25" customHeight="1" x14ac:dyDescent="0.25">
      <c r="A207" s="94">
        <v>1</v>
      </c>
      <c r="B207" s="94">
        <v>20</v>
      </c>
      <c r="C207" s="95" t="s">
        <v>51</v>
      </c>
      <c r="D207" s="94" t="s">
        <v>131</v>
      </c>
      <c r="E207" s="94" t="s">
        <v>4</v>
      </c>
      <c r="F207" s="96">
        <v>9821950</v>
      </c>
      <c r="G207" s="94"/>
      <c r="H207" s="94"/>
      <c r="I207" s="97" t="s">
        <v>184</v>
      </c>
      <c r="J207" s="97" t="s">
        <v>234</v>
      </c>
      <c r="K207" s="98" t="s">
        <v>359</v>
      </c>
      <c r="L207" s="140"/>
      <c r="M207" s="269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</row>
    <row r="208" spans="1:31" ht="32.25" customHeight="1" x14ac:dyDescent="0.25">
      <c r="A208" s="94">
        <v>2</v>
      </c>
      <c r="B208" s="94">
        <v>49</v>
      </c>
      <c r="C208" s="95" t="s">
        <v>115</v>
      </c>
      <c r="D208" s="94" t="s">
        <v>131</v>
      </c>
      <c r="E208" s="94" t="s">
        <v>180</v>
      </c>
      <c r="F208" s="94"/>
      <c r="G208" s="94"/>
      <c r="H208" s="94" t="s">
        <v>173</v>
      </c>
      <c r="I208" s="94" t="s">
        <v>114</v>
      </c>
      <c r="J208" s="97" t="s">
        <v>234</v>
      </c>
      <c r="K208" s="98" t="s">
        <v>359</v>
      </c>
      <c r="L208" s="140"/>
      <c r="M208" s="269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</row>
    <row r="209" spans="1:37" ht="32.25" customHeight="1" x14ac:dyDescent="0.25">
      <c r="A209" s="94">
        <v>3</v>
      </c>
      <c r="B209" s="94"/>
      <c r="C209" s="95" t="s">
        <v>178</v>
      </c>
      <c r="D209" s="94" t="s">
        <v>131</v>
      </c>
      <c r="E209" s="94" t="s">
        <v>176</v>
      </c>
      <c r="F209" s="94"/>
      <c r="G209" s="94" t="s">
        <v>175</v>
      </c>
      <c r="H209" s="94"/>
      <c r="I209" s="94"/>
      <c r="J209" s="97" t="s">
        <v>234</v>
      </c>
      <c r="K209" s="98" t="s">
        <v>359</v>
      </c>
      <c r="L209" s="140"/>
    </row>
    <row r="210" spans="1:37" ht="30" customHeight="1" x14ac:dyDescent="0.25">
      <c r="A210" s="127">
        <v>4</v>
      </c>
      <c r="B210" s="128"/>
      <c r="C210" s="129" t="s">
        <v>179</v>
      </c>
      <c r="D210" s="128" t="s">
        <v>131</v>
      </c>
      <c r="E210" s="130" t="s">
        <v>177</v>
      </c>
      <c r="F210" s="131"/>
      <c r="G210" s="132"/>
      <c r="H210" s="132"/>
      <c r="I210" s="132"/>
      <c r="J210" s="94" t="s">
        <v>234</v>
      </c>
      <c r="K210" s="98" t="s">
        <v>359</v>
      </c>
      <c r="L210" s="3"/>
      <c r="M210" s="268"/>
    </row>
    <row r="211" spans="1:37" ht="32.25" customHeight="1" x14ac:dyDescent="0.25">
      <c r="A211" s="36">
        <v>1</v>
      </c>
      <c r="B211" s="36"/>
      <c r="C211" s="44" t="s">
        <v>83</v>
      </c>
      <c r="D211" s="36" t="s">
        <v>131</v>
      </c>
      <c r="E211" s="36" t="s">
        <v>0</v>
      </c>
      <c r="F211" s="36"/>
      <c r="G211" s="36"/>
      <c r="H211" s="36" t="s">
        <v>218</v>
      </c>
      <c r="I211" s="36" t="s">
        <v>50</v>
      </c>
      <c r="J211" s="43" t="s">
        <v>221</v>
      </c>
      <c r="K211" s="93">
        <v>44395</v>
      </c>
      <c r="L211" s="72" t="s">
        <v>846</v>
      </c>
      <c r="M211" s="266" t="s">
        <v>188</v>
      </c>
    </row>
    <row r="212" spans="1:37" ht="32.25" customHeight="1" x14ac:dyDescent="0.25">
      <c r="A212" s="36">
        <v>2</v>
      </c>
      <c r="B212" s="36">
        <v>112</v>
      </c>
      <c r="C212" s="43" t="s">
        <v>119</v>
      </c>
      <c r="D212" s="36" t="s">
        <v>131</v>
      </c>
      <c r="E212" s="36" t="s">
        <v>19</v>
      </c>
      <c r="F212" s="36"/>
      <c r="G212" s="36"/>
      <c r="H212" s="36" t="s">
        <v>60</v>
      </c>
      <c r="I212" s="36" t="s">
        <v>159</v>
      </c>
      <c r="J212" s="43" t="s">
        <v>221</v>
      </c>
      <c r="K212" s="93">
        <v>44399</v>
      </c>
      <c r="L212" s="72" t="s">
        <v>846</v>
      </c>
    </row>
    <row r="213" spans="1:37" ht="32.25" customHeight="1" x14ac:dyDescent="0.25">
      <c r="A213" s="36">
        <v>3</v>
      </c>
      <c r="B213" s="36">
        <v>193</v>
      </c>
      <c r="C213" s="43" t="s">
        <v>117</v>
      </c>
      <c r="D213" s="36" t="s">
        <v>131</v>
      </c>
      <c r="E213" s="36" t="s">
        <v>21</v>
      </c>
      <c r="F213" s="36"/>
      <c r="G213" s="36"/>
      <c r="H213" s="36" t="s">
        <v>181</v>
      </c>
      <c r="I213" s="36" t="s">
        <v>62</v>
      </c>
      <c r="J213" s="43" t="s">
        <v>221</v>
      </c>
      <c r="K213" s="93">
        <v>44403</v>
      </c>
      <c r="L213" s="72" t="s">
        <v>234</v>
      </c>
      <c r="M213" s="266">
        <v>45295</v>
      </c>
    </row>
    <row r="214" spans="1:37" ht="32.25" customHeight="1" x14ac:dyDescent="0.25">
      <c r="A214" s="36">
        <v>4</v>
      </c>
      <c r="B214" s="36">
        <v>234</v>
      </c>
      <c r="C214" s="44" t="s">
        <v>108</v>
      </c>
      <c r="D214" s="36" t="s">
        <v>131</v>
      </c>
      <c r="E214" s="36" t="s">
        <v>32</v>
      </c>
      <c r="F214" s="36"/>
      <c r="G214" s="36">
        <v>9874650</v>
      </c>
      <c r="H214" s="36" t="s">
        <v>190</v>
      </c>
      <c r="I214" s="36" t="s">
        <v>70</v>
      </c>
      <c r="J214" s="43" t="s">
        <v>221</v>
      </c>
      <c r="K214" s="93">
        <v>44401</v>
      </c>
      <c r="L214" s="72" t="s">
        <v>234</v>
      </c>
      <c r="M214" s="266">
        <v>44972</v>
      </c>
    </row>
    <row r="215" spans="1:37" ht="32.25" customHeight="1" x14ac:dyDescent="0.25">
      <c r="A215" s="36">
        <v>5</v>
      </c>
      <c r="B215" s="51">
        <v>223</v>
      </c>
      <c r="C215" s="52" t="s">
        <v>102</v>
      </c>
      <c r="D215" s="51" t="s">
        <v>131</v>
      </c>
      <c r="E215" s="51" t="s">
        <v>37</v>
      </c>
      <c r="F215" s="36"/>
      <c r="G215" s="52"/>
      <c r="H215" s="51"/>
      <c r="I215" s="36" t="s">
        <v>74</v>
      </c>
      <c r="J215" s="53" t="s">
        <v>221</v>
      </c>
      <c r="K215" s="93">
        <v>44428</v>
      </c>
      <c r="L215" s="72" t="s">
        <v>846</v>
      </c>
    </row>
    <row r="216" spans="1:37" ht="32.25" customHeight="1" x14ac:dyDescent="0.25">
      <c r="A216" s="36">
        <v>6</v>
      </c>
      <c r="B216" s="51">
        <v>211</v>
      </c>
      <c r="C216" s="54" t="s">
        <v>116</v>
      </c>
      <c r="D216" s="51" t="s">
        <v>131</v>
      </c>
      <c r="E216" s="51" t="s">
        <v>20</v>
      </c>
      <c r="F216" s="36"/>
      <c r="G216" s="51" t="s">
        <v>186</v>
      </c>
      <c r="H216" s="36" t="s">
        <v>61</v>
      </c>
      <c r="I216" s="52"/>
      <c r="J216" s="53" t="s">
        <v>221</v>
      </c>
      <c r="K216" s="93">
        <v>44428</v>
      </c>
      <c r="L216" s="72" t="s">
        <v>846</v>
      </c>
    </row>
    <row r="217" spans="1:37" ht="30" customHeight="1" x14ac:dyDescent="0.25">
      <c r="A217" s="36">
        <v>7</v>
      </c>
      <c r="B217" s="55">
        <v>227</v>
      </c>
      <c r="C217" s="56" t="s">
        <v>104</v>
      </c>
      <c r="D217" s="55" t="s">
        <v>131</v>
      </c>
      <c r="E217" s="57" t="s">
        <v>38</v>
      </c>
      <c r="F217" s="36"/>
      <c r="G217" s="58"/>
      <c r="H217" s="59"/>
      <c r="I217" s="60" t="s">
        <v>75</v>
      </c>
      <c r="J217" s="53" t="s">
        <v>221</v>
      </c>
      <c r="K217" s="93">
        <v>44432</v>
      </c>
      <c r="L217" s="72" t="s">
        <v>846</v>
      </c>
    </row>
    <row r="218" spans="1:37" ht="30" customHeight="1" x14ac:dyDescent="0.25">
      <c r="A218" s="36">
        <v>8</v>
      </c>
      <c r="B218" s="51">
        <v>231</v>
      </c>
      <c r="C218" s="52" t="s">
        <v>105</v>
      </c>
      <c r="D218" s="51" t="s">
        <v>131</v>
      </c>
      <c r="E218" s="51" t="s">
        <v>34</v>
      </c>
      <c r="F218" s="36"/>
      <c r="G218" s="51">
        <v>9413149</v>
      </c>
      <c r="H218" s="51" t="s">
        <v>72</v>
      </c>
      <c r="I218" s="51"/>
      <c r="J218" s="53" t="s">
        <v>221</v>
      </c>
      <c r="K218" s="93">
        <v>44482</v>
      </c>
      <c r="L218" s="72" t="s">
        <v>846</v>
      </c>
      <c r="N218" s="72"/>
      <c r="O218" s="72"/>
    </row>
    <row r="219" spans="1:37" ht="30" customHeight="1" x14ac:dyDescent="0.25">
      <c r="A219" s="36">
        <v>9</v>
      </c>
      <c r="B219" s="51"/>
      <c r="C219" s="52" t="s">
        <v>848</v>
      </c>
      <c r="D219" s="51" t="s">
        <v>131</v>
      </c>
      <c r="E219" s="51" t="s">
        <v>849</v>
      </c>
      <c r="F219" s="36"/>
      <c r="G219" s="51"/>
      <c r="H219" s="51" t="s">
        <v>850</v>
      </c>
      <c r="I219" s="51"/>
      <c r="J219" s="53" t="s">
        <v>221</v>
      </c>
      <c r="K219" s="93"/>
      <c r="L219" s="72" t="s">
        <v>846</v>
      </c>
      <c r="N219" s="72"/>
      <c r="O219" s="72"/>
    </row>
    <row r="220" spans="1:37" ht="30" customHeight="1" x14ac:dyDescent="0.25">
      <c r="A220" s="36">
        <v>10</v>
      </c>
      <c r="B220" s="51"/>
      <c r="C220" s="52" t="s">
        <v>851</v>
      </c>
      <c r="D220" s="51" t="s">
        <v>131</v>
      </c>
      <c r="E220" s="51" t="s">
        <v>400</v>
      </c>
      <c r="F220" s="36"/>
      <c r="G220" s="51"/>
      <c r="H220" s="51" t="s">
        <v>852</v>
      </c>
      <c r="I220" s="51"/>
      <c r="J220" s="53" t="s">
        <v>221</v>
      </c>
      <c r="K220" s="93"/>
      <c r="L220" s="72" t="s">
        <v>846</v>
      </c>
      <c r="N220" s="72"/>
      <c r="O220" s="72"/>
    </row>
    <row r="221" spans="1:37" ht="32.25" customHeight="1" x14ac:dyDescent="0.25">
      <c r="A221" s="64">
        <v>1</v>
      </c>
      <c r="B221" s="64"/>
      <c r="C221" s="65" t="s">
        <v>202</v>
      </c>
      <c r="D221" s="64" t="s">
        <v>131</v>
      </c>
      <c r="E221" s="65"/>
      <c r="F221" s="64"/>
      <c r="G221" s="64" t="s">
        <v>203</v>
      </c>
      <c r="H221" s="65"/>
      <c r="I221" s="65"/>
      <c r="J221" s="65"/>
      <c r="K221" s="83"/>
    </row>
    <row r="222" spans="1:37" ht="32.25" customHeight="1" x14ac:dyDescent="0.25">
      <c r="A222" s="64">
        <v>2</v>
      </c>
      <c r="B222" s="64">
        <v>419</v>
      </c>
      <c r="C222" s="65" t="s">
        <v>345</v>
      </c>
      <c r="D222" s="64" t="s">
        <v>133</v>
      </c>
      <c r="E222" s="64" t="s">
        <v>350</v>
      </c>
      <c r="F222" s="64"/>
      <c r="G222" s="64" t="s">
        <v>351</v>
      </c>
      <c r="H222" s="65"/>
      <c r="I222" s="65"/>
      <c r="J222" s="65"/>
      <c r="K222" s="65"/>
      <c r="L222" s="3"/>
      <c r="M222" s="268"/>
    </row>
    <row r="223" spans="1:37" ht="32.25" customHeight="1" x14ac:dyDescent="0.25">
      <c r="A223" s="64">
        <v>3</v>
      </c>
      <c r="B223" s="64"/>
      <c r="C223" s="65" t="s">
        <v>539</v>
      </c>
      <c r="D223" s="64" t="s">
        <v>133</v>
      </c>
      <c r="E223" s="66"/>
      <c r="F223" s="64"/>
      <c r="G223" s="67"/>
      <c r="H223" s="65"/>
      <c r="I223" s="65"/>
      <c r="J223" s="65"/>
      <c r="K223" s="65"/>
      <c r="L223" s="3"/>
      <c r="M223" s="268"/>
    </row>
    <row r="224" spans="1:37" ht="32.25" customHeight="1" x14ac:dyDescent="0.25"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</row>
    <row r="225" spans="13:37" ht="32.25" customHeight="1" x14ac:dyDescent="0.25"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</row>
  </sheetData>
  <autoFilter ref="A2:I15" xr:uid="{00000000-0009-0000-0000-000001000000}">
    <sortState xmlns:xlrd2="http://schemas.microsoft.com/office/spreadsheetml/2017/richdata2" ref="A3:I66">
      <sortCondition ref="A2:A66"/>
    </sortState>
  </autoFilter>
  <mergeCells count="3">
    <mergeCell ref="J1:J2"/>
    <mergeCell ref="K1:K2"/>
    <mergeCell ref="F1:I1"/>
  </mergeCells>
  <phoneticPr fontId="15" type="noConversion"/>
  <conditionalFormatting sqref="A132:A177 H193:H205">
    <cfRule type="timePeriod" dxfId="1279" priority="2041" timePeriod="nextWeek">
      <formula>AND(ROUNDDOWN(A132,0)-TODAY()&gt;(7-WEEKDAY(TODAY())),ROUNDDOWN(A132,0)-TODAY()&lt;(15-WEEKDAY(TODAY())))</formula>
    </cfRule>
  </conditionalFormatting>
  <conditionalFormatting sqref="A221">
    <cfRule type="timePeriod" dxfId="1278" priority="6047" timePeriod="nextWeek">
      <formula>AND(ROUNDDOWN(A221,0)-TODAY()&gt;(7-WEEKDAY(TODAY())),ROUNDDOWN(A221,0)-TODAY()&lt;(15-WEEKDAY(TODAY())))</formula>
    </cfRule>
    <cfRule type="timePeriod" priority="6048" timePeriod="nextWeek">
      <formula>AND(ROUNDDOWN(A221,0)-TODAY()&gt;(7-WEEKDAY(TODAY())),ROUNDDOWN(A221,0)-TODAY()&lt;(15-WEEKDAY(TODAY())))</formula>
    </cfRule>
  </conditionalFormatting>
  <conditionalFormatting sqref="A132:E205 H193:H205">
    <cfRule type="timePeriod" priority="219" timePeriod="nextWeek">
      <formula>AND(ROUNDDOWN(A132,0)-TODAY()&gt;(7-WEEKDAY(TODAY())),ROUNDDOWN(A132,0)-TODAY()&lt;(15-WEEKDAY(TODAY())))</formula>
    </cfRule>
  </conditionalFormatting>
  <conditionalFormatting sqref="A148:E148 D158:E177 G158:I183 B206:E209 AK175:XFD176 L144:AE176 AK168:AK174 L177:L178 M177:AE206 AK177:AL206 L207:AE207">
    <cfRule type="timePeriod" dxfId="1277" priority="1869" timePeriod="nextWeek">
      <formula>AND(ROUNDDOWN(A144,0)-TODAY()&gt;(7-WEEKDAY(TODAY())),ROUNDDOWN(A144,0)-TODAY()&lt;(15-WEEKDAY(TODAY())))</formula>
    </cfRule>
  </conditionalFormatting>
  <conditionalFormatting sqref="A149:E149">
    <cfRule type="timePeriod" dxfId="1276" priority="1834" timePeriod="nextWeek">
      <formula>AND(ROUNDDOWN(A149,0)-TODAY()&gt;(7-WEEKDAY(TODAY())),ROUNDDOWN(A149,0)-TODAY()&lt;(15-WEEKDAY(TODAY())))</formula>
    </cfRule>
  </conditionalFormatting>
  <conditionalFormatting sqref="A150:E150">
    <cfRule type="timePeriod" dxfId="1275" priority="1806" timePeriod="nextWeek">
      <formula>AND(ROUNDDOWN(A150,0)-TODAY()&gt;(7-WEEKDAY(TODAY())),ROUNDDOWN(A150,0)-TODAY()&lt;(15-WEEKDAY(TODAY())))</formula>
    </cfRule>
  </conditionalFormatting>
  <conditionalFormatting sqref="A151:E151">
    <cfRule type="timePeriod" dxfId="1274" priority="1779" timePeriod="nextWeek">
      <formula>AND(ROUNDDOWN(A151,0)-TODAY()&gt;(7-WEEKDAY(TODAY())),ROUNDDOWN(A151,0)-TODAY()&lt;(15-WEEKDAY(TODAY())))</formula>
    </cfRule>
  </conditionalFormatting>
  <conditionalFormatting sqref="A152:E152">
    <cfRule type="timePeriod" dxfId="1273" priority="1753" timePeriod="nextWeek">
      <formula>AND(ROUNDDOWN(A152,0)-TODAY()&gt;(7-WEEKDAY(TODAY())),ROUNDDOWN(A152,0)-TODAY()&lt;(15-WEEKDAY(TODAY())))</formula>
    </cfRule>
  </conditionalFormatting>
  <conditionalFormatting sqref="A153:E153">
    <cfRule type="timePeriod" dxfId="1272" priority="1728" timePeriod="nextWeek">
      <formula>AND(ROUNDDOWN(A153,0)-TODAY()&gt;(7-WEEKDAY(TODAY())),ROUNDDOWN(A153,0)-TODAY()&lt;(15-WEEKDAY(TODAY())))</formula>
    </cfRule>
  </conditionalFormatting>
  <conditionalFormatting sqref="A154:E155">
    <cfRule type="timePeriod" dxfId="1271" priority="1703" timePeriod="nextWeek">
      <formula>AND(ROUNDDOWN(A154,0)-TODAY()&gt;(7-WEEKDAY(TODAY())),ROUNDDOWN(A154,0)-TODAY()&lt;(15-WEEKDAY(TODAY())))</formula>
    </cfRule>
  </conditionalFormatting>
  <conditionalFormatting sqref="A155:E156">
    <cfRule type="timePeriod" dxfId="1270" priority="1666" timePeriod="nextWeek">
      <formula>AND(ROUNDDOWN(A155,0)-TODAY()&gt;(7-WEEKDAY(TODAY())),ROUNDDOWN(A155,0)-TODAY()&lt;(15-WEEKDAY(TODAY())))</formula>
    </cfRule>
  </conditionalFormatting>
  <conditionalFormatting sqref="A156:E158">
    <cfRule type="timePeriod" dxfId="1269" priority="1629" timePeriod="nextWeek">
      <formula>AND(ROUNDDOWN(A156,0)-TODAY()&gt;(7-WEEKDAY(TODAY())),ROUNDDOWN(A156,0)-TODAY()&lt;(15-WEEKDAY(TODAY())))</formula>
    </cfRule>
  </conditionalFormatting>
  <conditionalFormatting sqref="A157:E158">
    <cfRule type="timePeriod" dxfId="1268" priority="1626" timePeriod="nextWeek">
      <formula>AND(ROUNDDOWN(A157,0)-TODAY()&gt;(7-WEEKDAY(TODAY())),ROUNDDOWN(A157,0)-TODAY()&lt;(15-WEEKDAY(TODAY())))</formula>
    </cfRule>
  </conditionalFormatting>
  <conditionalFormatting sqref="A158:E158 AL156:XFD158">
    <cfRule type="timePeriod" dxfId="1267" priority="1622" timePeriod="nextWeek">
      <formula>AND(ROUNDDOWN(A156,0)-TODAY()&gt;(7-WEEKDAY(TODAY())),ROUNDDOWN(A156,0)-TODAY()&lt;(15-WEEKDAY(TODAY())))</formula>
    </cfRule>
  </conditionalFormatting>
  <conditionalFormatting sqref="A159:E159">
    <cfRule type="timePeriod" dxfId="1266" priority="1574" timePeriod="nextWeek">
      <formula>AND(ROUNDDOWN(A159,0)-TODAY()&gt;(7-WEEKDAY(TODAY())),ROUNDDOWN(A159,0)-TODAY()&lt;(15-WEEKDAY(TODAY())))</formula>
    </cfRule>
    <cfRule type="timePeriod" dxfId="1265" priority="1578" timePeriod="nextWeek">
      <formula>AND(ROUNDDOWN(A159,0)-TODAY()&gt;(7-WEEKDAY(TODAY())),ROUNDDOWN(A159,0)-TODAY()&lt;(15-WEEKDAY(TODAY())))</formula>
    </cfRule>
    <cfRule type="timePeriod" dxfId="1264" priority="1581" timePeriod="nextWeek">
      <formula>AND(ROUNDDOWN(A159,0)-TODAY()&gt;(7-WEEKDAY(TODAY())),ROUNDDOWN(A159,0)-TODAY()&lt;(15-WEEKDAY(TODAY())))</formula>
    </cfRule>
  </conditionalFormatting>
  <conditionalFormatting sqref="A160:E160">
    <cfRule type="timePeriod" dxfId="1263" priority="1534" timePeriod="nextWeek">
      <formula>AND(ROUNDDOWN(A160,0)-TODAY()&gt;(7-WEEKDAY(TODAY())),ROUNDDOWN(A160,0)-TODAY()&lt;(15-WEEKDAY(TODAY())))</formula>
    </cfRule>
    <cfRule type="timePeriod" dxfId="1262" priority="1538" timePeriod="nextWeek">
      <formula>AND(ROUNDDOWN(A160,0)-TODAY()&gt;(7-WEEKDAY(TODAY())),ROUNDDOWN(A160,0)-TODAY()&lt;(15-WEEKDAY(TODAY())))</formula>
    </cfRule>
    <cfRule type="timePeriod" dxfId="1261" priority="1541" timePeriod="nextWeek">
      <formula>AND(ROUNDDOWN(A160,0)-TODAY()&gt;(7-WEEKDAY(TODAY())),ROUNDDOWN(A160,0)-TODAY()&lt;(15-WEEKDAY(TODAY())))</formula>
    </cfRule>
  </conditionalFormatting>
  <conditionalFormatting sqref="A161:E161">
    <cfRule type="timePeriod" dxfId="1260" priority="1481" timePeriod="nextWeek">
      <formula>AND(ROUNDDOWN(A161,0)-TODAY()&gt;(7-WEEKDAY(TODAY())),ROUNDDOWN(A161,0)-TODAY()&lt;(15-WEEKDAY(TODAY())))</formula>
    </cfRule>
    <cfRule type="timePeriod" dxfId="1259" priority="1485" timePeriod="nextWeek">
      <formula>AND(ROUNDDOWN(A161,0)-TODAY()&gt;(7-WEEKDAY(TODAY())),ROUNDDOWN(A161,0)-TODAY()&lt;(15-WEEKDAY(TODAY())))</formula>
    </cfRule>
    <cfRule type="timePeriod" dxfId="1258" priority="1488" timePeriod="nextWeek">
      <formula>AND(ROUNDDOWN(A161,0)-TODAY()&gt;(7-WEEKDAY(TODAY())),ROUNDDOWN(A161,0)-TODAY()&lt;(15-WEEKDAY(TODAY())))</formula>
    </cfRule>
  </conditionalFormatting>
  <conditionalFormatting sqref="A162:E162">
    <cfRule type="timePeriod" dxfId="1257" priority="1436" timePeriod="nextWeek">
      <formula>AND(ROUNDDOWN(A162,0)-TODAY()&gt;(7-WEEKDAY(TODAY())),ROUNDDOWN(A162,0)-TODAY()&lt;(15-WEEKDAY(TODAY())))</formula>
    </cfRule>
    <cfRule type="timePeriod" dxfId="1256" priority="1440" timePeriod="nextWeek">
      <formula>AND(ROUNDDOWN(A162,0)-TODAY()&gt;(7-WEEKDAY(TODAY())),ROUNDDOWN(A162,0)-TODAY()&lt;(15-WEEKDAY(TODAY())))</formula>
    </cfRule>
    <cfRule type="timePeriod" dxfId="1255" priority="1443" timePeriod="nextWeek">
      <formula>AND(ROUNDDOWN(A162,0)-TODAY()&gt;(7-WEEKDAY(TODAY())),ROUNDDOWN(A162,0)-TODAY()&lt;(15-WEEKDAY(TODAY())))</formula>
    </cfRule>
  </conditionalFormatting>
  <conditionalFormatting sqref="A163:E163">
    <cfRule type="timePeriod" dxfId="1254" priority="1401" timePeriod="nextWeek">
      <formula>AND(ROUNDDOWN(A163,0)-TODAY()&gt;(7-WEEKDAY(TODAY())),ROUNDDOWN(A163,0)-TODAY()&lt;(15-WEEKDAY(TODAY())))</formula>
    </cfRule>
    <cfRule type="timePeriod" dxfId="1253" priority="1405" timePeriod="nextWeek">
      <formula>AND(ROUNDDOWN(A163,0)-TODAY()&gt;(7-WEEKDAY(TODAY())),ROUNDDOWN(A163,0)-TODAY()&lt;(15-WEEKDAY(TODAY())))</formula>
    </cfRule>
    <cfRule type="timePeriod" dxfId="1252" priority="1408" timePeriod="nextWeek">
      <formula>AND(ROUNDDOWN(A163,0)-TODAY()&gt;(7-WEEKDAY(TODAY())),ROUNDDOWN(A163,0)-TODAY()&lt;(15-WEEKDAY(TODAY())))</formula>
    </cfRule>
  </conditionalFormatting>
  <conditionalFormatting sqref="A164:E164">
    <cfRule type="timePeriod" dxfId="1251" priority="1357" timePeriod="nextWeek">
      <formula>AND(ROUNDDOWN(A164,0)-TODAY()&gt;(7-WEEKDAY(TODAY())),ROUNDDOWN(A164,0)-TODAY()&lt;(15-WEEKDAY(TODAY())))</formula>
    </cfRule>
    <cfRule type="timePeriod" dxfId="1250" priority="1361" timePeriod="nextWeek">
      <formula>AND(ROUNDDOWN(A164,0)-TODAY()&gt;(7-WEEKDAY(TODAY())),ROUNDDOWN(A164,0)-TODAY()&lt;(15-WEEKDAY(TODAY())))</formula>
    </cfRule>
    <cfRule type="timePeriod" dxfId="1249" priority="1364" timePeriod="nextWeek">
      <formula>AND(ROUNDDOWN(A164,0)-TODAY()&gt;(7-WEEKDAY(TODAY())),ROUNDDOWN(A164,0)-TODAY()&lt;(15-WEEKDAY(TODAY())))</formula>
    </cfRule>
  </conditionalFormatting>
  <conditionalFormatting sqref="A165:E165">
    <cfRule type="timePeriod" dxfId="1248" priority="1319" timePeriod="nextWeek">
      <formula>AND(ROUNDDOWN(A165,0)-TODAY()&gt;(7-WEEKDAY(TODAY())),ROUNDDOWN(A165,0)-TODAY()&lt;(15-WEEKDAY(TODAY())))</formula>
    </cfRule>
    <cfRule type="timePeriod" dxfId="1247" priority="1323" timePeriod="nextWeek">
      <formula>AND(ROUNDDOWN(A165,0)-TODAY()&gt;(7-WEEKDAY(TODAY())),ROUNDDOWN(A165,0)-TODAY()&lt;(15-WEEKDAY(TODAY())))</formula>
    </cfRule>
    <cfRule type="timePeriod" dxfId="1246" priority="1326" timePeriod="nextWeek">
      <formula>AND(ROUNDDOWN(A165,0)-TODAY()&gt;(7-WEEKDAY(TODAY())),ROUNDDOWN(A165,0)-TODAY()&lt;(15-WEEKDAY(TODAY())))</formula>
    </cfRule>
  </conditionalFormatting>
  <conditionalFormatting sqref="A166:E166">
    <cfRule type="timePeriod" dxfId="1245" priority="1193" timePeriod="nextWeek">
      <formula>AND(ROUNDDOWN(A166,0)-TODAY()&gt;(7-WEEKDAY(TODAY())),ROUNDDOWN(A166,0)-TODAY()&lt;(15-WEEKDAY(TODAY())))</formula>
    </cfRule>
    <cfRule type="timePeriod" dxfId="1244" priority="1197" timePeriod="nextWeek">
      <formula>AND(ROUNDDOWN(A166,0)-TODAY()&gt;(7-WEEKDAY(TODAY())),ROUNDDOWN(A166,0)-TODAY()&lt;(15-WEEKDAY(TODAY())))</formula>
    </cfRule>
    <cfRule type="timePeriod" dxfId="1243" priority="1200" timePeriod="nextWeek">
      <formula>AND(ROUNDDOWN(A166,0)-TODAY()&gt;(7-WEEKDAY(TODAY())),ROUNDDOWN(A166,0)-TODAY()&lt;(15-WEEKDAY(TODAY())))</formula>
    </cfRule>
  </conditionalFormatting>
  <conditionalFormatting sqref="A167:E167">
    <cfRule type="timePeriod" dxfId="1242" priority="1162" timePeriod="nextWeek">
      <formula>AND(ROUNDDOWN(A167,0)-TODAY()&gt;(7-WEEKDAY(TODAY())),ROUNDDOWN(A167,0)-TODAY()&lt;(15-WEEKDAY(TODAY())))</formula>
    </cfRule>
    <cfRule type="timePeriod" dxfId="1241" priority="1166" timePeriod="nextWeek">
      <formula>AND(ROUNDDOWN(A167,0)-TODAY()&gt;(7-WEEKDAY(TODAY())),ROUNDDOWN(A167,0)-TODAY()&lt;(15-WEEKDAY(TODAY())))</formula>
    </cfRule>
    <cfRule type="timePeriod" dxfId="1240" priority="1169" timePeriod="nextWeek">
      <formula>AND(ROUNDDOWN(A167,0)-TODAY()&gt;(7-WEEKDAY(TODAY())),ROUNDDOWN(A167,0)-TODAY()&lt;(15-WEEKDAY(TODAY())))</formula>
    </cfRule>
  </conditionalFormatting>
  <conditionalFormatting sqref="A168:E168">
    <cfRule type="timePeriod" dxfId="1239" priority="1126" timePeriod="nextWeek">
      <formula>AND(ROUNDDOWN(A168,0)-TODAY()&gt;(7-WEEKDAY(TODAY())),ROUNDDOWN(A168,0)-TODAY()&lt;(15-WEEKDAY(TODAY())))</formula>
    </cfRule>
    <cfRule type="timePeriod" dxfId="1238" priority="1130" timePeriod="nextWeek">
      <formula>AND(ROUNDDOWN(A168,0)-TODAY()&gt;(7-WEEKDAY(TODAY())),ROUNDDOWN(A168,0)-TODAY()&lt;(15-WEEKDAY(TODAY())))</formula>
    </cfRule>
    <cfRule type="timePeriod" dxfId="1237" priority="1133" timePeriod="nextWeek">
      <formula>AND(ROUNDDOWN(A168,0)-TODAY()&gt;(7-WEEKDAY(TODAY())),ROUNDDOWN(A168,0)-TODAY()&lt;(15-WEEKDAY(TODAY())))</formula>
    </cfRule>
  </conditionalFormatting>
  <conditionalFormatting sqref="A169:E169">
    <cfRule type="timePeriod" dxfId="1236" priority="1058" timePeriod="nextWeek">
      <formula>AND(ROUNDDOWN(A169,0)-TODAY()&gt;(7-WEEKDAY(TODAY())),ROUNDDOWN(A169,0)-TODAY()&lt;(15-WEEKDAY(TODAY())))</formula>
    </cfRule>
    <cfRule type="timePeriod" dxfId="1235" priority="1062" timePeriod="nextWeek">
      <formula>AND(ROUNDDOWN(A169,0)-TODAY()&gt;(7-WEEKDAY(TODAY())),ROUNDDOWN(A169,0)-TODAY()&lt;(15-WEEKDAY(TODAY())))</formula>
    </cfRule>
    <cfRule type="timePeriod" dxfId="1234" priority="1065" timePeriod="nextWeek">
      <formula>AND(ROUNDDOWN(A169,0)-TODAY()&gt;(7-WEEKDAY(TODAY())),ROUNDDOWN(A169,0)-TODAY()&lt;(15-WEEKDAY(TODAY())))</formula>
    </cfRule>
  </conditionalFormatting>
  <conditionalFormatting sqref="A170:E170">
    <cfRule type="timePeriod" dxfId="1233" priority="1009" timePeriod="nextWeek">
      <formula>AND(ROUNDDOWN(A170,0)-TODAY()&gt;(7-WEEKDAY(TODAY())),ROUNDDOWN(A170,0)-TODAY()&lt;(15-WEEKDAY(TODAY())))</formula>
    </cfRule>
    <cfRule type="timePeriod" dxfId="1232" priority="1013" timePeriod="nextWeek">
      <formula>AND(ROUNDDOWN(A170,0)-TODAY()&gt;(7-WEEKDAY(TODAY())),ROUNDDOWN(A170,0)-TODAY()&lt;(15-WEEKDAY(TODAY())))</formula>
    </cfRule>
    <cfRule type="timePeriod" dxfId="1231" priority="1016" timePeriod="nextWeek">
      <formula>AND(ROUNDDOWN(A170,0)-TODAY()&gt;(7-WEEKDAY(TODAY())),ROUNDDOWN(A170,0)-TODAY()&lt;(15-WEEKDAY(TODAY())))</formula>
    </cfRule>
  </conditionalFormatting>
  <conditionalFormatting sqref="A171:E173">
    <cfRule type="timePeriod" dxfId="1230" priority="981" timePeriod="nextWeek">
      <formula>AND(ROUNDDOWN(A171,0)-TODAY()&gt;(7-WEEKDAY(TODAY())),ROUNDDOWN(A171,0)-TODAY()&lt;(15-WEEKDAY(TODAY())))</formula>
    </cfRule>
  </conditionalFormatting>
  <conditionalFormatting sqref="A171:E177">
    <cfRule type="timePeriod" dxfId="1229" priority="826" timePeriod="nextWeek">
      <formula>AND(ROUNDDOWN(A171,0)-TODAY()&gt;(7-WEEKDAY(TODAY())),ROUNDDOWN(A171,0)-TODAY()&lt;(15-WEEKDAY(TODAY())))</formula>
    </cfRule>
  </conditionalFormatting>
  <conditionalFormatting sqref="A222:E223 AL99:XFD116 AK96:XFD97 AK98:AK113 G99:G121 AK107:XFD107 AK110:XFD112 D148:E150 G148:I150 G122:I122 E132 I222:J222">
    <cfRule type="timePeriod" dxfId="1228" priority="4563" timePeriod="nextWeek">
      <formula>AND(ROUNDDOWN(A96,0)-TODAY()&gt;(7-WEEKDAY(TODAY())),ROUNDDOWN(A96,0)-TODAY()&lt;(15-WEEKDAY(TODAY())))</formula>
    </cfRule>
  </conditionalFormatting>
  <conditionalFormatting sqref="A193:F193 AN191:XFD193">
    <cfRule type="timePeriod" dxfId="1227" priority="434" timePeriod="nextWeek">
      <formula>AND(ROUNDDOWN(A191,0)-TODAY()&gt;(7-WEEKDAY(TODAY())),ROUNDDOWN(A191,0)-TODAY()&lt;(15-WEEKDAY(TODAY())))</formula>
    </cfRule>
  </conditionalFormatting>
  <conditionalFormatting sqref="A194:F200">
    <cfRule type="timePeriod" dxfId="1226" priority="213" timePeriod="nextWeek">
      <formula>AND(ROUNDDOWN(A194,0)-TODAY()&gt;(7-WEEKDAY(TODAY())),ROUNDDOWN(A194,0)-TODAY()&lt;(15-WEEKDAY(TODAY())))</formula>
    </cfRule>
  </conditionalFormatting>
  <conditionalFormatting sqref="A204:F204">
    <cfRule type="timePeriod" dxfId="1225" priority="91" timePeriod="nextWeek">
      <formula>AND(ROUNDDOWN(A204,0)-TODAY()&gt;(7-WEEKDAY(TODAY())),ROUNDDOWN(A204,0)-TODAY()&lt;(15-WEEKDAY(TODAY())))</formula>
    </cfRule>
  </conditionalFormatting>
  <conditionalFormatting sqref="A204:F205">
    <cfRule type="timePeriod" priority="1" timePeriod="nextWeek">
      <formula>AND(ROUNDDOWN(A204,0)-TODAY()&gt;(7-WEEKDAY(TODAY())),ROUNDDOWN(A204,0)-TODAY()&lt;(15-WEEKDAY(TODAY())))</formula>
    </cfRule>
  </conditionalFormatting>
  <conditionalFormatting sqref="A205:F205">
    <cfRule type="timePeriod" dxfId="1224" priority="4" timePeriod="nextWeek">
      <formula>AND(ROUNDDOWN(A205,0)-TODAY()&gt;(7-WEEKDAY(TODAY())),ROUNDDOWN(A205,0)-TODAY()&lt;(15-WEEKDAY(TODAY())))</formula>
    </cfRule>
  </conditionalFormatting>
  <conditionalFormatting sqref="A210:F210">
    <cfRule type="timePeriod" priority="4415" timePeriod="nextWeek">
      <formula>AND(ROUNDDOWN(A210,0)-TODAY()&gt;(7-WEEKDAY(TODAY())),ROUNDDOWN(A210,0)-TODAY()&lt;(15-WEEKDAY(TODAY())))</formula>
    </cfRule>
    <cfRule type="timePeriod" dxfId="1223" priority="4444" timePeriod="nextWeek">
      <formula>AND(ROUNDDOWN(A210,0)-TODAY()&gt;(7-WEEKDAY(TODAY())),ROUNDDOWN(A210,0)-TODAY()&lt;(15-WEEKDAY(TODAY())))</formula>
    </cfRule>
  </conditionalFormatting>
  <conditionalFormatting sqref="A178:G193">
    <cfRule type="timePeriod" dxfId="1222" priority="437" timePeriod="nextWeek">
      <formula>AND(ROUNDDOWN(A178,0)-TODAY()&gt;(7-WEEKDAY(TODAY())),ROUNDDOWN(A178,0)-TODAY()&lt;(15-WEEKDAY(TODAY())))</formula>
    </cfRule>
  </conditionalFormatting>
  <conditionalFormatting sqref="A194:G200">
    <cfRule type="timePeriod" dxfId="1221" priority="216" timePeriod="nextWeek">
      <formula>AND(ROUNDDOWN(A194,0)-TODAY()&gt;(7-WEEKDAY(TODAY())),ROUNDDOWN(A194,0)-TODAY()&lt;(15-WEEKDAY(TODAY())))</formula>
    </cfRule>
  </conditionalFormatting>
  <conditionalFormatting sqref="A201:G204">
    <cfRule type="timePeriod" dxfId="1220" priority="99" timePeriod="nextWeek">
      <formula>AND(ROUNDDOWN(A201,0)-TODAY()&gt;(7-WEEKDAY(TODAY())),ROUNDDOWN(A201,0)-TODAY()&lt;(15-WEEKDAY(TODAY())))</formula>
    </cfRule>
  </conditionalFormatting>
  <conditionalFormatting sqref="A205:G205">
    <cfRule type="timePeriod" dxfId="1219" priority="11" timePeriod="nextWeek">
      <formula>AND(ROUNDDOWN(A205,0)-TODAY()&gt;(7-WEEKDAY(TODAY())),ROUNDDOWN(A205,0)-TODAY()&lt;(15-WEEKDAY(TODAY())))</formula>
    </cfRule>
  </conditionalFormatting>
  <conditionalFormatting sqref="B18 D18:E18 G92:G121 AL102:XFD105 AK107:XFD107 AK110:XFD112 G122:I122 G123:G126 C132 E132 A222:E223">
    <cfRule type="timePeriod" priority="6006" timePeriod="nextWeek">
      <formula>AND(ROUNDDOWN(A18,0)-TODAY()&gt;(7-WEEKDAY(TODAY())),ROUNDDOWN(A18,0)-TODAY()&lt;(15-WEEKDAY(TODAY())))</formula>
    </cfRule>
  </conditionalFormatting>
  <conditionalFormatting sqref="B18 D18:E18 L18:L29 H178:I205 L144:AE176 AL175:AL206 L177:L178 M177:AE206 L207:AE207 E178:E205 AN172:XFD172">
    <cfRule type="timePeriod" dxfId="1218" priority="6008" timePeriod="last7Days">
      <formula>AND(TODAY()-FLOOR(B18,1)&lt;=6,FLOOR(B18,1)&lt;=TODAY())</formula>
    </cfRule>
  </conditionalFormatting>
  <conditionalFormatting sqref="B18 D18:E18 L18:L29 L144:AE176 AN172:XFD174 AK175:AL206 L177:L178 M177:AE206 E178:E205 H178:I205 L207:AE207 AK168:AK174 AP186:XFD186">
    <cfRule type="timePeriod" dxfId="1217" priority="6009" timePeriod="thisWeek">
      <formula>AND(TODAY()-ROUNDDOWN(B18,0)&lt;=WEEKDAY(TODAY())-1,ROUNDDOWN(B18,0)-TODAY()&lt;=7-WEEKDAY(TODAY()))</formula>
    </cfRule>
  </conditionalFormatting>
  <conditionalFormatting sqref="B31:B38">
    <cfRule type="timePeriod" dxfId="1216" priority="5406" timePeriod="nextWeek">
      <formula>AND(ROUNDDOWN(B31,0)-TODAY()&gt;(7-WEEKDAY(TODAY())),ROUNDDOWN(B31,0)-TODAY()&lt;(15-WEEKDAY(TODAY())))</formula>
    </cfRule>
    <cfRule type="timePeriod" dxfId="1215" priority="5409" timePeriod="last7Days">
      <formula>AND(TODAY()-FLOOR(B31,1)&lt;=6,FLOOR(B31,1)&lt;=TODAY())</formula>
    </cfRule>
    <cfRule type="timePeriod" dxfId="1214" priority="5410" timePeriod="thisWeek">
      <formula>AND(TODAY()-ROUNDDOWN(B31,0)&lt;=WEEKDAY(TODAY())-1,ROUNDDOWN(B31,0)-TODAY()&lt;=7-WEEKDAY(TODAY()))</formula>
    </cfRule>
  </conditionalFormatting>
  <conditionalFormatting sqref="B31:B56">
    <cfRule type="timePeriod" priority="3842" timePeriod="nextWeek">
      <formula>AND(ROUNDDOWN(B31,0)-TODAY()&gt;(7-WEEKDAY(TODAY())),ROUNDDOWN(B31,0)-TODAY()&lt;(15-WEEKDAY(TODAY())))</formula>
    </cfRule>
  </conditionalFormatting>
  <conditionalFormatting sqref="B55:B56">
    <cfRule type="timePeriod" dxfId="1213" priority="3841" timePeriod="nextWeek">
      <formula>AND(ROUNDDOWN(B55,0)-TODAY()&gt;(7-WEEKDAY(TODAY())),ROUNDDOWN(B55,0)-TODAY()&lt;(15-WEEKDAY(TODAY())))</formula>
    </cfRule>
  </conditionalFormatting>
  <conditionalFormatting sqref="B215:B220 D218:D220">
    <cfRule type="timePeriod" dxfId="1212" priority="6189" timePeriod="nextWeek">
      <formula>AND(ROUNDDOWN(B215,0)-TODAY()&gt;(7-WEEKDAY(TODAY())),ROUNDDOWN(B215,0)-TODAY()&lt;(15-WEEKDAY(TODAY())))</formula>
    </cfRule>
    <cfRule type="timePeriod" priority="6190" timePeriod="nextWeek">
      <formula>AND(ROUNDDOWN(B215,0)-TODAY()&gt;(7-WEEKDAY(TODAY())),ROUNDDOWN(B215,0)-TODAY()&lt;(15-WEEKDAY(TODAY())))</formula>
    </cfRule>
  </conditionalFormatting>
  <conditionalFormatting sqref="B39:C39">
    <cfRule type="timePeriod" dxfId="1211" priority="4905" timePeriod="nextWeek">
      <formula>AND(ROUNDDOWN(B39,0)-TODAY()&gt;(7-WEEKDAY(TODAY())),ROUNDDOWN(B39,0)-TODAY()&lt;(15-WEEKDAY(TODAY())))</formula>
    </cfRule>
    <cfRule type="timePeriod" dxfId="1210" priority="4908" timePeriod="last7Days">
      <formula>AND(TODAY()-FLOOR(B39,1)&lt;=6,FLOOR(B39,1)&lt;=TODAY())</formula>
    </cfRule>
    <cfRule type="timePeriod" dxfId="1209" priority="4909" timePeriod="thisWeek">
      <formula>AND(TODAY()-ROUNDDOWN(B39,0)&lt;=WEEKDAY(TODAY())-1,ROUNDDOWN(B39,0)-TODAY()&lt;=7-WEEKDAY(TODAY()))</formula>
    </cfRule>
  </conditionalFormatting>
  <conditionalFormatting sqref="B122:C122 AK122:XFD122 M123:AK129 L130:AK130 M131:AK132 M133:AJ141 D148:E156 G133:I156 D158:E173 G158:I173 L116:L140 E132 AK159:XFD159 AK160:AK161">
    <cfRule type="timePeriod" dxfId="1208" priority="2235" timePeriod="thisWeek">
      <formula>AND(TODAY()-ROUNDDOWN(B116,0)&lt;=WEEKDAY(TODAY())-1,ROUNDDOWN(B116,0)-TODAY()&lt;=7-WEEKDAY(TODAY()))</formula>
    </cfRule>
  </conditionalFormatting>
  <conditionalFormatting sqref="B155:C158">
    <cfRule type="timePeriod" dxfId="1207" priority="1623" timePeriod="last7Days">
      <formula>AND(TODAY()-FLOOR(B155,1)&lt;=6,FLOOR(B155,1)&lt;=TODAY())</formula>
    </cfRule>
    <cfRule type="timePeriod" dxfId="1206" priority="1625" timePeriod="thisWeek">
      <formula>AND(TODAY()-ROUNDDOWN(B155,0)&lt;=WEEKDAY(TODAY())-1,ROUNDDOWN(B155,0)-TODAY()&lt;=7-WEEKDAY(TODAY()))</formula>
    </cfRule>
  </conditionalFormatting>
  <conditionalFormatting sqref="B159:C159">
    <cfRule type="timePeriod" dxfId="1205" priority="1575" timePeriod="last7Days">
      <formula>AND(TODAY()-FLOOR(B159,1)&lt;=6,FLOOR(B159,1)&lt;=TODAY())</formula>
    </cfRule>
    <cfRule type="timePeriod" dxfId="1204" priority="1577" timePeriod="thisWeek">
      <formula>AND(TODAY()-ROUNDDOWN(B159,0)&lt;=WEEKDAY(TODAY())-1,ROUNDDOWN(B159,0)-TODAY()&lt;=7-WEEKDAY(TODAY()))</formula>
    </cfRule>
  </conditionalFormatting>
  <conditionalFormatting sqref="B160:C160">
    <cfRule type="timePeriod" dxfId="1203" priority="1535" timePeriod="last7Days">
      <formula>AND(TODAY()-FLOOR(B160,1)&lt;=6,FLOOR(B160,1)&lt;=TODAY())</formula>
    </cfRule>
    <cfRule type="timePeriod" dxfId="1202" priority="1537" timePeriod="thisWeek">
      <formula>AND(TODAY()-ROUNDDOWN(B160,0)&lt;=WEEKDAY(TODAY())-1,ROUNDDOWN(B160,0)-TODAY()&lt;=7-WEEKDAY(TODAY()))</formula>
    </cfRule>
  </conditionalFormatting>
  <conditionalFormatting sqref="B161:C161">
    <cfRule type="timePeriod" dxfId="1201" priority="1482" timePeriod="last7Days">
      <formula>AND(TODAY()-FLOOR(B161,1)&lt;=6,FLOOR(B161,1)&lt;=TODAY())</formula>
    </cfRule>
    <cfRule type="timePeriod" dxfId="1200" priority="1484" timePeriod="thisWeek">
      <formula>AND(TODAY()-ROUNDDOWN(B161,0)&lt;=WEEKDAY(TODAY())-1,ROUNDDOWN(B161,0)-TODAY()&lt;=7-WEEKDAY(TODAY()))</formula>
    </cfRule>
  </conditionalFormatting>
  <conditionalFormatting sqref="B162:C162">
    <cfRule type="timePeriod" dxfId="1199" priority="1437" timePeriod="last7Days">
      <formula>AND(TODAY()-FLOOR(B162,1)&lt;=6,FLOOR(B162,1)&lt;=TODAY())</formula>
    </cfRule>
    <cfRule type="timePeriod" dxfId="1198" priority="1439" timePeriod="thisWeek">
      <formula>AND(TODAY()-ROUNDDOWN(B162,0)&lt;=WEEKDAY(TODAY())-1,ROUNDDOWN(B162,0)-TODAY()&lt;=7-WEEKDAY(TODAY()))</formula>
    </cfRule>
  </conditionalFormatting>
  <conditionalFormatting sqref="B163:C163">
    <cfRule type="timePeriod" dxfId="1197" priority="1402" timePeriod="last7Days">
      <formula>AND(TODAY()-FLOOR(B163,1)&lt;=6,FLOOR(B163,1)&lt;=TODAY())</formula>
    </cfRule>
    <cfRule type="timePeriod" dxfId="1196" priority="1404" timePeriod="thisWeek">
      <formula>AND(TODAY()-ROUNDDOWN(B163,0)&lt;=WEEKDAY(TODAY())-1,ROUNDDOWN(B163,0)-TODAY()&lt;=7-WEEKDAY(TODAY()))</formula>
    </cfRule>
  </conditionalFormatting>
  <conditionalFormatting sqref="B164:C164">
    <cfRule type="timePeriod" dxfId="1195" priority="1358" timePeriod="last7Days">
      <formula>AND(TODAY()-FLOOR(B164,1)&lt;=6,FLOOR(B164,1)&lt;=TODAY())</formula>
    </cfRule>
    <cfRule type="timePeriod" dxfId="1194" priority="1360" timePeriod="thisWeek">
      <formula>AND(TODAY()-ROUNDDOWN(B164,0)&lt;=WEEKDAY(TODAY())-1,ROUNDDOWN(B164,0)-TODAY()&lt;=7-WEEKDAY(TODAY()))</formula>
    </cfRule>
  </conditionalFormatting>
  <conditionalFormatting sqref="B165:C165">
    <cfRule type="timePeriod" dxfId="1193" priority="1320" timePeriod="last7Days">
      <formula>AND(TODAY()-FLOOR(B165,1)&lt;=6,FLOOR(B165,1)&lt;=TODAY())</formula>
    </cfRule>
    <cfRule type="timePeriod" dxfId="1192" priority="1322" timePeriod="thisWeek">
      <formula>AND(TODAY()-ROUNDDOWN(B165,0)&lt;=WEEKDAY(TODAY())-1,ROUNDDOWN(B165,0)-TODAY()&lt;=7-WEEKDAY(TODAY()))</formula>
    </cfRule>
  </conditionalFormatting>
  <conditionalFormatting sqref="B166:C166">
    <cfRule type="timePeriod" dxfId="1191" priority="1194" timePeriod="last7Days">
      <formula>AND(TODAY()-FLOOR(B166,1)&lt;=6,FLOOR(B166,1)&lt;=TODAY())</formula>
    </cfRule>
    <cfRule type="timePeriod" dxfId="1190" priority="1196" timePeriod="thisWeek">
      <formula>AND(TODAY()-ROUNDDOWN(B166,0)&lt;=WEEKDAY(TODAY())-1,ROUNDDOWN(B166,0)-TODAY()&lt;=7-WEEKDAY(TODAY()))</formula>
    </cfRule>
  </conditionalFormatting>
  <conditionalFormatting sqref="B167:C167">
    <cfRule type="timePeriod" dxfId="1189" priority="1163" timePeriod="last7Days">
      <formula>AND(TODAY()-FLOOR(B167,1)&lt;=6,FLOOR(B167,1)&lt;=TODAY())</formula>
    </cfRule>
    <cfRule type="timePeriod" dxfId="1188" priority="1165" timePeriod="thisWeek">
      <formula>AND(TODAY()-ROUNDDOWN(B167,0)&lt;=WEEKDAY(TODAY())-1,ROUNDDOWN(B167,0)-TODAY()&lt;=7-WEEKDAY(TODAY()))</formula>
    </cfRule>
  </conditionalFormatting>
  <conditionalFormatting sqref="B168:C168">
    <cfRule type="timePeriod" dxfId="1187" priority="1127" timePeriod="last7Days">
      <formula>AND(TODAY()-FLOOR(B168,1)&lt;=6,FLOOR(B168,1)&lt;=TODAY())</formula>
    </cfRule>
    <cfRule type="timePeriod" dxfId="1186" priority="1129" timePeriod="thisWeek">
      <formula>AND(TODAY()-ROUNDDOWN(B168,0)&lt;=WEEKDAY(TODAY())-1,ROUNDDOWN(B168,0)-TODAY()&lt;=7-WEEKDAY(TODAY()))</formula>
    </cfRule>
  </conditionalFormatting>
  <conditionalFormatting sqref="B169:C169">
    <cfRule type="timePeriod" dxfId="1185" priority="1059" timePeriod="last7Days">
      <formula>AND(TODAY()-FLOOR(B169,1)&lt;=6,FLOOR(B169,1)&lt;=TODAY())</formula>
    </cfRule>
    <cfRule type="timePeriod" dxfId="1184" priority="1061" timePeriod="thisWeek">
      <formula>AND(TODAY()-ROUNDDOWN(B169,0)&lt;=WEEKDAY(TODAY())-1,ROUNDDOWN(B169,0)-TODAY()&lt;=7-WEEKDAY(TODAY()))</formula>
    </cfRule>
  </conditionalFormatting>
  <conditionalFormatting sqref="B170:C170">
    <cfRule type="timePeriod" dxfId="1183" priority="1010" timePeriod="last7Days">
      <formula>AND(TODAY()-FLOOR(B170,1)&lt;=6,FLOOR(B170,1)&lt;=TODAY())</formula>
    </cfRule>
    <cfRule type="timePeriod" dxfId="1182" priority="1012" timePeriod="thisWeek">
      <formula>AND(TODAY()-ROUNDDOWN(B170,0)&lt;=WEEKDAY(TODAY())-1,ROUNDDOWN(B170,0)-TODAY()&lt;=7-WEEKDAY(TODAY()))</formula>
    </cfRule>
  </conditionalFormatting>
  <conditionalFormatting sqref="B171:C171">
    <cfRule type="timePeriod" dxfId="1181" priority="978" timePeriod="last7Days">
      <formula>AND(TODAY()-FLOOR(B171,1)&lt;=6,FLOOR(B171,1)&lt;=TODAY())</formula>
    </cfRule>
    <cfRule type="timePeriod" dxfId="1180" priority="980" timePeriod="thisWeek">
      <formula>AND(TODAY()-ROUNDDOWN(B171,0)&lt;=WEEKDAY(TODAY())-1,ROUNDDOWN(B171,0)-TODAY()&lt;=7-WEEKDAY(TODAY()))</formula>
    </cfRule>
  </conditionalFormatting>
  <conditionalFormatting sqref="B172:C193">
    <cfRule type="timePeriod" dxfId="1179" priority="435" timePeriod="last7Days">
      <formula>AND(TODAY()-FLOOR(B172,1)&lt;=6,FLOOR(B172,1)&lt;=TODAY())</formula>
    </cfRule>
    <cfRule type="timePeriod" dxfId="1178" priority="436" timePeriod="thisWeek">
      <formula>AND(TODAY()-ROUNDDOWN(B172,0)&lt;=WEEKDAY(TODAY())-1,ROUNDDOWN(B172,0)-TODAY()&lt;=7-WEEKDAY(TODAY()))</formula>
    </cfRule>
  </conditionalFormatting>
  <conditionalFormatting sqref="B194:C199">
    <cfRule type="timePeriod" dxfId="1177" priority="214" timePeriod="last7Days">
      <formula>AND(TODAY()-FLOOR(B194,1)&lt;=6,FLOOR(B194,1)&lt;=TODAY())</formula>
    </cfRule>
    <cfRule type="timePeriod" dxfId="1176" priority="215" timePeriod="thisWeek">
      <formula>AND(TODAY()-ROUNDDOWN(B194,0)&lt;=WEEKDAY(TODAY())-1,ROUNDDOWN(B194,0)-TODAY()&lt;=7-WEEKDAY(TODAY()))</formula>
    </cfRule>
  </conditionalFormatting>
  <conditionalFormatting sqref="B200:C204">
    <cfRule type="timePeriod" dxfId="1175" priority="93" timePeriod="last7Days">
      <formula>AND(TODAY()-FLOOR(B200,1)&lt;=6,FLOOR(B200,1)&lt;=TODAY())</formula>
    </cfRule>
    <cfRule type="timePeriod" dxfId="1174" priority="94" timePeriod="thisWeek">
      <formula>AND(TODAY()-ROUNDDOWN(B200,0)&lt;=WEEKDAY(TODAY())-1,ROUNDDOWN(B200,0)-TODAY()&lt;=7-WEEKDAY(TODAY()))</formula>
    </cfRule>
  </conditionalFormatting>
  <conditionalFormatting sqref="B205:C205">
    <cfRule type="timePeriod" dxfId="1173" priority="5" timePeriod="last7Days">
      <formula>AND(TODAY()-FLOOR(B205,1)&lt;=6,FLOOR(B205,1)&lt;=TODAY())</formula>
    </cfRule>
    <cfRule type="timePeriod" dxfId="1172" priority="6" timePeriod="thisWeek">
      <formula>AND(TODAY()-ROUNDDOWN(B205,0)&lt;=WEEKDAY(TODAY())-1,ROUNDDOWN(B205,0)-TODAY()&lt;=7-WEEKDAY(TODAY()))</formula>
    </cfRule>
  </conditionalFormatting>
  <conditionalFormatting sqref="B17:D29">
    <cfRule type="timePeriod" dxfId="1171" priority="6198" timePeriod="nextWeek">
      <formula>AND(ROUNDDOWN(B17,0)-TODAY()&gt;(7-WEEKDAY(TODAY())),ROUNDDOWN(B17,0)-TODAY()&lt;(15-WEEKDAY(TODAY())))</formula>
    </cfRule>
    <cfRule type="timePeriod" priority="6199" timePeriod="nextWeek">
      <formula>AND(ROUNDDOWN(B17,0)-TODAY()&gt;(7-WEEKDAY(TODAY())),ROUNDDOWN(B17,0)-TODAY()&lt;(15-WEEKDAY(TODAY())))</formula>
    </cfRule>
  </conditionalFormatting>
  <conditionalFormatting sqref="B20:D20">
    <cfRule type="timePeriod" dxfId="1170" priority="6169" timePeriod="nextWeek">
      <formula>AND(ROUNDDOWN(B20,0)-TODAY()&gt;(7-WEEKDAY(TODAY())),ROUNDDOWN(B20,0)-TODAY()&lt;(15-WEEKDAY(TODAY())))</formula>
    </cfRule>
  </conditionalFormatting>
  <conditionalFormatting sqref="B33:D55 H54:I55">
    <cfRule type="timePeriod" dxfId="1169" priority="3863" timePeriod="last7Days">
      <formula>AND(TODAY()-FLOOR(B33,1)&lt;=6,FLOOR(B33,1)&lt;=TODAY())</formula>
    </cfRule>
    <cfRule type="timePeriod" dxfId="1168" priority="3864" timePeriod="thisWeek">
      <formula>AND(TODAY()-ROUNDDOWN(B33,0)&lt;=WEEKDAY(TODAY())-1,ROUNDDOWN(B33,0)-TODAY()&lt;=7-WEEKDAY(TODAY()))</formula>
    </cfRule>
  </conditionalFormatting>
  <conditionalFormatting sqref="B33:D56">
    <cfRule type="timePeriod" priority="3837" timePeriod="nextWeek">
      <formula>AND(ROUNDDOWN(B33,0)-TODAY()&gt;(7-WEEKDAY(TODAY())),ROUNDDOWN(B33,0)-TODAY()&lt;(15-WEEKDAY(TODAY())))</formula>
    </cfRule>
  </conditionalFormatting>
  <conditionalFormatting sqref="B55:D56">
    <cfRule type="timePeriod" dxfId="1167" priority="3836" timePeriod="nextWeek">
      <formula>AND(ROUNDDOWN(B55,0)-TODAY()&gt;(7-WEEKDAY(TODAY())),ROUNDDOWN(B55,0)-TODAY()&lt;(15-WEEKDAY(TODAY())))</formula>
    </cfRule>
    <cfRule type="timePeriod" dxfId="1166" priority="3839" timePeriod="last7Days">
      <formula>AND(TODAY()-FLOOR(B55,1)&lt;=6,FLOOR(B55,1)&lt;=TODAY())</formula>
    </cfRule>
    <cfRule type="timePeriod" dxfId="1165" priority="3840" timePeriod="thisWeek">
      <formula>AND(TODAY()-ROUNDDOWN(B55,0)&lt;=WEEKDAY(TODAY())-1,ROUNDDOWN(B55,0)-TODAY()&lt;=7-WEEKDAY(TODAY()))</formula>
    </cfRule>
  </conditionalFormatting>
  <conditionalFormatting sqref="B122:D122">
    <cfRule type="timePeriod" dxfId="1164" priority="2210" timePeriod="nextWeek">
      <formula>AND(ROUNDDOWN(B122,0)-TODAY()&gt;(7-WEEKDAY(TODAY())),ROUNDDOWN(B122,0)-TODAY()&lt;(15-WEEKDAY(TODAY())))</formula>
    </cfRule>
    <cfRule type="timePeriod" priority="2211" timePeriod="nextWeek">
      <formula>AND(ROUNDDOWN(B122,0)-TODAY()&gt;(7-WEEKDAY(TODAY())),ROUNDDOWN(B122,0)-TODAY()&lt;(15-WEEKDAY(TODAY())))</formula>
    </cfRule>
  </conditionalFormatting>
  <conditionalFormatting sqref="B210:D210">
    <cfRule type="timePeriod" dxfId="1163" priority="4434" timePeriod="nextWeek">
      <formula>AND(ROUNDDOWN(B210,0)-TODAY()&gt;(7-WEEKDAY(TODAY())),ROUNDDOWN(B210,0)-TODAY()&lt;(15-WEEKDAY(TODAY())))</formula>
    </cfRule>
  </conditionalFormatting>
  <conditionalFormatting sqref="B20:E20">
    <cfRule type="timePeriod" priority="6175" timePeriod="nextWeek">
      <formula>AND(ROUNDDOWN(B20,0)-TODAY()&gt;(7-WEEKDAY(TODAY())),ROUNDDOWN(B20,0)-TODAY()&lt;(15-WEEKDAY(TODAY())))</formula>
    </cfRule>
  </conditionalFormatting>
  <conditionalFormatting sqref="B24:E24 L24">
    <cfRule type="timePeriod" dxfId="1162" priority="5894" timePeriod="nextWeek">
      <formula>AND(ROUNDDOWN(B24,0)-TODAY()&gt;(7-WEEKDAY(TODAY())),ROUNDDOWN(B24,0)-TODAY()&lt;(15-WEEKDAY(TODAY())))</formula>
    </cfRule>
    <cfRule type="timePeriod" dxfId="1161" priority="5897" timePeriod="last7Days">
      <formula>AND(TODAY()-FLOOR(B24,1)&lt;=6,FLOOR(B24,1)&lt;=TODAY())</formula>
    </cfRule>
    <cfRule type="timePeriod" dxfId="1160" priority="5898" timePeriod="thisWeek">
      <formula>AND(TODAY()-ROUNDDOWN(B24,0)&lt;=WEEKDAY(TODAY())-1,ROUNDDOWN(B24,0)-TODAY()&lt;=7-WEEKDAY(TODAY()))</formula>
    </cfRule>
  </conditionalFormatting>
  <conditionalFormatting sqref="B38:E54">
    <cfRule type="timePeriod" priority="3878" timePeriod="nextWeek">
      <formula>AND(ROUNDDOWN(B38,0)-TODAY()&gt;(7-WEEKDAY(TODAY())),ROUNDDOWN(B38,0)-TODAY()&lt;(15-WEEKDAY(TODAY())))</formula>
    </cfRule>
  </conditionalFormatting>
  <conditionalFormatting sqref="B39:E39 H34:I39">
    <cfRule type="timePeriod" dxfId="1159" priority="4919" timePeriod="nextWeek">
      <formula>AND(ROUNDDOWN(B34,0)-TODAY()&gt;(7-WEEKDAY(TODAY())),ROUNDDOWN(B34,0)-TODAY()&lt;(15-WEEKDAY(TODAY())))</formula>
    </cfRule>
  </conditionalFormatting>
  <conditionalFormatting sqref="B40:E54 H53:I54 G99:G121 E122 G122:I122">
    <cfRule type="timePeriod" dxfId="1158" priority="3881" timePeriod="thisWeek">
      <formula>AND(TODAY()-ROUNDDOWN(B40,0)&lt;=WEEKDAY(TODAY())-1,ROUNDDOWN(B40,0)-TODAY()&lt;=7-WEEKDAY(TODAY()))</formula>
    </cfRule>
  </conditionalFormatting>
  <conditionalFormatting sqref="B40:E54">
    <cfRule type="timePeriod" dxfId="1157" priority="3875" timePeriod="nextWeek">
      <formula>AND(ROUNDDOWN(B40,0)-TODAY()&gt;(7-WEEKDAY(TODAY())),ROUNDDOWN(B40,0)-TODAY()&lt;(15-WEEKDAY(TODAY())))</formula>
    </cfRule>
  </conditionalFormatting>
  <conditionalFormatting sqref="B56:E61 H55:I61">
    <cfRule type="timePeriod" dxfId="1156" priority="3843" timePeriod="nextWeek">
      <formula>AND(ROUNDDOWN(B55,0)-TODAY()&gt;(7-WEEKDAY(TODAY())),ROUNDDOWN(B55,0)-TODAY()&lt;(15-WEEKDAY(TODAY())))</formula>
    </cfRule>
  </conditionalFormatting>
  <conditionalFormatting sqref="B56:E61">
    <cfRule type="timePeriod" priority="3844" timePeriod="nextWeek">
      <formula>AND(ROUNDDOWN(B56,0)-TODAY()&gt;(7-WEEKDAY(TODAY())),ROUNDDOWN(B56,0)-TODAY()&lt;(15-WEEKDAY(TODAY())))</formula>
    </cfRule>
  </conditionalFormatting>
  <conditionalFormatting sqref="B132:E148">
    <cfRule type="timePeriod" dxfId="1155" priority="1873" timePeriod="nextWeek">
      <formula>AND(ROUNDDOWN(B132,0)-TODAY()&gt;(7-WEEKDAY(TODAY())),ROUNDDOWN(B132,0)-TODAY()&lt;(15-WEEKDAY(TODAY())))</formula>
    </cfRule>
  </conditionalFormatting>
  <conditionalFormatting sqref="B133:E148">
    <cfRule type="timePeriod" dxfId="1154" priority="1871" timePeriod="last7Days">
      <formula>AND(TODAY()-FLOOR(B133,1)&lt;=6,FLOOR(B133,1)&lt;=TODAY())</formula>
    </cfRule>
    <cfRule type="timePeriod" dxfId="1153" priority="1872" timePeriod="thisWeek">
      <formula>AND(TODAY()-ROUNDDOWN(B133,0)&lt;=WEEKDAY(TODAY())-1,ROUNDDOWN(B133,0)-TODAY()&lt;=7-WEEKDAY(TODAY()))</formula>
    </cfRule>
  </conditionalFormatting>
  <conditionalFormatting sqref="B148:E149">
    <cfRule type="timePeriod" dxfId="1152" priority="1835" timePeriod="last7Days">
      <formula>AND(TODAY()-FLOOR(B148,1)&lt;=6,FLOOR(B148,1)&lt;=TODAY())</formula>
    </cfRule>
    <cfRule type="timePeriod" dxfId="1151" priority="1836" timePeriod="thisWeek">
      <formula>AND(TODAY()-ROUNDDOWN(B148,0)&lt;=WEEKDAY(TODAY())-1,ROUNDDOWN(B148,0)-TODAY()&lt;=7-WEEKDAY(TODAY()))</formula>
    </cfRule>
  </conditionalFormatting>
  <conditionalFormatting sqref="B149:E149">
    <cfRule type="timePeriod" dxfId="1150" priority="1837" timePeriod="nextWeek">
      <formula>AND(ROUNDDOWN(B149,0)-TODAY()&gt;(7-WEEKDAY(TODAY())),ROUNDDOWN(B149,0)-TODAY()&lt;(15-WEEKDAY(TODAY())))</formula>
    </cfRule>
  </conditionalFormatting>
  <conditionalFormatting sqref="B149:E150">
    <cfRule type="timePeriod" dxfId="1149" priority="1807" timePeriod="last7Days">
      <formula>AND(TODAY()-FLOOR(B149,1)&lt;=6,FLOOR(B149,1)&lt;=TODAY())</formula>
    </cfRule>
    <cfRule type="timePeriod" dxfId="1148" priority="1808" timePeriod="thisWeek">
      <formula>AND(TODAY()-ROUNDDOWN(B149,0)&lt;=WEEKDAY(TODAY())-1,ROUNDDOWN(B149,0)-TODAY()&lt;=7-WEEKDAY(TODAY()))</formula>
    </cfRule>
  </conditionalFormatting>
  <conditionalFormatting sqref="B150:E150">
    <cfRule type="timePeriod" dxfId="1147" priority="1809" timePeriod="nextWeek">
      <formula>AND(ROUNDDOWN(B150,0)-TODAY()&gt;(7-WEEKDAY(TODAY())),ROUNDDOWN(B150,0)-TODAY()&lt;(15-WEEKDAY(TODAY())))</formula>
    </cfRule>
  </conditionalFormatting>
  <conditionalFormatting sqref="B150:E151">
    <cfRule type="timePeriod" dxfId="1146" priority="1780" timePeriod="last7Days">
      <formula>AND(TODAY()-FLOOR(B150,1)&lt;=6,FLOOR(B150,1)&lt;=TODAY())</formula>
    </cfRule>
    <cfRule type="timePeriod" dxfId="1145" priority="1781" timePeriod="thisWeek">
      <formula>AND(TODAY()-ROUNDDOWN(B150,0)&lt;=WEEKDAY(TODAY())-1,ROUNDDOWN(B150,0)-TODAY()&lt;=7-WEEKDAY(TODAY()))</formula>
    </cfRule>
  </conditionalFormatting>
  <conditionalFormatting sqref="B151:E151">
    <cfRule type="timePeriod" dxfId="1144" priority="1782" timePeriod="nextWeek">
      <formula>AND(ROUNDDOWN(B151,0)-TODAY()&gt;(7-WEEKDAY(TODAY())),ROUNDDOWN(B151,0)-TODAY()&lt;(15-WEEKDAY(TODAY())))</formula>
    </cfRule>
  </conditionalFormatting>
  <conditionalFormatting sqref="B151:E152">
    <cfRule type="timePeriod" dxfId="1143" priority="1754" timePeriod="last7Days">
      <formula>AND(TODAY()-FLOOR(B151,1)&lt;=6,FLOOR(B151,1)&lt;=TODAY())</formula>
    </cfRule>
    <cfRule type="timePeriod" dxfId="1142" priority="1755" timePeriod="thisWeek">
      <formula>AND(TODAY()-ROUNDDOWN(B151,0)&lt;=WEEKDAY(TODAY())-1,ROUNDDOWN(B151,0)-TODAY()&lt;=7-WEEKDAY(TODAY()))</formula>
    </cfRule>
  </conditionalFormatting>
  <conditionalFormatting sqref="B152:E152">
    <cfRule type="timePeriod" dxfId="1141" priority="1756" timePeriod="nextWeek">
      <formula>AND(ROUNDDOWN(B152,0)-TODAY()&gt;(7-WEEKDAY(TODAY())),ROUNDDOWN(B152,0)-TODAY()&lt;(15-WEEKDAY(TODAY())))</formula>
    </cfRule>
  </conditionalFormatting>
  <conditionalFormatting sqref="B152:E153">
    <cfRule type="timePeriod" dxfId="1140" priority="1729" timePeriod="last7Days">
      <formula>AND(TODAY()-FLOOR(B152,1)&lt;=6,FLOOR(B152,1)&lt;=TODAY())</formula>
    </cfRule>
    <cfRule type="timePeriod" dxfId="1139" priority="1730" timePeriod="thisWeek">
      <formula>AND(TODAY()-ROUNDDOWN(B152,0)&lt;=WEEKDAY(TODAY())-1,ROUNDDOWN(B152,0)-TODAY()&lt;=7-WEEKDAY(TODAY()))</formula>
    </cfRule>
  </conditionalFormatting>
  <conditionalFormatting sqref="B153:E153">
    <cfRule type="timePeriod" dxfId="1138" priority="1731" timePeriod="nextWeek">
      <formula>AND(ROUNDDOWN(B153,0)-TODAY()&gt;(7-WEEKDAY(TODAY())),ROUNDDOWN(B153,0)-TODAY()&lt;(15-WEEKDAY(TODAY())))</formula>
    </cfRule>
  </conditionalFormatting>
  <conditionalFormatting sqref="B153:E156">
    <cfRule type="timePeriod" dxfId="1137" priority="1704" timePeriod="last7Days">
      <formula>AND(TODAY()-FLOOR(B153,1)&lt;=6,FLOOR(B153,1)&lt;=TODAY())</formula>
    </cfRule>
    <cfRule type="timePeriod" dxfId="1136" priority="1705" timePeriod="thisWeek">
      <formula>AND(TODAY()-ROUNDDOWN(B153,0)&lt;=WEEKDAY(TODAY())-1,ROUNDDOWN(B153,0)-TODAY()&lt;=7-WEEKDAY(TODAY()))</formula>
    </cfRule>
  </conditionalFormatting>
  <conditionalFormatting sqref="B154:E155">
    <cfRule type="timePeriod" dxfId="1135" priority="1706" timePeriod="nextWeek">
      <formula>AND(ROUNDDOWN(B154,0)-TODAY()&gt;(7-WEEKDAY(TODAY())),ROUNDDOWN(B154,0)-TODAY()&lt;(15-WEEKDAY(TODAY())))</formula>
    </cfRule>
  </conditionalFormatting>
  <conditionalFormatting sqref="B154:E156">
    <cfRule type="timePeriod" dxfId="1134" priority="1667" timePeriod="last7Days">
      <formula>AND(TODAY()-FLOOR(B154,1)&lt;=6,FLOOR(B154,1)&lt;=TODAY())</formula>
    </cfRule>
    <cfRule type="timePeriod" dxfId="1133" priority="1668" timePeriod="thisWeek">
      <formula>AND(TODAY()-ROUNDDOWN(B154,0)&lt;=WEEKDAY(TODAY())-1,ROUNDDOWN(B154,0)-TODAY()&lt;=7-WEEKDAY(TODAY()))</formula>
    </cfRule>
  </conditionalFormatting>
  <conditionalFormatting sqref="B156:E156">
    <cfRule type="timePeriod" dxfId="1132" priority="1669" timePeriod="nextWeek">
      <formula>AND(ROUNDDOWN(B156,0)-TODAY()&gt;(7-WEEKDAY(TODAY())),ROUNDDOWN(B156,0)-TODAY()&lt;(15-WEEKDAY(TODAY())))</formula>
    </cfRule>
  </conditionalFormatting>
  <conditionalFormatting sqref="B156:E158">
    <cfRule type="timePeriod" dxfId="1131" priority="1642" timePeriod="last7Days">
      <formula>AND(TODAY()-FLOOR(B156,1)&lt;=6,FLOOR(B156,1)&lt;=TODAY())</formula>
    </cfRule>
    <cfRule type="timePeriod" dxfId="1130" priority="1643" timePeriod="thisWeek">
      <formula>AND(TODAY()-ROUNDDOWN(B156,0)&lt;=WEEKDAY(TODAY())-1,ROUNDDOWN(B156,0)-TODAY()&lt;=7-WEEKDAY(TODAY()))</formula>
    </cfRule>
  </conditionalFormatting>
  <conditionalFormatting sqref="B157:E158">
    <cfRule type="timePeriod" dxfId="1129" priority="1627" timePeriod="last7Days">
      <formula>AND(TODAY()-FLOOR(B157,1)&lt;=6,FLOOR(B157,1)&lt;=TODAY())</formula>
    </cfRule>
    <cfRule type="timePeriod" dxfId="1128" priority="1628" timePeriod="thisWeek">
      <formula>AND(TODAY()-ROUNDDOWN(B157,0)&lt;=WEEKDAY(TODAY())-1,ROUNDDOWN(B157,0)-TODAY()&lt;=7-WEEKDAY(TODAY()))</formula>
    </cfRule>
    <cfRule type="timePeriod" dxfId="1127" priority="1630" timePeriod="last7Days">
      <formula>AND(TODAY()-FLOOR(B157,1)&lt;=6,FLOOR(B157,1)&lt;=TODAY())</formula>
    </cfRule>
    <cfRule type="timePeriod" dxfId="1126" priority="1631" timePeriod="thisWeek">
      <formula>AND(TODAY()-ROUNDDOWN(B157,0)&lt;=WEEKDAY(TODAY())-1,ROUNDDOWN(B157,0)-TODAY()&lt;=7-WEEKDAY(TODAY()))</formula>
    </cfRule>
    <cfRule type="timePeriod" dxfId="1125" priority="1632" timePeriod="nextWeek">
      <formula>AND(ROUNDDOWN(B157,0)-TODAY()&gt;(7-WEEKDAY(TODAY())),ROUNDDOWN(B157,0)-TODAY()&lt;(15-WEEKDAY(TODAY())))</formula>
    </cfRule>
  </conditionalFormatting>
  <conditionalFormatting sqref="B158:E159">
    <cfRule type="timePeriod" dxfId="1124" priority="1591" timePeriod="last7Days">
      <formula>AND(TODAY()-FLOOR(B158,1)&lt;=6,FLOOR(B158,1)&lt;=TODAY())</formula>
    </cfRule>
    <cfRule type="timePeriod" dxfId="1123" priority="1592" timePeriod="thisWeek">
      <formula>AND(TODAY()-ROUNDDOWN(B158,0)&lt;=WEEKDAY(TODAY())-1,ROUNDDOWN(B158,0)-TODAY()&lt;=7-WEEKDAY(TODAY()))</formula>
    </cfRule>
  </conditionalFormatting>
  <conditionalFormatting sqref="B159:E159">
    <cfRule type="timePeriod" dxfId="1122" priority="1579" timePeriod="last7Days">
      <formula>AND(TODAY()-FLOOR(B159,1)&lt;=6,FLOOR(B159,1)&lt;=TODAY())</formula>
    </cfRule>
    <cfRule type="timePeriod" dxfId="1121" priority="1580" timePeriod="thisWeek">
      <formula>AND(TODAY()-ROUNDDOWN(B159,0)&lt;=WEEKDAY(TODAY())-1,ROUNDDOWN(B159,0)-TODAY()&lt;=7-WEEKDAY(TODAY()))</formula>
    </cfRule>
    <cfRule type="timePeriod" dxfId="1120" priority="1582" timePeriod="last7Days">
      <formula>AND(TODAY()-FLOOR(B159,1)&lt;=6,FLOOR(B159,1)&lt;=TODAY())</formula>
    </cfRule>
    <cfRule type="timePeriod" dxfId="1119" priority="1583" timePeriod="thisWeek">
      <formula>AND(TODAY()-ROUNDDOWN(B159,0)&lt;=WEEKDAY(TODAY())-1,ROUNDDOWN(B159,0)-TODAY()&lt;=7-WEEKDAY(TODAY()))</formula>
    </cfRule>
    <cfRule type="timePeriod" dxfId="1118" priority="1584" timePeriod="nextWeek">
      <formula>AND(ROUNDDOWN(B159,0)-TODAY()&gt;(7-WEEKDAY(TODAY())),ROUNDDOWN(B159,0)-TODAY()&lt;(15-WEEKDAY(TODAY())))</formula>
    </cfRule>
  </conditionalFormatting>
  <conditionalFormatting sqref="B159:E160">
    <cfRule type="timePeriod" dxfId="1117" priority="1549" timePeriod="last7Days">
      <formula>AND(TODAY()-FLOOR(B159,1)&lt;=6,FLOOR(B159,1)&lt;=TODAY())</formula>
    </cfRule>
    <cfRule type="timePeriod" dxfId="1116" priority="1550" timePeriod="thisWeek">
      <formula>AND(TODAY()-ROUNDDOWN(B159,0)&lt;=WEEKDAY(TODAY())-1,ROUNDDOWN(B159,0)-TODAY()&lt;=7-WEEKDAY(TODAY()))</formula>
    </cfRule>
  </conditionalFormatting>
  <conditionalFormatting sqref="B160:E160">
    <cfRule type="timePeriod" dxfId="1115" priority="1539" timePeriod="last7Days">
      <formula>AND(TODAY()-FLOOR(B160,1)&lt;=6,FLOOR(B160,1)&lt;=TODAY())</formula>
    </cfRule>
    <cfRule type="timePeriod" dxfId="1114" priority="1540" timePeriod="thisWeek">
      <formula>AND(TODAY()-ROUNDDOWN(B160,0)&lt;=WEEKDAY(TODAY())-1,ROUNDDOWN(B160,0)-TODAY()&lt;=7-WEEKDAY(TODAY()))</formula>
    </cfRule>
    <cfRule type="timePeriod" dxfId="1113" priority="1542" timePeriod="last7Days">
      <formula>AND(TODAY()-FLOOR(B160,1)&lt;=6,FLOOR(B160,1)&lt;=TODAY())</formula>
    </cfRule>
    <cfRule type="timePeriod" dxfId="1112" priority="1543" timePeriod="thisWeek">
      <formula>AND(TODAY()-ROUNDDOWN(B160,0)&lt;=WEEKDAY(TODAY())-1,ROUNDDOWN(B160,0)-TODAY()&lt;=7-WEEKDAY(TODAY()))</formula>
    </cfRule>
    <cfRule type="timePeriod" dxfId="1111" priority="1544" timePeriod="nextWeek">
      <formula>AND(ROUNDDOWN(B160,0)-TODAY()&gt;(7-WEEKDAY(TODAY())),ROUNDDOWN(B160,0)-TODAY()&lt;(15-WEEKDAY(TODAY())))</formula>
    </cfRule>
  </conditionalFormatting>
  <conditionalFormatting sqref="B160:E161">
    <cfRule type="timePeriod" dxfId="1110" priority="1496" timePeriod="last7Days">
      <formula>AND(TODAY()-FLOOR(B160,1)&lt;=6,FLOOR(B160,1)&lt;=TODAY())</formula>
    </cfRule>
    <cfRule type="timePeriod" dxfId="1109" priority="1497" timePeriod="thisWeek">
      <formula>AND(TODAY()-ROUNDDOWN(B160,0)&lt;=WEEKDAY(TODAY())-1,ROUNDDOWN(B160,0)-TODAY()&lt;=7-WEEKDAY(TODAY()))</formula>
    </cfRule>
  </conditionalFormatting>
  <conditionalFormatting sqref="B161:E161">
    <cfRule type="timePeriod" dxfId="1108" priority="1486" timePeriod="last7Days">
      <formula>AND(TODAY()-FLOOR(B161,1)&lt;=6,FLOOR(B161,1)&lt;=TODAY())</formula>
    </cfRule>
    <cfRule type="timePeriod" dxfId="1107" priority="1487" timePeriod="thisWeek">
      <formula>AND(TODAY()-ROUNDDOWN(B161,0)&lt;=WEEKDAY(TODAY())-1,ROUNDDOWN(B161,0)-TODAY()&lt;=7-WEEKDAY(TODAY()))</formula>
    </cfRule>
    <cfRule type="timePeriod" dxfId="1106" priority="1489" timePeriod="last7Days">
      <formula>AND(TODAY()-FLOOR(B161,1)&lt;=6,FLOOR(B161,1)&lt;=TODAY())</formula>
    </cfRule>
    <cfRule type="timePeriod" dxfId="1105" priority="1490" timePeriod="thisWeek">
      <formula>AND(TODAY()-ROUNDDOWN(B161,0)&lt;=WEEKDAY(TODAY())-1,ROUNDDOWN(B161,0)-TODAY()&lt;=7-WEEKDAY(TODAY()))</formula>
    </cfRule>
    <cfRule type="timePeriod" dxfId="1104" priority="1491" timePeriod="nextWeek">
      <formula>AND(ROUNDDOWN(B161,0)-TODAY()&gt;(7-WEEKDAY(TODAY())),ROUNDDOWN(B161,0)-TODAY()&lt;(15-WEEKDAY(TODAY())))</formula>
    </cfRule>
  </conditionalFormatting>
  <conditionalFormatting sqref="B161:E162">
    <cfRule type="timePeriod" dxfId="1103" priority="1451" timePeriod="last7Days">
      <formula>AND(TODAY()-FLOOR(B161,1)&lt;=6,FLOOR(B161,1)&lt;=TODAY())</formula>
    </cfRule>
    <cfRule type="timePeriod" dxfId="1102" priority="1452" timePeriod="thisWeek">
      <formula>AND(TODAY()-ROUNDDOWN(B161,0)&lt;=WEEKDAY(TODAY())-1,ROUNDDOWN(B161,0)-TODAY()&lt;=7-WEEKDAY(TODAY()))</formula>
    </cfRule>
  </conditionalFormatting>
  <conditionalFormatting sqref="B162:E162">
    <cfRule type="timePeriod" dxfId="1101" priority="1441" timePeriod="last7Days">
      <formula>AND(TODAY()-FLOOR(B162,1)&lt;=6,FLOOR(B162,1)&lt;=TODAY())</formula>
    </cfRule>
    <cfRule type="timePeriod" dxfId="1100" priority="1442" timePeriod="thisWeek">
      <formula>AND(TODAY()-ROUNDDOWN(B162,0)&lt;=WEEKDAY(TODAY())-1,ROUNDDOWN(B162,0)-TODAY()&lt;=7-WEEKDAY(TODAY()))</formula>
    </cfRule>
    <cfRule type="timePeriod" dxfId="1099" priority="1444" timePeriod="last7Days">
      <formula>AND(TODAY()-FLOOR(B162,1)&lt;=6,FLOOR(B162,1)&lt;=TODAY())</formula>
    </cfRule>
    <cfRule type="timePeriod" dxfId="1098" priority="1445" timePeriod="thisWeek">
      <formula>AND(TODAY()-ROUNDDOWN(B162,0)&lt;=WEEKDAY(TODAY())-1,ROUNDDOWN(B162,0)-TODAY()&lt;=7-WEEKDAY(TODAY()))</formula>
    </cfRule>
    <cfRule type="timePeriod" dxfId="1097" priority="1446" timePeriod="nextWeek">
      <formula>AND(ROUNDDOWN(B162,0)-TODAY()&gt;(7-WEEKDAY(TODAY())),ROUNDDOWN(B162,0)-TODAY()&lt;(15-WEEKDAY(TODAY())))</formula>
    </cfRule>
  </conditionalFormatting>
  <conditionalFormatting sqref="B162:E163">
    <cfRule type="timePeriod" dxfId="1096" priority="1416" timePeriod="last7Days">
      <formula>AND(TODAY()-FLOOR(B162,1)&lt;=6,FLOOR(B162,1)&lt;=TODAY())</formula>
    </cfRule>
    <cfRule type="timePeriod" dxfId="1095" priority="1417" timePeriod="thisWeek">
      <formula>AND(TODAY()-ROUNDDOWN(B162,0)&lt;=WEEKDAY(TODAY())-1,ROUNDDOWN(B162,0)-TODAY()&lt;=7-WEEKDAY(TODAY()))</formula>
    </cfRule>
  </conditionalFormatting>
  <conditionalFormatting sqref="B163:E163">
    <cfRule type="timePeriod" dxfId="1094" priority="1406" timePeriod="last7Days">
      <formula>AND(TODAY()-FLOOR(B163,1)&lt;=6,FLOOR(B163,1)&lt;=TODAY())</formula>
    </cfRule>
    <cfRule type="timePeriod" dxfId="1093" priority="1407" timePeriod="thisWeek">
      <formula>AND(TODAY()-ROUNDDOWN(B163,0)&lt;=WEEKDAY(TODAY())-1,ROUNDDOWN(B163,0)-TODAY()&lt;=7-WEEKDAY(TODAY()))</formula>
    </cfRule>
    <cfRule type="timePeriod" dxfId="1092" priority="1409" timePeriod="last7Days">
      <formula>AND(TODAY()-FLOOR(B163,1)&lt;=6,FLOOR(B163,1)&lt;=TODAY())</formula>
    </cfRule>
    <cfRule type="timePeriod" dxfId="1091" priority="1410" timePeriod="thisWeek">
      <formula>AND(TODAY()-ROUNDDOWN(B163,0)&lt;=WEEKDAY(TODAY())-1,ROUNDDOWN(B163,0)-TODAY()&lt;=7-WEEKDAY(TODAY()))</formula>
    </cfRule>
    <cfRule type="timePeriod" dxfId="1090" priority="1411" timePeriod="nextWeek">
      <formula>AND(ROUNDDOWN(B163,0)-TODAY()&gt;(7-WEEKDAY(TODAY())),ROUNDDOWN(B163,0)-TODAY()&lt;(15-WEEKDAY(TODAY())))</formula>
    </cfRule>
  </conditionalFormatting>
  <conditionalFormatting sqref="B163:E164">
    <cfRule type="timePeriod" dxfId="1089" priority="1372" timePeriod="last7Days">
      <formula>AND(TODAY()-FLOOR(B163,1)&lt;=6,FLOOR(B163,1)&lt;=TODAY())</formula>
    </cfRule>
    <cfRule type="timePeriod" dxfId="1088" priority="1373" timePeriod="thisWeek">
      <formula>AND(TODAY()-ROUNDDOWN(B163,0)&lt;=WEEKDAY(TODAY())-1,ROUNDDOWN(B163,0)-TODAY()&lt;=7-WEEKDAY(TODAY()))</formula>
    </cfRule>
  </conditionalFormatting>
  <conditionalFormatting sqref="B164:E164">
    <cfRule type="timePeriod" dxfId="1087" priority="1362" timePeriod="last7Days">
      <formula>AND(TODAY()-FLOOR(B164,1)&lt;=6,FLOOR(B164,1)&lt;=TODAY())</formula>
    </cfRule>
    <cfRule type="timePeriod" dxfId="1086" priority="1363" timePeriod="thisWeek">
      <formula>AND(TODAY()-ROUNDDOWN(B164,0)&lt;=WEEKDAY(TODAY())-1,ROUNDDOWN(B164,0)-TODAY()&lt;=7-WEEKDAY(TODAY()))</formula>
    </cfRule>
    <cfRule type="timePeriod" dxfId="1085" priority="1365" timePeriod="last7Days">
      <formula>AND(TODAY()-FLOOR(B164,1)&lt;=6,FLOOR(B164,1)&lt;=TODAY())</formula>
    </cfRule>
    <cfRule type="timePeriod" dxfId="1084" priority="1366" timePeriod="thisWeek">
      <formula>AND(TODAY()-ROUNDDOWN(B164,0)&lt;=WEEKDAY(TODAY())-1,ROUNDDOWN(B164,0)-TODAY()&lt;=7-WEEKDAY(TODAY()))</formula>
    </cfRule>
    <cfRule type="timePeriod" dxfId="1083" priority="1367" timePeriod="nextWeek">
      <formula>AND(ROUNDDOWN(B164,0)-TODAY()&gt;(7-WEEKDAY(TODAY())),ROUNDDOWN(B164,0)-TODAY()&lt;(15-WEEKDAY(TODAY())))</formula>
    </cfRule>
  </conditionalFormatting>
  <conditionalFormatting sqref="B164:E165">
    <cfRule type="timePeriod" dxfId="1082" priority="1334" timePeriod="last7Days">
      <formula>AND(TODAY()-FLOOR(B164,1)&lt;=6,FLOOR(B164,1)&lt;=TODAY())</formula>
    </cfRule>
    <cfRule type="timePeriod" dxfId="1081" priority="1335" timePeriod="thisWeek">
      <formula>AND(TODAY()-ROUNDDOWN(B164,0)&lt;=WEEKDAY(TODAY())-1,ROUNDDOWN(B164,0)-TODAY()&lt;=7-WEEKDAY(TODAY()))</formula>
    </cfRule>
  </conditionalFormatting>
  <conditionalFormatting sqref="B165:E165">
    <cfRule type="timePeriod" dxfId="1080" priority="1324" timePeriod="last7Days">
      <formula>AND(TODAY()-FLOOR(B165,1)&lt;=6,FLOOR(B165,1)&lt;=TODAY())</formula>
    </cfRule>
    <cfRule type="timePeriod" dxfId="1079" priority="1325" timePeriod="thisWeek">
      <formula>AND(TODAY()-ROUNDDOWN(B165,0)&lt;=WEEKDAY(TODAY())-1,ROUNDDOWN(B165,0)-TODAY()&lt;=7-WEEKDAY(TODAY()))</formula>
    </cfRule>
    <cfRule type="timePeriod" dxfId="1078" priority="1327" timePeriod="last7Days">
      <formula>AND(TODAY()-FLOOR(B165,1)&lt;=6,FLOOR(B165,1)&lt;=TODAY())</formula>
    </cfRule>
    <cfRule type="timePeriod" dxfId="1077" priority="1328" timePeriod="thisWeek">
      <formula>AND(TODAY()-ROUNDDOWN(B165,0)&lt;=WEEKDAY(TODAY())-1,ROUNDDOWN(B165,0)-TODAY()&lt;=7-WEEKDAY(TODAY()))</formula>
    </cfRule>
    <cfRule type="timePeriod" dxfId="1076" priority="1329" timePeriod="nextWeek">
      <formula>AND(ROUNDDOWN(B165,0)-TODAY()&gt;(7-WEEKDAY(TODAY())),ROUNDDOWN(B165,0)-TODAY()&lt;(15-WEEKDAY(TODAY())))</formula>
    </cfRule>
  </conditionalFormatting>
  <conditionalFormatting sqref="B165:E166">
    <cfRule type="timePeriod" dxfId="1075" priority="1208" timePeriod="last7Days">
      <formula>AND(TODAY()-FLOOR(B165,1)&lt;=6,FLOOR(B165,1)&lt;=TODAY())</formula>
    </cfRule>
    <cfRule type="timePeriod" dxfId="1074" priority="1209" timePeriod="thisWeek">
      <formula>AND(TODAY()-ROUNDDOWN(B165,0)&lt;=WEEKDAY(TODAY())-1,ROUNDDOWN(B165,0)-TODAY()&lt;=7-WEEKDAY(TODAY()))</formula>
    </cfRule>
  </conditionalFormatting>
  <conditionalFormatting sqref="B166:E166">
    <cfRule type="timePeriod" dxfId="1073" priority="1198" timePeriod="last7Days">
      <formula>AND(TODAY()-FLOOR(B166,1)&lt;=6,FLOOR(B166,1)&lt;=TODAY())</formula>
    </cfRule>
    <cfRule type="timePeriod" dxfId="1072" priority="1199" timePeriod="thisWeek">
      <formula>AND(TODAY()-ROUNDDOWN(B166,0)&lt;=WEEKDAY(TODAY())-1,ROUNDDOWN(B166,0)-TODAY()&lt;=7-WEEKDAY(TODAY()))</formula>
    </cfRule>
    <cfRule type="timePeriod" dxfId="1071" priority="1201" timePeriod="last7Days">
      <formula>AND(TODAY()-FLOOR(B166,1)&lt;=6,FLOOR(B166,1)&lt;=TODAY())</formula>
    </cfRule>
    <cfRule type="timePeriod" dxfId="1070" priority="1202" timePeriod="thisWeek">
      <formula>AND(TODAY()-ROUNDDOWN(B166,0)&lt;=WEEKDAY(TODAY())-1,ROUNDDOWN(B166,0)-TODAY()&lt;=7-WEEKDAY(TODAY()))</formula>
    </cfRule>
    <cfRule type="timePeriod" dxfId="1069" priority="1203" timePeriod="nextWeek">
      <formula>AND(ROUNDDOWN(B166,0)-TODAY()&gt;(7-WEEKDAY(TODAY())),ROUNDDOWN(B166,0)-TODAY()&lt;(15-WEEKDAY(TODAY())))</formula>
    </cfRule>
  </conditionalFormatting>
  <conditionalFormatting sqref="B166:E167">
    <cfRule type="timePeriod" dxfId="1068" priority="1177" timePeriod="last7Days">
      <formula>AND(TODAY()-FLOOR(B166,1)&lt;=6,FLOOR(B166,1)&lt;=TODAY())</formula>
    </cfRule>
    <cfRule type="timePeriod" dxfId="1067" priority="1178" timePeriod="thisWeek">
      <formula>AND(TODAY()-ROUNDDOWN(B166,0)&lt;=WEEKDAY(TODAY())-1,ROUNDDOWN(B166,0)-TODAY()&lt;=7-WEEKDAY(TODAY()))</formula>
    </cfRule>
  </conditionalFormatting>
  <conditionalFormatting sqref="B167:E167">
    <cfRule type="timePeriod" dxfId="1066" priority="1167" timePeriod="last7Days">
      <formula>AND(TODAY()-FLOOR(B167,1)&lt;=6,FLOOR(B167,1)&lt;=TODAY())</formula>
    </cfRule>
    <cfRule type="timePeriod" dxfId="1065" priority="1168" timePeriod="thisWeek">
      <formula>AND(TODAY()-ROUNDDOWN(B167,0)&lt;=WEEKDAY(TODAY())-1,ROUNDDOWN(B167,0)-TODAY()&lt;=7-WEEKDAY(TODAY()))</formula>
    </cfRule>
    <cfRule type="timePeriod" dxfId="1064" priority="1170" timePeriod="last7Days">
      <formula>AND(TODAY()-FLOOR(B167,1)&lt;=6,FLOOR(B167,1)&lt;=TODAY())</formula>
    </cfRule>
    <cfRule type="timePeriod" dxfId="1063" priority="1171" timePeriod="thisWeek">
      <formula>AND(TODAY()-ROUNDDOWN(B167,0)&lt;=WEEKDAY(TODAY())-1,ROUNDDOWN(B167,0)-TODAY()&lt;=7-WEEKDAY(TODAY()))</formula>
    </cfRule>
    <cfRule type="timePeriod" dxfId="1062" priority="1172" timePeriod="nextWeek">
      <formula>AND(ROUNDDOWN(B167,0)-TODAY()&gt;(7-WEEKDAY(TODAY())),ROUNDDOWN(B167,0)-TODAY()&lt;(15-WEEKDAY(TODAY())))</formula>
    </cfRule>
  </conditionalFormatting>
  <conditionalFormatting sqref="B167:E168">
    <cfRule type="timePeriod" dxfId="1061" priority="1141" timePeriod="last7Days">
      <formula>AND(TODAY()-FLOOR(B167,1)&lt;=6,FLOOR(B167,1)&lt;=TODAY())</formula>
    </cfRule>
    <cfRule type="timePeriod" dxfId="1060" priority="1142" timePeriod="thisWeek">
      <formula>AND(TODAY()-ROUNDDOWN(B167,0)&lt;=WEEKDAY(TODAY())-1,ROUNDDOWN(B167,0)-TODAY()&lt;=7-WEEKDAY(TODAY()))</formula>
    </cfRule>
  </conditionalFormatting>
  <conditionalFormatting sqref="B168:E168">
    <cfRule type="timePeriod" dxfId="1059" priority="1131" timePeriod="last7Days">
      <formula>AND(TODAY()-FLOOR(B168,1)&lt;=6,FLOOR(B168,1)&lt;=TODAY())</formula>
    </cfRule>
    <cfRule type="timePeriod" dxfId="1058" priority="1132" timePeriod="thisWeek">
      <formula>AND(TODAY()-ROUNDDOWN(B168,0)&lt;=WEEKDAY(TODAY())-1,ROUNDDOWN(B168,0)-TODAY()&lt;=7-WEEKDAY(TODAY()))</formula>
    </cfRule>
    <cfRule type="timePeriod" dxfId="1057" priority="1134" timePeriod="last7Days">
      <formula>AND(TODAY()-FLOOR(B168,1)&lt;=6,FLOOR(B168,1)&lt;=TODAY())</formula>
    </cfRule>
    <cfRule type="timePeriod" dxfId="1056" priority="1135" timePeriod="thisWeek">
      <formula>AND(TODAY()-ROUNDDOWN(B168,0)&lt;=WEEKDAY(TODAY())-1,ROUNDDOWN(B168,0)-TODAY()&lt;=7-WEEKDAY(TODAY()))</formula>
    </cfRule>
    <cfRule type="timePeriod" dxfId="1055" priority="1136" timePeriod="nextWeek">
      <formula>AND(ROUNDDOWN(B168,0)-TODAY()&gt;(7-WEEKDAY(TODAY())),ROUNDDOWN(B168,0)-TODAY()&lt;(15-WEEKDAY(TODAY())))</formula>
    </cfRule>
  </conditionalFormatting>
  <conditionalFormatting sqref="B168:E169">
    <cfRule type="timePeriod" dxfId="1054" priority="1073" timePeriod="last7Days">
      <formula>AND(TODAY()-FLOOR(B168,1)&lt;=6,FLOOR(B168,1)&lt;=TODAY())</formula>
    </cfRule>
    <cfRule type="timePeriod" dxfId="1053" priority="1074" timePeriod="thisWeek">
      <formula>AND(TODAY()-ROUNDDOWN(B168,0)&lt;=WEEKDAY(TODAY())-1,ROUNDDOWN(B168,0)-TODAY()&lt;=7-WEEKDAY(TODAY()))</formula>
    </cfRule>
  </conditionalFormatting>
  <conditionalFormatting sqref="B169:E169">
    <cfRule type="timePeriod" dxfId="1052" priority="1063" timePeriod="last7Days">
      <formula>AND(TODAY()-FLOOR(B169,1)&lt;=6,FLOOR(B169,1)&lt;=TODAY())</formula>
    </cfRule>
    <cfRule type="timePeriod" dxfId="1051" priority="1064" timePeriod="thisWeek">
      <formula>AND(TODAY()-ROUNDDOWN(B169,0)&lt;=WEEKDAY(TODAY())-1,ROUNDDOWN(B169,0)-TODAY()&lt;=7-WEEKDAY(TODAY()))</formula>
    </cfRule>
    <cfRule type="timePeriod" dxfId="1050" priority="1066" timePeriod="last7Days">
      <formula>AND(TODAY()-FLOOR(B169,1)&lt;=6,FLOOR(B169,1)&lt;=TODAY())</formula>
    </cfRule>
    <cfRule type="timePeriod" dxfId="1049" priority="1067" timePeriod="thisWeek">
      <formula>AND(TODAY()-ROUNDDOWN(B169,0)&lt;=WEEKDAY(TODAY())-1,ROUNDDOWN(B169,0)-TODAY()&lt;=7-WEEKDAY(TODAY()))</formula>
    </cfRule>
    <cfRule type="timePeriod" dxfId="1048" priority="1068" timePeriod="nextWeek">
      <formula>AND(ROUNDDOWN(B169,0)-TODAY()&gt;(7-WEEKDAY(TODAY())),ROUNDDOWN(B169,0)-TODAY()&lt;(15-WEEKDAY(TODAY())))</formula>
    </cfRule>
  </conditionalFormatting>
  <conditionalFormatting sqref="B169:E170">
    <cfRule type="timePeriod" dxfId="1047" priority="1024" timePeriod="last7Days">
      <formula>AND(TODAY()-FLOOR(B169,1)&lt;=6,FLOOR(B169,1)&lt;=TODAY())</formula>
    </cfRule>
    <cfRule type="timePeriod" dxfId="1046" priority="1025" timePeriod="thisWeek">
      <formula>AND(TODAY()-ROUNDDOWN(B169,0)&lt;=WEEKDAY(TODAY())-1,ROUNDDOWN(B169,0)-TODAY()&lt;=7-WEEKDAY(TODAY()))</formula>
    </cfRule>
  </conditionalFormatting>
  <conditionalFormatting sqref="B170:E170">
    <cfRule type="timePeriod" dxfId="1045" priority="1019" timePeriod="nextWeek">
      <formula>AND(ROUNDDOWN(B170,0)-TODAY()&gt;(7-WEEKDAY(TODAY())),ROUNDDOWN(B170,0)-TODAY()&lt;(15-WEEKDAY(TODAY())))</formula>
    </cfRule>
  </conditionalFormatting>
  <conditionalFormatting sqref="B170:E173">
    <cfRule type="timePeriod" dxfId="1044" priority="1007" timePeriod="last7Days">
      <formula>AND(TODAY()-FLOOR(B170,1)&lt;=6,FLOOR(B170,1)&lt;=TODAY())</formula>
    </cfRule>
    <cfRule type="timePeriod" dxfId="1043" priority="1008" timePeriod="thisWeek">
      <formula>AND(TODAY()-ROUNDDOWN(B170,0)&lt;=WEEKDAY(TODAY())-1,ROUNDDOWN(B170,0)-TODAY()&lt;=7-WEEKDAY(TODAY()))</formula>
    </cfRule>
    <cfRule type="timePeriod" dxfId="1042" priority="1014" timePeriod="last7Days">
      <formula>AND(TODAY()-FLOOR(B170,1)&lt;=6,FLOOR(B170,1)&lt;=TODAY())</formula>
    </cfRule>
    <cfRule type="timePeriod" dxfId="1041" priority="1015" timePeriod="thisWeek">
      <formula>AND(TODAY()-ROUNDDOWN(B170,0)&lt;=WEEKDAY(TODAY())-1,ROUNDDOWN(B170,0)-TODAY()&lt;=7-WEEKDAY(TODAY()))</formula>
    </cfRule>
    <cfRule type="timePeriod" dxfId="1040" priority="1017" timePeriod="last7Days">
      <formula>AND(TODAY()-FLOOR(B170,1)&lt;=6,FLOOR(B170,1)&lt;=TODAY())</formula>
    </cfRule>
    <cfRule type="timePeriod" dxfId="1039" priority="1018" timePeriod="thisWeek">
      <formula>AND(TODAY()-ROUNDDOWN(B170,0)&lt;=WEEKDAY(TODAY())-1,ROUNDDOWN(B170,0)-TODAY()&lt;=7-WEEKDAY(TODAY()))</formula>
    </cfRule>
  </conditionalFormatting>
  <conditionalFormatting sqref="B171:E173">
    <cfRule type="timePeriod" dxfId="1038" priority="988" timePeriod="last7Days">
      <formula>AND(TODAY()-FLOOR(B171,1)&lt;=6,FLOOR(B171,1)&lt;=TODAY())</formula>
    </cfRule>
    <cfRule type="timePeriod" dxfId="1037" priority="989" timePeriod="thisWeek">
      <formula>AND(TODAY()-ROUNDDOWN(B171,0)&lt;=WEEKDAY(TODAY())-1,ROUNDDOWN(B171,0)-TODAY()&lt;=7-WEEKDAY(TODAY()))</formula>
    </cfRule>
  </conditionalFormatting>
  <conditionalFormatting sqref="B174:E174 G174:I174">
    <cfRule type="timePeriod" dxfId="1036" priority="915" timePeriod="last7Days">
      <formula>AND(TODAY()-FLOOR(B174,1)&lt;=6,FLOOR(B174,1)&lt;=TODAY())</formula>
    </cfRule>
  </conditionalFormatting>
  <conditionalFormatting sqref="B174:E174">
    <cfRule type="timePeriod" dxfId="1035" priority="911" timePeriod="last7Days">
      <formula>AND(TODAY()-FLOOR(B174,1)&lt;=6,FLOOR(B174,1)&lt;=TODAY())</formula>
    </cfRule>
    <cfRule type="timePeriod" dxfId="1034" priority="912" timePeriod="thisWeek">
      <formula>AND(TODAY()-ROUNDDOWN(B174,0)&lt;=WEEKDAY(TODAY())-1,ROUNDDOWN(B174,0)-TODAY()&lt;=7-WEEKDAY(TODAY()))</formula>
    </cfRule>
    <cfRule type="timePeriod" dxfId="1033" priority="917" timePeriod="thisWeek">
      <formula>AND(TODAY()-ROUNDDOWN(B174,0)&lt;=WEEKDAY(TODAY())-1,ROUNDDOWN(B174,0)-TODAY()&lt;=7-WEEKDAY(TODAY()))</formula>
    </cfRule>
    <cfRule type="timePeriod" dxfId="1032" priority="918" timePeriod="last7Days">
      <formula>AND(TODAY()-FLOOR(B174,1)&lt;=6,FLOOR(B174,1)&lt;=TODAY())</formula>
    </cfRule>
    <cfRule type="timePeriod" dxfId="1031" priority="919" timePeriod="thisWeek">
      <formula>AND(TODAY()-ROUNDDOWN(B174,0)&lt;=WEEKDAY(TODAY())-1,ROUNDDOWN(B174,0)-TODAY()&lt;=7-WEEKDAY(TODAY()))</formula>
    </cfRule>
    <cfRule type="timePeriod" dxfId="1030" priority="920" timePeriod="last7Days">
      <formula>AND(TODAY()-FLOOR(B174,1)&lt;=6,FLOOR(B174,1)&lt;=TODAY())</formula>
    </cfRule>
    <cfRule type="timePeriod" dxfId="1029" priority="921" timePeriod="thisWeek">
      <formula>AND(TODAY()-ROUNDDOWN(B174,0)&lt;=WEEKDAY(TODAY())-1,ROUNDDOWN(B174,0)-TODAY()&lt;=7-WEEKDAY(TODAY()))</formula>
    </cfRule>
  </conditionalFormatting>
  <conditionalFormatting sqref="B175:E176 G175:I176">
    <cfRule type="timePeriod" dxfId="1028" priority="880" timePeriod="last7Days">
      <formula>AND(TODAY()-FLOOR(B175,1)&lt;=6,FLOOR(B175,1)&lt;=TODAY())</formula>
    </cfRule>
  </conditionalFormatting>
  <conditionalFormatting sqref="B175:E176">
    <cfRule type="timePeriod" dxfId="1027" priority="876" timePeriod="last7Days">
      <formula>AND(TODAY()-FLOOR(B175,1)&lt;=6,FLOOR(B175,1)&lt;=TODAY())</formula>
    </cfRule>
    <cfRule type="timePeriod" dxfId="1026" priority="877" timePeriod="thisWeek">
      <formula>AND(TODAY()-ROUNDDOWN(B175,0)&lt;=WEEKDAY(TODAY())-1,ROUNDDOWN(B175,0)-TODAY()&lt;=7-WEEKDAY(TODAY()))</formula>
    </cfRule>
    <cfRule type="timePeriod" dxfId="1025" priority="881" timePeriod="thisWeek">
      <formula>AND(TODAY()-ROUNDDOWN(B175,0)&lt;=WEEKDAY(TODAY())-1,ROUNDDOWN(B175,0)-TODAY()&lt;=7-WEEKDAY(TODAY()))</formula>
    </cfRule>
    <cfRule type="timePeriod" dxfId="1024" priority="882" timePeriod="last7Days">
      <formula>AND(TODAY()-FLOOR(B175,1)&lt;=6,FLOOR(B175,1)&lt;=TODAY())</formula>
    </cfRule>
    <cfRule type="timePeriod" dxfId="1023" priority="883" timePeriod="thisWeek">
      <formula>AND(TODAY()-ROUNDDOWN(B175,0)&lt;=WEEKDAY(TODAY())-1,ROUNDDOWN(B175,0)-TODAY()&lt;=7-WEEKDAY(TODAY()))</formula>
    </cfRule>
    <cfRule type="timePeriod" dxfId="1022" priority="884" timePeriod="last7Days">
      <formula>AND(TODAY()-FLOOR(B175,1)&lt;=6,FLOOR(B175,1)&lt;=TODAY())</formula>
    </cfRule>
    <cfRule type="timePeriod" dxfId="1021" priority="885" timePeriod="thisWeek">
      <formula>AND(TODAY()-ROUNDDOWN(B175,0)&lt;=WEEKDAY(TODAY())-1,ROUNDDOWN(B175,0)-TODAY()&lt;=7-WEEKDAY(TODAY()))</formula>
    </cfRule>
  </conditionalFormatting>
  <conditionalFormatting sqref="B177:E177 G177:I177 G178:G205">
    <cfRule type="timePeriod" dxfId="1020" priority="835" timePeriod="last7Days">
      <formula>AND(TODAY()-FLOOR(B177,1)&lt;=6,FLOOR(B177,1)&lt;=TODAY())</formula>
    </cfRule>
  </conditionalFormatting>
  <conditionalFormatting sqref="B177:E177">
    <cfRule type="timePeriod" dxfId="1019" priority="831" timePeriod="last7Days">
      <formula>AND(TODAY()-FLOOR(B177,1)&lt;=6,FLOOR(B177,1)&lt;=TODAY())</formula>
    </cfRule>
    <cfRule type="timePeriod" dxfId="1018" priority="832" timePeriod="thisWeek">
      <formula>AND(TODAY()-ROUNDDOWN(B177,0)&lt;=WEEKDAY(TODAY())-1,ROUNDDOWN(B177,0)-TODAY()&lt;=7-WEEKDAY(TODAY()))</formula>
    </cfRule>
    <cfRule type="timePeriod" dxfId="1017" priority="836" timePeriod="thisWeek">
      <formula>AND(TODAY()-ROUNDDOWN(B177,0)&lt;=WEEKDAY(TODAY())-1,ROUNDDOWN(B177,0)-TODAY()&lt;=7-WEEKDAY(TODAY()))</formula>
    </cfRule>
    <cfRule type="timePeriod" dxfId="1016" priority="837" timePeriod="last7Days">
      <formula>AND(TODAY()-FLOOR(B177,1)&lt;=6,FLOOR(B177,1)&lt;=TODAY())</formula>
    </cfRule>
    <cfRule type="timePeriod" dxfId="1015" priority="838" timePeriod="thisWeek">
      <formula>AND(TODAY()-ROUNDDOWN(B177,0)&lt;=WEEKDAY(TODAY())-1,ROUNDDOWN(B177,0)-TODAY()&lt;=7-WEEKDAY(TODAY()))</formula>
    </cfRule>
    <cfRule type="timePeriod" dxfId="1014" priority="839" timePeriod="last7Days">
      <formula>AND(TODAY()-FLOOR(B177,1)&lt;=6,FLOOR(B177,1)&lt;=TODAY())</formula>
    </cfRule>
    <cfRule type="timePeriod" dxfId="1013" priority="840" timePeriod="thisWeek">
      <formula>AND(TODAY()-ROUNDDOWN(B177,0)&lt;=WEEKDAY(TODAY())-1,ROUNDDOWN(B177,0)-TODAY()&lt;=7-WEEKDAY(TODAY()))</formula>
    </cfRule>
  </conditionalFormatting>
  <conditionalFormatting sqref="B193:E193">
    <cfRule type="timePeriod" dxfId="1012" priority="423" timePeriod="last7Days">
      <formula>AND(TODAY()-FLOOR(B193,1)&lt;=6,FLOOR(B193,1)&lt;=TODAY())</formula>
    </cfRule>
    <cfRule type="timePeriod" dxfId="1011" priority="424" timePeriod="thisWeek">
      <formula>AND(TODAY()-ROUNDDOWN(B193,0)&lt;=WEEKDAY(TODAY())-1,ROUNDDOWN(B193,0)-TODAY()&lt;=7-WEEKDAY(TODAY()))</formula>
    </cfRule>
  </conditionalFormatting>
  <conditionalFormatting sqref="B194:E204">
    <cfRule type="timePeriod" dxfId="1010" priority="97" timePeriod="last7Days">
      <formula>AND(TODAY()-FLOOR(B194,1)&lt;=6,FLOOR(B194,1)&lt;=TODAY())</formula>
    </cfRule>
    <cfRule type="timePeriod" dxfId="1009" priority="98" timePeriod="thisWeek">
      <formula>AND(TODAY()-ROUNDDOWN(B194,0)&lt;=WEEKDAY(TODAY())-1,ROUNDDOWN(B194,0)-TODAY()&lt;=7-WEEKDAY(TODAY()))</formula>
    </cfRule>
  </conditionalFormatting>
  <conditionalFormatting sqref="B204:E205">
    <cfRule type="timePeriod" dxfId="1008" priority="9" timePeriod="last7Days">
      <formula>AND(TODAY()-FLOOR(B204,1)&lt;=6,FLOOR(B204,1)&lt;=TODAY())</formula>
    </cfRule>
    <cfRule type="timePeriod" dxfId="1007" priority="10" timePeriod="thisWeek">
      <formula>AND(TODAY()-ROUNDDOWN(B204,0)&lt;=WEEKDAY(TODAY())-1,ROUNDDOWN(B204,0)-TODAY()&lt;=7-WEEKDAY(TODAY()))</formula>
    </cfRule>
  </conditionalFormatting>
  <conditionalFormatting sqref="B205:E205">
    <cfRule type="timePeriod" dxfId="1006" priority="2" timePeriod="last7Days">
      <formula>AND(TODAY()-FLOOR(B205,1)&lt;=6,FLOOR(B205,1)&lt;=TODAY())</formula>
    </cfRule>
    <cfRule type="timePeriod" dxfId="1005" priority="3" timePeriod="thisWeek">
      <formula>AND(TODAY()-ROUNDDOWN(B205,0)&lt;=WEEKDAY(TODAY())-1,ROUNDDOWN(B205,0)-TODAY()&lt;=7-WEEKDAY(TODAY()))</formula>
    </cfRule>
  </conditionalFormatting>
  <conditionalFormatting sqref="B216:E220">
    <cfRule type="timePeriod" dxfId="1004" priority="6235" timePeriod="nextWeek">
      <formula>AND(ROUNDDOWN(B216,0)-TODAY()&gt;(7-WEEKDAY(TODAY())),ROUNDDOWN(B216,0)-TODAY()&lt;(15-WEEKDAY(TODAY())))</formula>
    </cfRule>
    <cfRule type="timePeriod" priority="6236" timePeriod="nextWeek">
      <formula>AND(ROUNDDOWN(B216,0)-TODAY()&gt;(7-WEEKDAY(TODAY())),ROUNDDOWN(B216,0)-TODAY()&lt;(15-WEEKDAY(TODAY())))</formula>
    </cfRule>
  </conditionalFormatting>
  <conditionalFormatting sqref="B114:G120">
    <cfRule type="timePeriod" dxfId="1003" priority="2236" timePeriod="nextWeek">
      <formula>AND(ROUNDDOWN(B114,0)-TODAY()&gt;(7-WEEKDAY(TODAY())),ROUNDDOWN(B114,0)-TODAY()&lt;(15-WEEKDAY(TODAY())))</formula>
    </cfRule>
  </conditionalFormatting>
  <conditionalFormatting sqref="B114:G121">
    <cfRule type="timePeriod" priority="2237" timePeriod="nextWeek">
      <formula>AND(ROUNDDOWN(B114,0)-TODAY()&gt;(7-WEEKDAY(TODAY())),ROUNDDOWN(B114,0)-TODAY()&lt;(15-WEEKDAY(TODAY())))</formula>
    </cfRule>
  </conditionalFormatting>
  <conditionalFormatting sqref="C30:C38 AL114:XFD116 G122:I122 E132 D148:E156 G148:I156 E122:F126 L116:L140 C122 G132:I143 D158:E176 G158:I176 AK159:XFD159 AK160:AK161 H178:I205 AK142:XFD143 AK147:XFD147 L144:AE176 AL175:XFD176 L177:L178 M177:AE206 AL177:AL206 L207:AE207 AL149:XFD149 AL153:XFD156 AL160:XFD160 AK163:XFD163 E178:E205 AL167:XFD168 AN171:XFD172 AM178:XFD178">
    <cfRule type="timePeriod" dxfId="1002" priority="5433" timePeriod="lastMonth">
      <formula>AND(MONTH(C30)=MONTH(EDATE(TODAY(),0-1)),YEAR(C30)=YEAR(EDATE(TODAY(),0-1)))</formula>
    </cfRule>
  </conditionalFormatting>
  <conditionalFormatting sqref="C30:C38">
    <cfRule type="timePeriod" dxfId="1001" priority="5431" timePeriod="nextWeek">
      <formula>AND(ROUNDDOWN(C30,0)-TODAY()&gt;(7-WEEKDAY(TODAY())),ROUNDDOWN(C30,0)-TODAY()&lt;(15-WEEKDAY(TODAY())))</formula>
    </cfRule>
    <cfRule type="timePeriod" dxfId="1000" priority="5434" timePeriod="last7Days">
      <formula>AND(TODAY()-FLOOR(C30,1)&lt;=6,FLOOR(C30,1)&lt;=TODAY())</formula>
    </cfRule>
    <cfRule type="timePeriod" dxfId="999" priority="5435" timePeriod="thisWeek">
      <formula>AND(TODAY()-ROUNDDOWN(C30,0)&lt;=WEEKDAY(TODAY())-1,ROUNDDOWN(C30,0)-TODAY()&lt;=7-WEEKDAY(TODAY()))</formula>
    </cfRule>
  </conditionalFormatting>
  <conditionalFormatting sqref="C30:C45">
    <cfRule type="timePeriod" priority="4906" timePeriod="nextWeek">
      <formula>AND(ROUNDDOWN(C30,0)-TODAY()&gt;(7-WEEKDAY(TODAY())),ROUNDDOWN(C30,0)-TODAY()&lt;(15-WEEKDAY(TODAY())))</formula>
    </cfRule>
  </conditionalFormatting>
  <conditionalFormatting sqref="C32:C39">
    <cfRule type="timePeriod" dxfId="998" priority="4917" timePeriod="last7Days">
      <formula>AND(TODAY()-FLOOR(C32,1)&lt;=6,FLOOR(C32,1)&lt;=TODAY())</formula>
    </cfRule>
    <cfRule type="timePeriod" dxfId="997" priority="4918" timePeriod="thisWeek">
      <formula>AND(TODAY()-ROUNDDOWN(C32,0)&lt;=WEEKDAY(TODAY())-1,ROUNDDOWN(C32,0)-TODAY()&lt;=7-WEEKDAY(TODAY()))</formula>
    </cfRule>
  </conditionalFormatting>
  <conditionalFormatting sqref="C32:C45">
    <cfRule type="timePeriod" dxfId="996" priority="4914" timePeriod="nextWeek">
      <formula>AND(ROUNDDOWN(C32,0)-TODAY()&gt;(7-WEEKDAY(TODAY())),ROUNDDOWN(C32,0)-TODAY()&lt;(15-WEEKDAY(TODAY())))</formula>
    </cfRule>
    <cfRule type="timePeriod" dxfId="995" priority="4916" timePeriod="lastMonth">
      <formula>AND(MONTH(C32)=MONTH(EDATE(TODAY(),0-1)),YEAR(C32)=YEAR(EDATE(TODAY(),0-1)))</formula>
    </cfRule>
  </conditionalFormatting>
  <conditionalFormatting sqref="C39 AK96:XFD113 G99:G121">
    <cfRule type="timePeriod" dxfId="994" priority="4907" timePeriod="lastMonth">
      <formula>AND(MONTH(C39)=MONTH(EDATE(TODAY(),0-1)),YEAR(C39)=YEAR(EDATE(TODAY(),0-1)))</formula>
    </cfRule>
  </conditionalFormatting>
  <conditionalFormatting sqref="C17:D29">
    <cfRule type="timePeriod" dxfId="993" priority="6200" timePeriod="lastMonth">
      <formula>AND(MONTH(C17)=MONTH(EDATE(TODAY(),0-1)),YEAR(C17)=YEAR(EDATE(TODAY(),0-1)))</formula>
    </cfRule>
    <cfRule type="timePeriod" dxfId="992" priority="6201" timePeriod="last7Days">
      <formula>AND(TODAY()-FLOOR(C17,1)&lt;=6,FLOOR(C17,1)&lt;=TODAY())</formula>
    </cfRule>
    <cfRule type="timePeriod" dxfId="991" priority="6202" timePeriod="thisWeek">
      <formula>AND(TODAY()-ROUNDDOWN(C17,0)&lt;=WEEKDAY(TODAY())-1,ROUNDDOWN(C17,0)-TODAY()&lt;=7-WEEKDAY(TODAY()))</formula>
    </cfRule>
  </conditionalFormatting>
  <conditionalFormatting sqref="C20:D20">
    <cfRule type="timePeriod" dxfId="990" priority="6171" timePeriod="lastMonth">
      <formula>AND(MONTH(C20)=MONTH(EDATE(TODAY(),0-1)),YEAR(C20)=YEAR(EDATE(TODAY(),0-1)))</formula>
    </cfRule>
    <cfRule type="timePeriod" dxfId="989" priority="6172" timePeriod="last7Days">
      <formula>AND(TODAY()-FLOOR(C20,1)&lt;=6,FLOOR(C20,1)&lt;=TODAY())</formula>
    </cfRule>
    <cfRule type="timePeriod" dxfId="988" priority="6173" timePeriod="thisWeek">
      <formula>AND(TODAY()-ROUNDDOWN(C20,0)&lt;=WEEKDAY(TODAY())-1,ROUNDDOWN(C20,0)-TODAY()&lt;=7-WEEKDAY(TODAY()))</formula>
    </cfRule>
  </conditionalFormatting>
  <conditionalFormatting sqref="C33:D55 H54:I55">
    <cfRule type="timePeriod" dxfId="987" priority="3862" timePeriod="lastMonth">
      <formula>AND(MONTH(C33)=MONTH(EDATE(TODAY(),0-1)),YEAR(C33)=YEAR(EDATE(TODAY(),0-1)))</formula>
    </cfRule>
  </conditionalFormatting>
  <conditionalFormatting sqref="C55:D56">
    <cfRule type="timePeriod" dxfId="986" priority="3838" timePeriod="lastMonth">
      <formula>AND(MONTH(C55)=MONTH(EDATE(TODAY(),0-1)),YEAR(C55)=YEAR(EDATE(TODAY(),0-1)))</formula>
    </cfRule>
  </conditionalFormatting>
  <conditionalFormatting sqref="C210:D210">
    <cfRule type="timePeriod" dxfId="985" priority="4436" timePeriod="lastMonth">
      <formula>AND(MONTH(C210)=MONTH(EDATE(TODAY(),0-1)),YEAR(C210)=YEAR(EDATE(TODAY(),0-1)))</formula>
    </cfRule>
    <cfRule type="timePeriod" dxfId="984" priority="4437" timePeriod="last7Days">
      <formula>AND(TODAY()-FLOOR(C210,1)&lt;=6,FLOOR(C210,1)&lt;=TODAY())</formula>
    </cfRule>
    <cfRule type="timePeriod" dxfId="983" priority="4438" timePeriod="thisWeek">
      <formula>AND(TODAY()-ROUNDDOWN(C210,0)&lt;=WEEKDAY(TODAY())-1,ROUNDDOWN(C210,0)-TODAY()&lt;=7-WEEKDAY(TODAY()))</formula>
    </cfRule>
  </conditionalFormatting>
  <conditionalFormatting sqref="C24:E24 L24">
    <cfRule type="timePeriod" dxfId="982" priority="5896" timePeriod="lastMonth">
      <formula>AND(MONTH(C24)=MONTH(EDATE(TODAY(),0-1)),YEAR(C24)=YEAR(EDATE(TODAY(),0-1)))</formula>
    </cfRule>
  </conditionalFormatting>
  <conditionalFormatting sqref="C123:E126">
    <cfRule type="timePeriod" dxfId="981" priority="2089" timePeriod="nextWeek">
      <formula>AND(ROUNDDOWN(C123,0)-TODAY()&gt;(7-WEEKDAY(TODAY())),ROUNDDOWN(C123,0)-TODAY()&lt;(15-WEEKDAY(TODAY())))</formula>
    </cfRule>
    <cfRule type="timePeriod" priority="2090" timePeriod="nextWeek">
      <formula>AND(ROUNDDOWN(C123,0)-TODAY()&gt;(7-WEEKDAY(TODAY())),ROUNDDOWN(C123,0)-TODAY()&lt;(15-WEEKDAY(TODAY())))</formula>
    </cfRule>
  </conditionalFormatting>
  <conditionalFormatting sqref="C206:E209">
    <cfRule type="timePeriod" dxfId="980" priority="1245" timePeriod="lastMonth">
      <formula>AND(MONTH(C206)=MONTH(EDATE(TODAY(),0-1)),YEAR(C206)=YEAR(EDATE(TODAY(),0-1)))</formula>
    </cfRule>
    <cfRule type="timePeriod" dxfId="979" priority="1246" timePeriod="last7Days">
      <formula>AND(TODAY()-FLOOR(C206,1)&lt;=6,FLOOR(C206,1)&lt;=TODAY())</formula>
    </cfRule>
    <cfRule type="timePeriod" dxfId="978" priority="1247" timePeriod="thisWeek">
      <formula>AND(TODAY()-ROUNDDOWN(C206,0)&lt;=WEEKDAY(TODAY())-1,ROUNDDOWN(C206,0)-TODAY()&lt;=7-WEEKDAY(TODAY()))</formula>
    </cfRule>
  </conditionalFormatting>
  <conditionalFormatting sqref="C216:E220">
    <cfRule type="timePeriod" dxfId="977" priority="6237" timePeriod="lastMonth">
      <formula>AND(MONTH(C216)=MONTH(EDATE(TODAY(),0-1)),YEAR(C216)=YEAR(EDATE(TODAY(),0-1)))</formula>
    </cfRule>
    <cfRule type="timePeriod" dxfId="976" priority="6238" timePeriod="last7Days">
      <formula>AND(TODAY()-FLOOR(C216,1)&lt;=6,FLOOR(C216,1)&lt;=TODAY())</formula>
    </cfRule>
    <cfRule type="timePeriod" dxfId="975" priority="6239" timePeriod="thisWeek">
      <formula>AND(TODAY()-ROUNDDOWN(C216,0)&lt;=WEEKDAY(TODAY())-1,ROUNDDOWN(C216,0)-TODAY()&lt;=7-WEEKDAY(TODAY()))</formula>
    </cfRule>
  </conditionalFormatting>
  <conditionalFormatting sqref="C210:F210">
    <cfRule type="timePeriod" dxfId="974" priority="4446" timePeriod="lastMonth">
      <formula>AND(MONTH(C210)=MONTH(EDATE(TODAY(),0-1)),YEAR(C210)=YEAR(EDATE(TODAY(),0-1)))</formula>
    </cfRule>
    <cfRule type="timePeriod" dxfId="973" priority="4447" timePeriod="last7Days">
      <formula>AND(TODAY()-FLOOR(C210,1)&lt;=6,FLOOR(C210,1)&lt;=TODAY())</formula>
    </cfRule>
    <cfRule type="timePeriod" dxfId="972" priority="4448" timePeriod="thisWeek">
      <formula>AND(TODAY()-ROUNDDOWN(C210,0)&lt;=WEEKDAY(TODAY())-1,ROUNDDOWN(C210,0)-TODAY()&lt;=7-WEEKDAY(TODAY()))</formula>
    </cfRule>
  </conditionalFormatting>
  <conditionalFormatting sqref="D16:D29">
    <cfRule type="timePeriod" priority="5497" timePeriod="nextWeek">
      <formula>AND(ROUNDDOWN(D16,0)-TODAY()&gt;(7-WEEKDAY(TODAY())),ROUNDDOWN(D16,0)-TODAY()&lt;(15-WEEKDAY(TODAY())))</formula>
    </cfRule>
    <cfRule type="timePeriod" dxfId="971" priority="6297" timePeriod="nextWeek">
      <formula>AND(ROUNDDOWN(D16,0)-TODAY()&gt;(7-WEEKDAY(TODAY())),ROUNDDOWN(D16,0)-TODAY()&lt;(15-WEEKDAY(TODAY())))</formula>
    </cfRule>
    <cfRule type="timePeriod" dxfId="970" priority="6299" timePeriod="lastMonth">
      <formula>AND(MONTH(D16)=MONTH(EDATE(TODAY(),0-1)),YEAR(D16)=YEAR(EDATE(TODAY(),0-1)))</formula>
    </cfRule>
    <cfRule type="timePeriod" dxfId="969" priority="6300" timePeriod="last7Days">
      <formula>AND(TODAY()-FLOOR(D16,1)&lt;=6,FLOOR(D16,1)&lt;=TODAY())</formula>
    </cfRule>
    <cfRule type="timePeriod" dxfId="968" priority="6301" timePeriod="thisWeek">
      <formula>AND(TODAY()-ROUNDDOWN(D16,0)&lt;=WEEKDAY(TODAY())-1,ROUNDDOWN(D16,0)-TODAY()&lt;=7-WEEKDAY(TODAY()))</formula>
    </cfRule>
  </conditionalFormatting>
  <conditionalFormatting sqref="D21:D29">
    <cfRule type="timePeriod" dxfId="967" priority="6098" timePeriod="lastMonth">
      <formula>AND(MONTH(D21)=MONTH(EDATE(TODAY(),0-1)),YEAR(D21)=YEAR(EDATE(TODAY(),0-1)))</formula>
    </cfRule>
    <cfRule type="timePeriod" dxfId="966" priority="6099" timePeriod="last7Days">
      <formula>AND(TODAY()-FLOOR(D21,1)&lt;=6,FLOOR(D21,1)&lt;=TODAY())</formula>
    </cfRule>
    <cfRule type="timePeriod" dxfId="965" priority="6100" timePeriod="thisWeek">
      <formula>AND(TODAY()-ROUNDDOWN(D21,0)&lt;=WEEKDAY(TODAY())-1,ROUNDDOWN(D21,0)-TODAY()&lt;=7-WEEKDAY(TODAY()))</formula>
    </cfRule>
  </conditionalFormatting>
  <conditionalFormatting sqref="D23:D29 L119:L140 E123:E126 G123:G126">
    <cfRule type="timePeriod" dxfId="964" priority="5500" timePeriod="thisWeek">
      <formula>AND(TODAY()-ROUNDDOWN(D23,0)&lt;=WEEKDAY(TODAY())-1,ROUNDDOWN(D23,0)-TODAY()&lt;=7-WEEKDAY(TODAY()))</formula>
    </cfRule>
  </conditionalFormatting>
  <conditionalFormatting sqref="D23:D29 L119:L140 G123:G126 E132 G132:I156 D133:E156 E122:F126 D158:E173 G158:I173 AK159:XFD159 AK160:AK161 AK142:XFD143 AL155:XFD156 AK163:XFD163 AL167:XFD167">
    <cfRule type="timePeriod" dxfId="963" priority="5499" timePeriod="last7Days">
      <formula>AND(TODAY()-FLOOR(D23,1)&lt;=6,FLOOR(D23,1)&lt;=TODAY())</formula>
    </cfRule>
  </conditionalFormatting>
  <conditionalFormatting sqref="D23:D29 L119:L140 G123:G126">
    <cfRule type="timePeriod" dxfId="962" priority="5498" timePeriod="lastMonth">
      <formula>AND(MONTH(D23)=MONTH(EDATE(TODAY(),0-1)),YEAR(D23)=YEAR(EDATE(TODAY(),0-1)))</formula>
    </cfRule>
  </conditionalFormatting>
  <conditionalFormatting sqref="D28:D29 L124:L140 C132 G132:I132">
    <cfRule type="timePeriod" dxfId="961" priority="5540" timePeriod="thisWeek">
      <formula>AND(TODAY()-ROUNDDOWN(C28,0)&lt;=WEEKDAY(TODAY())-1,ROUNDDOWN(C28,0)-TODAY()&lt;=7-WEEKDAY(TODAY()))</formula>
    </cfRule>
  </conditionalFormatting>
  <conditionalFormatting sqref="D28:D29 L124:L140 C132">
    <cfRule type="timePeriod" dxfId="960" priority="5536" timePeriod="nextWeek">
      <formula>AND(ROUNDDOWN(C28,0)-TODAY()&gt;(7-WEEKDAY(TODAY())),ROUNDDOWN(C28,0)-TODAY()&lt;(15-WEEKDAY(TODAY())))</formula>
    </cfRule>
    <cfRule type="timePeriod" dxfId="959" priority="5538" timePeriod="lastMonth">
      <formula>AND(MONTH(C28)=MONTH(EDATE(TODAY(),0-1)),YEAR(C28)=YEAR(EDATE(TODAY(),0-1)))</formula>
    </cfRule>
    <cfRule type="timePeriod" dxfId="958" priority="5539" timePeriod="last7Days">
      <formula>AND(TODAY()-FLOOR(C28,1)&lt;=6,FLOOR(C28,1)&lt;=TODAY())</formula>
    </cfRule>
  </conditionalFormatting>
  <conditionalFormatting sqref="D193:D205 AK162:XFD162">
    <cfRule type="timePeriod" dxfId="957" priority="1460" timePeriod="lastMonth">
      <formula>AND(MONTH(D162)=MONTH(EDATE(TODAY(),0-1)),YEAR(D162)=YEAR(EDATE(TODAY(),0-1)))</formula>
    </cfRule>
    <cfRule type="timePeriod" dxfId="956" priority="1461" timePeriod="last7Days">
      <formula>AND(TODAY()-FLOOR(D162,1)&lt;=6,FLOOR(D162,1)&lt;=TODAY())</formula>
    </cfRule>
  </conditionalFormatting>
  <conditionalFormatting sqref="D193:D205">
    <cfRule type="timePeriod" dxfId="955" priority="417" timePeriod="thisWeek">
      <formula>AND(TODAY()-ROUNDDOWN(D193,0)&lt;=WEEKDAY(TODAY())-1,ROUNDDOWN(D193,0)-TODAY()&lt;=7-WEEKDAY(TODAY()))</formula>
    </cfRule>
    <cfRule type="timePeriod" priority="418" timePeriod="nextWeek">
      <formula>AND(ROUNDDOWN(D193,0)-TODAY()&gt;(7-WEEKDAY(TODAY())),ROUNDDOWN(D193,0)-TODAY()&lt;(15-WEEKDAY(TODAY())))</formula>
    </cfRule>
    <cfRule type="timePeriod" dxfId="954" priority="419" timePeriod="nextWeek">
      <formula>AND(ROUNDDOWN(D193,0)-TODAY()&gt;(7-WEEKDAY(TODAY())),ROUNDDOWN(D193,0)-TODAY()&lt;(15-WEEKDAY(TODAY())))</formula>
    </cfRule>
  </conditionalFormatting>
  <conditionalFormatting sqref="D210">
    <cfRule type="timePeriod" dxfId="953" priority="4414" timePeriod="nextWeek">
      <formula>AND(ROUNDDOWN(D210,0)-TODAY()&gt;(7-WEEKDAY(TODAY())),ROUNDDOWN(D210,0)-TODAY()&lt;(15-WEEKDAY(TODAY())))</formula>
    </cfRule>
    <cfRule type="timePeriod" dxfId="952" priority="4416" timePeriod="lastMonth">
      <formula>AND(MONTH(D210)=MONTH(EDATE(TODAY(),0-1)),YEAR(D210)=YEAR(EDATE(TODAY(),0-1)))</formula>
    </cfRule>
    <cfRule type="timePeriod" dxfId="951" priority="4417" timePeriod="last7Days">
      <formula>AND(TODAY()-FLOOR(D210,1)&lt;=6,FLOOR(D210,1)&lt;=TODAY())</formula>
    </cfRule>
    <cfRule type="timePeriod" dxfId="950" priority="4418" timePeriod="thisWeek">
      <formula>AND(TODAY()-ROUNDDOWN(D210,0)&lt;=WEEKDAY(TODAY())-1,ROUNDDOWN(D210,0)-TODAY()&lt;=7-WEEKDAY(TODAY()))</formula>
    </cfRule>
    <cfRule type="timePeriod" dxfId="949" priority="4429" timePeriod="nextWeek">
      <formula>AND(ROUNDDOWN(D210,0)-TODAY()&gt;(7-WEEKDAY(TODAY())),ROUNDDOWN(D210,0)-TODAY()&lt;(15-WEEKDAY(TODAY())))</formula>
    </cfRule>
    <cfRule type="timePeriod" dxfId="948" priority="4431" timePeriod="lastMonth">
      <formula>AND(MONTH(D210)=MONTH(EDATE(TODAY(),0-1)),YEAR(D210)=YEAR(EDATE(TODAY(),0-1)))</formula>
    </cfRule>
    <cfRule type="timePeriod" dxfId="947" priority="4432" timePeriod="last7Days">
      <formula>AND(TODAY()-FLOOR(D210,1)&lt;=6,FLOOR(D210,1)&lt;=TODAY())</formula>
    </cfRule>
    <cfRule type="timePeriod" dxfId="946" priority="4433" timePeriod="thisWeek">
      <formula>AND(TODAY()-ROUNDDOWN(D210,0)&lt;=WEEKDAY(TODAY())-1,ROUNDDOWN(D210,0)-TODAY()&lt;=7-WEEKDAY(TODAY()))</formula>
    </cfRule>
  </conditionalFormatting>
  <conditionalFormatting sqref="D218:D220">
    <cfRule type="timePeriod" dxfId="945" priority="6191" timePeriod="lastMonth">
      <formula>AND(MONTH(D218)=MONTH(EDATE(TODAY(),0-1)),YEAR(D218)=YEAR(EDATE(TODAY(),0-1)))</formula>
    </cfRule>
    <cfRule type="timePeriod" dxfId="944" priority="6192" timePeriod="last7Days">
      <formula>AND(TODAY()-FLOOR(D218,1)&lt;=6,FLOOR(D218,1)&lt;=TODAY())</formula>
    </cfRule>
    <cfRule type="timePeriod" dxfId="943" priority="6193" timePeriod="thisWeek">
      <formula>AND(TODAY()-ROUNDDOWN(D218,0)&lt;=WEEKDAY(TODAY())-1,ROUNDDOWN(D218,0)-TODAY()&lt;=7-WEEKDAY(TODAY()))</formula>
    </cfRule>
  </conditionalFormatting>
  <conditionalFormatting sqref="D18:E18 L18:L29 B18">
    <cfRule type="timePeriod" dxfId="942" priority="6005" timePeriod="nextWeek">
      <formula>AND(ROUNDDOWN(B18,0)-TODAY()&gt;(7-WEEKDAY(TODAY())),ROUNDDOWN(B18,0)-TODAY()&lt;(15-WEEKDAY(TODAY())))</formula>
    </cfRule>
  </conditionalFormatting>
  <conditionalFormatting sqref="D18:E18 L18:L29">
    <cfRule type="timePeriod" dxfId="941" priority="6007" timePeriod="lastMonth">
      <formula>AND(MONTH(D18)=MONTH(EDATE(TODAY(),0-1)),YEAR(D18)=YEAR(EDATE(TODAY(),0-1)))</formula>
    </cfRule>
  </conditionalFormatting>
  <conditionalFormatting sqref="D21:E29">
    <cfRule type="timePeriod" dxfId="940" priority="6096" timePeriod="nextWeek">
      <formula>AND(ROUNDDOWN(D21,0)-TODAY()&gt;(7-WEEKDAY(TODAY())),ROUNDDOWN(D21,0)-TODAY()&lt;(15-WEEKDAY(TODAY())))</formula>
    </cfRule>
  </conditionalFormatting>
  <conditionalFormatting sqref="D133:E148">
    <cfRule type="timePeriod" dxfId="939" priority="1875" timePeriod="nextWeek">
      <formula>AND(ROUNDDOWN(D133,0)-TODAY()&gt;(7-WEEKDAY(TODAY())),ROUNDDOWN(D133,0)-TODAY()&lt;(15-WEEKDAY(TODAY())))</formula>
    </cfRule>
    <cfRule type="timePeriod" dxfId="938" priority="1877" timePeriod="lastMonth">
      <formula>AND(MONTH(D133)=MONTH(EDATE(TODAY(),0-1)),YEAR(D133)=YEAR(EDATE(TODAY(),0-1)))</formula>
    </cfRule>
  </conditionalFormatting>
  <conditionalFormatting sqref="D149:E149">
    <cfRule type="timePeriod" dxfId="937" priority="1841" timePeriod="lastMonth">
      <formula>AND(MONTH(D149)=MONTH(EDATE(TODAY(),0-1)),YEAR(D149)=YEAR(EDATE(TODAY(),0-1)))</formula>
    </cfRule>
  </conditionalFormatting>
  <conditionalFormatting sqref="D150:E150 G144:I150">
    <cfRule type="timePeriod" dxfId="936" priority="1813" timePeriod="lastMonth">
      <formula>AND(MONTH(D144)=MONTH(EDATE(TODAY(),0-1)),YEAR(D144)=YEAR(EDATE(TODAY(),0-1)))</formula>
    </cfRule>
  </conditionalFormatting>
  <conditionalFormatting sqref="D151:E151 G151:I151">
    <cfRule type="timePeriod" dxfId="935" priority="1785" timePeriod="lastMonth">
      <formula>AND(MONTH(D151)=MONTH(EDATE(TODAY(),0-1)),YEAR(D151)=YEAR(EDATE(TODAY(),0-1)))</formula>
    </cfRule>
  </conditionalFormatting>
  <conditionalFormatting sqref="D152:E152 G152:I152">
    <cfRule type="timePeriod" dxfId="934" priority="1759" timePeriod="lastMonth">
      <formula>AND(MONTH(D152)=MONTH(EDATE(TODAY(),0-1)),YEAR(D152)=YEAR(EDATE(TODAY(),0-1)))</formula>
    </cfRule>
  </conditionalFormatting>
  <conditionalFormatting sqref="D153:E153 G153:I153">
    <cfRule type="timePeriod" dxfId="933" priority="1734" timePeriod="lastMonth">
      <formula>AND(MONTH(D153)=MONTH(EDATE(TODAY(),0-1)),YEAR(D153)=YEAR(EDATE(TODAY(),0-1)))</formula>
    </cfRule>
  </conditionalFormatting>
  <conditionalFormatting sqref="D154:E155 G154:I155">
    <cfRule type="timePeriod" dxfId="932" priority="1709" timePeriod="lastMonth">
      <formula>AND(MONTH(D154)=MONTH(EDATE(TODAY(),0-1)),YEAR(D154)=YEAR(EDATE(TODAY(),0-1)))</formula>
    </cfRule>
  </conditionalFormatting>
  <conditionalFormatting sqref="D156:E156 G154:I156">
    <cfRule type="timePeriod" dxfId="931" priority="1673" timePeriod="nextWeek">
      <formula>AND(ROUNDDOWN(D154,0)-TODAY()&gt;(7-WEEKDAY(TODAY())),ROUNDDOWN(D154,0)-TODAY()&lt;(15-WEEKDAY(TODAY())))</formula>
    </cfRule>
  </conditionalFormatting>
  <conditionalFormatting sqref="D156:E156">
    <cfRule type="timePeriod" dxfId="930" priority="1672" timePeriod="lastMonth">
      <formula>AND(MONTH(D156)=MONTH(EDATE(TODAY(),0-1)),YEAR(D156)=YEAR(EDATE(TODAY(),0-1)))</formula>
    </cfRule>
  </conditionalFormatting>
  <conditionalFormatting sqref="D157:E158 G156:I158">
    <cfRule type="timePeriod" dxfId="929" priority="1636" timePeriod="nextWeek">
      <formula>AND(ROUNDDOWN(D156,0)-TODAY()&gt;(7-WEEKDAY(TODAY())),ROUNDDOWN(D156,0)-TODAY()&lt;(15-WEEKDAY(TODAY())))</formula>
    </cfRule>
  </conditionalFormatting>
  <conditionalFormatting sqref="D157:E158">
    <cfRule type="timePeriod" dxfId="928" priority="1635" timePeriod="lastMonth">
      <formula>AND(MONTH(D157)=MONTH(EDATE(TODAY(),0-1)),YEAR(D157)=YEAR(EDATE(TODAY(),0-1)))</formula>
    </cfRule>
    <cfRule type="timePeriod" dxfId="927" priority="1646" timePeriod="nextWeek">
      <formula>AND(ROUNDDOWN(D157,0)-TODAY()&gt;(7-WEEKDAY(TODAY())),ROUNDDOWN(D157,0)-TODAY()&lt;(15-WEEKDAY(TODAY())))</formula>
    </cfRule>
  </conditionalFormatting>
  <conditionalFormatting sqref="D159:E159 G157:I159">
    <cfRule type="timePeriod" dxfId="926" priority="1588" timePeriod="nextWeek">
      <formula>AND(ROUNDDOWN(D157,0)-TODAY()&gt;(7-WEEKDAY(TODAY())),ROUNDDOWN(D157,0)-TODAY()&lt;(15-WEEKDAY(TODAY())))</formula>
    </cfRule>
  </conditionalFormatting>
  <conditionalFormatting sqref="D159:E159 G159:I159">
    <cfRule type="timePeriod" dxfId="925" priority="1596" timePeriod="thisWeek">
      <formula>AND(TODAY()-ROUNDDOWN(D159,0)&lt;=WEEKDAY(TODAY())-1,ROUNDDOWN(D159,0)-TODAY()&lt;=7-WEEKDAY(TODAY()))</formula>
    </cfRule>
    <cfRule type="timePeriod" dxfId="924" priority="1598" timePeriod="last7Days">
      <formula>AND(TODAY()-FLOOR(D159,1)&lt;=6,FLOOR(D159,1)&lt;=TODAY())</formula>
    </cfRule>
  </conditionalFormatting>
  <conditionalFormatting sqref="D159:E159">
    <cfRule type="timePeriod" dxfId="923" priority="1587" timePeriod="lastMonth">
      <formula>AND(MONTH(D159)=MONTH(EDATE(TODAY(),0-1)),YEAR(D159)=YEAR(EDATE(TODAY(),0-1)))</formula>
    </cfRule>
    <cfRule type="timePeriod" dxfId="922" priority="1595" timePeriod="nextWeek">
      <formula>AND(ROUNDDOWN(D159,0)-TODAY()&gt;(7-WEEKDAY(TODAY())),ROUNDDOWN(D159,0)-TODAY()&lt;(15-WEEKDAY(TODAY())))</formula>
    </cfRule>
  </conditionalFormatting>
  <conditionalFormatting sqref="D160:E160 G159:I160">
    <cfRule type="timePeriod" dxfId="921" priority="1548" timePeriod="nextWeek">
      <formula>AND(ROUNDDOWN(D159,0)-TODAY()&gt;(7-WEEKDAY(TODAY())),ROUNDDOWN(D159,0)-TODAY()&lt;(15-WEEKDAY(TODAY())))</formula>
    </cfRule>
  </conditionalFormatting>
  <conditionalFormatting sqref="D160:E160 G160:I160">
    <cfRule type="timePeriod" dxfId="920" priority="1552" timePeriod="thisWeek">
      <formula>AND(TODAY()-ROUNDDOWN(D160,0)&lt;=WEEKDAY(TODAY())-1,ROUNDDOWN(D160,0)-TODAY()&lt;=7-WEEKDAY(TODAY()))</formula>
    </cfRule>
    <cfRule type="timePeriod" dxfId="919" priority="1554" timePeriod="last7Days">
      <formula>AND(TODAY()-FLOOR(D160,1)&lt;=6,FLOOR(D160,1)&lt;=TODAY())</formula>
    </cfRule>
  </conditionalFormatting>
  <conditionalFormatting sqref="D160:E160">
    <cfRule type="timePeriod" dxfId="918" priority="1547" timePeriod="lastMonth">
      <formula>AND(MONTH(D160)=MONTH(EDATE(TODAY(),0-1)),YEAR(D160)=YEAR(EDATE(TODAY(),0-1)))</formula>
    </cfRule>
    <cfRule type="timePeriod" dxfId="917" priority="1551" timePeriod="nextWeek">
      <formula>AND(ROUNDDOWN(D160,0)-TODAY()&gt;(7-WEEKDAY(TODAY())),ROUNDDOWN(D160,0)-TODAY()&lt;(15-WEEKDAY(TODAY())))</formula>
    </cfRule>
  </conditionalFormatting>
  <conditionalFormatting sqref="D161:E161 G160:I161">
    <cfRule type="timePeriod" dxfId="916" priority="1495" timePeriod="nextWeek">
      <formula>AND(ROUNDDOWN(D160,0)-TODAY()&gt;(7-WEEKDAY(TODAY())),ROUNDDOWN(D160,0)-TODAY()&lt;(15-WEEKDAY(TODAY())))</formula>
    </cfRule>
  </conditionalFormatting>
  <conditionalFormatting sqref="D161:E161 G161:I161">
    <cfRule type="timePeriod" dxfId="915" priority="1499" timePeriod="thisWeek">
      <formula>AND(TODAY()-ROUNDDOWN(D161,0)&lt;=WEEKDAY(TODAY())-1,ROUNDDOWN(D161,0)-TODAY()&lt;=7-WEEKDAY(TODAY()))</formula>
    </cfRule>
    <cfRule type="timePeriod" dxfId="914" priority="1501" timePeriod="last7Days">
      <formula>AND(TODAY()-FLOOR(D161,1)&lt;=6,FLOOR(D161,1)&lt;=TODAY())</formula>
    </cfRule>
  </conditionalFormatting>
  <conditionalFormatting sqref="D161:E161">
    <cfRule type="timePeriod" dxfId="913" priority="1494" timePeriod="lastMonth">
      <formula>AND(MONTH(D161)=MONTH(EDATE(TODAY(),0-1)),YEAR(D161)=YEAR(EDATE(TODAY(),0-1)))</formula>
    </cfRule>
    <cfRule type="timePeriod" dxfId="912" priority="1498" timePeriod="nextWeek">
      <formula>AND(ROUNDDOWN(D161,0)-TODAY()&gt;(7-WEEKDAY(TODAY())),ROUNDDOWN(D161,0)-TODAY()&lt;(15-WEEKDAY(TODAY())))</formula>
    </cfRule>
  </conditionalFormatting>
  <conditionalFormatting sqref="D162:E162 G161:I162">
    <cfRule type="timePeriod" dxfId="911" priority="1450" timePeriod="nextWeek">
      <formula>AND(ROUNDDOWN(D161,0)-TODAY()&gt;(7-WEEKDAY(TODAY())),ROUNDDOWN(D161,0)-TODAY()&lt;(15-WEEKDAY(TODAY())))</formula>
    </cfRule>
  </conditionalFormatting>
  <conditionalFormatting sqref="D162:E162 G162:I162">
    <cfRule type="timePeriod" dxfId="910" priority="1454" timePeriod="thisWeek">
      <formula>AND(TODAY()-ROUNDDOWN(D162,0)&lt;=WEEKDAY(TODAY())-1,ROUNDDOWN(D162,0)-TODAY()&lt;=7-WEEKDAY(TODAY()))</formula>
    </cfRule>
    <cfRule type="timePeriod" dxfId="909" priority="1456" timePeriod="last7Days">
      <formula>AND(TODAY()-FLOOR(D162,1)&lt;=6,FLOOR(D162,1)&lt;=TODAY())</formula>
    </cfRule>
  </conditionalFormatting>
  <conditionalFormatting sqref="D162:E162">
    <cfRule type="timePeriod" dxfId="908" priority="1449" timePeriod="lastMonth">
      <formula>AND(MONTH(D162)=MONTH(EDATE(TODAY(),0-1)),YEAR(D162)=YEAR(EDATE(TODAY(),0-1)))</formula>
    </cfRule>
    <cfRule type="timePeriod" dxfId="907" priority="1453" timePeriod="nextWeek">
      <formula>AND(ROUNDDOWN(D162,0)-TODAY()&gt;(7-WEEKDAY(TODAY())),ROUNDDOWN(D162,0)-TODAY()&lt;(15-WEEKDAY(TODAY())))</formula>
    </cfRule>
  </conditionalFormatting>
  <conditionalFormatting sqref="D163:E163 G162:I163">
    <cfRule type="timePeriod" dxfId="906" priority="1415" timePeriod="nextWeek">
      <formula>AND(ROUNDDOWN(D162,0)-TODAY()&gt;(7-WEEKDAY(TODAY())),ROUNDDOWN(D162,0)-TODAY()&lt;(15-WEEKDAY(TODAY())))</formula>
    </cfRule>
  </conditionalFormatting>
  <conditionalFormatting sqref="D163:E163 G163:I163">
    <cfRule type="timePeriod" dxfId="905" priority="1419" timePeriod="thisWeek">
      <formula>AND(TODAY()-ROUNDDOWN(D163,0)&lt;=WEEKDAY(TODAY())-1,ROUNDDOWN(D163,0)-TODAY()&lt;=7-WEEKDAY(TODAY()))</formula>
    </cfRule>
    <cfRule type="timePeriod" dxfId="904" priority="1421" timePeriod="last7Days">
      <formula>AND(TODAY()-FLOOR(D163,1)&lt;=6,FLOOR(D163,1)&lt;=TODAY())</formula>
    </cfRule>
  </conditionalFormatting>
  <conditionalFormatting sqref="D163:E163">
    <cfRule type="timePeriod" dxfId="903" priority="1414" timePeriod="lastMonth">
      <formula>AND(MONTH(D163)=MONTH(EDATE(TODAY(),0-1)),YEAR(D163)=YEAR(EDATE(TODAY(),0-1)))</formula>
    </cfRule>
    <cfRule type="timePeriod" dxfId="902" priority="1418" timePeriod="nextWeek">
      <formula>AND(ROUNDDOWN(D163,0)-TODAY()&gt;(7-WEEKDAY(TODAY())),ROUNDDOWN(D163,0)-TODAY()&lt;(15-WEEKDAY(TODAY())))</formula>
    </cfRule>
  </conditionalFormatting>
  <conditionalFormatting sqref="D164:E164 G163:I164">
    <cfRule type="timePeriod" dxfId="901" priority="1371" timePeriod="nextWeek">
      <formula>AND(ROUNDDOWN(D163,0)-TODAY()&gt;(7-WEEKDAY(TODAY())),ROUNDDOWN(D163,0)-TODAY()&lt;(15-WEEKDAY(TODAY())))</formula>
    </cfRule>
  </conditionalFormatting>
  <conditionalFormatting sqref="D164:E164 G164:I164">
    <cfRule type="timePeriod" dxfId="900" priority="1375" timePeriod="thisWeek">
      <formula>AND(TODAY()-ROUNDDOWN(D164,0)&lt;=WEEKDAY(TODAY())-1,ROUNDDOWN(D164,0)-TODAY()&lt;=7-WEEKDAY(TODAY()))</formula>
    </cfRule>
    <cfRule type="timePeriod" dxfId="899" priority="1377" timePeriod="last7Days">
      <formula>AND(TODAY()-FLOOR(D164,1)&lt;=6,FLOOR(D164,1)&lt;=TODAY())</formula>
    </cfRule>
  </conditionalFormatting>
  <conditionalFormatting sqref="D164:E164">
    <cfRule type="timePeriod" dxfId="898" priority="1370" timePeriod="lastMonth">
      <formula>AND(MONTH(D164)=MONTH(EDATE(TODAY(),0-1)),YEAR(D164)=YEAR(EDATE(TODAY(),0-1)))</formula>
    </cfRule>
    <cfRule type="timePeriod" dxfId="897" priority="1374" timePeriod="nextWeek">
      <formula>AND(ROUNDDOWN(D164,0)-TODAY()&gt;(7-WEEKDAY(TODAY())),ROUNDDOWN(D164,0)-TODAY()&lt;(15-WEEKDAY(TODAY())))</formula>
    </cfRule>
  </conditionalFormatting>
  <conditionalFormatting sqref="D165:E165 G164:I165">
    <cfRule type="timePeriod" dxfId="896" priority="1333" timePeriod="nextWeek">
      <formula>AND(ROUNDDOWN(D164,0)-TODAY()&gt;(7-WEEKDAY(TODAY())),ROUNDDOWN(D164,0)-TODAY()&lt;(15-WEEKDAY(TODAY())))</formula>
    </cfRule>
  </conditionalFormatting>
  <conditionalFormatting sqref="D165:E165 G165:I165">
    <cfRule type="timePeriod" dxfId="895" priority="1337" timePeriod="thisWeek">
      <formula>AND(TODAY()-ROUNDDOWN(D165,0)&lt;=WEEKDAY(TODAY())-1,ROUNDDOWN(D165,0)-TODAY()&lt;=7-WEEKDAY(TODAY()))</formula>
    </cfRule>
    <cfRule type="timePeriod" dxfId="894" priority="1339" timePeriod="last7Days">
      <formula>AND(TODAY()-FLOOR(D165,1)&lt;=6,FLOOR(D165,1)&lt;=TODAY())</formula>
    </cfRule>
  </conditionalFormatting>
  <conditionalFormatting sqref="D165:E165">
    <cfRule type="timePeriod" dxfId="893" priority="1332" timePeriod="lastMonth">
      <formula>AND(MONTH(D165)=MONTH(EDATE(TODAY(),0-1)),YEAR(D165)=YEAR(EDATE(TODAY(),0-1)))</formula>
    </cfRule>
    <cfRule type="timePeriod" dxfId="892" priority="1336" timePeriod="nextWeek">
      <formula>AND(ROUNDDOWN(D165,0)-TODAY()&gt;(7-WEEKDAY(TODAY())),ROUNDDOWN(D165,0)-TODAY()&lt;(15-WEEKDAY(TODAY())))</formula>
    </cfRule>
  </conditionalFormatting>
  <conditionalFormatting sqref="D166:E166 G165:I166">
    <cfRule type="timePeriod" dxfId="891" priority="1207" timePeriod="nextWeek">
      <formula>AND(ROUNDDOWN(D165,0)-TODAY()&gt;(7-WEEKDAY(TODAY())),ROUNDDOWN(D165,0)-TODAY()&lt;(15-WEEKDAY(TODAY())))</formula>
    </cfRule>
  </conditionalFormatting>
  <conditionalFormatting sqref="D166:E166 G166:I166">
    <cfRule type="timePeriod" dxfId="890" priority="1211" timePeriod="thisWeek">
      <formula>AND(TODAY()-ROUNDDOWN(D166,0)&lt;=WEEKDAY(TODAY())-1,ROUNDDOWN(D166,0)-TODAY()&lt;=7-WEEKDAY(TODAY()))</formula>
    </cfRule>
    <cfRule type="timePeriod" dxfId="889" priority="1213" timePeriod="last7Days">
      <formula>AND(TODAY()-FLOOR(D166,1)&lt;=6,FLOOR(D166,1)&lt;=TODAY())</formula>
    </cfRule>
  </conditionalFormatting>
  <conditionalFormatting sqref="D166:E166">
    <cfRule type="timePeriod" dxfId="888" priority="1206" timePeriod="lastMonth">
      <formula>AND(MONTH(D166)=MONTH(EDATE(TODAY(),0-1)),YEAR(D166)=YEAR(EDATE(TODAY(),0-1)))</formula>
    </cfRule>
    <cfRule type="timePeriod" dxfId="887" priority="1210" timePeriod="nextWeek">
      <formula>AND(ROUNDDOWN(D166,0)-TODAY()&gt;(7-WEEKDAY(TODAY())),ROUNDDOWN(D166,0)-TODAY()&lt;(15-WEEKDAY(TODAY())))</formula>
    </cfRule>
  </conditionalFormatting>
  <conditionalFormatting sqref="D167:E167 G166:I167">
    <cfRule type="timePeriod" dxfId="886" priority="1176" timePeriod="nextWeek">
      <formula>AND(ROUNDDOWN(D166,0)-TODAY()&gt;(7-WEEKDAY(TODAY())),ROUNDDOWN(D166,0)-TODAY()&lt;(15-WEEKDAY(TODAY())))</formula>
    </cfRule>
  </conditionalFormatting>
  <conditionalFormatting sqref="D167:E167 G167:I167">
    <cfRule type="timePeriod" dxfId="885" priority="1180" timePeriod="thisWeek">
      <formula>AND(TODAY()-ROUNDDOWN(D167,0)&lt;=WEEKDAY(TODAY())-1,ROUNDDOWN(D167,0)-TODAY()&lt;=7-WEEKDAY(TODAY()))</formula>
    </cfRule>
    <cfRule type="timePeriod" dxfId="884" priority="1182" timePeriod="last7Days">
      <formula>AND(TODAY()-FLOOR(D167,1)&lt;=6,FLOOR(D167,1)&lt;=TODAY())</formula>
    </cfRule>
  </conditionalFormatting>
  <conditionalFormatting sqref="D167:E167">
    <cfRule type="timePeriod" dxfId="883" priority="1175" timePeriod="lastMonth">
      <formula>AND(MONTH(D167)=MONTH(EDATE(TODAY(),0-1)),YEAR(D167)=YEAR(EDATE(TODAY(),0-1)))</formula>
    </cfRule>
    <cfRule type="timePeriod" dxfId="882" priority="1179" timePeriod="nextWeek">
      <formula>AND(ROUNDDOWN(D167,0)-TODAY()&gt;(7-WEEKDAY(TODAY())),ROUNDDOWN(D167,0)-TODAY()&lt;(15-WEEKDAY(TODAY())))</formula>
    </cfRule>
  </conditionalFormatting>
  <conditionalFormatting sqref="D168:E168 G167:I168">
    <cfRule type="timePeriod" dxfId="881" priority="1140" timePeriod="nextWeek">
      <formula>AND(ROUNDDOWN(D167,0)-TODAY()&gt;(7-WEEKDAY(TODAY())),ROUNDDOWN(D167,0)-TODAY()&lt;(15-WEEKDAY(TODAY())))</formula>
    </cfRule>
  </conditionalFormatting>
  <conditionalFormatting sqref="D168:E168 G168:I168">
    <cfRule type="timePeriod" dxfId="880" priority="1144" timePeriod="thisWeek">
      <formula>AND(TODAY()-ROUNDDOWN(D168,0)&lt;=WEEKDAY(TODAY())-1,ROUNDDOWN(D168,0)-TODAY()&lt;=7-WEEKDAY(TODAY()))</formula>
    </cfRule>
    <cfRule type="timePeriod" dxfId="879" priority="1146" timePeriod="last7Days">
      <formula>AND(TODAY()-FLOOR(D168,1)&lt;=6,FLOOR(D168,1)&lt;=TODAY())</formula>
    </cfRule>
  </conditionalFormatting>
  <conditionalFormatting sqref="D168:E168">
    <cfRule type="timePeriod" dxfId="878" priority="1139" timePeriod="lastMonth">
      <formula>AND(MONTH(D168)=MONTH(EDATE(TODAY(),0-1)),YEAR(D168)=YEAR(EDATE(TODAY(),0-1)))</formula>
    </cfRule>
    <cfRule type="timePeriod" dxfId="877" priority="1143" timePeriod="nextWeek">
      <formula>AND(ROUNDDOWN(D168,0)-TODAY()&gt;(7-WEEKDAY(TODAY())),ROUNDDOWN(D168,0)-TODAY()&lt;(15-WEEKDAY(TODAY())))</formula>
    </cfRule>
  </conditionalFormatting>
  <conditionalFormatting sqref="D169:E169 G168:I169">
    <cfRule type="timePeriod" dxfId="876" priority="1072" timePeriod="nextWeek">
      <formula>AND(ROUNDDOWN(D168,0)-TODAY()&gt;(7-WEEKDAY(TODAY())),ROUNDDOWN(D168,0)-TODAY()&lt;(15-WEEKDAY(TODAY())))</formula>
    </cfRule>
  </conditionalFormatting>
  <conditionalFormatting sqref="D169:E169 G169:I169">
    <cfRule type="timePeriod" dxfId="875" priority="1076" timePeriod="thisWeek">
      <formula>AND(TODAY()-ROUNDDOWN(D169,0)&lt;=WEEKDAY(TODAY())-1,ROUNDDOWN(D169,0)-TODAY()&lt;=7-WEEKDAY(TODAY()))</formula>
    </cfRule>
    <cfRule type="timePeriod" dxfId="874" priority="1078" timePeriod="last7Days">
      <formula>AND(TODAY()-FLOOR(D169,1)&lt;=6,FLOOR(D169,1)&lt;=TODAY())</formula>
    </cfRule>
  </conditionalFormatting>
  <conditionalFormatting sqref="D169:E169">
    <cfRule type="timePeriod" dxfId="873" priority="1071" timePeriod="lastMonth">
      <formula>AND(MONTH(D169)=MONTH(EDATE(TODAY(),0-1)),YEAR(D169)=YEAR(EDATE(TODAY(),0-1)))</formula>
    </cfRule>
    <cfRule type="timePeriod" dxfId="872" priority="1075" timePeriod="nextWeek">
      <formula>AND(ROUNDDOWN(D169,0)-TODAY()&gt;(7-WEEKDAY(TODAY())),ROUNDDOWN(D169,0)-TODAY()&lt;(15-WEEKDAY(TODAY())))</formula>
    </cfRule>
  </conditionalFormatting>
  <conditionalFormatting sqref="D170:E170 G169:I170">
    <cfRule type="timePeriod" dxfId="871" priority="1023" timePeriod="nextWeek">
      <formula>AND(ROUNDDOWN(D169,0)-TODAY()&gt;(7-WEEKDAY(TODAY())),ROUNDDOWN(D169,0)-TODAY()&lt;(15-WEEKDAY(TODAY())))</formula>
    </cfRule>
  </conditionalFormatting>
  <conditionalFormatting sqref="D170:E170 G170:I170">
    <cfRule type="timePeriod" dxfId="870" priority="1027" timePeriod="thisWeek">
      <formula>AND(TODAY()-ROUNDDOWN(D170,0)&lt;=WEEKDAY(TODAY())-1,ROUNDDOWN(D170,0)-TODAY()&lt;=7-WEEKDAY(TODAY()))</formula>
    </cfRule>
    <cfRule type="timePeriod" dxfId="869" priority="1029" timePeriod="last7Days">
      <formula>AND(TODAY()-FLOOR(D170,1)&lt;=6,FLOOR(D170,1)&lt;=TODAY())</formula>
    </cfRule>
  </conditionalFormatting>
  <conditionalFormatting sqref="D170:E170">
    <cfRule type="timePeriod" dxfId="868" priority="1022" timePeriod="lastMonth">
      <formula>AND(MONTH(D170)=MONTH(EDATE(TODAY(),0-1)),YEAR(D170)=YEAR(EDATE(TODAY(),0-1)))</formula>
    </cfRule>
    <cfRule type="timePeriod" dxfId="867" priority="1026" timePeriod="nextWeek">
      <formula>AND(ROUNDDOWN(D170,0)-TODAY()&gt;(7-WEEKDAY(TODAY())),ROUNDDOWN(D170,0)-TODAY()&lt;(15-WEEKDAY(TODAY())))</formula>
    </cfRule>
  </conditionalFormatting>
  <conditionalFormatting sqref="D171:E173 G171:I173">
    <cfRule type="timePeriod" dxfId="866" priority="986" timePeriod="lastMonth">
      <formula>AND(MONTH(D171)=MONTH(EDATE(TODAY(),0-1)),YEAR(D171)=YEAR(EDATE(TODAY(),0-1)))</formula>
    </cfRule>
  </conditionalFormatting>
  <conditionalFormatting sqref="D171:E173">
    <cfRule type="timePeriod" dxfId="865" priority="990" timePeriod="nextWeek">
      <formula>AND(ROUNDDOWN(D171,0)-TODAY()&gt;(7-WEEKDAY(TODAY())),ROUNDDOWN(D171,0)-TODAY()&lt;(15-WEEKDAY(TODAY())))</formula>
    </cfRule>
  </conditionalFormatting>
  <conditionalFormatting sqref="D174:E174 G174:I174">
    <cfRule type="timePeriod" dxfId="864" priority="914" timePeriod="lastMonth">
      <formula>AND(MONTH(D174)=MONTH(EDATE(TODAY(),0-1)),YEAR(D174)=YEAR(EDATE(TODAY(),0-1)))</formula>
    </cfRule>
  </conditionalFormatting>
  <conditionalFormatting sqref="D174:E174">
    <cfRule type="timePeriod" dxfId="863" priority="913" timePeriod="nextWeek">
      <formula>AND(ROUNDDOWN(D174,0)-TODAY()&gt;(7-WEEKDAY(TODAY())),ROUNDDOWN(D174,0)-TODAY()&lt;(15-WEEKDAY(TODAY())))</formula>
    </cfRule>
  </conditionalFormatting>
  <conditionalFormatting sqref="D174:E176 G175:I176">
    <cfRule type="timePeriod" dxfId="862" priority="879" timePeriod="lastMonth">
      <formula>AND(MONTH(D174)=MONTH(EDATE(TODAY(),0-1)),YEAR(D174)=YEAR(EDATE(TODAY(),0-1)))</formula>
    </cfRule>
  </conditionalFormatting>
  <conditionalFormatting sqref="D175:E176">
    <cfRule type="timePeriod" dxfId="861" priority="878" timePeriod="nextWeek">
      <formula>AND(ROUNDDOWN(D175,0)-TODAY()&gt;(7-WEEKDAY(TODAY())),ROUNDDOWN(D175,0)-TODAY()&lt;(15-WEEKDAY(TODAY())))</formula>
    </cfRule>
  </conditionalFormatting>
  <conditionalFormatting sqref="D177:E177 G177:I177 G178:G205">
    <cfRule type="timePeriod" dxfId="860" priority="829" timePeriod="lastMonth">
      <formula>AND(MONTH(D177)=MONTH(EDATE(TODAY(),0-1)),YEAR(D177)=YEAR(EDATE(TODAY(),0-1)))</formula>
    </cfRule>
    <cfRule type="timePeriod" dxfId="859" priority="834" timePeriod="lastMonth">
      <formula>AND(MONTH(D177)=MONTH(EDATE(TODAY(),0-1)),YEAR(D177)=YEAR(EDATE(TODAY(),0-1)))</formula>
    </cfRule>
  </conditionalFormatting>
  <conditionalFormatting sqref="D177:E177">
    <cfRule type="timePeriod" dxfId="858" priority="833" timePeriod="nextWeek">
      <formula>AND(ROUNDDOWN(D177,0)-TODAY()&gt;(7-WEEKDAY(TODAY())),ROUNDDOWN(D177,0)-TODAY()&lt;(15-WEEKDAY(TODAY())))</formula>
    </cfRule>
  </conditionalFormatting>
  <conditionalFormatting sqref="D215:E220">
    <cfRule type="timePeriod" priority="6227" timePeriod="nextWeek">
      <formula>AND(ROUNDDOWN(D215,0)-TODAY()&gt;(7-WEEKDAY(TODAY())),ROUNDDOWN(D215,0)-TODAY()&lt;(15-WEEKDAY(TODAY())))</formula>
    </cfRule>
    <cfRule type="timePeriod" dxfId="857" priority="6250" timePeriod="nextWeek">
      <formula>AND(ROUNDDOWN(D215,0)-TODAY()&gt;(7-WEEKDAY(TODAY())),ROUNDDOWN(D215,0)-TODAY()&lt;(15-WEEKDAY(TODAY())))</formula>
    </cfRule>
    <cfRule type="timePeriod" dxfId="856" priority="6252" timePeriod="lastMonth">
      <formula>AND(MONTH(D215)=MONTH(EDATE(TODAY(),0-1)),YEAR(D215)=YEAR(EDATE(TODAY(),0-1)))</formula>
    </cfRule>
    <cfRule type="timePeriod" dxfId="855" priority="6253" timePeriod="last7Days">
      <formula>AND(TODAY()-FLOOR(D215,1)&lt;=6,FLOOR(D215,1)&lt;=TODAY())</formula>
    </cfRule>
    <cfRule type="timePeriod" dxfId="854" priority="6254" timePeriod="thisWeek">
      <formula>AND(TODAY()-ROUNDDOWN(D215,0)&lt;=WEEKDAY(TODAY())-1,ROUNDDOWN(D215,0)-TODAY()&lt;=7-WEEKDAY(TODAY()))</formula>
    </cfRule>
  </conditionalFormatting>
  <conditionalFormatting sqref="D217:E220">
    <cfRule type="timePeriod" dxfId="853" priority="6226" timePeriod="nextWeek">
      <formula>AND(ROUNDDOWN(D217,0)-TODAY()&gt;(7-WEEKDAY(TODAY())),ROUNDDOWN(D217,0)-TODAY()&lt;(15-WEEKDAY(TODAY())))</formula>
    </cfRule>
    <cfRule type="timePeriod" dxfId="852" priority="6228" timePeriod="lastMonth">
      <formula>AND(MONTH(D217)=MONTH(EDATE(TODAY(),0-1)),YEAR(D217)=YEAR(EDATE(TODAY(),0-1)))</formula>
    </cfRule>
    <cfRule type="timePeriod" dxfId="851" priority="6229" timePeriod="last7Days">
      <formula>AND(TODAY()-FLOOR(D217,1)&lt;=6,FLOOR(D217,1)&lt;=TODAY())</formula>
    </cfRule>
    <cfRule type="timePeriod" dxfId="850" priority="6230" timePeriod="thisWeek">
      <formula>AND(TODAY()-ROUNDDOWN(D217,0)&lt;=WEEKDAY(TODAY())-1,ROUNDDOWN(D217,0)-TODAY()&lt;=7-WEEKDAY(TODAY()))</formula>
    </cfRule>
  </conditionalFormatting>
  <conditionalFormatting sqref="D127:F131 H127:H131">
    <cfRule type="timePeriod" dxfId="849" priority="2084" timePeriod="last7Days">
      <formula>AND(TODAY()-FLOOR(D127,1)&lt;=6,FLOOR(D127,1)&lt;=TODAY())</formula>
    </cfRule>
    <cfRule type="timePeriod" dxfId="848" priority="2085" timePeriod="lastMonth">
      <formula>AND(MONTH(D127)=MONTH(EDATE(TODAY(),0-1)),YEAR(D127)=YEAR(EDATE(TODAY(),0-1)))</formula>
    </cfRule>
    <cfRule type="timePeriod" dxfId="847" priority="2086" timePeriod="thisWeek">
      <formula>AND(TODAY()-ROUNDDOWN(D127,0)&lt;=WEEKDAY(TODAY())-1,ROUNDDOWN(D127,0)-TODAY()&lt;=7-WEEKDAY(TODAY()))</formula>
    </cfRule>
    <cfRule type="timePeriod" dxfId="846" priority="2087" timePeriod="nextWeek">
      <formula>AND(ROUNDDOWN(D127,0)-TODAY()&gt;(7-WEEKDAY(TODAY())),ROUNDDOWN(D127,0)-TODAY()&lt;(15-WEEKDAY(TODAY())))</formula>
    </cfRule>
    <cfRule type="timePeriod" priority="2088" timePeriod="nextWeek">
      <formula>AND(ROUNDDOWN(D127,0)-TODAY()&gt;(7-WEEKDAY(TODAY())),ROUNDDOWN(D127,0)-TODAY()&lt;(15-WEEKDAY(TODAY())))</formula>
    </cfRule>
  </conditionalFormatting>
  <conditionalFormatting sqref="E16 E17:F19 H17:I29 P17:XFD29 N18:XFD18 C20:E20 G20:I20 F20:F45 E21:E29 G21:G29 N24:XFD24 C24:E29 G24:I29 O26:XFD26 D31:E33 G31:I35 M31:XFD70 E33:E37 B34:E36 B37:D37 G37:I37 B38:E38 B40:C45 B46:I46 L46:O46 B47:C61 E47:G61 B57:E61 L62:L70 B62:I91 L66:XFD70 AD71:XFD71 AD72:AF72 L75:O75 L78:AD94 AE79:AE94 AI84:XFD90 AI91:AI94 E92:E99 G92:G99 C92:C121 M93:AK94 L94:AK94 AL95:XFD95 L95:AE114 E99:G121 L100:AK102 M103:AK106 L113:AJ113 L115:AJ122 L123:L143 M142:AE143 M208:AE208 F208:F209 L208:L209 J210 L210:XFD210 E215:E220 H215:I220 G216:H220 P217:XFD220 G218:I220 F221:F223 L222:XFD223 F122:F126">
    <cfRule type="timePeriod" dxfId="845" priority="6289" timePeriod="thisWeek">
      <formula>AND(TODAY()-ROUNDDOWN(B16,0)&lt;=WEEKDAY(TODAY())-1,ROUNDDOWN(B16,0)-TODAY()&lt;=7-WEEKDAY(TODAY()))</formula>
    </cfRule>
  </conditionalFormatting>
  <conditionalFormatting sqref="E16 E17:F19 H17:I29 P17:XFD29 N18:XFD18 C20:E20 G20:I20 F20:F45 E21:E29 G21:G29 N24:XFD24 C24:E29 G24:I29 O26:XFD26 D31:E33 G31:I35 M31:XFD70 E33:E37 B34:E36 B37:D37 G37:I37 B38:E38 B46:I46 L46:O46 B47:C61 E47:G61 B57:E61 L62:L70 B62:I91 L66:XFD70 AD71:XFD71 AD72:AF72 L75:O75 L78:AD94 AE79:AE94 AI84:XFD90 AI91:AI94 E92:E99 G92:G99 C92:C122 M93:AK94 L94:AK94 AL95:XFD95 L95:AE114 E99:G121 L100:AK102 M103:AK106 L113:AJ113 L115:AJ122 L123:L143 M142:AE143 M208:AE208 F208:F209 L208:L209 J210 L210:XFD210 E215:E220 H215:I220 G216:H220 P217:XFD220 G218:I220 F221:F223 L222:XFD223 B40:C45 AL116:XFD116 G122:I122">
    <cfRule type="timePeriod" dxfId="844" priority="6288" timePeriod="last7Days">
      <formula>AND(TODAY()-FLOOR(B16,1)&lt;=6,FLOOR(B16,1)&lt;=TODAY())</formula>
    </cfRule>
  </conditionalFormatting>
  <conditionalFormatting sqref="E16 E17:F19 H17:I29 P17:XFD29 N18:XFD18 C20:E20 G20:I20 F20:F45 E21:E29 G21:G29 N24:XFD24 C24:E29 G24:I29 O26:XFD26 D31:E33 G31:I35 M31:XFD70 E33:E37 C34:E36 C37:D37 G37:I37 C38:E38 C46:I46 L46:O46 C47:C61 E47:G61 C57:E61 L62:L70 C62:I91 L66:XFD70 AD71:XFD71 AD72:AF72 L75:O75 L78:AD94 AE79:AE94 AI84:XFD90 AI91:AI94 E92:E99 G92:G99 C92:C121 M93:XFD94 L94:XFD94 AL95:XFD95 L95:AE96 L97:AK113 E99:G121 L114:AE114 L115:AJ122 L123:L143 M142:AE143 M208:AE208 F208:F209 L208:L209 J210 L210:XFD210 E215:E220 H215:I220 G216:H220 P217:XFD220 G218:I220 F221:F223 L222:XFD223">
    <cfRule type="timePeriod" dxfId="843" priority="6287" timePeriod="lastMonth">
      <formula>AND(MONTH(C16)=MONTH(EDATE(TODAY(),0-1)),YEAR(C16)=YEAR(EDATE(TODAY(),0-1)))</formula>
    </cfRule>
  </conditionalFormatting>
  <conditionalFormatting sqref="E16 E17:F19 N18:XFD18 G20:I20 P20:XFD20 F20:F45 B21:B29 N24:XFD24 G24:I29 O26:XFD26 D31:E33 G31:I35 M31:XFD70 B34:E36 G37:I37 B46:I46 L46:O46 C47:C61 E47:G61 L62:L70 B62:I91 L66:XFD70 L75:O75 L78:AD94 AE79:AE94 B92:E113 M93:XFD94 L94:XFD94 AL95:XFD95 L95:AE114 E99:G113 L100:AK102 M103:AK106 L113:AJ113 L115:AJ118 M119:AJ141 F208:F209 J210 L210:XFD210 H215:I220 G216:H220 P217:XFD220 G218:I220 F221:F223 L222:XFD223">
    <cfRule type="timePeriod" priority="6286" timePeriod="nextWeek">
      <formula>AND(ROUNDDOWN(B16,0)-TODAY()&gt;(7-WEEKDAY(TODAY())),ROUNDDOWN(B16,0)-TODAY()&lt;(15-WEEKDAY(TODAY())))</formula>
    </cfRule>
  </conditionalFormatting>
  <conditionalFormatting sqref="E18">
    <cfRule type="timePeriod" dxfId="842" priority="5987" timePeriod="nextWeek">
      <formula>AND(ROUNDDOWN(E18,0)-TODAY()&gt;(7-WEEKDAY(TODAY())),ROUNDDOWN(E18,0)-TODAY()&lt;(15-WEEKDAY(TODAY())))</formula>
    </cfRule>
    <cfRule type="timePeriod" dxfId="841" priority="5989" timePeriod="lastMonth">
      <formula>AND(MONTH(E18)=MONTH(EDATE(TODAY(),0-1)),YEAR(E18)=YEAR(EDATE(TODAY(),0-1)))</formula>
    </cfRule>
    <cfRule type="timePeriod" dxfId="840" priority="5990" timePeriod="last7Days">
      <formula>AND(TODAY()-FLOOR(E18,1)&lt;=6,FLOOR(E18,1)&lt;=TODAY())</formula>
    </cfRule>
    <cfRule type="timePeriod" dxfId="839" priority="5991" timePeriod="thisWeek">
      <formula>AND(TODAY()-ROUNDDOWN(E18,0)&lt;=WEEKDAY(TODAY())-1,ROUNDDOWN(E18,0)-TODAY()&lt;=7-WEEKDAY(TODAY()))</formula>
    </cfRule>
  </conditionalFormatting>
  <conditionalFormatting sqref="E18:E22">
    <cfRule type="timePeriod" dxfId="838" priority="5934" timePeriod="nextWeek">
      <formula>AND(ROUNDDOWN(E18,0)-TODAY()&gt;(7-WEEKDAY(TODAY())),ROUNDDOWN(E18,0)-TODAY()&lt;(15-WEEKDAY(TODAY())))</formula>
    </cfRule>
    <cfRule type="timePeriod" dxfId="837" priority="5936" timePeriod="lastMonth">
      <formula>AND(MONTH(E18)=MONTH(EDATE(TODAY(),0-1)),YEAR(E18)=YEAR(EDATE(TODAY(),0-1)))</formula>
    </cfRule>
    <cfRule type="timePeriod" dxfId="836" priority="5937" timePeriod="last7Days">
      <formula>AND(TODAY()-FLOOR(E18,1)&lt;=6,FLOOR(E18,1)&lt;=TODAY())</formula>
    </cfRule>
    <cfRule type="timePeriod" dxfId="835" priority="5938" timePeriod="thisWeek">
      <formula>AND(TODAY()-ROUNDDOWN(E18,0)&lt;=WEEKDAY(TODAY())-1,ROUNDDOWN(E18,0)-TODAY()&lt;=7-WEEKDAY(TODAY()))</formula>
    </cfRule>
  </conditionalFormatting>
  <conditionalFormatting sqref="E18:E45">
    <cfRule type="timePeriod" priority="4841" timePeriod="nextWeek">
      <formula>AND(ROUNDDOWN(E18,0)-TODAY()&gt;(7-WEEKDAY(TODAY())),ROUNDDOWN(E18,0)-TODAY()&lt;(15-WEEKDAY(TODAY())))</formula>
    </cfRule>
  </conditionalFormatting>
  <conditionalFormatting sqref="E19:E22">
    <cfRule type="timePeriod" dxfId="834" priority="5929" timePeriod="nextWeek">
      <formula>AND(ROUNDDOWN(E19,0)-TODAY()&gt;(7-WEEKDAY(TODAY())),ROUNDDOWN(E19,0)-TODAY()&lt;(15-WEEKDAY(TODAY())))</formula>
    </cfRule>
    <cfRule type="timePeriod" dxfId="833" priority="5931" timePeriod="lastMonth">
      <formula>AND(MONTH(E19)=MONTH(EDATE(TODAY(),0-1)),YEAR(E19)=YEAR(EDATE(TODAY(),0-1)))</formula>
    </cfRule>
    <cfRule type="timePeriod" dxfId="832" priority="5932" timePeriod="last7Days">
      <formula>AND(TODAY()-FLOOR(E19,1)&lt;=6,FLOOR(E19,1)&lt;=TODAY())</formula>
    </cfRule>
    <cfRule type="timePeriod" dxfId="831" priority="5933" timePeriod="thisWeek">
      <formula>AND(TODAY()-ROUNDDOWN(E19,0)&lt;=WEEKDAY(TODAY())-1,ROUNDDOWN(E19,0)-TODAY()&lt;=7-WEEKDAY(TODAY()))</formula>
    </cfRule>
  </conditionalFormatting>
  <conditionalFormatting sqref="E22">
    <cfRule type="timePeriod" dxfId="830" priority="5816" timePeriod="nextWeek">
      <formula>AND(ROUNDDOWN(E22,0)-TODAY()&gt;(7-WEEKDAY(TODAY())),ROUNDDOWN(E22,0)-TODAY()&lt;(15-WEEKDAY(TODAY())))</formula>
    </cfRule>
    <cfRule type="timePeriod" dxfId="829" priority="5818" timePeriod="lastMonth">
      <formula>AND(MONTH(E22)=MONTH(EDATE(TODAY(),0-1)),YEAR(E22)=YEAR(EDATE(TODAY(),0-1)))</formula>
    </cfRule>
    <cfRule type="timePeriod" dxfId="828" priority="5819" timePeriod="last7Days">
      <formula>AND(TODAY()-FLOOR(E22,1)&lt;=6,FLOOR(E22,1)&lt;=TODAY())</formula>
    </cfRule>
    <cfRule type="timePeriod" dxfId="827" priority="5820" timePeriod="thisWeek">
      <formula>AND(TODAY()-ROUNDDOWN(E22,0)&lt;=WEEKDAY(TODAY())-1,ROUNDDOWN(E22,0)-TODAY()&lt;=7-WEEKDAY(TODAY()))</formula>
    </cfRule>
  </conditionalFormatting>
  <conditionalFormatting sqref="E22:E37">
    <cfRule type="timePeriod" dxfId="826" priority="5426" timePeriod="nextWeek">
      <formula>AND(ROUNDDOWN(E22,0)-TODAY()&gt;(7-WEEKDAY(TODAY())),ROUNDDOWN(E22,0)-TODAY()&lt;(15-WEEKDAY(TODAY())))</formula>
    </cfRule>
    <cfRule type="timePeriod" dxfId="825" priority="5428" timePeriod="lastMonth">
      <formula>AND(MONTH(E22)=MONTH(EDATE(TODAY(),0-1)),YEAR(E22)=YEAR(EDATE(TODAY(),0-1)))</formula>
    </cfRule>
    <cfRule type="timePeriod" dxfId="824" priority="5429" timePeriod="last7Days">
      <formula>AND(TODAY()-FLOOR(E22,1)&lt;=6,FLOOR(E22,1)&lt;=TODAY())</formula>
    </cfRule>
    <cfRule type="timePeriod" dxfId="823" priority="5430" timePeriod="thisWeek">
      <formula>AND(TODAY()-ROUNDDOWN(E22,0)&lt;=WEEKDAY(TODAY())-1,ROUNDDOWN(E22,0)-TODAY()&lt;=7-WEEKDAY(TODAY()))</formula>
    </cfRule>
  </conditionalFormatting>
  <conditionalFormatting sqref="E24">
    <cfRule type="timePeriod" dxfId="822" priority="5886" timePeriod="nextWeek">
      <formula>AND(ROUNDDOWN(E24,0)-TODAY()&gt;(7-WEEKDAY(TODAY())),ROUNDDOWN(E24,0)-TODAY()&lt;(15-WEEKDAY(TODAY())))</formula>
    </cfRule>
    <cfRule type="timePeriod" dxfId="821" priority="5888" timePeriod="lastMonth">
      <formula>AND(MONTH(E24)=MONTH(EDATE(TODAY(),0-1)),YEAR(E24)=YEAR(EDATE(TODAY(),0-1)))</formula>
    </cfRule>
    <cfRule type="timePeriod" dxfId="820" priority="5889" timePeriod="last7Days">
      <formula>AND(TODAY()-FLOOR(E24,1)&lt;=6,FLOOR(E24,1)&lt;=TODAY())</formula>
    </cfRule>
    <cfRule type="timePeriod" dxfId="819" priority="5890" timePeriod="thisWeek">
      <formula>AND(TODAY()-ROUNDDOWN(E24,0)&lt;=WEEKDAY(TODAY())-1,ROUNDDOWN(E24,0)-TODAY()&lt;=7-WEEKDAY(TODAY()))</formula>
    </cfRule>
  </conditionalFormatting>
  <conditionalFormatting sqref="E24:E25">
    <cfRule type="timePeriod" dxfId="818" priority="5743" timePeriod="nextWeek">
      <formula>AND(ROUNDDOWN(E24,0)-TODAY()&gt;(7-WEEKDAY(TODAY())),ROUNDDOWN(E24,0)-TODAY()&lt;(15-WEEKDAY(TODAY())))</formula>
    </cfRule>
    <cfRule type="timePeriod" dxfId="817" priority="5745" timePeriod="lastMonth">
      <formula>AND(MONTH(E24)=MONTH(EDATE(TODAY(),0-1)),YEAR(E24)=YEAR(EDATE(TODAY(),0-1)))</formula>
    </cfRule>
    <cfRule type="timePeriod" dxfId="816" priority="5746" timePeriod="last7Days">
      <formula>AND(TODAY()-FLOOR(E24,1)&lt;=6,FLOOR(E24,1)&lt;=TODAY())</formula>
    </cfRule>
    <cfRule type="timePeriod" dxfId="815" priority="5747" timePeriod="thisWeek">
      <formula>AND(TODAY()-ROUNDDOWN(E24,0)&lt;=WEEKDAY(TODAY())-1,ROUNDDOWN(E24,0)-TODAY()&lt;=7-WEEKDAY(TODAY()))</formula>
    </cfRule>
  </conditionalFormatting>
  <conditionalFormatting sqref="E25:E26">
    <cfRule type="timePeriod" dxfId="814" priority="5690" timePeriod="nextWeek">
      <formula>AND(ROUNDDOWN(E25,0)-TODAY()&gt;(7-WEEKDAY(TODAY())),ROUNDDOWN(E25,0)-TODAY()&lt;(15-WEEKDAY(TODAY())))</formula>
    </cfRule>
    <cfRule type="timePeriod" dxfId="813" priority="5692" timePeriod="lastMonth">
      <formula>AND(MONTH(E25)=MONTH(EDATE(TODAY(),0-1)),YEAR(E25)=YEAR(EDATE(TODAY(),0-1)))</formula>
    </cfRule>
    <cfRule type="timePeriod" dxfId="812" priority="5693" timePeriod="last7Days">
      <formula>AND(TODAY()-FLOOR(E25,1)&lt;=6,FLOOR(E25,1)&lt;=TODAY())</formula>
    </cfRule>
    <cfRule type="timePeriod" dxfId="811" priority="5694" timePeriod="thisWeek">
      <formula>AND(TODAY()-ROUNDDOWN(E25,0)&lt;=WEEKDAY(TODAY())-1,ROUNDDOWN(E25,0)-TODAY()&lt;=7-WEEKDAY(TODAY()))</formula>
    </cfRule>
  </conditionalFormatting>
  <conditionalFormatting sqref="E26:E27">
    <cfRule type="timePeriod" dxfId="810" priority="5608" timePeriod="nextWeek">
      <formula>AND(ROUNDDOWN(E26,0)-TODAY()&gt;(7-WEEKDAY(TODAY())),ROUNDDOWN(E26,0)-TODAY()&lt;(15-WEEKDAY(TODAY())))</formula>
    </cfRule>
    <cfRule type="timePeriod" dxfId="809" priority="5610" timePeriod="lastMonth">
      <formula>AND(MONTH(E26)=MONTH(EDATE(TODAY(),0-1)),YEAR(E26)=YEAR(EDATE(TODAY(),0-1)))</formula>
    </cfRule>
    <cfRule type="timePeriod" dxfId="808" priority="5611" timePeriod="last7Days">
      <formula>AND(TODAY()-FLOOR(E26,1)&lt;=6,FLOOR(E26,1)&lt;=TODAY())</formula>
    </cfRule>
    <cfRule type="timePeriod" dxfId="807" priority="5612" timePeriod="thisWeek">
      <formula>AND(TODAY()-ROUNDDOWN(E26,0)&lt;=WEEKDAY(TODAY())-1,ROUNDDOWN(E26,0)-TODAY()&lt;=7-WEEKDAY(TODAY()))</formula>
    </cfRule>
  </conditionalFormatting>
  <conditionalFormatting sqref="E27:E29">
    <cfRule type="timePeriod" dxfId="806" priority="5511" timePeriod="nextWeek">
      <formula>AND(ROUNDDOWN(E27,0)-TODAY()&gt;(7-WEEKDAY(TODAY())),ROUNDDOWN(E27,0)-TODAY()&lt;(15-WEEKDAY(TODAY())))</formula>
    </cfRule>
    <cfRule type="timePeriod" dxfId="805" priority="5513" timePeriod="lastMonth">
      <formula>AND(MONTH(E27)=MONTH(EDATE(TODAY(),0-1)),YEAR(E27)=YEAR(EDATE(TODAY(),0-1)))</formula>
    </cfRule>
    <cfRule type="timePeriod" dxfId="804" priority="5514" timePeriod="last7Days">
      <formula>AND(TODAY()-FLOOR(E27,1)&lt;=6,FLOOR(E27,1)&lt;=TODAY())</formula>
    </cfRule>
    <cfRule type="timePeriod" dxfId="803" priority="5515" timePeriod="thisWeek">
      <formula>AND(TODAY()-ROUNDDOWN(E27,0)&lt;=WEEKDAY(TODAY())-1,ROUNDDOWN(E27,0)-TODAY()&lt;=7-WEEKDAY(TODAY()))</formula>
    </cfRule>
  </conditionalFormatting>
  <conditionalFormatting sqref="E30:E37">
    <cfRule type="timePeriod" dxfId="802" priority="5421" timePeriod="nextWeek">
      <formula>AND(ROUNDDOWN(E30,0)-TODAY()&gt;(7-WEEKDAY(TODAY())),ROUNDDOWN(E30,0)-TODAY()&lt;(15-WEEKDAY(TODAY())))</formula>
    </cfRule>
    <cfRule type="timePeriod" dxfId="801" priority="5423" timePeriod="lastMonth">
      <formula>AND(MONTH(E30)=MONTH(EDATE(TODAY(),0-1)),YEAR(E30)=YEAR(EDATE(TODAY(),0-1)))</formula>
    </cfRule>
    <cfRule type="timePeriod" dxfId="800" priority="5424" timePeriod="last7Days">
      <formula>AND(TODAY()-FLOOR(E30,1)&lt;=6,FLOOR(E30,1)&lt;=TODAY())</formula>
    </cfRule>
    <cfRule type="timePeriod" dxfId="799" priority="5425" timePeriod="thisWeek">
      <formula>AND(TODAY()-ROUNDDOWN(E30,0)&lt;=WEEKDAY(TODAY())-1,ROUNDDOWN(E30,0)-TODAY()&lt;=7-WEEKDAY(TODAY()))</formula>
    </cfRule>
  </conditionalFormatting>
  <conditionalFormatting sqref="E31:E37">
    <cfRule type="timePeriod" dxfId="798" priority="5388" timePeriod="nextWeek">
      <formula>AND(ROUNDDOWN(E31,0)-TODAY()&gt;(7-WEEKDAY(TODAY())),ROUNDDOWN(E31,0)-TODAY()&lt;(15-WEEKDAY(TODAY())))</formula>
    </cfRule>
    <cfRule type="timePeriod" dxfId="797" priority="5390" timePeriod="lastMonth">
      <formula>AND(MONTH(E31)=MONTH(EDATE(TODAY(),0-1)),YEAR(E31)=YEAR(EDATE(TODAY(),0-1)))</formula>
    </cfRule>
    <cfRule type="timePeriod" dxfId="796" priority="5391" timePeriod="last7Days">
      <formula>AND(TODAY()-FLOOR(E31,1)&lt;=6,FLOOR(E31,1)&lt;=TODAY())</formula>
    </cfRule>
    <cfRule type="timePeriod" dxfId="795" priority="5392" timePeriod="thisWeek">
      <formula>AND(TODAY()-ROUNDDOWN(E31,0)&lt;=WEEKDAY(TODAY())-1,ROUNDDOWN(E31,0)-TODAY()&lt;=7-WEEKDAY(TODAY()))</formula>
    </cfRule>
    <cfRule type="timePeriod" dxfId="794" priority="5393" timePeriod="nextWeek">
      <formula>AND(ROUNDDOWN(E31,0)-TODAY()&gt;(7-WEEKDAY(TODAY())),ROUNDDOWN(E31,0)-TODAY()&lt;(15-WEEKDAY(TODAY())))</formula>
    </cfRule>
    <cfRule type="timePeriod" dxfId="793" priority="5395" timePeriod="lastMonth">
      <formula>AND(MONTH(E31)=MONTH(EDATE(TODAY(),0-1)),YEAR(E31)=YEAR(EDATE(TODAY(),0-1)))</formula>
    </cfRule>
    <cfRule type="timePeriod" dxfId="792" priority="5396" timePeriod="last7Days">
      <formula>AND(TODAY()-FLOOR(E31,1)&lt;=6,FLOOR(E31,1)&lt;=TODAY())</formula>
    </cfRule>
    <cfRule type="timePeriod" dxfId="791" priority="5397" timePeriod="thisWeek">
      <formula>AND(TODAY()-ROUNDDOWN(E31,0)&lt;=WEEKDAY(TODAY())-1,ROUNDDOWN(E31,0)-TODAY()&lt;=7-WEEKDAY(TODAY()))</formula>
    </cfRule>
  </conditionalFormatting>
  <conditionalFormatting sqref="E32:E37">
    <cfRule type="timePeriod" dxfId="790" priority="5353" timePeriod="nextWeek">
      <formula>AND(ROUNDDOWN(E32,0)-TODAY()&gt;(7-WEEKDAY(TODAY())),ROUNDDOWN(E32,0)-TODAY()&lt;(15-WEEKDAY(TODAY())))</formula>
    </cfRule>
    <cfRule type="timePeriod" dxfId="789" priority="5355" timePeriod="lastMonth">
      <formula>AND(MONTH(E32)=MONTH(EDATE(TODAY(),0-1)),YEAR(E32)=YEAR(EDATE(TODAY(),0-1)))</formula>
    </cfRule>
    <cfRule type="timePeriod" dxfId="788" priority="5356" timePeriod="last7Days">
      <formula>AND(TODAY()-FLOOR(E32,1)&lt;=6,FLOOR(E32,1)&lt;=TODAY())</formula>
    </cfRule>
    <cfRule type="timePeriod" dxfId="787" priority="5357" timePeriod="thisWeek">
      <formula>AND(TODAY()-ROUNDDOWN(E32,0)&lt;=WEEKDAY(TODAY())-1,ROUNDDOWN(E32,0)-TODAY()&lt;=7-WEEKDAY(TODAY()))</formula>
    </cfRule>
    <cfRule type="timePeriod" dxfId="786" priority="5358" timePeriod="nextWeek">
      <formula>AND(ROUNDDOWN(E32,0)-TODAY()&gt;(7-WEEKDAY(TODAY())),ROUNDDOWN(E32,0)-TODAY()&lt;(15-WEEKDAY(TODAY())))</formula>
    </cfRule>
    <cfRule type="timePeriod" dxfId="785" priority="5360" timePeriod="lastMonth">
      <formula>AND(MONTH(E32)=MONTH(EDATE(TODAY(),0-1)),YEAR(E32)=YEAR(EDATE(TODAY(),0-1)))</formula>
    </cfRule>
    <cfRule type="timePeriod" dxfId="784" priority="5361" timePeriod="last7Days">
      <formula>AND(TODAY()-FLOOR(E32,1)&lt;=6,FLOOR(E32,1)&lt;=TODAY())</formula>
    </cfRule>
    <cfRule type="timePeriod" dxfId="783" priority="5362" timePeriod="thisWeek">
      <formula>AND(TODAY()-ROUNDDOWN(E32,0)&lt;=WEEKDAY(TODAY())-1,ROUNDDOWN(E32,0)-TODAY()&lt;=7-WEEKDAY(TODAY()))</formula>
    </cfRule>
  </conditionalFormatting>
  <conditionalFormatting sqref="E34:E37">
    <cfRule type="timePeriod" dxfId="782" priority="5235" timePeriod="nextWeek">
      <formula>AND(ROUNDDOWN(E34,0)-TODAY()&gt;(7-WEEKDAY(TODAY())),ROUNDDOWN(E34,0)-TODAY()&lt;(15-WEEKDAY(TODAY())))</formula>
    </cfRule>
    <cfRule type="timePeriod" dxfId="781" priority="5237" timePeriod="lastMonth">
      <formula>AND(MONTH(E34)=MONTH(EDATE(TODAY(),0-1)),YEAR(E34)=YEAR(EDATE(TODAY(),0-1)))</formula>
    </cfRule>
    <cfRule type="timePeriod" dxfId="780" priority="5238" timePeriod="last7Days">
      <formula>AND(TODAY()-FLOOR(E34,1)&lt;=6,FLOOR(E34,1)&lt;=TODAY())</formula>
    </cfRule>
    <cfRule type="timePeriod" dxfId="779" priority="5239" timePeriod="thisWeek">
      <formula>AND(TODAY()-ROUNDDOWN(E34,0)&lt;=WEEKDAY(TODAY())-1,ROUNDDOWN(E34,0)-TODAY()&lt;=7-WEEKDAY(TODAY()))</formula>
    </cfRule>
  </conditionalFormatting>
  <conditionalFormatting sqref="E34:E38">
    <cfRule type="timePeriod" dxfId="778" priority="5140" timePeriod="nextWeek">
      <formula>AND(ROUNDDOWN(E34,0)-TODAY()&gt;(7-WEEKDAY(TODAY())),ROUNDDOWN(E34,0)-TODAY()&lt;(15-WEEKDAY(TODAY())))</formula>
    </cfRule>
    <cfRule type="timePeriod" dxfId="777" priority="5142" timePeriod="lastMonth">
      <formula>AND(MONTH(E34)=MONTH(EDATE(TODAY(),0-1)),YEAR(E34)=YEAR(EDATE(TODAY(),0-1)))</formula>
    </cfRule>
    <cfRule type="timePeriod" dxfId="776" priority="5143" timePeriod="last7Days">
      <formula>AND(TODAY()-FLOOR(E34,1)&lt;=6,FLOOR(E34,1)&lt;=TODAY())</formula>
    </cfRule>
    <cfRule type="timePeriod" dxfId="775" priority="5144" timePeriod="thisWeek">
      <formula>AND(TODAY()-ROUNDDOWN(E34,0)&lt;=WEEKDAY(TODAY())-1,ROUNDDOWN(E34,0)-TODAY()&lt;=7-WEEKDAY(TODAY()))</formula>
    </cfRule>
  </conditionalFormatting>
  <conditionalFormatting sqref="E37">
    <cfRule type="timePeriod" dxfId="774" priority="5273" timePeriod="nextWeek">
      <formula>AND(ROUNDDOWN(E37,0)-TODAY()&gt;(7-WEEKDAY(TODAY())),ROUNDDOWN(E37,0)-TODAY()&lt;(15-WEEKDAY(TODAY())))</formula>
    </cfRule>
    <cfRule type="timePeriod" dxfId="773" priority="5275" timePeriod="lastMonth">
      <formula>AND(MONTH(E37)=MONTH(EDATE(TODAY(),0-1)),YEAR(E37)=YEAR(EDATE(TODAY(),0-1)))</formula>
    </cfRule>
    <cfRule type="timePeriod" dxfId="772" priority="5276" timePeriod="last7Days">
      <formula>AND(TODAY()-FLOOR(E37,1)&lt;=6,FLOOR(E37,1)&lt;=TODAY())</formula>
    </cfRule>
    <cfRule type="timePeriod" dxfId="771" priority="5277" timePeriod="thisWeek">
      <formula>AND(TODAY()-ROUNDDOWN(E37,0)&lt;=WEEKDAY(TODAY())-1,ROUNDDOWN(E37,0)-TODAY()&lt;=7-WEEKDAY(TODAY()))</formula>
    </cfRule>
    <cfRule type="timePeriod" dxfId="770" priority="5278" timePeriod="nextWeek">
      <formula>AND(ROUNDDOWN(E37,0)-TODAY()&gt;(7-WEEKDAY(TODAY())),ROUNDDOWN(E37,0)-TODAY()&lt;(15-WEEKDAY(TODAY())))</formula>
    </cfRule>
    <cfRule type="timePeriod" dxfId="769" priority="5280" timePeriod="lastMonth">
      <formula>AND(MONTH(E37)=MONTH(EDATE(TODAY(),0-1)),YEAR(E37)=YEAR(EDATE(TODAY(),0-1)))</formula>
    </cfRule>
    <cfRule type="timePeriod" dxfId="768" priority="5281" timePeriod="last7Days">
      <formula>AND(TODAY()-FLOOR(E37,1)&lt;=6,FLOOR(E37,1)&lt;=TODAY())</formula>
    </cfRule>
    <cfRule type="timePeriod" dxfId="767" priority="5282" timePeriod="thisWeek">
      <formula>AND(TODAY()-ROUNDDOWN(E37,0)&lt;=WEEKDAY(TODAY())-1,ROUNDDOWN(E37,0)-TODAY()&lt;=7-WEEKDAY(TODAY()))</formula>
    </cfRule>
  </conditionalFormatting>
  <conditionalFormatting sqref="E38">
    <cfRule type="timePeriod" dxfId="766" priority="5095" timePeriod="nextWeek">
      <formula>AND(ROUNDDOWN(E38,0)-TODAY()&gt;(7-WEEKDAY(TODAY())),ROUNDDOWN(E38,0)-TODAY()&lt;(15-WEEKDAY(TODAY())))</formula>
    </cfRule>
    <cfRule type="timePeriod" dxfId="765" priority="5097" timePeriod="lastMonth">
      <formula>AND(MONTH(E38)=MONTH(EDATE(TODAY(),0-1)),YEAR(E38)=YEAR(EDATE(TODAY(),0-1)))</formula>
    </cfRule>
    <cfRule type="timePeriod" dxfId="764" priority="5098" timePeriod="last7Days">
      <formula>AND(TODAY()-FLOOR(E38,1)&lt;=6,FLOOR(E38,1)&lt;=TODAY())</formula>
    </cfRule>
    <cfRule type="timePeriod" dxfId="763" priority="5099" timePeriod="thisWeek">
      <formula>AND(TODAY()-ROUNDDOWN(E38,0)&lt;=WEEKDAY(TODAY())-1,ROUNDDOWN(E38,0)-TODAY()&lt;=7-WEEKDAY(TODAY()))</formula>
    </cfRule>
    <cfRule type="timePeriod" dxfId="762" priority="5100" timePeriod="nextWeek">
      <formula>AND(ROUNDDOWN(E38,0)-TODAY()&gt;(7-WEEKDAY(TODAY())),ROUNDDOWN(E38,0)-TODAY()&lt;(15-WEEKDAY(TODAY())))</formula>
    </cfRule>
    <cfRule type="timePeriod" dxfId="761" priority="5102" timePeriod="lastMonth">
      <formula>AND(MONTH(E38)=MONTH(EDATE(TODAY(),0-1)),YEAR(E38)=YEAR(EDATE(TODAY(),0-1)))</formula>
    </cfRule>
    <cfRule type="timePeriod" dxfId="760" priority="5103" timePeriod="last7Days">
      <formula>AND(TODAY()-FLOOR(E38,1)&lt;=6,FLOOR(E38,1)&lt;=TODAY())</formula>
    </cfRule>
    <cfRule type="timePeriod" dxfId="759" priority="5104" timePeriod="thisWeek">
      <formula>AND(TODAY()-ROUNDDOWN(E38,0)&lt;=WEEKDAY(TODAY())-1,ROUNDDOWN(E38,0)-TODAY()&lt;=7-WEEKDAY(TODAY()))</formula>
    </cfRule>
    <cfRule type="timePeriod" dxfId="758" priority="5105" timePeriod="nextWeek">
      <formula>AND(ROUNDDOWN(E38,0)-TODAY()&gt;(7-WEEKDAY(TODAY())),ROUNDDOWN(E38,0)-TODAY()&lt;(15-WEEKDAY(TODAY())))</formula>
    </cfRule>
    <cfRule type="timePeriod" dxfId="757" priority="5107" timePeriod="lastMonth">
      <formula>AND(MONTH(E38)=MONTH(EDATE(TODAY(),0-1)),YEAR(E38)=YEAR(EDATE(TODAY(),0-1)))</formula>
    </cfRule>
    <cfRule type="timePeriod" dxfId="756" priority="5108" timePeriod="last7Days">
      <formula>AND(TODAY()-FLOOR(E38,1)&lt;=6,FLOOR(E38,1)&lt;=TODAY())</formula>
    </cfRule>
    <cfRule type="timePeriod" dxfId="755" priority="5109" timePeriod="thisWeek">
      <formula>AND(TODAY()-ROUNDDOWN(E38,0)&lt;=WEEKDAY(TODAY())-1,ROUNDDOWN(E38,0)-TODAY()&lt;=7-WEEKDAY(TODAY()))</formula>
    </cfRule>
    <cfRule type="timePeriod" dxfId="754" priority="5110" timePeriod="nextWeek">
      <formula>AND(ROUNDDOWN(E38,0)-TODAY()&gt;(7-WEEKDAY(TODAY())),ROUNDDOWN(E38,0)-TODAY()&lt;(15-WEEKDAY(TODAY())))</formula>
    </cfRule>
    <cfRule type="timePeriod" dxfId="753" priority="5112" timePeriod="lastMonth">
      <formula>AND(MONTH(E38)=MONTH(EDATE(TODAY(),0-1)),YEAR(E38)=YEAR(EDATE(TODAY(),0-1)))</formula>
    </cfRule>
    <cfRule type="timePeriod" dxfId="752" priority="5113" timePeriod="last7Days">
      <formula>AND(TODAY()-FLOOR(E38,1)&lt;=6,FLOOR(E38,1)&lt;=TODAY())</formula>
    </cfRule>
    <cfRule type="timePeriod" dxfId="751" priority="5114" timePeriod="thisWeek">
      <formula>AND(TODAY()-ROUNDDOWN(E38,0)&lt;=WEEKDAY(TODAY())-1,ROUNDDOWN(E38,0)-TODAY()&lt;=7-WEEKDAY(TODAY()))</formula>
    </cfRule>
    <cfRule type="timePeriod" dxfId="750" priority="5115" timePeriod="nextWeek">
      <formula>AND(ROUNDDOWN(E38,0)-TODAY()&gt;(7-WEEKDAY(TODAY())),ROUNDDOWN(E38,0)-TODAY()&lt;(15-WEEKDAY(TODAY())))</formula>
    </cfRule>
    <cfRule type="timePeriod" dxfId="749" priority="5117" timePeriod="lastMonth">
      <formula>AND(MONTH(E38)=MONTH(EDATE(TODAY(),0-1)),YEAR(E38)=YEAR(EDATE(TODAY(),0-1)))</formula>
    </cfRule>
    <cfRule type="timePeriod" dxfId="748" priority="5118" timePeriod="last7Days">
      <formula>AND(TODAY()-FLOOR(E38,1)&lt;=6,FLOOR(E38,1)&lt;=TODAY())</formula>
    </cfRule>
    <cfRule type="timePeriod" dxfId="747" priority="5119" timePeriod="thisWeek">
      <formula>AND(TODAY()-ROUNDDOWN(E38,0)&lt;=WEEKDAY(TODAY())-1,ROUNDDOWN(E38,0)-TODAY()&lt;=7-WEEKDAY(TODAY()))</formula>
    </cfRule>
    <cfRule type="timePeriod" dxfId="746" priority="5120" timePeriod="nextWeek">
      <formula>AND(ROUNDDOWN(E38,0)-TODAY()&gt;(7-WEEKDAY(TODAY())),ROUNDDOWN(E38,0)-TODAY()&lt;(15-WEEKDAY(TODAY())))</formula>
    </cfRule>
    <cfRule type="timePeriod" dxfId="745" priority="5122" timePeriod="lastMonth">
      <formula>AND(MONTH(E38)=MONTH(EDATE(TODAY(),0-1)),YEAR(E38)=YEAR(EDATE(TODAY(),0-1)))</formula>
    </cfRule>
    <cfRule type="timePeriod" dxfId="744" priority="5123" timePeriod="last7Days">
      <formula>AND(TODAY()-FLOOR(E38,1)&lt;=6,FLOOR(E38,1)&lt;=TODAY())</formula>
    </cfRule>
    <cfRule type="timePeriod" dxfId="743" priority="5124" timePeriod="thisWeek">
      <formula>AND(TODAY()-ROUNDDOWN(E38,0)&lt;=WEEKDAY(TODAY())-1,ROUNDDOWN(E38,0)-TODAY()&lt;=7-WEEKDAY(TODAY()))</formula>
    </cfRule>
    <cfRule type="timePeriod" dxfId="742" priority="5125" timePeriod="nextWeek">
      <formula>AND(ROUNDDOWN(E38,0)-TODAY()&gt;(7-WEEKDAY(TODAY())),ROUNDDOWN(E38,0)-TODAY()&lt;(15-WEEKDAY(TODAY())))</formula>
    </cfRule>
    <cfRule type="timePeriod" dxfId="741" priority="5127" timePeriod="lastMonth">
      <formula>AND(MONTH(E38)=MONTH(EDATE(TODAY(),0-1)),YEAR(E38)=YEAR(EDATE(TODAY(),0-1)))</formula>
    </cfRule>
    <cfRule type="timePeriod" dxfId="740" priority="5128" timePeriod="last7Days">
      <formula>AND(TODAY()-FLOOR(E38,1)&lt;=6,FLOOR(E38,1)&lt;=TODAY())</formula>
    </cfRule>
    <cfRule type="timePeriod" dxfId="739" priority="5129" timePeriod="thisWeek">
      <formula>AND(TODAY()-ROUNDDOWN(E38,0)&lt;=WEEKDAY(TODAY())-1,ROUNDDOWN(E38,0)-TODAY()&lt;=7-WEEKDAY(TODAY()))</formula>
    </cfRule>
    <cfRule type="timePeriod" dxfId="738" priority="5130" timePeriod="nextWeek">
      <formula>AND(ROUNDDOWN(E38,0)-TODAY()&gt;(7-WEEKDAY(TODAY())),ROUNDDOWN(E38,0)-TODAY()&lt;(15-WEEKDAY(TODAY())))</formula>
    </cfRule>
    <cfRule type="timePeriod" dxfId="737" priority="5132" timePeriod="lastMonth">
      <formula>AND(MONTH(E38)=MONTH(EDATE(TODAY(),0-1)),YEAR(E38)=YEAR(EDATE(TODAY(),0-1)))</formula>
    </cfRule>
    <cfRule type="timePeriod" dxfId="736" priority="5133" timePeriod="last7Days">
      <formula>AND(TODAY()-FLOOR(E38,1)&lt;=6,FLOOR(E38,1)&lt;=TODAY())</formula>
    </cfRule>
    <cfRule type="timePeriod" dxfId="735" priority="5134" timePeriod="thisWeek">
      <formula>AND(TODAY()-ROUNDDOWN(E38,0)&lt;=WEEKDAY(TODAY())-1,ROUNDDOWN(E38,0)-TODAY()&lt;=7-WEEKDAY(TODAY()))</formula>
    </cfRule>
    <cfRule type="timePeriod" dxfId="734" priority="5135" timePeriod="nextWeek">
      <formula>AND(ROUNDDOWN(E38,0)-TODAY()&gt;(7-WEEKDAY(TODAY())),ROUNDDOWN(E38,0)-TODAY()&lt;(15-WEEKDAY(TODAY())))</formula>
    </cfRule>
    <cfRule type="timePeriod" dxfId="733" priority="5137" timePeriod="lastMonth">
      <formula>AND(MONTH(E38)=MONTH(EDATE(TODAY(),0-1)),YEAR(E38)=YEAR(EDATE(TODAY(),0-1)))</formula>
    </cfRule>
    <cfRule type="timePeriod" dxfId="732" priority="5138" timePeriod="last7Days">
      <formula>AND(TODAY()-FLOOR(E38,1)&lt;=6,FLOOR(E38,1)&lt;=TODAY())</formula>
    </cfRule>
    <cfRule type="timePeriod" dxfId="731" priority="5139" timePeriod="thisWeek">
      <formula>AND(TODAY()-ROUNDDOWN(E38,0)&lt;=WEEKDAY(TODAY())-1,ROUNDDOWN(E38,0)-TODAY()&lt;=7-WEEKDAY(TODAY()))</formula>
    </cfRule>
  </conditionalFormatting>
  <conditionalFormatting sqref="E38:E45">
    <cfRule type="timePeriod" dxfId="730" priority="4890" timePeriod="nextWeek">
      <formula>AND(ROUNDDOWN(E38,0)-TODAY()&gt;(7-WEEKDAY(TODAY())),ROUNDDOWN(E38,0)-TODAY()&lt;(15-WEEKDAY(TODAY())))</formula>
    </cfRule>
    <cfRule type="timePeriod" dxfId="729" priority="4892" timePeriod="lastMonth">
      <formula>AND(MONTH(E38)=MONTH(EDATE(TODAY(),0-1)),YEAR(E38)=YEAR(EDATE(TODAY(),0-1)))</formula>
    </cfRule>
    <cfRule type="timePeriod" dxfId="728" priority="4893" timePeriod="last7Days">
      <formula>AND(TODAY()-FLOOR(E38,1)&lt;=6,FLOOR(E38,1)&lt;=TODAY())</formula>
    </cfRule>
    <cfRule type="timePeriod" dxfId="727" priority="4894" timePeriod="thisWeek">
      <formula>AND(TODAY()-ROUNDDOWN(E38,0)&lt;=WEEKDAY(TODAY())-1,ROUNDDOWN(E38,0)-TODAY()&lt;=7-WEEKDAY(TODAY()))</formula>
    </cfRule>
  </conditionalFormatting>
  <conditionalFormatting sqref="E39">
    <cfRule type="timePeriod" dxfId="726" priority="4840" timePeriod="nextWeek">
      <formula>AND(ROUNDDOWN(E39,0)-TODAY()&gt;(7-WEEKDAY(TODAY())),ROUNDDOWN(E39,0)-TODAY()&lt;(15-WEEKDAY(TODAY())))</formula>
    </cfRule>
    <cfRule type="timePeriod" dxfId="725" priority="4842" timePeriod="lastMonth">
      <formula>AND(MONTH(E39)=MONTH(EDATE(TODAY(),0-1)),YEAR(E39)=YEAR(EDATE(TODAY(),0-1)))</formula>
    </cfRule>
    <cfRule type="timePeriod" dxfId="724" priority="4843" timePeriod="last7Days">
      <formula>AND(TODAY()-FLOOR(E39,1)&lt;=6,FLOOR(E39,1)&lt;=TODAY())</formula>
    </cfRule>
    <cfRule type="timePeriod" dxfId="723" priority="4844" timePeriod="thisWeek">
      <formula>AND(TODAY()-ROUNDDOWN(E39,0)&lt;=WEEKDAY(TODAY())-1,ROUNDDOWN(E39,0)-TODAY()&lt;=7-WEEKDAY(TODAY()))</formula>
    </cfRule>
    <cfRule type="timePeriod" dxfId="722" priority="4845" timePeriod="nextWeek">
      <formula>AND(ROUNDDOWN(E39,0)-TODAY()&gt;(7-WEEKDAY(TODAY())),ROUNDDOWN(E39,0)-TODAY()&lt;(15-WEEKDAY(TODAY())))</formula>
    </cfRule>
    <cfRule type="timePeriod" dxfId="721" priority="4847" timePeriod="lastMonth">
      <formula>AND(MONTH(E39)=MONTH(EDATE(TODAY(),0-1)),YEAR(E39)=YEAR(EDATE(TODAY(),0-1)))</formula>
    </cfRule>
    <cfRule type="timePeriod" dxfId="720" priority="4848" timePeriod="last7Days">
      <formula>AND(TODAY()-FLOOR(E39,1)&lt;=6,FLOOR(E39,1)&lt;=TODAY())</formula>
    </cfRule>
    <cfRule type="timePeriod" dxfId="719" priority="4849" timePeriod="thisWeek">
      <formula>AND(TODAY()-ROUNDDOWN(E39,0)&lt;=WEEKDAY(TODAY())-1,ROUNDDOWN(E39,0)-TODAY()&lt;=7-WEEKDAY(TODAY()))</formula>
    </cfRule>
    <cfRule type="timePeriod" dxfId="718" priority="4850" timePeriod="nextWeek">
      <formula>AND(ROUNDDOWN(E39,0)-TODAY()&gt;(7-WEEKDAY(TODAY())),ROUNDDOWN(E39,0)-TODAY()&lt;(15-WEEKDAY(TODAY())))</formula>
    </cfRule>
    <cfRule type="timePeriod" dxfId="717" priority="4852" timePeriod="lastMonth">
      <formula>AND(MONTH(E39)=MONTH(EDATE(TODAY(),0-1)),YEAR(E39)=YEAR(EDATE(TODAY(),0-1)))</formula>
    </cfRule>
    <cfRule type="timePeriod" dxfId="716" priority="4853" timePeriod="last7Days">
      <formula>AND(TODAY()-FLOOR(E39,1)&lt;=6,FLOOR(E39,1)&lt;=TODAY())</formula>
    </cfRule>
    <cfRule type="timePeriod" dxfId="715" priority="4854" timePeriod="thisWeek">
      <formula>AND(TODAY()-ROUNDDOWN(E39,0)&lt;=WEEKDAY(TODAY())-1,ROUNDDOWN(E39,0)-TODAY()&lt;=7-WEEKDAY(TODAY()))</formula>
    </cfRule>
    <cfRule type="timePeriod" dxfId="714" priority="4855" timePeriod="nextWeek">
      <formula>AND(ROUNDDOWN(E39,0)-TODAY()&gt;(7-WEEKDAY(TODAY())),ROUNDDOWN(E39,0)-TODAY()&lt;(15-WEEKDAY(TODAY())))</formula>
    </cfRule>
    <cfRule type="timePeriod" dxfId="713" priority="4857" timePeriod="lastMonth">
      <formula>AND(MONTH(E39)=MONTH(EDATE(TODAY(),0-1)),YEAR(E39)=YEAR(EDATE(TODAY(),0-1)))</formula>
    </cfRule>
    <cfRule type="timePeriod" dxfId="712" priority="4858" timePeriod="last7Days">
      <formula>AND(TODAY()-FLOOR(E39,1)&lt;=6,FLOOR(E39,1)&lt;=TODAY())</formula>
    </cfRule>
    <cfRule type="timePeriod" dxfId="711" priority="4859" timePeriod="thisWeek">
      <formula>AND(TODAY()-ROUNDDOWN(E39,0)&lt;=WEEKDAY(TODAY())-1,ROUNDDOWN(E39,0)-TODAY()&lt;=7-WEEKDAY(TODAY()))</formula>
    </cfRule>
    <cfRule type="timePeriod" dxfId="710" priority="4860" timePeriod="nextWeek">
      <formula>AND(ROUNDDOWN(E39,0)-TODAY()&gt;(7-WEEKDAY(TODAY())),ROUNDDOWN(E39,0)-TODAY()&lt;(15-WEEKDAY(TODAY())))</formula>
    </cfRule>
    <cfRule type="timePeriod" dxfId="709" priority="4862" timePeriod="lastMonth">
      <formula>AND(MONTH(E39)=MONTH(EDATE(TODAY(),0-1)),YEAR(E39)=YEAR(EDATE(TODAY(),0-1)))</formula>
    </cfRule>
    <cfRule type="timePeriod" dxfId="708" priority="4863" timePeriod="last7Days">
      <formula>AND(TODAY()-FLOOR(E39,1)&lt;=6,FLOOR(E39,1)&lt;=TODAY())</formula>
    </cfRule>
    <cfRule type="timePeriod" dxfId="707" priority="4864" timePeriod="thisWeek">
      <formula>AND(TODAY()-ROUNDDOWN(E39,0)&lt;=WEEKDAY(TODAY())-1,ROUNDDOWN(E39,0)-TODAY()&lt;=7-WEEKDAY(TODAY()))</formula>
    </cfRule>
    <cfRule type="timePeriod" dxfId="706" priority="4865" timePeriod="nextWeek">
      <formula>AND(ROUNDDOWN(E39,0)-TODAY()&gt;(7-WEEKDAY(TODAY())),ROUNDDOWN(E39,0)-TODAY()&lt;(15-WEEKDAY(TODAY())))</formula>
    </cfRule>
    <cfRule type="timePeriod" dxfId="705" priority="4867" timePeriod="lastMonth">
      <formula>AND(MONTH(E39)=MONTH(EDATE(TODAY(),0-1)),YEAR(E39)=YEAR(EDATE(TODAY(),0-1)))</formula>
    </cfRule>
    <cfRule type="timePeriod" dxfId="704" priority="4868" timePeriod="last7Days">
      <formula>AND(TODAY()-FLOOR(E39,1)&lt;=6,FLOOR(E39,1)&lt;=TODAY())</formula>
    </cfRule>
    <cfRule type="timePeriod" dxfId="703" priority="4869" timePeriod="thisWeek">
      <formula>AND(TODAY()-ROUNDDOWN(E39,0)&lt;=WEEKDAY(TODAY())-1,ROUNDDOWN(E39,0)-TODAY()&lt;=7-WEEKDAY(TODAY()))</formula>
    </cfRule>
    <cfRule type="timePeriod" dxfId="702" priority="4870" timePeriod="nextWeek">
      <formula>AND(ROUNDDOWN(E39,0)-TODAY()&gt;(7-WEEKDAY(TODAY())),ROUNDDOWN(E39,0)-TODAY()&lt;(15-WEEKDAY(TODAY())))</formula>
    </cfRule>
    <cfRule type="timePeriod" dxfId="701" priority="4872" timePeriod="lastMonth">
      <formula>AND(MONTH(E39)=MONTH(EDATE(TODAY(),0-1)),YEAR(E39)=YEAR(EDATE(TODAY(),0-1)))</formula>
    </cfRule>
    <cfRule type="timePeriod" dxfId="700" priority="4873" timePeriod="last7Days">
      <formula>AND(TODAY()-FLOOR(E39,1)&lt;=6,FLOOR(E39,1)&lt;=TODAY())</formula>
    </cfRule>
    <cfRule type="timePeriod" dxfId="699" priority="4874" timePeriod="thisWeek">
      <formula>AND(TODAY()-ROUNDDOWN(E39,0)&lt;=WEEKDAY(TODAY())-1,ROUNDDOWN(E39,0)-TODAY()&lt;=7-WEEKDAY(TODAY()))</formula>
    </cfRule>
    <cfRule type="timePeriod" dxfId="698" priority="4875" timePeriod="nextWeek">
      <formula>AND(ROUNDDOWN(E39,0)-TODAY()&gt;(7-WEEKDAY(TODAY())),ROUNDDOWN(E39,0)-TODAY()&lt;(15-WEEKDAY(TODAY())))</formula>
    </cfRule>
    <cfRule type="timePeriod" dxfId="697" priority="4877" timePeriod="lastMonth">
      <formula>AND(MONTH(E39)=MONTH(EDATE(TODAY(),0-1)),YEAR(E39)=YEAR(EDATE(TODAY(),0-1)))</formula>
    </cfRule>
    <cfRule type="timePeriod" dxfId="696" priority="4878" timePeriod="last7Days">
      <formula>AND(TODAY()-FLOOR(E39,1)&lt;=6,FLOOR(E39,1)&lt;=TODAY())</formula>
    </cfRule>
    <cfRule type="timePeriod" dxfId="695" priority="4879" timePeriod="thisWeek">
      <formula>AND(TODAY()-ROUNDDOWN(E39,0)&lt;=WEEKDAY(TODAY())-1,ROUNDDOWN(E39,0)-TODAY()&lt;=7-WEEKDAY(TODAY()))</formula>
    </cfRule>
    <cfRule type="timePeriod" dxfId="694" priority="4880" timePeriod="nextWeek">
      <formula>AND(ROUNDDOWN(E39,0)-TODAY()&gt;(7-WEEKDAY(TODAY())),ROUNDDOWN(E39,0)-TODAY()&lt;(15-WEEKDAY(TODAY())))</formula>
    </cfRule>
    <cfRule type="timePeriod" dxfId="693" priority="4882" timePeriod="lastMonth">
      <formula>AND(MONTH(E39)=MONTH(EDATE(TODAY(),0-1)),YEAR(E39)=YEAR(EDATE(TODAY(),0-1)))</formula>
    </cfRule>
    <cfRule type="timePeriod" dxfId="692" priority="4883" timePeriod="last7Days">
      <formula>AND(TODAY()-FLOOR(E39,1)&lt;=6,FLOOR(E39,1)&lt;=TODAY())</formula>
    </cfRule>
    <cfRule type="timePeriod" dxfId="691" priority="4884" timePeriod="thisWeek">
      <formula>AND(TODAY()-ROUNDDOWN(E39,0)&lt;=WEEKDAY(TODAY())-1,ROUNDDOWN(E39,0)-TODAY()&lt;=7-WEEKDAY(TODAY()))</formula>
    </cfRule>
    <cfRule type="timePeriod" dxfId="690" priority="4885" timePeriod="nextWeek">
      <formula>AND(ROUNDDOWN(E39,0)-TODAY()&gt;(7-WEEKDAY(TODAY())),ROUNDDOWN(E39,0)-TODAY()&lt;(15-WEEKDAY(TODAY())))</formula>
    </cfRule>
    <cfRule type="timePeriod" dxfId="689" priority="4887" timePeriod="lastMonth">
      <formula>AND(MONTH(E39)=MONTH(EDATE(TODAY(),0-1)),YEAR(E39)=YEAR(EDATE(TODAY(),0-1)))</formula>
    </cfRule>
    <cfRule type="timePeriod" dxfId="688" priority="4888" timePeriod="last7Days">
      <formula>AND(TODAY()-FLOOR(E39,1)&lt;=6,FLOOR(E39,1)&lt;=TODAY())</formula>
    </cfRule>
    <cfRule type="timePeriod" dxfId="687" priority="4889" timePeriod="thisWeek">
      <formula>AND(TODAY()-ROUNDDOWN(E39,0)&lt;=WEEKDAY(TODAY())-1,ROUNDDOWN(E39,0)-TODAY()&lt;=7-WEEKDAY(TODAY()))</formula>
    </cfRule>
  </conditionalFormatting>
  <conditionalFormatting sqref="E55">
    <cfRule type="timePeriod" dxfId="686" priority="3413" timePeriod="nextWeek">
      <formula>AND(ROUNDDOWN(E55,0)-TODAY()&gt;(7-WEEKDAY(TODAY())),ROUNDDOWN(E55,0)-TODAY()&lt;(15-WEEKDAY(TODAY())))</formula>
    </cfRule>
    <cfRule type="timePeriod" priority="3414" timePeriod="nextWeek">
      <formula>AND(ROUNDDOWN(E55,0)-TODAY()&gt;(7-WEEKDAY(TODAY())),ROUNDDOWN(E55,0)-TODAY()&lt;(15-WEEKDAY(TODAY())))</formula>
    </cfRule>
    <cfRule type="timePeriod" dxfId="685" priority="3415" timePeriod="lastMonth">
      <formula>AND(MONTH(E55)=MONTH(EDATE(TODAY(),0-1)),YEAR(E55)=YEAR(EDATE(TODAY(),0-1)))</formula>
    </cfRule>
    <cfRule type="timePeriod" dxfId="684" priority="3416" timePeriod="last7Days">
      <formula>AND(TODAY()-FLOOR(E55,1)&lt;=6,FLOOR(E55,1)&lt;=TODAY())</formula>
    </cfRule>
    <cfRule type="timePeriod" dxfId="683" priority="3417" timePeriod="thisWeek">
      <formula>AND(TODAY()-ROUNDDOWN(E55,0)&lt;=WEEKDAY(TODAY())-1,ROUNDDOWN(E55,0)-TODAY()&lt;=7-WEEKDAY(TODAY()))</formula>
    </cfRule>
  </conditionalFormatting>
  <conditionalFormatting sqref="E222">
    <cfRule type="timePeriod" dxfId="682" priority="4545" timePeriod="nextWeek">
      <formula>AND(ROUNDDOWN(E222,0)-TODAY()&gt;(7-WEEKDAY(TODAY())),ROUNDDOWN(E222,0)-TODAY()&lt;(15-WEEKDAY(TODAY())))</formula>
    </cfRule>
    <cfRule type="timePeriod" dxfId="681" priority="4547" timePeriod="lastMonth">
      <formula>AND(MONTH(E222)=MONTH(EDATE(TODAY(),0-1)),YEAR(E222)=YEAR(EDATE(TODAY(),0-1)))</formula>
    </cfRule>
    <cfRule type="timePeriod" dxfId="680" priority="4548" timePeriod="last7Days">
      <formula>AND(TODAY()-FLOOR(E222,1)&lt;=6,FLOOR(E222,1)&lt;=TODAY())</formula>
    </cfRule>
    <cfRule type="timePeriod" dxfId="679" priority="4549" timePeriod="thisWeek">
      <formula>AND(TODAY()-ROUNDDOWN(E222,0)&lt;=WEEKDAY(TODAY())-1,ROUNDDOWN(E222,0)-TODAY()&lt;=7-WEEKDAY(TODAY()))</formula>
    </cfRule>
    <cfRule type="timePeriod" dxfId="678" priority="4550" timePeriod="nextWeek">
      <formula>AND(ROUNDDOWN(E222,0)-TODAY()&gt;(7-WEEKDAY(TODAY())),ROUNDDOWN(E222,0)-TODAY()&lt;(15-WEEKDAY(TODAY())))</formula>
    </cfRule>
    <cfRule type="timePeriod" dxfId="677" priority="4552" timePeriod="lastMonth">
      <formula>AND(MONTH(E222)=MONTH(EDATE(TODAY(),0-1)),YEAR(E222)=YEAR(EDATE(TODAY(),0-1)))</formula>
    </cfRule>
    <cfRule type="timePeriod" dxfId="676" priority="4553" timePeriod="last7Days">
      <formula>AND(TODAY()-FLOOR(E222,1)&lt;=6,FLOOR(E222,1)&lt;=TODAY())</formula>
    </cfRule>
    <cfRule type="timePeriod" dxfId="675" priority="4554" timePeriod="thisWeek">
      <formula>AND(TODAY()-ROUNDDOWN(E222,0)&lt;=WEEKDAY(TODAY())-1,ROUNDDOWN(E222,0)-TODAY()&lt;=7-WEEKDAY(TODAY()))</formula>
    </cfRule>
  </conditionalFormatting>
  <conditionalFormatting sqref="E122:F126">
    <cfRule type="timePeriod" dxfId="674" priority="2229" timePeriod="nextWeek">
      <formula>AND(ROUNDDOWN(E122,0)-TODAY()&gt;(7-WEEKDAY(TODAY())),ROUNDDOWN(E122,0)-TODAY()&lt;(15-WEEKDAY(TODAY())))</formula>
    </cfRule>
    <cfRule type="timePeriod" priority="2230" timePeriod="nextWeek">
      <formula>AND(ROUNDDOWN(E122,0)-TODAY()&gt;(7-WEEKDAY(TODAY())),ROUNDDOWN(E122,0)-TODAY()&lt;(15-WEEKDAY(TODAY())))</formula>
    </cfRule>
  </conditionalFormatting>
  <conditionalFormatting sqref="E178:I205">
    <cfRule type="timePeriod" priority="7" timePeriod="nextWeek">
      <formula>AND(ROUNDDOWN(E178,0)-TODAY()&gt;(7-WEEKDAY(TODAY())),ROUNDDOWN(E178,0)-TODAY()&lt;(15-WEEKDAY(TODAY())))</formula>
    </cfRule>
  </conditionalFormatting>
  <conditionalFormatting sqref="F193:F205">
    <cfRule type="timePeriod" priority="420" timePeriod="nextWeek">
      <formula>AND(ROUNDDOWN(F193,0)-TODAY()&gt;(7-WEEKDAY(TODAY())),ROUNDDOWN(F193,0)-TODAY()&lt;(15-WEEKDAY(TODAY())))</formula>
    </cfRule>
  </conditionalFormatting>
  <conditionalFormatting sqref="G18">
    <cfRule type="timePeriod" dxfId="673" priority="5977" timePeriod="nextWeek">
      <formula>AND(ROUNDDOWN(G18,0)-TODAY()&gt;(7-WEEKDAY(TODAY())),ROUNDDOWN(G18,0)-TODAY()&lt;(15-WEEKDAY(TODAY())))</formula>
    </cfRule>
    <cfRule type="timePeriod" dxfId="672" priority="5979" timePeriod="lastMonth">
      <formula>AND(MONTH(G18)=MONTH(EDATE(TODAY(),0-1)),YEAR(G18)=YEAR(EDATE(TODAY(),0-1)))</formula>
    </cfRule>
    <cfRule type="timePeriod" dxfId="671" priority="5980" timePeriod="last7Days">
      <formula>AND(TODAY()-FLOOR(G18,1)&lt;=6,FLOOR(G18,1)&lt;=TODAY())</formula>
    </cfRule>
    <cfRule type="timePeriod" dxfId="670" priority="5981" timePeriod="thisWeek">
      <formula>AND(TODAY()-ROUNDDOWN(G18,0)&lt;=WEEKDAY(TODAY())-1,ROUNDDOWN(G18,0)-TODAY()&lt;=7-WEEKDAY(TODAY()))</formula>
    </cfRule>
  </conditionalFormatting>
  <conditionalFormatting sqref="G18:G29">
    <cfRule type="timePeriod" dxfId="669" priority="5924" timePeriod="nextWeek">
      <formula>AND(ROUNDDOWN(G18,0)-TODAY()&gt;(7-WEEKDAY(TODAY())),ROUNDDOWN(G18,0)-TODAY()&lt;(15-WEEKDAY(TODAY())))</formula>
    </cfRule>
    <cfRule type="timePeriod" dxfId="668" priority="5926" timePeriod="lastMonth">
      <formula>AND(MONTH(G18)=MONTH(EDATE(TODAY(),0-1)),YEAR(G18)=YEAR(EDATE(TODAY(),0-1)))</formula>
    </cfRule>
    <cfRule type="timePeriod" dxfId="667" priority="5927" timePeriod="last7Days">
      <formula>AND(TODAY()-FLOOR(G18,1)&lt;=6,FLOOR(G18,1)&lt;=TODAY())</formula>
    </cfRule>
    <cfRule type="timePeriod" dxfId="666" priority="5928" timePeriod="thisWeek">
      <formula>AND(TODAY()-ROUNDDOWN(G18,0)&lt;=WEEKDAY(TODAY())-1,ROUNDDOWN(G18,0)-TODAY()&lt;=7-WEEKDAY(TODAY()))</formula>
    </cfRule>
  </conditionalFormatting>
  <conditionalFormatting sqref="G18:G45">
    <cfRule type="timePeriod" priority="4771" timePeriod="nextWeek">
      <formula>AND(ROUNDDOWN(G18,0)-TODAY()&gt;(7-WEEKDAY(TODAY())),ROUNDDOWN(G18,0)-TODAY()&lt;(15-WEEKDAY(TODAY())))</formula>
    </cfRule>
  </conditionalFormatting>
  <conditionalFormatting sqref="G19:G29">
    <cfRule type="timePeriod" dxfId="665" priority="5919" timePeriod="nextWeek">
      <formula>AND(ROUNDDOWN(G19,0)-TODAY()&gt;(7-WEEKDAY(TODAY())),ROUNDDOWN(G19,0)-TODAY()&lt;(15-WEEKDAY(TODAY())))</formula>
    </cfRule>
    <cfRule type="timePeriod" dxfId="664" priority="5921" timePeriod="lastMonth">
      <formula>AND(MONTH(G19)=MONTH(EDATE(TODAY(),0-1)),YEAR(G19)=YEAR(EDATE(TODAY(),0-1)))</formula>
    </cfRule>
    <cfRule type="timePeriod" dxfId="663" priority="5922" timePeriod="last7Days">
      <formula>AND(TODAY()-FLOOR(G19,1)&lt;=6,FLOOR(G19,1)&lt;=TODAY())</formula>
    </cfRule>
    <cfRule type="timePeriod" dxfId="662" priority="5923" timePeriod="thisWeek">
      <formula>AND(TODAY()-ROUNDDOWN(G19,0)&lt;=WEEKDAY(TODAY())-1,ROUNDDOWN(G19,0)-TODAY()&lt;=7-WEEKDAY(TODAY()))</formula>
    </cfRule>
  </conditionalFormatting>
  <conditionalFormatting sqref="G22:G29">
    <cfRule type="timePeriod" dxfId="661" priority="5801" timePeriod="nextWeek">
      <formula>AND(ROUNDDOWN(G22,0)-TODAY()&gt;(7-WEEKDAY(TODAY())),ROUNDDOWN(G22,0)-TODAY()&lt;(15-WEEKDAY(TODAY())))</formula>
    </cfRule>
    <cfRule type="timePeriod" dxfId="660" priority="5803" timePeriod="lastMonth">
      <formula>AND(MONTH(G22)=MONTH(EDATE(TODAY(),0-1)),YEAR(G22)=YEAR(EDATE(TODAY(),0-1)))</formula>
    </cfRule>
    <cfRule type="timePeriod" dxfId="659" priority="5804" timePeriod="last7Days">
      <formula>AND(TODAY()-FLOOR(G22,1)&lt;=6,FLOOR(G22,1)&lt;=TODAY())</formula>
    </cfRule>
    <cfRule type="timePeriod" dxfId="658" priority="5805" timePeriod="thisWeek">
      <formula>AND(TODAY()-ROUNDDOWN(G22,0)&lt;=WEEKDAY(TODAY())-1,ROUNDDOWN(G22,0)-TODAY()&lt;=7-WEEKDAY(TODAY()))</formula>
    </cfRule>
    <cfRule type="timePeriod" dxfId="657" priority="5806" timePeriod="nextWeek">
      <formula>AND(ROUNDDOWN(G22,0)-TODAY()&gt;(7-WEEKDAY(TODAY())),ROUNDDOWN(G22,0)-TODAY()&lt;(15-WEEKDAY(TODAY())))</formula>
    </cfRule>
    <cfRule type="timePeriod" dxfId="656" priority="5808" timePeriod="lastMonth">
      <formula>AND(MONTH(G22)=MONTH(EDATE(TODAY(),0-1)),YEAR(G22)=YEAR(EDATE(TODAY(),0-1)))</formula>
    </cfRule>
    <cfRule type="timePeriod" dxfId="655" priority="5809" timePeriod="last7Days">
      <formula>AND(TODAY()-FLOOR(G22,1)&lt;=6,FLOOR(G22,1)&lt;=TODAY())</formula>
    </cfRule>
    <cfRule type="timePeriod" dxfId="654" priority="5810" timePeriod="thisWeek">
      <formula>AND(TODAY()-ROUNDDOWN(G22,0)&lt;=WEEKDAY(TODAY())-1,ROUNDDOWN(G22,0)-TODAY()&lt;=7-WEEKDAY(TODAY()))</formula>
    </cfRule>
  </conditionalFormatting>
  <conditionalFormatting sqref="G23:G29">
    <cfRule type="timePeriod" dxfId="653" priority="5466" timePeriod="nextWeek">
      <formula>AND(ROUNDDOWN(G23,0)-TODAY()&gt;(7-WEEKDAY(TODAY())),ROUNDDOWN(G23,0)-TODAY()&lt;(15-WEEKDAY(TODAY())))</formula>
    </cfRule>
    <cfRule type="timePeriod" dxfId="652" priority="5468" timePeriod="lastMonth">
      <formula>AND(MONTH(G23)=MONTH(EDATE(TODAY(),0-1)),YEAR(G23)=YEAR(EDATE(TODAY(),0-1)))</formula>
    </cfRule>
    <cfRule type="timePeriod" dxfId="651" priority="5469" timePeriod="last7Days">
      <formula>AND(TODAY()-FLOOR(G23,1)&lt;=6,FLOOR(G23,1)&lt;=TODAY())</formula>
    </cfRule>
    <cfRule type="timePeriod" dxfId="650" priority="5470" timePeriod="thisWeek">
      <formula>AND(TODAY()-ROUNDDOWN(G23,0)&lt;=WEEKDAY(TODAY())-1,ROUNDDOWN(G23,0)-TODAY()&lt;=7-WEEKDAY(TODAY()))</formula>
    </cfRule>
  </conditionalFormatting>
  <conditionalFormatting sqref="G23:G35 G37">
    <cfRule type="timePeriod" dxfId="649" priority="5416" timePeriod="nextWeek">
      <formula>AND(ROUNDDOWN(G23,0)-TODAY()&gt;(7-WEEKDAY(TODAY())),ROUNDDOWN(G23,0)-TODAY()&lt;(15-WEEKDAY(TODAY())))</formula>
    </cfRule>
    <cfRule type="timePeriod" dxfId="648" priority="5418" timePeriod="lastMonth">
      <formula>AND(MONTH(G23)=MONTH(EDATE(TODAY(),0-1)),YEAR(G23)=YEAR(EDATE(TODAY(),0-1)))</formula>
    </cfRule>
    <cfRule type="timePeriod" dxfId="647" priority="5419" timePeriod="last7Days">
      <formula>AND(TODAY()-FLOOR(G23,1)&lt;=6,FLOOR(G23,1)&lt;=TODAY())</formula>
    </cfRule>
    <cfRule type="timePeriod" dxfId="646" priority="5420" timePeriod="thisWeek">
      <formula>AND(TODAY()-ROUNDDOWN(G23,0)&lt;=WEEKDAY(TODAY())-1,ROUNDDOWN(G23,0)-TODAY()&lt;=7-WEEKDAY(TODAY()))</formula>
    </cfRule>
  </conditionalFormatting>
  <conditionalFormatting sqref="G24">
    <cfRule type="timePeriod" dxfId="645" priority="5871" timePeriod="nextWeek">
      <formula>AND(ROUNDDOWN(G24,0)-TODAY()&gt;(7-WEEKDAY(TODAY())),ROUNDDOWN(G24,0)-TODAY()&lt;(15-WEEKDAY(TODAY())))</formula>
    </cfRule>
    <cfRule type="timePeriod" dxfId="644" priority="5873" timePeriod="lastMonth">
      <formula>AND(MONTH(G24)=MONTH(EDATE(TODAY(),0-1)),YEAR(G24)=YEAR(EDATE(TODAY(),0-1)))</formula>
    </cfRule>
    <cfRule type="timePeriod" dxfId="643" priority="5874" timePeriod="last7Days">
      <formula>AND(TODAY()-FLOOR(G24,1)&lt;=6,FLOOR(G24,1)&lt;=TODAY())</formula>
    </cfRule>
    <cfRule type="timePeriod" dxfId="642" priority="5875" timePeriod="thisWeek">
      <formula>AND(TODAY()-ROUNDDOWN(G24,0)&lt;=WEEKDAY(TODAY())-1,ROUNDDOWN(G24,0)-TODAY()&lt;=7-WEEKDAY(TODAY()))</formula>
    </cfRule>
  </conditionalFormatting>
  <conditionalFormatting sqref="G25">
    <cfRule type="timePeriod" dxfId="641" priority="5733" timePeriod="nextWeek">
      <formula>AND(ROUNDDOWN(G25,0)-TODAY()&gt;(7-WEEKDAY(TODAY())),ROUNDDOWN(G25,0)-TODAY()&lt;(15-WEEKDAY(TODAY())))</formula>
    </cfRule>
    <cfRule type="timePeriod" dxfId="640" priority="5735" timePeriod="lastMonth">
      <formula>AND(MONTH(G25)=MONTH(EDATE(TODAY(),0-1)),YEAR(G25)=YEAR(EDATE(TODAY(),0-1)))</formula>
    </cfRule>
    <cfRule type="timePeriod" dxfId="639" priority="5736" timePeriod="last7Days">
      <formula>AND(TODAY()-FLOOR(G25,1)&lt;=6,FLOOR(G25,1)&lt;=TODAY())</formula>
    </cfRule>
    <cfRule type="timePeriod" dxfId="638" priority="5737" timePeriod="thisWeek">
      <formula>AND(TODAY()-ROUNDDOWN(G25,0)&lt;=WEEKDAY(TODAY())-1,ROUNDDOWN(G25,0)-TODAY()&lt;=7-WEEKDAY(TODAY()))</formula>
    </cfRule>
  </conditionalFormatting>
  <conditionalFormatting sqref="G25:G26">
    <cfRule type="timePeriod" dxfId="637" priority="5680" timePeriod="nextWeek">
      <formula>AND(ROUNDDOWN(G25,0)-TODAY()&gt;(7-WEEKDAY(TODAY())),ROUNDDOWN(G25,0)-TODAY()&lt;(15-WEEKDAY(TODAY())))</formula>
    </cfRule>
    <cfRule type="timePeriod" dxfId="636" priority="5682" timePeriod="lastMonth">
      <formula>AND(MONTH(G25)=MONTH(EDATE(TODAY(),0-1)),YEAR(G25)=YEAR(EDATE(TODAY(),0-1)))</formula>
    </cfRule>
    <cfRule type="timePeriod" dxfId="635" priority="5683" timePeriod="last7Days">
      <formula>AND(TODAY()-FLOOR(G25,1)&lt;=6,FLOOR(G25,1)&lt;=TODAY())</formula>
    </cfRule>
    <cfRule type="timePeriod" dxfId="634" priority="5684" timePeriod="thisWeek">
      <formula>AND(TODAY()-ROUNDDOWN(G25,0)&lt;=WEEKDAY(TODAY())-1,ROUNDDOWN(G25,0)-TODAY()&lt;=7-WEEKDAY(TODAY()))</formula>
    </cfRule>
  </conditionalFormatting>
  <conditionalFormatting sqref="G26:G27">
    <cfRule type="timePeriod" dxfId="633" priority="5598" timePeriod="nextWeek">
      <formula>AND(ROUNDDOWN(G26,0)-TODAY()&gt;(7-WEEKDAY(TODAY())),ROUNDDOWN(G26,0)-TODAY()&lt;(15-WEEKDAY(TODAY())))</formula>
    </cfRule>
    <cfRule type="timePeriod" dxfId="632" priority="5600" timePeriod="lastMonth">
      <formula>AND(MONTH(G26)=MONTH(EDATE(TODAY(),0-1)),YEAR(G26)=YEAR(EDATE(TODAY(),0-1)))</formula>
    </cfRule>
    <cfRule type="timePeriod" dxfId="631" priority="5601" timePeriod="last7Days">
      <formula>AND(TODAY()-FLOOR(G26,1)&lt;=6,FLOOR(G26,1)&lt;=TODAY())</formula>
    </cfRule>
    <cfRule type="timePeriod" dxfId="630" priority="5602" timePeriod="thisWeek">
      <formula>AND(TODAY()-ROUNDDOWN(G26,0)&lt;=WEEKDAY(TODAY())-1,ROUNDDOWN(G26,0)-TODAY()&lt;=7-WEEKDAY(TODAY()))</formula>
    </cfRule>
  </conditionalFormatting>
  <conditionalFormatting sqref="G27:G28">
    <cfRule type="timePeriod" dxfId="629" priority="5566" timePeriod="nextWeek">
      <formula>AND(ROUNDDOWN(G27,0)-TODAY()&gt;(7-WEEKDAY(TODAY())),ROUNDDOWN(G27,0)-TODAY()&lt;(15-WEEKDAY(TODAY())))</formula>
    </cfRule>
    <cfRule type="timePeriod" dxfId="628" priority="5568" timePeriod="lastMonth">
      <formula>AND(MONTH(G27)=MONTH(EDATE(TODAY(),0-1)),YEAR(G27)=YEAR(EDATE(TODAY(),0-1)))</formula>
    </cfRule>
    <cfRule type="timePeriod" dxfId="627" priority="5569" timePeriod="last7Days">
      <formula>AND(TODAY()-FLOOR(G27,1)&lt;=6,FLOOR(G27,1)&lt;=TODAY())</formula>
    </cfRule>
    <cfRule type="timePeriod" dxfId="626" priority="5570" timePeriod="thisWeek">
      <formula>AND(TODAY()-ROUNDDOWN(G27,0)&lt;=WEEKDAY(TODAY())-1,ROUNDDOWN(G27,0)-TODAY()&lt;=7-WEEKDAY(TODAY()))</formula>
    </cfRule>
  </conditionalFormatting>
  <conditionalFormatting sqref="G28:G29">
    <cfRule type="timePeriod" dxfId="625" priority="5506" timePeriod="nextWeek">
      <formula>AND(ROUNDDOWN(G28,0)-TODAY()&gt;(7-WEEKDAY(TODAY())),ROUNDDOWN(G28,0)-TODAY()&lt;(15-WEEKDAY(TODAY())))</formula>
    </cfRule>
    <cfRule type="timePeriod" dxfId="624" priority="5508" timePeriod="lastMonth">
      <formula>AND(MONTH(G28)=MONTH(EDATE(TODAY(),0-1)),YEAR(G28)=YEAR(EDATE(TODAY(),0-1)))</formula>
    </cfRule>
    <cfRule type="timePeriod" dxfId="623" priority="5509" timePeriod="last7Days">
      <formula>AND(TODAY()-FLOOR(G28,1)&lt;=6,FLOOR(G28,1)&lt;=TODAY())</formula>
    </cfRule>
    <cfRule type="timePeriod" dxfId="622" priority="5510" timePeriod="thisWeek">
      <formula>AND(TODAY()-ROUNDDOWN(G28,0)&lt;=WEEKDAY(TODAY())-1,ROUNDDOWN(G28,0)-TODAY()&lt;=7-WEEKDAY(TODAY()))</formula>
    </cfRule>
  </conditionalFormatting>
  <conditionalFormatting sqref="G29">
    <cfRule type="timePeriod" dxfId="621" priority="5501" timePeriod="nextWeek">
      <formula>AND(ROUNDDOWN(G29,0)-TODAY()&gt;(7-WEEKDAY(TODAY())),ROUNDDOWN(G29,0)-TODAY()&lt;(15-WEEKDAY(TODAY())))</formula>
    </cfRule>
    <cfRule type="timePeriod" dxfId="620" priority="5503" timePeriod="lastMonth">
      <formula>AND(MONTH(G29)=MONTH(EDATE(TODAY(),0-1)),YEAR(G29)=YEAR(EDATE(TODAY(),0-1)))</formula>
    </cfRule>
    <cfRule type="timePeriod" dxfId="619" priority="5504" timePeriod="last7Days">
      <formula>AND(TODAY()-FLOOR(G29,1)&lt;=6,FLOOR(G29,1)&lt;=TODAY())</formula>
    </cfRule>
    <cfRule type="timePeriod" dxfId="618" priority="5505" timePeriod="thisWeek">
      <formula>AND(TODAY()-ROUNDDOWN(G29,0)&lt;=WEEKDAY(TODAY())-1,ROUNDDOWN(G29,0)-TODAY()&lt;=7-WEEKDAY(TODAY()))</formula>
    </cfRule>
  </conditionalFormatting>
  <conditionalFormatting sqref="G30:G35 G37">
    <cfRule type="timePeriod" dxfId="617" priority="5411" timePeriod="nextWeek">
      <formula>AND(ROUNDDOWN(G30,0)-TODAY()&gt;(7-WEEKDAY(TODAY())),ROUNDDOWN(G30,0)-TODAY()&lt;(15-WEEKDAY(TODAY())))</formula>
    </cfRule>
    <cfRule type="timePeriod" dxfId="616" priority="5413" timePeriod="lastMonth">
      <formula>AND(MONTH(G30)=MONTH(EDATE(TODAY(),0-1)),YEAR(G30)=YEAR(EDATE(TODAY(),0-1)))</formula>
    </cfRule>
    <cfRule type="timePeriod" dxfId="615" priority="5414" timePeriod="last7Days">
      <formula>AND(TODAY()-FLOOR(G30,1)&lt;=6,FLOOR(G30,1)&lt;=TODAY())</formula>
    </cfRule>
    <cfRule type="timePeriod" dxfId="614" priority="5415" timePeriod="thisWeek">
      <formula>AND(TODAY()-ROUNDDOWN(G30,0)&lt;=WEEKDAY(TODAY())-1,ROUNDDOWN(G30,0)-TODAY()&lt;=7-WEEKDAY(TODAY()))</formula>
    </cfRule>
  </conditionalFormatting>
  <conditionalFormatting sqref="G31:G35 G37">
    <cfRule type="timePeriod" dxfId="613" priority="5378" timePeriod="nextWeek">
      <formula>AND(ROUNDDOWN(G31,0)-TODAY()&gt;(7-WEEKDAY(TODAY())),ROUNDDOWN(G31,0)-TODAY()&lt;(15-WEEKDAY(TODAY())))</formula>
    </cfRule>
    <cfRule type="timePeriod" dxfId="612" priority="5380" timePeriod="lastMonth">
      <formula>AND(MONTH(G31)=MONTH(EDATE(TODAY(),0-1)),YEAR(G31)=YEAR(EDATE(TODAY(),0-1)))</formula>
    </cfRule>
    <cfRule type="timePeriod" dxfId="611" priority="5381" timePeriod="last7Days">
      <formula>AND(TODAY()-FLOOR(G31,1)&lt;=6,FLOOR(G31,1)&lt;=TODAY())</formula>
    </cfRule>
    <cfRule type="timePeriod" dxfId="610" priority="5382" timePeriod="thisWeek">
      <formula>AND(TODAY()-ROUNDDOWN(G31,0)&lt;=WEEKDAY(TODAY())-1,ROUNDDOWN(G31,0)-TODAY()&lt;=7-WEEKDAY(TODAY()))</formula>
    </cfRule>
    <cfRule type="timePeriod" dxfId="609" priority="5383" timePeriod="nextWeek">
      <formula>AND(ROUNDDOWN(G31,0)-TODAY()&gt;(7-WEEKDAY(TODAY())),ROUNDDOWN(G31,0)-TODAY()&lt;(15-WEEKDAY(TODAY())))</formula>
    </cfRule>
    <cfRule type="timePeriod" dxfId="608" priority="5385" timePeriod="lastMonth">
      <formula>AND(MONTH(G31)=MONTH(EDATE(TODAY(),0-1)),YEAR(G31)=YEAR(EDATE(TODAY(),0-1)))</formula>
    </cfRule>
    <cfRule type="timePeriod" dxfId="607" priority="5386" timePeriod="last7Days">
      <formula>AND(TODAY()-FLOOR(G31,1)&lt;=6,FLOOR(G31,1)&lt;=TODAY())</formula>
    </cfRule>
    <cfRule type="timePeriod" dxfId="606" priority="5387" timePeriod="thisWeek">
      <formula>AND(TODAY()-ROUNDDOWN(G31,0)&lt;=WEEKDAY(TODAY())-1,ROUNDDOWN(G31,0)-TODAY()&lt;=7-WEEKDAY(TODAY()))</formula>
    </cfRule>
  </conditionalFormatting>
  <conditionalFormatting sqref="G32:G35 G37">
    <cfRule type="timePeriod" dxfId="605" priority="5338" timePeriod="nextWeek">
      <formula>AND(ROUNDDOWN(G32,0)-TODAY()&gt;(7-WEEKDAY(TODAY())),ROUNDDOWN(G32,0)-TODAY()&lt;(15-WEEKDAY(TODAY())))</formula>
    </cfRule>
    <cfRule type="timePeriod" dxfId="604" priority="5340" timePeriod="lastMonth">
      <formula>AND(MONTH(G32)=MONTH(EDATE(TODAY(),0-1)),YEAR(G32)=YEAR(EDATE(TODAY(),0-1)))</formula>
    </cfRule>
    <cfRule type="timePeriod" dxfId="603" priority="5341" timePeriod="last7Days">
      <formula>AND(TODAY()-FLOOR(G32,1)&lt;=6,FLOOR(G32,1)&lt;=TODAY())</formula>
    </cfRule>
    <cfRule type="timePeriod" dxfId="602" priority="5342" timePeriod="thisWeek">
      <formula>AND(TODAY()-ROUNDDOWN(G32,0)&lt;=WEEKDAY(TODAY())-1,ROUNDDOWN(G32,0)-TODAY()&lt;=7-WEEKDAY(TODAY()))</formula>
    </cfRule>
    <cfRule type="timePeriod" dxfId="601" priority="5343" timePeriod="nextWeek">
      <formula>AND(ROUNDDOWN(G32,0)-TODAY()&gt;(7-WEEKDAY(TODAY())),ROUNDDOWN(G32,0)-TODAY()&lt;(15-WEEKDAY(TODAY())))</formula>
    </cfRule>
    <cfRule type="timePeriod" dxfId="600" priority="5345" timePeriod="lastMonth">
      <formula>AND(MONTH(G32)=MONTH(EDATE(TODAY(),0-1)),YEAR(G32)=YEAR(EDATE(TODAY(),0-1)))</formula>
    </cfRule>
    <cfRule type="timePeriod" dxfId="599" priority="5346" timePeriod="last7Days">
      <formula>AND(TODAY()-FLOOR(G32,1)&lt;=6,FLOOR(G32,1)&lt;=TODAY())</formula>
    </cfRule>
    <cfRule type="timePeriod" dxfId="598" priority="5347" timePeriod="thisWeek">
      <formula>AND(TODAY()-ROUNDDOWN(G32,0)&lt;=WEEKDAY(TODAY())-1,ROUNDDOWN(G32,0)-TODAY()&lt;=7-WEEKDAY(TODAY()))</formula>
    </cfRule>
    <cfRule type="timePeriod" dxfId="597" priority="5348" timePeriod="nextWeek">
      <formula>AND(ROUNDDOWN(G32,0)-TODAY()&gt;(7-WEEKDAY(TODAY())),ROUNDDOWN(G32,0)-TODAY()&lt;(15-WEEKDAY(TODAY())))</formula>
    </cfRule>
    <cfRule type="timePeriod" dxfId="596" priority="5350" timePeriod="lastMonth">
      <formula>AND(MONTH(G32)=MONTH(EDATE(TODAY(),0-1)),YEAR(G32)=YEAR(EDATE(TODAY(),0-1)))</formula>
    </cfRule>
    <cfRule type="timePeriod" dxfId="595" priority="5351" timePeriod="last7Days">
      <formula>AND(TODAY()-FLOOR(G32,1)&lt;=6,FLOOR(G32,1)&lt;=TODAY())</formula>
    </cfRule>
    <cfRule type="timePeriod" dxfId="594" priority="5352" timePeriod="thisWeek">
      <formula>AND(TODAY()-ROUNDDOWN(G32,0)&lt;=WEEKDAY(TODAY())-1,ROUNDDOWN(G32,0)-TODAY()&lt;=7-WEEKDAY(TODAY()))</formula>
    </cfRule>
  </conditionalFormatting>
  <conditionalFormatting sqref="G33:G35 G37">
    <cfRule type="timePeriod" dxfId="593" priority="5308" timePeriod="lastMonth">
      <formula>AND(MONTH(G33)=MONTH(EDATE(TODAY(),0-1)),YEAR(G33)=YEAR(EDATE(TODAY(),0-1)))</formula>
    </cfRule>
    <cfRule type="timePeriod" dxfId="592" priority="5309" timePeriod="last7Days">
      <formula>AND(TODAY()-FLOOR(G33,1)&lt;=6,FLOOR(G33,1)&lt;=TODAY())</formula>
    </cfRule>
    <cfRule type="timePeriod" dxfId="591" priority="5310" timePeriod="thisWeek">
      <formula>AND(TODAY()-ROUNDDOWN(G33,0)&lt;=WEEKDAY(TODAY())-1,ROUNDDOWN(G33,0)-TODAY()&lt;=7-WEEKDAY(TODAY()))</formula>
    </cfRule>
    <cfRule type="timePeriod" dxfId="590" priority="5311" timePeriod="nextWeek">
      <formula>AND(ROUNDDOWN(G33,0)-TODAY()&gt;(7-WEEKDAY(TODAY())),ROUNDDOWN(G33,0)-TODAY()&lt;(15-WEEKDAY(TODAY())))</formula>
    </cfRule>
    <cfRule type="timePeriod" dxfId="589" priority="5313" timePeriod="lastMonth">
      <formula>AND(MONTH(G33)=MONTH(EDATE(TODAY(),0-1)),YEAR(G33)=YEAR(EDATE(TODAY(),0-1)))</formula>
    </cfRule>
    <cfRule type="timePeriod" dxfId="588" priority="5314" timePeriod="last7Days">
      <formula>AND(TODAY()-FLOOR(G33,1)&lt;=6,FLOOR(G33,1)&lt;=TODAY())</formula>
    </cfRule>
    <cfRule type="timePeriod" dxfId="587" priority="5315" timePeriod="thisWeek">
      <formula>AND(TODAY()-ROUNDDOWN(G33,0)&lt;=WEEKDAY(TODAY())-1,ROUNDDOWN(G33,0)-TODAY()&lt;=7-WEEKDAY(TODAY()))</formula>
    </cfRule>
  </conditionalFormatting>
  <conditionalFormatting sqref="G34:G35 G37">
    <cfRule type="timePeriod" dxfId="586" priority="5225" timePeriod="nextWeek">
      <formula>AND(ROUNDDOWN(G34,0)-TODAY()&gt;(7-WEEKDAY(TODAY())),ROUNDDOWN(G34,0)-TODAY()&lt;(15-WEEKDAY(TODAY())))</formula>
    </cfRule>
    <cfRule type="timePeriod" dxfId="585" priority="5227" timePeriod="lastMonth">
      <formula>AND(MONTH(G34)=MONTH(EDATE(TODAY(),0-1)),YEAR(G34)=YEAR(EDATE(TODAY(),0-1)))</formula>
    </cfRule>
    <cfRule type="timePeriod" dxfId="584" priority="5228" timePeriod="last7Days">
      <formula>AND(TODAY()-FLOOR(G34,1)&lt;=6,FLOOR(G34,1)&lt;=TODAY())</formula>
    </cfRule>
    <cfRule type="timePeriod" dxfId="583" priority="5229" timePeriod="thisWeek">
      <formula>AND(TODAY()-ROUNDDOWN(G34,0)&lt;=WEEKDAY(TODAY())-1,ROUNDDOWN(G34,0)-TODAY()&lt;=7-WEEKDAY(TODAY()))</formula>
    </cfRule>
  </conditionalFormatting>
  <conditionalFormatting sqref="G34:G37">
    <cfRule type="timePeriod" dxfId="582" priority="5200" timePeriod="nextWeek">
      <formula>AND(ROUNDDOWN(G34,0)-TODAY()&gt;(7-WEEKDAY(TODAY())),ROUNDDOWN(G34,0)-TODAY()&lt;(15-WEEKDAY(TODAY())))</formula>
    </cfRule>
    <cfRule type="timePeriod" dxfId="581" priority="5202" timePeriod="lastMonth">
      <formula>AND(MONTH(G34)=MONTH(EDATE(TODAY(),0-1)),YEAR(G34)=YEAR(EDATE(TODAY(),0-1)))</formula>
    </cfRule>
    <cfRule type="timePeriod" dxfId="580" priority="5203" timePeriod="last7Days">
      <formula>AND(TODAY()-FLOOR(G34,1)&lt;=6,FLOOR(G34,1)&lt;=TODAY())</formula>
    </cfRule>
    <cfRule type="timePeriod" dxfId="579" priority="5204" timePeriod="thisWeek">
      <formula>AND(TODAY()-ROUNDDOWN(G34,0)&lt;=WEEKDAY(TODAY())-1,ROUNDDOWN(G34,0)-TODAY()&lt;=7-WEEKDAY(TODAY()))</formula>
    </cfRule>
  </conditionalFormatting>
  <conditionalFormatting sqref="G36">
    <cfRule type="timePeriod" dxfId="578" priority="5145" timePeriod="nextWeek">
      <formula>AND(ROUNDDOWN(G36,0)-TODAY()&gt;(7-WEEKDAY(TODAY())),ROUNDDOWN(G36,0)-TODAY()&lt;(15-WEEKDAY(TODAY())))</formula>
    </cfRule>
    <cfRule type="timePeriod" dxfId="577" priority="5147" timePeriod="lastMonth">
      <formula>AND(MONTH(G36)=MONTH(EDATE(TODAY(),0-1)),YEAR(G36)=YEAR(EDATE(TODAY(),0-1)))</formula>
    </cfRule>
    <cfRule type="timePeriod" dxfId="576" priority="5148" timePeriod="last7Days">
      <formula>AND(TODAY()-FLOOR(G36,1)&lt;=6,FLOOR(G36,1)&lt;=TODAY())</formula>
    </cfRule>
    <cfRule type="timePeriod" dxfId="575" priority="5149" timePeriod="thisWeek">
      <formula>AND(TODAY()-ROUNDDOWN(G36,0)&lt;=WEEKDAY(TODAY())-1,ROUNDDOWN(G36,0)-TODAY()&lt;=7-WEEKDAY(TODAY()))</formula>
    </cfRule>
    <cfRule type="timePeriod" dxfId="574" priority="5150" timePeriod="nextWeek">
      <formula>AND(ROUNDDOWN(G36,0)-TODAY()&gt;(7-WEEKDAY(TODAY())),ROUNDDOWN(G36,0)-TODAY()&lt;(15-WEEKDAY(TODAY())))</formula>
    </cfRule>
    <cfRule type="timePeriod" dxfId="573" priority="5152" timePeriod="lastMonth">
      <formula>AND(MONTH(G36)=MONTH(EDATE(TODAY(),0-1)),YEAR(G36)=YEAR(EDATE(TODAY(),0-1)))</formula>
    </cfRule>
    <cfRule type="timePeriod" dxfId="572" priority="5153" timePeriod="last7Days">
      <formula>AND(TODAY()-FLOOR(G36,1)&lt;=6,FLOOR(G36,1)&lt;=TODAY())</formula>
    </cfRule>
    <cfRule type="timePeriod" dxfId="571" priority="5154" timePeriod="thisWeek">
      <formula>AND(TODAY()-ROUNDDOWN(G36,0)&lt;=WEEKDAY(TODAY())-1,ROUNDDOWN(G36,0)-TODAY()&lt;=7-WEEKDAY(TODAY()))</formula>
    </cfRule>
    <cfRule type="timePeriod" dxfId="570" priority="5155" timePeriod="nextWeek">
      <formula>AND(ROUNDDOWN(G36,0)-TODAY()&gt;(7-WEEKDAY(TODAY())),ROUNDDOWN(G36,0)-TODAY()&lt;(15-WEEKDAY(TODAY())))</formula>
    </cfRule>
    <cfRule type="timePeriod" dxfId="569" priority="5157" timePeriod="lastMonth">
      <formula>AND(MONTH(G36)=MONTH(EDATE(TODAY(),0-1)),YEAR(G36)=YEAR(EDATE(TODAY(),0-1)))</formula>
    </cfRule>
    <cfRule type="timePeriod" dxfId="568" priority="5158" timePeriod="last7Days">
      <formula>AND(TODAY()-FLOOR(G36,1)&lt;=6,FLOOR(G36,1)&lt;=TODAY())</formula>
    </cfRule>
    <cfRule type="timePeriod" dxfId="567" priority="5159" timePeriod="thisWeek">
      <formula>AND(TODAY()-ROUNDDOWN(G36,0)&lt;=WEEKDAY(TODAY())-1,ROUNDDOWN(G36,0)-TODAY()&lt;=7-WEEKDAY(TODAY()))</formula>
    </cfRule>
    <cfRule type="timePeriod" dxfId="566" priority="5160" timePeriod="nextWeek">
      <formula>AND(ROUNDDOWN(G36,0)-TODAY()&gt;(7-WEEKDAY(TODAY())),ROUNDDOWN(G36,0)-TODAY()&lt;(15-WEEKDAY(TODAY())))</formula>
    </cfRule>
    <cfRule type="timePeriod" dxfId="565" priority="5162" timePeriod="lastMonth">
      <formula>AND(MONTH(G36)=MONTH(EDATE(TODAY(),0-1)),YEAR(G36)=YEAR(EDATE(TODAY(),0-1)))</formula>
    </cfRule>
    <cfRule type="timePeriod" dxfId="564" priority="5163" timePeriod="last7Days">
      <formula>AND(TODAY()-FLOOR(G36,1)&lt;=6,FLOOR(G36,1)&lt;=TODAY())</formula>
    </cfRule>
    <cfRule type="timePeriod" dxfId="563" priority="5164" timePeriod="thisWeek">
      <formula>AND(TODAY()-ROUNDDOWN(G36,0)&lt;=WEEKDAY(TODAY())-1,ROUNDDOWN(G36,0)-TODAY()&lt;=7-WEEKDAY(TODAY()))</formula>
    </cfRule>
    <cfRule type="timePeriod" dxfId="562" priority="5165" timePeriod="nextWeek">
      <formula>AND(ROUNDDOWN(G36,0)-TODAY()&gt;(7-WEEKDAY(TODAY())),ROUNDDOWN(G36,0)-TODAY()&lt;(15-WEEKDAY(TODAY())))</formula>
    </cfRule>
    <cfRule type="timePeriod" dxfId="561" priority="5167" timePeriod="lastMonth">
      <formula>AND(MONTH(G36)=MONTH(EDATE(TODAY(),0-1)),YEAR(G36)=YEAR(EDATE(TODAY(),0-1)))</formula>
    </cfRule>
    <cfRule type="timePeriod" dxfId="560" priority="5168" timePeriod="last7Days">
      <formula>AND(TODAY()-FLOOR(G36,1)&lt;=6,FLOOR(G36,1)&lt;=TODAY())</formula>
    </cfRule>
    <cfRule type="timePeriod" dxfId="559" priority="5169" timePeriod="thisWeek">
      <formula>AND(TODAY()-ROUNDDOWN(G36,0)&lt;=WEEKDAY(TODAY())-1,ROUNDDOWN(G36,0)-TODAY()&lt;=7-WEEKDAY(TODAY()))</formula>
    </cfRule>
    <cfRule type="timePeriod" dxfId="558" priority="5170" timePeriod="nextWeek">
      <formula>AND(ROUNDDOWN(G36,0)-TODAY()&gt;(7-WEEKDAY(TODAY())),ROUNDDOWN(G36,0)-TODAY()&lt;(15-WEEKDAY(TODAY())))</formula>
    </cfRule>
    <cfRule type="timePeriod" dxfId="557" priority="5172" timePeriod="lastMonth">
      <formula>AND(MONTH(G36)=MONTH(EDATE(TODAY(),0-1)),YEAR(G36)=YEAR(EDATE(TODAY(),0-1)))</formula>
    </cfRule>
    <cfRule type="timePeriod" dxfId="556" priority="5173" timePeriod="last7Days">
      <formula>AND(TODAY()-FLOOR(G36,1)&lt;=6,FLOOR(G36,1)&lt;=TODAY())</formula>
    </cfRule>
    <cfRule type="timePeriod" dxfId="555" priority="5174" timePeriod="thisWeek">
      <formula>AND(TODAY()-ROUNDDOWN(G36,0)&lt;=WEEKDAY(TODAY())-1,ROUNDDOWN(G36,0)-TODAY()&lt;=7-WEEKDAY(TODAY()))</formula>
    </cfRule>
    <cfRule type="timePeriod" dxfId="554" priority="5175" timePeriod="nextWeek">
      <formula>AND(ROUNDDOWN(G36,0)-TODAY()&gt;(7-WEEKDAY(TODAY())),ROUNDDOWN(G36,0)-TODAY()&lt;(15-WEEKDAY(TODAY())))</formula>
    </cfRule>
    <cfRule type="timePeriod" dxfId="553" priority="5177" timePeriod="lastMonth">
      <formula>AND(MONTH(G36)=MONTH(EDATE(TODAY(),0-1)),YEAR(G36)=YEAR(EDATE(TODAY(),0-1)))</formula>
    </cfRule>
    <cfRule type="timePeriod" dxfId="552" priority="5178" timePeriod="last7Days">
      <formula>AND(TODAY()-FLOOR(G36,1)&lt;=6,FLOOR(G36,1)&lt;=TODAY())</formula>
    </cfRule>
    <cfRule type="timePeriod" dxfId="551" priority="5179" timePeriod="thisWeek">
      <formula>AND(TODAY()-ROUNDDOWN(G36,0)&lt;=WEEKDAY(TODAY())-1,ROUNDDOWN(G36,0)-TODAY()&lt;=7-WEEKDAY(TODAY()))</formula>
    </cfRule>
    <cfRule type="timePeriod" dxfId="550" priority="5180" timePeriod="nextWeek">
      <formula>AND(ROUNDDOWN(G36,0)-TODAY()&gt;(7-WEEKDAY(TODAY())),ROUNDDOWN(G36,0)-TODAY()&lt;(15-WEEKDAY(TODAY())))</formula>
    </cfRule>
    <cfRule type="timePeriod" dxfId="549" priority="5182" timePeriod="lastMonth">
      <formula>AND(MONTH(G36)=MONTH(EDATE(TODAY(),0-1)),YEAR(G36)=YEAR(EDATE(TODAY(),0-1)))</formula>
    </cfRule>
    <cfRule type="timePeriod" dxfId="548" priority="5183" timePeriod="last7Days">
      <formula>AND(TODAY()-FLOOR(G36,1)&lt;=6,FLOOR(G36,1)&lt;=TODAY())</formula>
    </cfRule>
    <cfRule type="timePeriod" dxfId="547" priority="5184" timePeriod="thisWeek">
      <formula>AND(TODAY()-ROUNDDOWN(G36,0)&lt;=WEEKDAY(TODAY())-1,ROUNDDOWN(G36,0)-TODAY()&lt;=7-WEEKDAY(TODAY()))</formula>
    </cfRule>
    <cfRule type="timePeriod" dxfId="546" priority="5185" timePeriod="nextWeek">
      <formula>AND(ROUNDDOWN(G36,0)-TODAY()&gt;(7-WEEKDAY(TODAY())),ROUNDDOWN(G36,0)-TODAY()&lt;(15-WEEKDAY(TODAY())))</formula>
    </cfRule>
    <cfRule type="timePeriod" dxfId="545" priority="5187" timePeriod="lastMonth">
      <formula>AND(MONTH(G36)=MONTH(EDATE(TODAY(),0-1)),YEAR(G36)=YEAR(EDATE(TODAY(),0-1)))</formula>
    </cfRule>
    <cfRule type="timePeriod" dxfId="544" priority="5188" timePeriod="last7Days">
      <formula>AND(TODAY()-FLOOR(G36,1)&lt;=6,FLOOR(G36,1)&lt;=TODAY())</formula>
    </cfRule>
    <cfRule type="timePeriod" dxfId="543" priority="5189" timePeriod="thisWeek">
      <formula>AND(TODAY()-ROUNDDOWN(G36,0)&lt;=WEEKDAY(TODAY())-1,ROUNDDOWN(G36,0)-TODAY()&lt;=7-WEEKDAY(TODAY()))</formula>
    </cfRule>
    <cfRule type="timePeriod" dxfId="542" priority="5190" timePeriod="nextWeek">
      <formula>AND(ROUNDDOWN(G36,0)-TODAY()&gt;(7-WEEKDAY(TODAY())),ROUNDDOWN(G36,0)-TODAY()&lt;(15-WEEKDAY(TODAY())))</formula>
    </cfRule>
    <cfRule type="timePeriod" dxfId="541" priority="5192" timePeriod="lastMonth">
      <formula>AND(MONTH(G36)=MONTH(EDATE(TODAY(),0-1)),YEAR(G36)=YEAR(EDATE(TODAY(),0-1)))</formula>
    </cfRule>
    <cfRule type="timePeriod" dxfId="540" priority="5193" timePeriod="last7Days">
      <formula>AND(TODAY()-FLOOR(G36,1)&lt;=6,FLOOR(G36,1)&lt;=TODAY())</formula>
    </cfRule>
    <cfRule type="timePeriod" dxfId="539" priority="5194" timePeriod="thisWeek">
      <formula>AND(TODAY()-ROUNDDOWN(G36,0)&lt;=WEEKDAY(TODAY())-1,ROUNDDOWN(G36,0)-TODAY()&lt;=7-WEEKDAY(TODAY()))</formula>
    </cfRule>
  </conditionalFormatting>
  <conditionalFormatting sqref="G37 G33:G35">
    <cfRule type="timePeriod" dxfId="538" priority="5306" timePeriod="nextWeek">
      <formula>AND(ROUNDDOWN(G33,0)-TODAY()&gt;(7-WEEKDAY(TODAY())),ROUNDDOWN(G33,0)-TODAY()&lt;(15-WEEKDAY(TODAY())))</formula>
    </cfRule>
  </conditionalFormatting>
  <conditionalFormatting sqref="G37">
    <cfRule type="timePeriod" dxfId="537" priority="5263" timePeriod="nextWeek">
      <formula>AND(ROUNDDOWN(G37,0)-TODAY()&gt;(7-WEEKDAY(TODAY())),ROUNDDOWN(G37,0)-TODAY()&lt;(15-WEEKDAY(TODAY())))</formula>
    </cfRule>
    <cfRule type="timePeriod" dxfId="536" priority="5265" timePeriod="lastMonth">
      <formula>AND(MONTH(G37)=MONTH(EDATE(TODAY(),0-1)),YEAR(G37)=YEAR(EDATE(TODAY(),0-1)))</formula>
    </cfRule>
    <cfRule type="timePeriod" dxfId="535" priority="5266" timePeriod="last7Days">
      <formula>AND(TODAY()-FLOOR(G37,1)&lt;=6,FLOOR(G37,1)&lt;=TODAY())</formula>
    </cfRule>
    <cfRule type="timePeriod" dxfId="534" priority="5267" timePeriod="thisWeek">
      <formula>AND(TODAY()-ROUNDDOWN(G37,0)&lt;=WEEKDAY(TODAY())-1,ROUNDDOWN(G37,0)-TODAY()&lt;=7-WEEKDAY(TODAY()))</formula>
    </cfRule>
    <cfRule type="timePeriod" dxfId="533" priority="5268" timePeriod="nextWeek">
      <formula>AND(ROUNDDOWN(G37,0)-TODAY()&gt;(7-WEEKDAY(TODAY())),ROUNDDOWN(G37,0)-TODAY()&lt;(15-WEEKDAY(TODAY())))</formula>
    </cfRule>
    <cfRule type="timePeriod" dxfId="532" priority="5270" timePeriod="lastMonth">
      <formula>AND(MONTH(G37)=MONTH(EDATE(TODAY(),0-1)),YEAR(G37)=YEAR(EDATE(TODAY(),0-1)))</formula>
    </cfRule>
    <cfRule type="timePeriod" dxfId="531" priority="5271" timePeriod="last7Days">
      <formula>AND(TODAY()-FLOOR(G37,1)&lt;=6,FLOOR(G37,1)&lt;=TODAY())</formula>
    </cfRule>
    <cfRule type="timePeriod" dxfId="530" priority="5272" timePeriod="thisWeek">
      <formula>AND(TODAY()-ROUNDDOWN(G37,0)&lt;=WEEKDAY(TODAY())-1,ROUNDDOWN(G37,0)-TODAY()&lt;=7-WEEKDAY(TODAY()))</formula>
    </cfRule>
  </conditionalFormatting>
  <conditionalFormatting sqref="G38">
    <cfRule type="timePeriod" dxfId="529" priority="5025" timePeriod="nextWeek">
      <formula>AND(ROUNDDOWN(G38,0)-TODAY()&gt;(7-WEEKDAY(TODAY())),ROUNDDOWN(G38,0)-TODAY()&lt;(15-WEEKDAY(TODAY())))</formula>
    </cfRule>
    <cfRule type="timePeriod" dxfId="528" priority="5027" timePeriod="lastMonth">
      <formula>AND(MONTH(G38)=MONTH(EDATE(TODAY(),0-1)),YEAR(G38)=YEAR(EDATE(TODAY(),0-1)))</formula>
    </cfRule>
    <cfRule type="timePeriod" dxfId="527" priority="5028" timePeriod="last7Days">
      <formula>AND(TODAY()-FLOOR(G38,1)&lt;=6,FLOOR(G38,1)&lt;=TODAY())</formula>
    </cfRule>
    <cfRule type="timePeriod" dxfId="526" priority="5029" timePeriod="thisWeek">
      <formula>AND(TODAY()-ROUNDDOWN(G38,0)&lt;=WEEKDAY(TODAY())-1,ROUNDDOWN(G38,0)-TODAY()&lt;=7-WEEKDAY(TODAY()))</formula>
    </cfRule>
    <cfRule type="timePeriod" dxfId="525" priority="5030" timePeriod="nextWeek">
      <formula>AND(ROUNDDOWN(G38,0)-TODAY()&gt;(7-WEEKDAY(TODAY())),ROUNDDOWN(G38,0)-TODAY()&lt;(15-WEEKDAY(TODAY())))</formula>
    </cfRule>
    <cfRule type="timePeriod" dxfId="524" priority="5032" timePeriod="lastMonth">
      <formula>AND(MONTH(G38)=MONTH(EDATE(TODAY(),0-1)),YEAR(G38)=YEAR(EDATE(TODAY(),0-1)))</formula>
    </cfRule>
    <cfRule type="timePeriod" dxfId="523" priority="5033" timePeriod="last7Days">
      <formula>AND(TODAY()-FLOOR(G38,1)&lt;=6,FLOOR(G38,1)&lt;=TODAY())</formula>
    </cfRule>
    <cfRule type="timePeriod" dxfId="522" priority="5034" timePeriod="thisWeek">
      <formula>AND(TODAY()-ROUNDDOWN(G38,0)&lt;=WEEKDAY(TODAY())-1,ROUNDDOWN(G38,0)-TODAY()&lt;=7-WEEKDAY(TODAY()))</formula>
    </cfRule>
    <cfRule type="timePeriod" dxfId="521" priority="5035" timePeriod="nextWeek">
      <formula>AND(ROUNDDOWN(G38,0)-TODAY()&gt;(7-WEEKDAY(TODAY())),ROUNDDOWN(G38,0)-TODAY()&lt;(15-WEEKDAY(TODAY())))</formula>
    </cfRule>
    <cfRule type="timePeriod" dxfId="520" priority="5037" timePeriod="lastMonth">
      <formula>AND(MONTH(G38)=MONTH(EDATE(TODAY(),0-1)),YEAR(G38)=YEAR(EDATE(TODAY(),0-1)))</formula>
    </cfRule>
    <cfRule type="timePeriod" dxfId="519" priority="5038" timePeriod="last7Days">
      <formula>AND(TODAY()-FLOOR(G38,1)&lt;=6,FLOOR(G38,1)&lt;=TODAY())</formula>
    </cfRule>
    <cfRule type="timePeriod" dxfId="518" priority="5039" timePeriod="thisWeek">
      <formula>AND(TODAY()-ROUNDDOWN(G38,0)&lt;=WEEKDAY(TODAY())-1,ROUNDDOWN(G38,0)-TODAY()&lt;=7-WEEKDAY(TODAY()))</formula>
    </cfRule>
    <cfRule type="timePeriod" dxfId="517" priority="5040" timePeriod="nextWeek">
      <formula>AND(ROUNDDOWN(G38,0)-TODAY()&gt;(7-WEEKDAY(TODAY())),ROUNDDOWN(G38,0)-TODAY()&lt;(15-WEEKDAY(TODAY())))</formula>
    </cfRule>
    <cfRule type="timePeriod" dxfId="516" priority="5042" timePeriod="lastMonth">
      <formula>AND(MONTH(G38)=MONTH(EDATE(TODAY(),0-1)),YEAR(G38)=YEAR(EDATE(TODAY(),0-1)))</formula>
    </cfRule>
    <cfRule type="timePeriod" dxfId="515" priority="5043" timePeriod="last7Days">
      <formula>AND(TODAY()-FLOOR(G38,1)&lt;=6,FLOOR(G38,1)&lt;=TODAY())</formula>
    </cfRule>
    <cfRule type="timePeriod" dxfId="514" priority="5044" timePeriod="thisWeek">
      <formula>AND(TODAY()-ROUNDDOWN(G38,0)&lt;=WEEKDAY(TODAY())-1,ROUNDDOWN(G38,0)-TODAY()&lt;=7-WEEKDAY(TODAY()))</formula>
    </cfRule>
    <cfRule type="timePeriod" dxfId="513" priority="5045" timePeriod="nextWeek">
      <formula>AND(ROUNDDOWN(G38,0)-TODAY()&gt;(7-WEEKDAY(TODAY())),ROUNDDOWN(G38,0)-TODAY()&lt;(15-WEEKDAY(TODAY())))</formula>
    </cfRule>
    <cfRule type="timePeriod" dxfId="512" priority="5047" timePeriod="lastMonth">
      <formula>AND(MONTH(G38)=MONTH(EDATE(TODAY(),0-1)),YEAR(G38)=YEAR(EDATE(TODAY(),0-1)))</formula>
    </cfRule>
    <cfRule type="timePeriod" dxfId="511" priority="5048" timePeriod="last7Days">
      <formula>AND(TODAY()-FLOOR(G38,1)&lt;=6,FLOOR(G38,1)&lt;=TODAY())</formula>
    </cfRule>
    <cfRule type="timePeriod" dxfId="510" priority="5049" timePeriod="thisWeek">
      <formula>AND(TODAY()-ROUNDDOWN(G38,0)&lt;=WEEKDAY(TODAY())-1,ROUNDDOWN(G38,0)-TODAY()&lt;=7-WEEKDAY(TODAY()))</formula>
    </cfRule>
    <cfRule type="timePeriod" dxfId="509" priority="5050" timePeriod="nextWeek">
      <formula>AND(ROUNDDOWN(G38,0)-TODAY()&gt;(7-WEEKDAY(TODAY())),ROUNDDOWN(G38,0)-TODAY()&lt;(15-WEEKDAY(TODAY())))</formula>
    </cfRule>
    <cfRule type="timePeriod" dxfId="508" priority="5052" timePeriod="lastMonth">
      <formula>AND(MONTH(G38)=MONTH(EDATE(TODAY(),0-1)),YEAR(G38)=YEAR(EDATE(TODAY(),0-1)))</formula>
    </cfRule>
    <cfRule type="timePeriod" dxfId="507" priority="5053" timePeriod="last7Days">
      <formula>AND(TODAY()-FLOOR(G38,1)&lt;=6,FLOOR(G38,1)&lt;=TODAY())</formula>
    </cfRule>
    <cfRule type="timePeriod" dxfId="506" priority="5054" timePeriod="thisWeek">
      <formula>AND(TODAY()-ROUNDDOWN(G38,0)&lt;=WEEKDAY(TODAY())-1,ROUNDDOWN(G38,0)-TODAY()&lt;=7-WEEKDAY(TODAY()))</formula>
    </cfRule>
    <cfRule type="timePeriod" dxfId="505" priority="5055" timePeriod="nextWeek">
      <formula>AND(ROUNDDOWN(G38,0)-TODAY()&gt;(7-WEEKDAY(TODAY())),ROUNDDOWN(G38,0)-TODAY()&lt;(15-WEEKDAY(TODAY())))</formula>
    </cfRule>
    <cfRule type="timePeriod" dxfId="504" priority="5057" timePeriod="lastMonth">
      <formula>AND(MONTH(G38)=MONTH(EDATE(TODAY(),0-1)),YEAR(G38)=YEAR(EDATE(TODAY(),0-1)))</formula>
    </cfRule>
    <cfRule type="timePeriod" dxfId="503" priority="5058" timePeriod="last7Days">
      <formula>AND(TODAY()-FLOOR(G38,1)&lt;=6,FLOOR(G38,1)&lt;=TODAY())</formula>
    </cfRule>
    <cfRule type="timePeriod" dxfId="502" priority="5059" timePeriod="thisWeek">
      <formula>AND(TODAY()-ROUNDDOWN(G38,0)&lt;=WEEKDAY(TODAY())-1,ROUNDDOWN(G38,0)-TODAY()&lt;=7-WEEKDAY(TODAY()))</formula>
    </cfRule>
    <cfRule type="timePeriod" dxfId="501" priority="5060" timePeriod="nextWeek">
      <formula>AND(ROUNDDOWN(G38,0)-TODAY()&gt;(7-WEEKDAY(TODAY())),ROUNDDOWN(G38,0)-TODAY()&lt;(15-WEEKDAY(TODAY())))</formula>
    </cfRule>
    <cfRule type="timePeriod" dxfId="500" priority="5062" timePeriod="lastMonth">
      <formula>AND(MONTH(G38)=MONTH(EDATE(TODAY(),0-1)),YEAR(G38)=YEAR(EDATE(TODAY(),0-1)))</formula>
    </cfRule>
    <cfRule type="timePeriod" dxfId="499" priority="5063" timePeriod="last7Days">
      <formula>AND(TODAY()-FLOOR(G38,1)&lt;=6,FLOOR(G38,1)&lt;=TODAY())</formula>
    </cfRule>
    <cfRule type="timePeriod" dxfId="498" priority="5064" timePeriod="thisWeek">
      <formula>AND(TODAY()-ROUNDDOWN(G38,0)&lt;=WEEKDAY(TODAY())-1,ROUNDDOWN(G38,0)-TODAY()&lt;=7-WEEKDAY(TODAY()))</formula>
    </cfRule>
    <cfRule type="timePeriod" dxfId="497" priority="5065" timePeriod="nextWeek">
      <formula>AND(ROUNDDOWN(G38,0)-TODAY()&gt;(7-WEEKDAY(TODAY())),ROUNDDOWN(G38,0)-TODAY()&lt;(15-WEEKDAY(TODAY())))</formula>
    </cfRule>
    <cfRule type="timePeriod" dxfId="496" priority="5067" timePeriod="lastMonth">
      <formula>AND(MONTH(G38)=MONTH(EDATE(TODAY(),0-1)),YEAR(G38)=YEAR(EDATE(TODAY(),0-1)))</formula>
    </cfRule>
    <cfRule type="timePeriod" dxfId="495" priority="5068" timePeriod="last7Days">
      <formula>AND(TODAY()-FLOOR(G38,1)&lt;=6,FLOOR(G38,1)&lt;=TODAY())</formula>
    </cfRule>
    <cfRule type="timePeriod" dxfId="494" priority="5069" timePeriod="thisWeek">
      <formula>AND(TODAY()-ROUNDDOWN(G38,0)&lt;=WEEKDAY(TODAY())-1,ROUNDDOWN(G38,0)-TODAY()&lt;=7-WEEKDAY(TODAY()))</formula>
    </cfRule>
    <cfRule type="timePeriod" dxfId="493" priority="5070" timePeriod="nextWeek">
      <formula>AND(ROUNDDOWN(G38,0)-TODAY()&gt;(7-WEEKDAY(TODAY())),ROUNDDOWN(G38,0)-TODAY()&lt;(15-WEEKDAY(TODAY())))</formula>
    </cfRule>
    <cfRule type="timePeriod" dxfId="492" priority="5072" timePeriod="lastMonth">
      <formula>AND(MONTH(G38)=MONTH(EDATE(TODAY(),0-1)),YEAR(G38)=YEAR(EDATE(TODAY(),0-1)))</formula>
    </cfRule>
    <cfRule type="timePeriod" dxfId="491" priority="5073" timePeriod="last7Days">
      <formula>AND(TODAY()-FLOOR(G38,1)&lt;=6,FLOOR(G38,1)&lt;=TODAY())</formula>
    </cfRule>
    <cfRule type="timePeriod" dxfId="490" priority="5074" timePeriod="thisWeek">
      <formula>AND(TODAY()-ROUNDDOWN(G38,0)&lt;=WEEKDAY(TODAY())-1,ROUNDDOWN(G38,0)-TODAY()&lt;=7-WEEKDAY(TODAY()))</formula>
    </cfRule>
    <cfRule type="timePeriod" dxfId="489" priority="5075" timePeriod="nextWeek">
      <formula>AND(ROUNDDOWN(G38,0)-TODAY()&gt;(7-WEEKDAY(TODAY())),ROUNDDOWN(G38,0)-TODAY()&lt;(15-WEEKDAY(TODAY())))</formula>
    </cfRule>
    <cfRule type="timePeriod" dxfId="488" priority="5077" timePeriod="lastMonth">
      <formula>AND(MONTH(G38)=MONTH(EDATE(TODAY(),0-1)),YEAR(G38)=YEAR(EDATE(TODAY(),0-1)))</formula>
    </cfRule>
    <cfRule type="timePeriod" dxfId="487" priority="5078" timePeriod="last7Days">
      <formula>AND(TODAY()-FLOOR(G38,1)&lt;=6,FLOOR(G38,1)&lt;=TODAY())</formula>
    </cfRule>
    <cfRule type="timePeriod" dxfId="486" priority="5079" timePeriod="thisWeek">
      <formula>AND(TODAY()-ROUNDDOWN(G38,0)&lt;=WEEKDAY(TODAY())-1,ROUNDDOWN(G38,0)-TODAY()&lt;=7-WEEKDAY(TODAY()))</formula>
    </cfRule>
    <cfRule type="timePeriod" dxfId="485" priority="5080" timePeriod="nextWeek">
      <formula>AND(ROUNDDOWN(G38,0)-TODAY()&gt;(7-WEEKDAY(TODAY())),ROUNDDOWN(G38,0)-TODAY()&lt;(15-WEEKDAY(TODAY())))</formula>
    </cfRule>
    <cfRule type="timePeriod" dxfId="484" priority="5082" timePeriod="lastMonth">
      <formula>AND(MONTH(G38)=MONTH(EDATE(TODAY(),0-1)),YEAR(G38)=YEAR(EDATE(TODAY(),0-1)))</formula>
    </cfRule>
    <cfRule type="timePeriod" dxfId="483" priority="5083" timePeriod="last7Days">
      <formula>AND(TODAY()-FLOOR(G38,1)&lt;=6,FLOOR(G38,1)&lt;=TODAY())</formula>
    </cfRule>
    <cfRule type="timePeriod" dxfId="482" priority="5084" timePeriod="thisWeek">
      <formula>AND(TODAY()-ROUNDDOWN(G38,0)&lt;=WEEKDAY(TODAY())-1,ROUNDDOWN(G38,0)-TODAY()&lt;=7-WEEKDAY(TODAY()))</formula>
    </cfRule>
  </conditionalFormatting>
  <conditionalFormatting sqref="G38:G45">
    <cfRule type="timePeriod" dxfId="481" priority="4835" timePeriod="nextWeek">
      <formula>AND(ROUNDDOWN(G38,0)-TODAY()&gt;(7-WEEKDAY(TODAY())),ROUNDDOWN(G38,0)-TODAY()&lt;(15-WEEKDAY(TODAY())))</formula>
    </cfRule>
    <cfRule type="timePeriod" dxfId="480" priority="4837" timePeriod="lastMonth">
      <formula>AND(MONTH(G38)=MONTH(EDATE(TODAY(),0-1)),YEAR(G38)=YEAR(EDATE(TODAY(),0-1)))</formula>
    </cfRule>
    <cfRule type="timePeriod" dxfId="479" priority="4838" timePeriod="last7Days">
      <formula>AND(TODAY()-FLOOR(G38,1)&lt;=6,FLOOR(G38,1)&lt;=TODAY())</formula>
    </cfRule>
    <cfRule type="timePeriod" dxfId="478" priority="4839" timePeriod="thisWeek">
      <formula>AND(TODAY()-ROUNDDOWN(G38,0)&lt;=WEEKDAY(TODAY())-1,ROUNDDOWN(G38,0)-TODAY()&lt;=7-WEEKDAY(TODAY()))</formula>
    </cfRule>
  </conditionalFormatting>
  <conditionalFormatting sqref="G39">
    <cfRule type="timePeriod" dxfId="477" priority="4770" timePeriod="nextWeek">
      <formula>AND(ROUNDDOWN(G39,0)-TODAY()&gt;(7-WEEKDAY(TODAY())),ROUNDDOWN(G39,0)-TODAY()&lt;(15-WEEKDAY(TODAY())))</formula>
    </cfRule>
    <cfRule type="timePeriod" dxfId="476" priority="4772" timePeriod="lastMonth">
      <formula>AND(MONTH(G39)=MONTH(EDATE(TODAY(),0-1)),YEAR(G39)=YEAR(EDATE(TODAY(),0-1)))</formula>
    </cfRule>
    <cfRule type="timePeriod" dxfId="475" priority="4773" timePeriod="last7Days">
      <formula>AND(TODAY()-FLOOR(G39,1)&lt;=6,FLOOR(G39,1)&lt;=TODAY())</formula>
    </cfRule>
    <cfRule type="timePeriod" dxfId="474" priority="4774" timePeriod="thisWeek">
      <formula>AND(TODAY()-ROUNDDOWN(G39,0)&lt;=WEEKDAY(TODAY())-1,ROUNDDOWN(G39,0)-TODAY()&lt;=7-WEEKDAY(TODAY()))</formula>
    </cfRule>
    <cfRule type="timePeriod" dxfId="473" priority="4775" timePeriod="nextWeek">
      <formula>AND(ROUNDDOWN(G39,0)-TODAY()&gt;(7-WEEKDAY(TODAY())),ROUNDDOWN(G39,0)-TODAY()&lt;(15-WEEKDAY(TODAY())))</formula>
    </cfRule>
    <cfRule type="timePeriod" dxfId="472" priority="4777" timePeriod="lastMonth">
      <formula>AND(MONTH(G39)=MONTH(EDATE(TODAY(),0-1)),YEAR(G39)=YEAR(EDATE(TODAY(),0-1)))</formula>
    </cfRule>
    <cfRule type="timePeriod" dxfId="471" priority="4778" timePeriod="last7Days">
      <formula>AND(TODAY()-FLOOR(G39,1)&lt;=6,FLOOR(G39,1)&lt;=TODAY())</formula>
    </cfRule>
    <cfRule type="timePeriod" dxfId="470" priority="4779" timePeriod="thisWeek">
      <formula>AND(TODAY()-ROUNDDOWN(G39,0)&lt;=WEEKDAY(TODAY())-1,ROUNDDOWN(G39,0)-TODAY()&lt;=7-WEEKDAY(TODAY()))</formula>
    </cfRule>
    <cfRule type="timePeriod" dxfId="469" priority="4780" timePeriod="nextWeek">
      <formula>AND(ROUNDDOWN(G39,0)-TODAY()&gt;(7-WEEKDAY(TODAY())),ROUNDDOWN(G39,0)-TODAY()&lt;(15-WEEKDAY(TODAY())))</formula>
    </cfRule>
    <cfRule type="timePeriod" dxfId="468" priority="4782" timePeriod="lastMonth">
      <formula>AND(MONTH(G39)=MONTH(EDATE(TODAY(),0-1)),YEAR(G39)=YEAR(EDATE(TODAY(),0-1)))</formula>
    </cfRule>
    <cfRule type="timePeriod" dxfId="467" priority="4783" timePeriod="last7Days">
      <formula>AND(TODAY()-FLOOR(G39,1)&lt;=6,FLOOR(G39,1)&lt;=TODAY())</formula>
    </cfRule>
    <cfRule type="timePeriod" dxfId="466" priority="4784" timePeriod="thisWeek">
      <formula>AND(TODAY()-ROUNDDOWN(G39,0)&lt;=WEEKDAY(TODAY())-1,ROUNDDOWN(G39,0)-TODAY()&lt;=7-WEEKDAY(TODAY()))</formula>
    </cfRule>
    <cfRule type="timePeriod" dxfId="465" priority="4785" timePeriod="nextWeek">
      <formula>AND(ROUNDDOWN(G39,0)-TODAY()&gt;(7-WEEKDAY(TODAY())),ROUNDDOWN(G39,0)-TODAY()&lt;(15-WEEKDAY(TODAY())))</formula>
    </cfRule>
    <cfRule type="timePeriod" dxfId="464" priority="4787" timePeriod="lastMonth">
      <formula>AND(MONTH(G39)=MONTH(EDATE(TODAY(),0-1)),YEAR(G39)=YEAR(EDATE(TODAY(),0-1)))</formula>
    </cfRule>
    <cfRule type="timePeriod" dxfId="463" priority="4788" timePeriod="last7Days">
      <formula>AND(TODAY()-FLOOR(G39,1)&lt;=6,FLOOR(G39,1)&lt;=TODAY())</formula>
    </cfRule>
    <cfRule type="timePeriod" dxfId="462" priority="4789" timePeriod="thisWeek">
      <formula>AND(TODAY()-ROUNDDOWN(G39,0)&lt;=WEEKDAY(TODAY())-1,ROUNDDOWN(G39,0)-TODAY()&lt;=7-WEEKDAY(TODAY()))</formula>
    </cfRule>
    <cfRule type="timePeriod" dxfId="461" priority="4790" timePeriod="nextWeek">
      <formula>AND(ROUNDDOWN(G39,0)-TODAY()&gt;(7-WEEKDAY(TODAY())),ROUNDDOWN(G39,0)-TODAY()&lt;(15-WEEKDAY(TODAY())))</formula>
    </cfRule>
    <cfRule type="timePeriod" dxfId="460" priority="4792" timePeriod="lastMonth">
      <formula>AND(MONTH(G39)=MONTH(EDATE(TODAY(),0-1)),YEAR(G39)=YEAR(EDATE(TODAY(),0-1)))</formula>
    </cfRule>
    <cfRule type="timePeriod" dxfId="459" priority="4793" timePeriod="last7Days">
      <formula>AND(TODAY()-FLOOR(G39,1)&lt;=6,FLOOR(G39,1)&lt;=TODAY())</formula>
    </cfRule>
    <cfRule type="timePeriod" dxfId="458" priority="4794" timePeriod="thisWeek">
      <formula>AND(TODAY()-ROUNDDOWN(G39,0)&lt;=WEEKDAY(TODAY())-1,ROUNDDOWN(G39,0)-TODAY()&lt;=7-WEEKDAY(TODAY()))</formula>
    </cfRule>
    <cfRule type="timePeriod" dxfId="457" priority="4795" timePeriod="nextWeek">
      <formula>AND(ROUNDDOWN(G39,0)-TODAY()&gt;(7-WEEKDAY(TODAY())),ROUNDDOWN(G39,0)-TODAY()&lt;(15-WEEKDAY(TODAY())))</formula>
    </cfRule>
    <cfRule type="timePeriod" dxfId="456" priority="4797" timePeriod="lastMonth">
      <formula>AND(MONTH(G39)=MONTH(EDATE(TODAY(),0-1)),YEAR(G39)=YEAR(EDATE(TODAY(),0-1)))</formula>
    </cfRule>
    <cfRule type="timePeriod" dxfId="455" priority="4798" timePeriod="last7Days">
      <formula>AND(TODAY()-FLOOR(G39,1)&lt;=6,FLOOR(G39,1)&lt;=TODAY())</formula>
    </cfRule>
    <cfRule type="timePeriod" dxfId="454" priority="4799" timePeriod="thisWeek">
      <formula>AND(TODAY()-ROUNDDOWN(G39,0)&lt;=WEEKDAY(TODAY())-1,ROUNDDOWN(G39,0)-TODAY()&lt;=7-WEEKDAY(TODAY()))</formula>
    </cfRule>
    <cfRule type="timePeriod" dxfId="453" priority="4800" timePeriod="nextWeek">
      <formula>AND(ROUNDDOWN(G39,0)-TODAY()&gt;(7-WEEKDAY(TODAY())),ROUNDDOWN(G39,0)-TODAY()&lt;(15-WEEKDAY(TODAY())))</formula>
    </cfRule>
    <cfRule type="timePeriod" dxfId="452" priority="4802" timePeriod="lastMonth">
      <formula>AND(MONTH(G39)=MONTH(EDATE(TODAY(),0-1)),YEAR(G39)=YEAR(EDATE(TODAY(),0-1)))</formula>
    </cfRule>
    <cfRule type="timePeriod" dxfId="451" priority="4803" timePeriod="last7Days">
      <formula>AND(TODAY()-FLOOR(G39,1)&lt;=6,FLOOR(G39,1)&lt;=TODAY())</formula>
    </cfRule>
    <cfRule type="timePeriod" dxfId="450" priority="4804" timePeriod="thisWeek">
      <formula>AND(TODAY()-ROUNDDOWN(G39,0)&lt;=WEEKDAY(TODAY())-1,ROUNDDOWN(G39,0)-TODAY()&lt;=7-WEEKDAY(TODAY()))</formula>
    </cfRule>
    <cfRule type="timePeriod" dxfId="449" priority="4805" timePeriod="nextWeek">
      <formula>AND(ROUNDDOWN(G39,0)-TODAY()&gt;(7-WEEKDAY(TODAY())),ROUNDDOWN(G39,0)-TODAY()&lt;(15-WEEKDAY(TODAY())))</formula>
    </cfRule>
    <cfRule type="timePeriod" dxfId="448" priority="4807" timePeriod="lastMonth">
      <formula>AND(MONTH(G39)=MONTH(EDATE(TODAY(),0-1)),YEAR(G39)=YEAR(EDATE(TODAY(),0-1)))</formula>
    </cfRule>
    <cfRule type="timePeriod" dxfId="447" priority="4808" timePeriod="last7Days">
      <formula>AND(TODAY()-FLOOR(G39,1)&lt;=6,FLOOR(G39,1)&lt;=TODAY())</formula>
    </cfRule>
    <cfRule type="timePeriod" dxfId="446" priority="4809" timePeriod="thisWeek">
      <formula>AND(TODAY()-ROUNDDOWN(G39,0)&lt;=WEEKDAY(TODAY())-1,ROUNDDOWN(G39,0)-TODAY()&lt;=7-WEEKDAY(TODAY()))</formula>
    </cfRule>
    <cfRule type="timePeriod" dxfId="445" priority="4810" timePeriod="nextWeek">
      <formula>AND(ROUNDDOWN(G39,0)-TODAY()&gt;(7-WEEKDAY(TODAY())),ROUNDDOWN(G39,0)-TODAY()&lt;(15-WEEKDAY(TODAY())))</formula>
    </cfRule>
    <cfRule type="timePeriod" dxfId="444" priority="4812" timePeriod="lastMonth">
      <formula>AND(MONTH(G39)=MONTH(EDATE(TODAY(),0-1)),YEAR(G39)=YEAR(EDATE(TODAY(),0-1)))</formula>
    </cfRule>
    <cfRule type="timePeriod" dxfId="443" priority="4813" timePeriod="last7Days">
      <formula>AND(TODAY()-FLOOR(G39,1)&lt;=6,FLOOR(G39,1)&lt;=TODAY())</formula>
    </cfRule>
    <cfRule type="timePeriod" dxfId="442" priority="4814" timePeriod="thisWeek">
      <formula>AND(TODAY()-ROUNDDOWN(G39,0)&lt;=WEEKDAY(TODAY())-1,ROUNDDOWN(G39,0)-TODAY()&lt;=7-WEEKDAY(TODAY()))</formula>
    </cfRule>
    <cfRule type="timePeriod" dxfId="441" priority="4815" timePeriod="nextWeek">
      <formula>AND(ROUNDDOWN(G39,0)-TODAY()&gt;(7-WEEKDAY(TODAY())),ROUNDDOWN(G39,0)-TODAY()&lt;(15-WEEKDAY(TODAY())))</formula>
    </cfRule>
    <cfRule type="timePeriod" dxfId="440" priority="4817" timePeriod="lastMonth">
      <formula>AND(MONTH(G39)=MONTH(EDATE(TODAY(),0-1)),YEAR(G39)=YEAR(EDATE(TODAY(),0-1)))</formula>
    </cfRule>
    <cfRule type="timePeriod" dxfId="439" priority="4818" timePeriod="last7Days">
      <formula>AND(TODAY()-FLOOR(G39,1)&lt;=6,FLOOR(G39,1)&lt;=TODAY())</formula>
    </cfRule>
    <cfRule type="timePeriod" dxfId="438" priority="4819" timePeriod="thisWeek">
      <formula>AND(TODAY()-ROUNDDOWN(G39,0)&lt;=WEEKDAY(TODAY())-1,ROUNDDOWN(G39,0)-TODAY()&lt;=7-WEEKDAY(TODAY()))</formula>
    </cfRule>
    <cfRule type="timePeriod" dxfId="437" priority="4820" timePeriod="nextWeek">
      <formula>AND(ROUNDDOWN(G39,0)-TODAY()&gt;(7-WEEKDAY(TODAY())),ROUNDDOWN(G39,0)-TODAY()&lt;(15-WEEKDAY(TODAY())))</formula>
    </cfRule>
    <cfRule type="timePeriod" dxfId="436" priority="4822" timePeriod="lastMonth">
      <formula>AND(MONTH(G39)=MONTH(EDATE(TODAY(),0-1)),YEAR(G39)=YEAR(EDATE(TODAY(),0-1)))</formula>
    </cfRule>
    <cfRule type="timePeriod" dxfId="435" priority="4823" timePeriod="last7Days">
      <formula>AND(TODAY()-FLOOR(G39,1)&lt;=6,FLOOR(G39,1)&lt;=TODAY())</formula>
    </cfRule>
    <cfRule type="timePeriod" dxfId="434" priority="4824" timePeriod="thisWeek">
      <formula>AND(TODAY()-ROUNDDOWN(G39,0)&lt;=WEEKDAY(TODAY())-1,ROUNDDOWN(G39,0)-TODAY()&lt;=7-WEEKDAY(TODAY()))</formula>
    </cfRule>
    <cfRule type="timePeriod" dxfId="433" priority="4825" timePeriod="nextWeek">
      <formula>AND(ROUNDDOWN(G39,0)-TODAY()&gt;(7-WEEKDAY(TODAY())),ROUNDDOWN(G39,0)-TODAY()&lt;(15-WEEKDAY(TODAY())))</formula>
    </cfRule>
    <cfRule type="timePeriod" dxfId="432" priority="4827" timePeriod="lastMonth">
      <formula>AND(MONTH(G39)=MONTH(EDATE(TODAY(),0-1)),YEAR(G39)=YEAR(EDATE(TODAY(),0-1)))</formula>
    </cfRule>
    <cfRule type="timePeriod" dxfId="431" priority="4828" timePeriod="last7Days">
      <formula>AND(TODAY()-FLOOR(G39,1)&lt;=6,FLOOR(G39,1)&lt;=TODAY())</formula>
    </cfRule>
    <cfRule type="timePeriod" dxfId="430" priority="4829" timePeriod="thisWeek">
      <formula>AND(TODAY()-ROUNDDOWN(G39,0)&lt;=WEEKDAY(TODAY())-1,ROUNDDOWN(G39,0)-TODAY()&lt;=7-WEEKDAY(TODAY()))</formula>
    </cfRule>
  </conditionalFormatting>
  <conditionalFormatting sqref="G123:G126">
    <cfRule type="timePeriod" dxfId="429" priority="2175" timePeriod="nextWeek">
      <formula>AND(ROUNDDOWN(G123,0)-TODAY()&gt;(7-WEEKDAY(TODAY())),ROUNDDOWN(G123,0)-TODAY()&lt;(15-WEEKDAY(TODAY())))</formula>
    </cfRule>
    <cfRule type="timePeriod" dxfId="428" priority="2176" timePeriod="lastMonth">
      <formula>AND(MONTH(G123)=MONTH(EDATE(TODAY(),0-1)),YEAR(G123)=YEAR(EDATE(TODAY(),0-1)))</formula>
    </cfRule>
    <cfRule type="timePeriod" dxfId="427" priority="2177" timePeriod="last7Days">
      <formula>AND(TODAY()-FLOOR(G123,1)&lt;=6,FLOOR(G123,1)&lt;=TODAY())</formula>
    </cfRule>
    <cfRule type="timePeriod" dxfId="426" priority="2178" timePeriod="thisWeek">
      <formula>AND(TODAY()-ROUNDDOWN(G123,0)&lt;=WEEKDAY(TODAY())-1,ROUNDDOWN(G123,0)-TODAY()&lt;=7-WEEKDAY(TODAY()))</formula>
    </cfRule>
  </conditionalFormatting>
  <conditionalFormatting sqref="G221">
    <cfRule type="timePeriod" dxfId="425" priority="6035" timePeriod="nextWeek">
      <formula>AND(ROUNDDOWN(G221,0)-TODAY()&gt;(7-WEEKDAY(TODAY())),ROUNDDOWN(G221,0)-TODAY()&lt;(15-WEEKDAY(TODAY())))</formula>
    </cfRule>
    <cfRule type="timePeriod" dxfId="424" priority="6037" timePeriod="lastMonth">
      <formula>AND(MONTH(G221)=MONTH(EDATE(TODAY(),0-1)),YEAR(G221)=YEAR(EDATE(TODAY(),0-1)))</formula>
    </cfRule>
    <cfRule type="timePeriod" dxfId="423" priority="6038" timePeriod="last7Days">
      <formula>AND(TODAY()-FLOOR(G221,1)&lt;=6,FLOOR(G221,1)&lt;=TODAY())</formula>
    </cfRule>
    <cfRule type="timePeriod" dxfId="422" priority="6039" timePeriod="thisWeek">
      <formula>AND(TODAY()-ROUNDDOWN(G221,0)&lt;=WEEKDAY(TODAY())-1,ROUNDDOWN(G221,0)-TODAY()&lt;=7-WEEKDAY(TODAY()))</formula>
    </cfRule>
  </conditionalFormatting>
  <conditionalFormatting sqref="G221:G222">
    <cfRule type="timePeriod" priority="4536" timePeriod="nextWeek">
      <formula>AND(ROUNDDOWN(G221,0)-TODAY()&gt;(7-WEEKDAY(TODAY())),ROUNDDOWN(G221,0)-TODAY()&lt;(15-WEEKDAY(TODAY())))</formula>
    </cfRule>
    <cfRule type="timePeriod" dxfId="421" priority="4540" timePeriod="nextWeek">
      <formula>AND(ROUNDDOWN(G221,0)-TODAY()&gt;(7-WEEKDAY(TODAY())),ROUNDDOWN(G221,0)-TODAY()&lt;(15-WEEKDAY(TODAY())))</formula>
    </cfRule>
    <cfRule type="timePeriod" dxfId="420" priority="4542" timePeriod="lastMonth">
      <formula>AND(MONTH(G221)=MONTH(EDATE(TODAY(),0-1)),YEAR(G221)=YEAR(EDATE(TODAY(),0-1)))</formula>
    </cfRule>
    <cfRule type="timePeriod" dxfId="419" priority="4543" timePeriod="last7Days">
      <formula>AND(TODAY()-FLOOR(G221,1)&lt;=6,FLOOR(G221,1)&lt;=TODAY())</formula>
    </cfRule>
    <cfRule type="timePeriod" dxfId="418" priority="4544" timePeriod="thisWeek">
      <formula>AND(TODAY()-ROUNDDOWN(G221,0)&lt;=WEEKDAY(TODAY())-1,ROUNDDOWN(G221,0)-TODAY()&lt;=7-WEEKDAY(TODAY()))</formula>
    </cfRule>
  </conditionalFormatting>
  <conditionalFormatting sqref="G222">
    <cfRule type="timePeriod" dxfId="417" priority="4535" timePeriod="nextWeek">
      <formula>AND(ROUNDDOWN(G222,0)-TODAY()&gt;(7-WEEKDAY(TODAY())),ROUNDDOWN(G222,0)-TODAY()&lt;(15-WEEKDAY(TODAY())))</formula>
    </cfRule>
    <cfRule type="timePeriod" dxfId="416" priority="4537" timePeriod="lastMonth">
      <formula>AND(MONTH(G222)=MONTH(EDATE(TODAY(),0-1)),YEAR(G222)=YEAR(EDATE(TODAY(),0-1)))</formula>
    </cfRule>
    <cfRule type="timePeriod" dxfId="415" priority="4538" timePeriod="last7Days">
      <formula>AND(TODAY()-FLOOR(G222,1)&lt;=6,FLOOR(G222,1)&lt;=TODAY())</formula>
    </cfRule>
    <cfRule type="timePeriod" dxfId="414" priority="4539" timePeriod="thisWeek">
      <formula>AND(TODAY()-ROUNDDOWN(G222,0)&lt;=WEEKDAY(TODAY())-1,ROUNDDOWN(G222,0)-TODAY()&lt;=7-WEEKDAY(TODAY()))</formula>
    </cfRule>
  </conditionalFormatting>
  <conditionalFormatting sqref="G24:I24">
    <cfRule type="timePeriod" dxfId="413" priority="5876" timePeriod="nextWeek">
      <formula>AND(ROUNDDOWN(G24,0)-TODAY()&gt;(7-WEEKDAY(TODAY())),ROUNDDOWN(G24,0)-TODAY()&lt;(15-WEEKDAY(TODAY())))</formula>
    </cfRule>
    <cfRule type="timePeriod" dxfId="412" priority="5878" timePeriod="lastMonth">
      <formula>AND(MONTH(G24)=MONTH(EDATE(TODAY(),0-1)),YEAR(G24)=YEAR(EDATE(TODAY(),0-1)))</formula>
    </cfRule>
    <cfRule type="timePeriod" dxfId="411" priority="5879" timePeriod="last7Days">
      <formula>AND(TODAY()-FLOOR(G24,1)&lt;=6,FLOOR(G24,1)&lt;=TODAY())</formula>
    </cfRule>
    <cfRule type="timePeriod" dxfId="410" priority="5880" timePeriod="thisWeek">
      <formula>AND(TODAY()-ROUNDDOWN(G24,0)&lt;=WEEKDAY(TODAY())-1,ROUNDDOWN(G24,0)-TODAY()&lt;=7-WEEKDAY(TODAY()))</formula>
    </cfRule>
  </conditionalFormatting>
  <conditionalFormatting sqref="G36:I36">
    <cfRule type="timePeriod" dxfId="409" priority="5195" timePeriod="nextWeek">
      <formula>AND(ROUNDDOWN(G36,0)-TODAY()&gt;(7-WEEKDAY(TODAY())),ROUNDDOWN(G36,0)-TODAY()&lt;(15-WEEKDAY(TODAY())))</formula>
    </cfRule>
    <cfRule type="timePeriod" dxfId="408" priority="5197" timePeriod="lastMonth">
      <formula>AND(MONTH(G36)=MONTH(EDATE(TODAY(),0-1)),YEAR(G36)=YEAR(EDATE(TODAY(),0-1)))</formula>
    </cfRule>
    <cfRule type="timePeriod" dxfId="407" priority="5198" timePeriod="last7Days">
      <formula>AND(TODAY()-FLOOR(G36,1)&lt;=6,FLOOR(G36,1)&lt;=TODAY())</formula>
    </cfRule>
    <cfRule type="timePeriod" dxfId="406" priority="5199" timePeriod="thisWeek">
      <formula>AND(TODAY()-ROUNDDOWN(G36,0)&lt;=WEEKDAY(TODAY())-1,ROUNDDOWN(G36,0)-TODAY()&lt;=7-WEEKDAY(TODAY()))</formula>
    </cfRule>
  </conditionalFormatting>
  <conditionalFormatting sqref="G38:I38">
    <cfRule type="timePeriod" dxfId="405" priority="5085" timePeriod="nextWeek">
      <formula>AND(ROUNDDOWN(G38,0)-TODAY()&gt;(7-WEEKDAY(TODAY())),ROUNDDOWN(G38,0)-TODAY()&lt;(15-WEEKDAY(TODAY())))</formula>
    </cfRule>
    <cfRule type="timePeriod" dxfId="404" priority="5087" timePeriod="lastMonth">
      <formula>AND(MONTH(G38)=MONTH(EDATE(TODAY(),0-1)),YEAR(G38)=YEAR(EDATE(TODAY(),0-1)))</formula>
    </cfRule>
    <cfRule type="timePeriod" dxfId="403" priority="5088" timePeriod="last7Days">
      <formula>AND(TODAY()-FLOOR(G38,1)&lt;=6,FLOOR(G38,1)&lt;=TODAY())</formula>
    </cfRule>
    <cfRule type="timePeriod" dxfId="402" priority="5089" timePeriod="thisWeek">
      <formula>AND(TODAY()-ROUNDDOWN(G38,0)&lt;=WEEKDAY(TODAY())-1,ROUNDDOWN(G38,0)-TODAY()&lt;=7-WEEKDAY(TODAY()))</formula>
    </cfRule>
  </conditionalFormatting>
  <conditionalFormatting sqref="G39:I39">
    <cfRule type="timePeriod" dxfId="401" priority="4830" timePeriod="nextWeek">
      <formula>AND(ROUNDDOWN(G39,0)-TODAY()&gt;(7-WEEKDAY(TODAY())),ROUNDDOWN(G39,0)-TODAY()&lt;(15-WEEKDAY(TODAY())))</formula>
    </cfRule>
    <cfRule type="timePeriod" dxfId="400" priority="4832" timePeriod="lastMonth">
      <formula>AND(MONTH(G39)=MONTH(EDATE(TODAY(),0-1)),YEAR(G39)=YEAR(EDATE(TODAY(),0-1)))</formula>
    </cfRule>
    <cfRule type="timePeriod" dxfId="399" priority="4833" timePeriod="last7Days">
      <formula>AND(TODAY()-FLOOR(G39,1)&lt;=6,FLOOR(G39,1)&lt;=TODAY())</formula>
    </cfRule>
    <cfRule type="timePeriod" dxfId="398" priority="4834" timePeriod="thisWeek">
      <formula>AND(TODAY()-ROUNDDOWN(G39,0)&lt;=WEEKDAY(TODAY())-1,ROUNDDOWN(G39,0)-TODAY()&lt;=7-WEEKDAY(TODAY()))</formula>
    </cfRule>
  </conditionalFormatting>
  <conditionalFormatting sqref="G132:I151 D151:E151">
    <cfRule type="timePeriod" dxfId="397" priority="1786" timePeriod="nextWeek">
      <formula>AND(ROUNDDOWN(D132,0)-TODAY()&gt;(7-WEEKDAY(TODAY())),ROUNDDOWN(D132,0)-TODAY()&lt;(15-WEEKDAY(TODAY())))</formula>
    </cfRule>
  </conditionalFormatting>
  <conditionalFormatting sqref="G132:I177 D133:E177">
    <cfRule type="timePeriod" priority="828" timePeriod="nextWeek">
      <formula>AND(ROUNDDOWN(D132,0)-TODAY()&gt;(7-WEEKDAY(TODAY())),ROUNDDOWN(D132,0)-TODAY()&lt;(15-WEEKDAY(TODAY())))</formula>
    </cfRule>
  </conditionalFormatting>
  <conditionalFormatting sqref="G151:I152 D152:E152">
    <cfRule type="timePeriod" dxfId="396" priority="1760" timePeriod="nextWeek">
      <formula>AND(ROUNDDOWN(D151,0)-TODAY()&gt;(7-WEEKDAY(TODAY())),ROUNDDOWN(D151,0)-TODAY()&lt;(15-WEEKDAY(TODAY())))</formula>
    </cfRule>
  </conditionalFormatting>
  <conditionalFormatting sqref="G152:I153 D153:E153">
    <cfRule type="timePeriod" dxfId="395" priority="1735" timePeriod="nextWeek">
      <formula>AND(ROUNDDOWN(D152,0)-TODAY()&gt;(7-WEEKDAY(TODAY())),ROUNDDOWN(D152,0)-TODAY()&lt;(15-WEEKDAY(TODAY())))</formula>
    </cfRule>
  </conditionalFormatting>
  <conditionalFormatting sqref="G153:I156 D154:E156">
    <cfRule type="timePeriod" dxfId="394" priority="1710" timePeriod="nextWeek">
      <formula>AND(ROUNDDOWN(D153,0)-TODAY()&gt;(7-WEEKDAY(TODAY())),ROUNDDOWN(D153,0)-TODAY()&lt;(15-WEEKDAY(TODAY())))</formula>
    </cfRule>
  </conditionalFormatting>
  <conditionalFormatting sqref="G156:I158 D157:E158 AL157:XFD158">
    <cfRule type="timePeriod" dxfId="393" priority="1652" timePeriod="lastMonth">
      <formula>AND(MONTH(D156)=MONTH(EDATE(TODAY(),0-1)),YEAR(D156)=YEAR(EDATE(TODAY(),0-1)))</formula>
    </cfRule>
  </conditionalFormatting>
  <conditionalFormatting sqref="G157:I158 D157:E158 AL157:XFD158">
    <cfRule type="timePeriod" dxfId="392" priority="1653" timePeriod="last7Days">
      <formula>AND(TODAY()-FLOOR(D157,1)&lt;=6,FLOOR(D157,1)&lt;=TODAY())</formula>
    </cfRule>
  </conditionalFormatting>
  <conditionalFormatting sqref="G157:I158">
    <cfRule type="timePeriod" dxfId="391" priority="1651" timePeriod="thisWeek">
      <formula>AND(TODAY()-ROUNDDOWN(G157,0)&lt;=WEEKDAY(TODAY())-1,ROUNDDOWN(G157,0)-TODAY()&lt;=7-WEEKDAY(TODAY()))</formula>
    </cfRule>
  </conditionalFormatting>
  <conditionalFormatting sqref="G157:I159 D159:E159">
    <cfRule type="timePeriod" dxfId="390" priority="1597" timePeriod="lastMonth">
      <formula>AND(MONTH(D157)=MONTH(EDATE(TODAY(),0-1)),YEAR(D157)=YEAR(EDATE(TODAY(),0-1)))</formula>
    </cfRule>
  </conditionalFormatting>
  <conditionalFormatting sqref="G159:I160 D160:E160">
    <cfRule type="timePeriod" dxfId="389" priority="1553" timePeriod="lastMonth">
      <formula>AND(MONTH(D159)=MONTH(EDATE(TODAY(),0-1)),YEAR(D159)=YEAR(EDATE(TODAY(),0-1)))</formula>
    </cfRule>
  </conditionalFormatting>
  <conditionalFormatting sqref="G160:I161 D161:E161">
    <cfRule type="timePeriod" dxfId="388" priority="1500" timePeriod="lastMonth">
      <formula>AND(MONTH(D160)=MONTH(EDATE(TODAY(),0-1)),YEAR(D160)=YEAR(EDATE(TODAY(),0-1)))</formula>
    </cfRule>
  </conditionalFormatting>
  <conditionalFormatting sqref="G161:I162 D162:E162">
    <cfRule type="timePeriod" dxfId="387" priority="1455" timePeriod="lastMonth">
      <formula>AND(MONTH(D161)=MONTH(EDATE(TODAY(),0-1)),YEAR(D161)=YEAR(EDATE(TODAY(),0-1)))</formula>
    </cfRule>
  </conditionalFormatting>
  <conditionalFormatting sqref="G162:I163 D163:E163">
    <cfRule type="timePeriod" dxfId="386" priority="1420" timePeriod="lastMonth">
      <formula>AND(MONTH(D162)=MONTH(EDATE(TODAY(),0-1)),YEAR(D162)=YEAR(EDATE(TODAY(),0-1)))</formula>
    </cfRule>
  </conditionalFormatting>
  <conditionalFormatting sqref="G163:I164 D164:E164">
    <cfRule type="timePeriod" dxfId="385" priority="1376" timePeriod="lastMonth">
      <formula>AND(MONTH(D163)=MONTH(EDATE(TODAY(),0-1)),YEAR(D163)=YEAR(EDATE(TODAY(),0-1)))</formula>
    </cfRule>
  </conditionalFormatting>
  <conditionalFormatting sqref="G164:I165 D165:E165">
    <cfRule type="timePeriod" dxfId="384" priority="1338" timePeriod="lastMonth">
      <formula>AND(MONTH(D164)=MONTH(EDATE(TODAY(),0-1)),YEAR(D164)=YEAR(EDATE(TODAY(),0-1)))</formula>
    </cfRule>
  </conditionalFormatting>
  <conditionalFormatting sqref="G165:I166 D166:E166">
    <cfRule type="timePeriod" dxfId="383" priority="1212" timePeriod="lastMonth">
      <formula>AND(MONTH(D165)=MONTH(EDATE(TODAY(),0-1)),YEAR(D165)=YEAR(EDATE(TODAY(),0-1)))</formula>
    </cfRule>
  </conditionalFormatting>
  <conditionalFormatting sqref="G166:I167 D167:E167">
    <cfRule type="timePeriod" dxfId="382" priority="1181" timePeriod="lastMonth">
      <formula>AND(MONTH(D166)=MONTH(EDATE(TODAY(),0-1)),YEAR(D166)=YEAR(EDATE(TODAY(),0-1)))</formula>
    </cfRule>
  </conditionalFormatting>
  <conditionalFormatting sqref="G167:I168 D168:E168">
    <cfRule type="timePeriod" dxfId="381" priority="1145" timePeriod="lastMonth">
      <formula>AND(MONTH(D167)=MONTH(EDATE(TODAY(),0-1)),YEAR(D167)=YEAR(EDATE(TODAY(),0-1)))</formula>
    </cfRule>
  </conditionalFormatting>
  <conditionalFormatting sqref="G168:I169 D169:E169">
    <cfRule type="timePeriod" dxfId="380" priority="1077" timePeriod="lastMonth">
      <formula>AND(MONTH(D168)=MONTH(EDATE(TODAY(),0-1)),YEAR(D168)=YEAR(EDATE(TODAY(),0-1)))</formula>
    </cfRule>
  </conditionalFormatting>
  <conditionalFormatting sqref="G169:I170 D170:E170">
    <cfRule type="timePeriod" dxfId="379" priority="1028" timePeriod="lastMonth">
      <formula>AND(MONTH(D169)=MONTH(EDATE(TODAY(),0-1)),YEAR(D169)=YEAR(EDATE(TODAY(),0-1)))</formula>
    </cfRule>
  </conditionalFormatting>
  <conditionalFormatting sqref="G170:I173 D171:E173">
    <cfRule type="timePeriod" dxfId="378" priority="987" timePeriod="nextWeek">
      <formula>AND(ROUNDDOWN(D170,0)-TODAY()&gt;(7-WEEKDAY(TODAY())),ROUNDDOWN(D170,0)-TODAY()&lt;(15-WEEKDAY(TODAY())))</formula>
    </cfRule>
    <cfRule type="timePeriod" dxfId="377" priority="992" timePeriod="lastMonth">
      <formula>AND(MONTH(D170)=MONTH(EDATE(TODAY(),0-1)),YEAR(D170)=YEAR(EDATE(TODAY(),0-1)))</formula>
    </cfRule>
  </conditionalFormatting>
  <conditionalFormatting sqref="G171:I171">
    <cfRule type="timePeriod" dxfId="376" priority="991" timePeriod="thisWeek">
      <formula>AND(TODAY()-ROUNDDOWN(G171,0)&lt;=WEEKDAY(TODAY())-1,ROUNDDOWN(G171,0)-TODAY()&lt;=7-WEEKDAY(TODAY()))</formula>
    </cfRule>
  </conditionalFormatting>
  <conditionalFormatting sqref="G171:I173 D171:E173">
    <cfRule type="timePeriod" dxfId="375" priority="993" timePeriod="last7Days">
      <formula>AND(TODAY()-FLOOR(D171,1)&lt;=6,FLOOR(D171,1)&lt;=TODAY())</formula>
    </cfRule>
  </conditionalFormatting>
  <conditionalFormatting sqref="G171:I174 D174:E174">
    <cfRule type="timePeriod" dxfId="374" priority="910" timePeriod="nextWeek">
      <formula>AND(ROUNDDOWN(D171,0)-TODAY()&gt;(7-WEEKDAY(TODAY())),ROUNDDOWN(D171,0)-TODAY()&lt;(15-WEEKDAY(TODAY())))</formula>
    </cfRule>
  </conditionalFormatting>
  <conditionalFormatting sqref="G172:I174">
    <cfRule type="timePeriod" dxfId="373" priority="922" timePeriod="thisWeek">
      <formula>AND(TODAY()-ROUNDDOWN(G172,0)&lt;=WEEKDAY(TODAY())-1,ROUNDDOWN(G172,0)-TODAY()&lt;=7-WEEKDAY(TODAY()))</formula>
    </cfRule>
  </conditionalFormatting>
  <conditionalFormatting sqref="G174:I174 D174:E174">
    <cfRule type="timePeriod" dxfId="372" priority="923" timePeriod="last7Days">
      <formula>AND(TODAY()-FLOOR(D174,1)&lt;=6,FLOOR(D174,1)&lt;=TODAY())</formula>
    </cfRule>
  </conditionalFormatting>
  <conditionalFormatting sqref="G174:I174">
    <cfRule type="timePeriod" dxfId="371" priority="909" timePeriod="lastMonth">
      <formula>AND(MONTH(G174)=MONTH(EDATE(TODAY(),0-1)),YEAR(G174)=YEAR(EDATE(TODAY(),0-1)))</formula>
    </cfRule>
  </conditionalFormatting>
  <conditionalFormatting sqref="G174:I176 D175:E176">
    <cfRule type="timePeriod" dxfId="370" priority="875" timePeriod="nextWeek">
      <formula>AND(ROUNDDOWN(D174,0)-TODAY()&gt;(7-WEEKDAY(TODAY())),ROUNDDOWN(D174,0)-TODAY()&lt;(15-WEEKDAY(TODAY())))</formula>
    </cfRule>
  </conditionalFormatting>
  <conditionalFormatting sqref="G174:I176">
    <cfRule type="timePeriod" dxfId="369" priority="886" timePeriod="thisWeek">
      <formula>AND(TODAY()-ROUNDDOWN(G174,0)&lt;=WEEKDAY(TODAY())-1,ROUNDDOWN(G174,0)-TODAY()&lt;=7-WEEKDAY(TODAY()))</formula>
    </cfRule>
  </conditionalFormatting>
  <conditionalFormatting sqref="G175:I176 D175:E176">
    <cfRule type="timePeriod" dxfId="368" priority="887" timePeriod="last7Days">
      <formula>AND(TODAY()-FLOOR(D175,1)&lt;=6,FLOOR(D175,1)&lt;=TODAY())</formula>
    </cfRule>
  </conditionalFormatting>
  <conditionalFormatting sqref="G175:I177 D177:E177 G178:G205">
    <cfRule type="timePeriod" dxfId="367" priority="830" timePeriod="nextWeek">
      <formula>AND(ROUNDDOWN(D175,0)-TODAY()&gt;(7-WEEKDAY(TODAY())),ROUNDDOWN(D175,0)-TODAY()&lt;(15-WEEKDAY(TODAY())))</formula>
    </cfRule>
  </conditionalFormatting>
  <conditionalFormatting sqref="G175:I177 G178:G205 D175:E177">
    <cfRule type="timePeriod" dxfId="366" priority="843" timePeriod="lastMonth">
      <formula>AND(MONTH(D175)=MONTH(EDATE(TODAY(),0-1)),YEAR(D175)=YEAR(EDATE(TODAY(),0-1)))</formula>
    </cfRule>
  </conditionalFormatting>
  <conditionalFormatting sqref="G175:I177 G178:G205">
    <cfRule type="timePeriod" dxfId="365" priority="841" timePeriod="thisWeek">
      <formula>AND(TODAY()-ROUNDDOWN(G175,0)&lt;=WEEKDAY(TODAY())-1,ROUNDDOWN(G175,0)-TODAY()&lt;=7-WEEKDAY(TODAY()))</formula>
    </cfRule>
  </conditionalFormatting>
  <conditionalFormatting sqref="G177:I177 G178:G205 D177:E177">
    <cfRule type="timePeriod" dxfId="364" priority="842" timePeriod="last7Days">
      <formula>AND(TODAY()-FLOOR(D177,1)&lt;=6,FLOOR(D177,1)&lt;=TODAY())</formula>
    </cfRule>
  </conditionalFormatting>
  <conditionalFormatting sqref="G177:I177 G178:G205">
    <cfRule type="timePeriod" dxfId="363" priority="825" timePeriod="thisWeek">
      <formula>AND(TODAY()-ROUNDDOWN(G177,0)&lt;=WEEKDAY(TODAY())-1,ROUNDDOWN(G177,0)-TODAY()&lt;=7-WEEKDAY(TODAY()))</formula>
    </cfRule>
  </conditionalFormatting>
  <conditionalFormatting sqref="G177:I177">
    <cfRule type="timePeriod" dxfId="362" priority="824" timePeriod="nextWeek">
      <formula>AND(ROUNDDOWN(G177,0)-TODAY()&gt;(7-WEEKDAY(TODAY())),ROUNDDOWN(G177,0)-TODAY()&lt;(15-WEEKDAY(TODAY())))</formula>
    </cfRule>
  </conditionalFormatting>
  <conditionalFormatting sqref="G184:I205">
    <cfRule type="timePeriod" dxfId="361" priority="8" timePeriod="nextWeek">
      <formula>AND(ROUNDDOWN(G184,0)-TODAY()&gt;(7-WEEKDAY(TODAY())),ROUNDDOWN(G184,0)-TODAY()&lt;(15-WEEKDAY(TODAY())))</formula>
    </cfRule>
  </conditionalFormatting>
  <conditionalFormatting sqref="G206:J209">
    <cfRule type="timePeriod" priority="908" timePeriod="nextWeek">
      <formula>AND(ROUNDDOWN(G206,0)-TODAY()&gt;(7-WEEKDAY(TODAY())),ROUNDDOWN(G206,0)-TODAY()&lt;(15-WEEKDAY(TODAY())))</formula>
    </cfRule>
    <cfRule type="timePeriod" dxfId="360" priority="1236" timePeriod="nextWeek">
      <formula>AND(ROUNDDOWN(G206,0)-TODAY()&gt;(7-WEEKDAY(TODAY())),ROUNDDOWN(G206,0)-TODAY()&lt;(15-WEEKDAY(TODAY())))</formula>
    </cfRule>
    <cfRule type="timePeriod" dxfId="359" priority="1238" timePeriod="lastMonth">
      <formula>AND(MONTH(G206)=MONTH(EDATE(TODAY(),0-1)),YEAR(G206)=YEAR(EDATE(TODAY(),0-1)))</formula>
    </cfRule>
    <cfRule type="timePeriod" dxfId="358" priority="1239" timePeriod="last7Days">
      <formula>AND(TODAY()-FLOOR(G206,1)&lt;=6,FLOOR(G206,1)&lt;=TODAY())</formula>
    </cfRule>
    <cfRule type="timePeriod" dxfId="357" priority="1240" timePeriod="thisWeek">
      <formula>AND(TODAY()-ROUNDDOWN(G206,0)&lt;=WEEKDAY(TODAY())-1,ROUNDDOWN(G206,0)-TODAY()&lt;=7-WEEKDAY(TODAY()))</formula>
    </cfRule>
  </conditionalFormatting>
  <conditionalFormatting sqref="H17:I29 B24:E29">
    <cfRule type="timePeriod" priority="5895" timePeriod="nextWeek">
      <formula>AND(ROUNDDOWN(B17,0)-TODAY()&gt;(7-WEEKDAY(TODAY())),ROUNDDOWN(B17,0)-TODAY()&lt;(15-WEEKDAY(TODAY())))</formula>
    </cfRule>
  </conditionalFormatting>
  <conditionalFormatting sqref="H17:I29 G20:I20 G24:I29 E215:E220 B20:E20 B24:E29 E17:F19 G21:G29 B21:B29 L123:L143 L115:AJ122 M31:XFD70 L46:O46 B34:E36 B37:D37 B38:E38 D31:E33 E33:E37 G31:I35 G37:I37 G92:G99 M97:AK113 E99:G113 L100:AK102 B121:G121 B46:I46 C47:C61 E47:G61 AD71:XFD71 AD72:AF72 L75:O75 AI84:XFD90 M93:XFD94 L94:XFD94 L95:AE114 E16 N18:XFD18 F20:F45 N24:XFD24 O26:XFD26 L62:L70 B62:I91 L66:XFD70 L78:AD94 AE79:AE94 B92:E113 AL95:XFD95 M142:AE143 M208:AE208 F208:F209 L208:L209 J210 L210:XFD210 H215:I220 G216:H220 P217:XFD220 G218:I220 F221:F223 L222:XFD223">
    <cfRule type="timePeriod" dxfId="356" priority="6285" timePeriod="nextWeek">
      <formula>AND(ROUNDDOWN(B16,0)-TODAY()&gt;(7-WEEKDAY(TODAY())),ROUNDDOWN(B16,0)-TODAY()&lt;(15-WEEKDAY(TODAY())))</formula>
    </cfRule>
  </conditionalFormatting>
  <conditionalFormatting sqref="H34:I39 B39:E39">
    <cfRule type="timePeriod" dxfId="355" priority="4922" timePeriod="last7Days">
      <formula>AND(TODAY()-FLOOR(B34,1)&lt;=6,FLOOR(B34,1)&lt;=TODAY())</formula>
    </cfRule>
    <cfRule type="timePeriod" dxfId="354" priority="4923" timePeriod="thisWeek">
      <formula>AND(TODAY()-ROUNDDOWN(B34,0)&lt;=WEEKDAY(TODAY())-1,ROUNDDOWN(B34,0)-TODAY()&lt;=7-WEEKDAY(TODAY()))</formula>
    </cfRule>
  </conditionalFormatting>
  <conditionalFormatting sqref="H34:I39 C39:E39">
    <cfRule type="timePeriod" dxfId="353" priority="4921" timePeriod="lastMonth">
      <formula>AND(MONTH(C34)=MONTH(EDATE(TODAY(),0-1)),YEAR(C34)=YEAR(EDATE(TODAY(),0-1)))</formula>
    </cfRule>
  </conditionalFormatting>
  <conditionalFormatting sqref="H34:I61">
    <cfRule type="timePeriod" priority="3832" timePeriod="nextWeek">
      <formula>AND(ROUNDDOWN(H34,0)-TODAY()&gt;(7-WEEKDAY(TODAY())),ROUNDDOWN(H34,0)-TODAY()&lt;(15-WEEKDAY(TODAY())))</formula>
    </cfRule>
  </conditionalFormatting>
  <conditionalFormatting sqref="H40:I48">
    <cfRule type="timePeriod" dxfId="352" priority="4765" timePeriod="nextWeek">
      <formula>AND(ROUNDDOWN(H40,0)-TODAY()&gt;(7-WEEKDAY(TODAY())),ROUNDDOWN(H40,0)-TODAY()&lt;(15-WEEKDAY(TODAY())))</formula>
    </cfRule>
    <cfRule type="timePeriod" dxfId="351" priority="4767" timePeriod="lastMonth">
      <formula>AND(MONTH(H40)=MONTH(EDATE(TODAY(),0-1)),YEAR(H40)=YEAR(EDATE(TODAY(),0-1)))</formula>
    </cfRule>
    <cfRule type="timePeriod" dxfId="350" priority="4768" timePeriod="last7Days">
      <formula>AND(TODAY()-FLOOR(H40,1)&lt;=6,FLOOR(H40,1)&lt;=TODAY())</formula>
    </cfRule>
    <cfRule type="timePeriod" dxfId="349" priority="4769" timePeriod="thisWeek">
      <formula>AND(TODAY()-ROUNDDOWN(H40,0)&lt;=WEEKDAY(TODAY())-1,ROUNDDOWN(H40,0)-TODAY()&lt;=7-WEEKDAY(TODAY()))</formula>
    </cfRule>
  </conditionalFormatting>
  <conditionalFormatting sqref="H40:I49">
    <cfRule type="timePeriod" dxfId="348" priority="3945" timePeriod="nextWeek">
      <formula>AND(ROUNDDOWN(H40,0)-TODAY()&gt;(7-WEEKDAY(TODAY())),ROUNDDOWN(H40,0)-TODAY()&lt;(15-WEEKDAY(TODAY())))</formula>
    </cfRule>
    <cfRule type="timePeriod" dxfId="347" priority="3947" timePeriod="lastMonth">
      <formula>AND(MONTH(H40)=MONTH(EDATE(TODAY(),0-1)),YEAR(H40)=YEAR(EDATE(TODAY(),0-1)))</formula>
    </cfRule>
    <cfRule type="timePeriod" dxfId="346" priority="3948" timePeriod="last7Days">
      <formula>AND(TODAY()-FLOOR(H40,1)&lt;=6,FLOOR(H40,1)&lt;=TODAY())</formula>
    </cfRule>
    <cfRule type="timePeriod" dxfId="345" priority="3949" timePeriod="thisWeek">
      <formula>AND(TODAY()-ROUNDDOWN(H40,0)&lt;=WEEKDAY(TODAY())-1,ROUNDDOWN(H40,0)-TODAY()&lt;=7-WEEKDAY(TODAY()))</formula>
    </cfRule>
  </conditionalFormatting>
  <conditionalFormatting sqref="H49:I51">
    <cfRule type="timePeriod" dxfId="344" priority="3928" timePeriod="nextWeek">
      <formula>AND(ROUNDDOWN(H49,0)-TODAY()&gt;(7-WEEKDAY(TODAY())),ROUNDDOWN(H49,0)-TODAY()&lt;(15-WEEKDAY(TODAY())))</formula>
    </cfRule>
    <cfRule type="timePeriod" dxfId="343" priority="3930" timePeriod="lastMonth">
      <formula>AND(MONTH(H49)=MONTH(EDATE(TODAY(),0-1)),YEAR(H49)=YEAR(EDATE(TODAY(),0-1)))</formula>
    </cfRule>
    <cfRule type="timePeriod" dxfId="342" priority="3931" timePeriod="last7Days">
      <formula>AND(TODAY()-FLOOR(H49,1)&lt;=6,FLOOR(H49,1)&lt;=TODAY())</formula>
    </cfRule>
    <cfRule type="timePeriod" dxfId="341" priority="3932" timePeriod="thisWeek">
      <formula>AND(TODAY()-ROUNDDOWN(H49,0)&lt;=WEEKDAY(TODAY())-1,ROUNDDOWN(H49,0)-TODAY()&lt;=7-WEEKDAY(TODAY()))</formula>
    </cfRule>
  </conditionalFormatting>
  <conditionalFormatting sqref="H50:I52">
    <cfRule type="timePeriod" dxfId="340" priority="3911" timePeriod="nextWeek">
      <formula>AND(ROUNDDOWN(H50,0)-TODAY()&gt;(7-WEEKDAY(TODAY())),ROUNDDOWN(H50,0)-TODAY()&lt;(15-WEEKDAY(TODAY())))</formula>
    </cfRule>
    <cfRule type="timePeriod" dxfId="339" priority="3913" timePeriod="lastMonth">
      <formula>AND(MONTH(H50)=MONTH(EDATE(TODAY(),0-1)),YEAR(H50)=YEAR(EDATE(TODAY(),0-1)))</formula>
    </cfRule>
    <cfRule type="timePeriod" dxfId="338" priority="3914" timePeriod="last7Days">
      <formula>AND(TODAY()-FLOOR(H50,1)&lt;=6,FLOOR(H50,1)&lt;=TODAY())</formula>
    </cfRule>
    <cfRule type="timePeriod" dxfId="337" priority="3915" timePeriod="thisWeek">
      <formula>AND(TODAY()-ROUNDDOWN(H50,0)&lt;=WEEKDAY(TODAY())-1,ROUNDDOWN(H50,0)-TODAY()&lt;=7-WEEKDAY(TODAY()))</formula>
    </cfRule>
  </conditionalFormatting>
  <conditionalFormatting sqref="H52:I53">
    <cfRule type="timePeriod" dxfId="336" priority="3894" timePeriod="nextWeek">
      <formula>AND(ROUNDDOWN(H52,0)-TODAY()&gt;(7-WEEKDAY(TODAY())),ROUNDDOWN(H52,0)-TODAY()&lt;(15-WEEKDAY(TODAY())))</formula>
    </cfRule>
    <cfRule type="timePeriod" dxfId="335" priority="3896" timePeriod="lastMonth">
      <formula>AND(MONTH(H52)=MONTH(EDATE(TODAY(),0-1)),YEAR(H52)=YEAR(EDATE(TODAY(),0-1)))</formula>
    </cfRule>
    <cfRule type="timePeriod" dxfId="334" priority="3897" timePeriod="last7Days">
      <formula>AND(TODAY()-FLOOR(H52,1)&lt;=6,FLOOR(H52,1)&lt;=TODAY())</formula>
    </cfRule>
    <cfRule type="timePeriod" dxfId="333" priority="3898" timePeriod="thisWeek">
      <formula>AND(TODAY()-ROUNDDOWN(H52,0)&lt;=WEEKDAY(TODAY())-1,ROUNDDOWN(H52,0)-TODAY()&lt;=7-WEEKDAY(TODAY()))</formula>
    </cfRule>
  </conditionalFormatting>
  <conditionalFormatting sqref="H53:I54 B40:E54">
    <cfRule type="timePeriod" dxfId="332" priority="3880" timePeriod="last7Days">
      <formula>AND(TODAY()-FLOOR(B40,1)&lt;=6,FLOOR(B40,1)&lt;=TODAY())</formula>
    </cfRule>
  </conditionalFormatting>
  <conditionalFormatting sqref="H53:I54 C40:E54">
    <cfRule type="timePeriod" dxfId="331" priority="3879" timePeriod="lastMonth">
      <formula>AND(MONTH(C40)=MONTH(EDATE(TODAY(),0-1)),YEAR(C40)=YEAR(EDATE(TODAY(),0-1)))</formula>
    </cfRule>
  </conditionalFormatting>
  <conditionalFormatting sqref="H53:I54">
    <cfRule type="timePeriod" dxfId="330" priority="3877" timePeriod="nextWeek">
      <formula>AND(ROUNDDOWN(H53,0)-TODAY()&gt;(7-WEEKDAY(TODAY())),ROUNDDOWN(H53,0)-TODAY()&lt;(15-WEEKDAY(TODAY())))</formula>
    </cfRule>
  </conditionalFormatting>
  <conditionalFormatting sqref="H54:I55 B33:D55">
    <cfRule type="timePeriod" dxfId="329" priority="3860" timePeriod="nextWeek">
      <formula>AND(ROUNDDOWN(B33,0)-TODAY()&gt;(7-WEEKDAY(TODAY())),ROUNDDOWN(B33,0)-TODAY()&lt;(15-WEEKDAY(TODAY())))</formula>
    </cfRule>
  </conditionalFormatting>
  <conditionalFormatting sqref="H55:I61 B56:E56">
    <cfRule type="timePeriod" dxfId="328" priority="3846" timePeriod="last7Days">
      <formula>AND(TODAY()-FLOOR(B55,1)&lt;=6,FLOOR(B55,1)&lt;=TODAY())</formula>
    </cfRule>
    <cfRule type="timePeriod" dxfId="327" priority="3847" timePeriod="thisWeek">
      <formula>AND(TODAY()-ROUNDDOWN(B55,0)&lt;=WEEKDAY(TODAY())-1,ROUNDDOWN(B55,0)-TODAY()&lt;=7-WEEKDAY(TODAY()))</formula>
    </cfRule>
  </conditionalFormatting>
  <conditionalFormatting sqref="H55:I61 C56:E56">
    <cfRule type="timePeriod" dxfId="326" priority="3845" timePeriod="lastMonth">
      <formula>AND(MONTH(C55)=MONTH(EDATE(TODAY(),0-1)),YEAR(C55)=YEAR(EDATE(TODAY(),0-1)))</formula>
    </cfRule>
  </conditionalFormatting>
  <conditionalFormatting sqref="H56:I56">
    <cfRule type="timePeriod" dxfId="325" priority="3831" timePeriod="nextWeek">
      <formula>AND(ROUNDDOWN(H56,0)-TODAY()&gt;(7-WEEKDAY(TODAY())),ROUNDDOWN(H56,0)-TODAY()&lt;(15-WEEKDAY(TODAY())))</formula>
    </cfRule>
    <cfRule type="timePeriod" dxfId="324" priority="3833" timePeriod="lastMonth">
      <formula>AND(MONTH(H56)=MONTH(EDATE(TODAY(),0-1)),YEAR(H56)=YEAR(EDATE(TODAY(),0-1)))</formula>
    </cfRule>
    <cfRule type="timePeriod" dxfId="323" priority="3834" timePeriod="last7Days">
      <formula>AND(TODAY()-FLOOR(H56,1)&lt;=6,FLOOR(H56,1)&lt;=TODAY())</formula>
    </cfRule>
    <cfRule type="timePeriod" dxfId="322" priority="3835" timePeriod="thisWeek">
      <formula>AND(TODAY()-ROUNDDOWN(H56,0)&lt;=WEEKDAY(TODAY())-1,ROUNDDOWN(H56,0)-TODAY()&lt;=7-WEEKDAY(TODAY()))</formula>
    </cfRule>
  </conditionalFormatting>
  <conditionalFormatting sqref="H223:K223">
    <cfRule type="timePeriod" dxfId="321" priority="4286" timePeriod="nextWeek">
      <formula>AND(ROUNDDOWN(H223,0)-TODAY()&gt;(7-WEEKDAY(TODAY())),ROUNDDOWN(H223,0)-TODAY()&lt;(15-WEEKDAY(TODAY())))</formula>
    </cfRule>
    <cfRule type="timePeriod" priority="4287" timePeriod="nextWeek">
      <formula>AND(ROUNDDOWN(H223,0)-TODAY()&gt;(7-WEEKDAY(TODAY())),ROUNDDOWN(H223,0)-TODAY()&lt;(15-WEEKDAY(TODAY())))</formula>
    </cfRule>
    <cfRule type="timePeriod" dxfId="320" priority="4288" timePeriod="lastMonth">
      <formula>AND(MONTH(H223)=MONTH(EDATE(TODAY(),0-1)),YEAR(H223)=YEAR(EDATE(TODAY(),0-1)))</formula>
    </cfRule>
    <cfRule type="timePeriod" dxfId="319" priority="4289" timePeriod="last7Days">
      <formula>AND(TODAY()-FLOOR(H223,1)&lt;=6,FLOOR(H223,1)&lt;=TODAY())</formula>
    </cfRule>
    <cfRule type="timePeriod" dxfId="318" priority="4290" timePeriod="thisWeek">
      <formula>AND(TODAY()-ROUNDDOWN(H223,0)&lt;=WEEKDAY(TODAY())-1,ROUNDDOWN(H223,0)-TODAY()&lt;=7-WEEKDAY(TODAY()))</formula>
    </cfRule>
  </conditionalFormatting>
  <conditionalFormatting sqref="I16:I29">
    <cfRule type="timePeriod" dxfId="317" priority="6270" timePeriod="nextWeek">
      <formula>AND(ROUNDDOWN(I16,0)-TODAY()&gt;(7-WEEKDAY(TODAY())),ROUNDDOWN(I16,0)-TODAY()&lt;(15-WEEKDAY(TODAY())))</formula>
    </cfRule>
    <cfRule type="timePeriod" priority="6271" timePeriod="nextWeek">
      <formula>AND(ROUNDDOWN(I16,0)-TODAY()&gt;(7-WEEKDAY(TODAY())),ROUNDDOWN(I16,0)-TODAY()&lt;(15-WEEKDAY(TODAY())))</formula>
    </cfRule>
    <cfRule type="timePeriod" dxfId="316" priority="6272" timePeriod="lastMonth">
      <formula>AND(MONTH(I16)=MONTH(EDATE(TODAY(),0-1)),YEAR(I16)=YEAR(EDATE(TODAY(),0-1)))</formula>
    </cfRule>
    <cfRule type="timePeriod" dxfId="315" priority="6273" timePeriod="last7Days">
      <formula>AND(TODAY()-FLOOR(I16,1)&lt;=6,FLOOR(I16,1)&lt;=TODAY())</formula>
    </cfRule>
    <cfRule type="timePeriod" dxfId="314" priority="6274" timePeriod="thisWeek">
      <formula>AND(TODAY()-ROUNDDOWN(I16,0)&lt;=WEEKDAY(TODAY())-1,ROUNDDOWN(I16,0)-TODAY()&lt;=7-WEEKDAY(TODAY()))</formula>
    </cfRule>
    <cfRule type="timePeriod" dxfId="313" priority="6275" timePeriod="nextWeek">
      <formula>AND(ROUNDDOWN(I16,0)-TODAY()&gt;(7-WEEKDAY(TODAY())),ROUNDDOWN(I16,0)-TODAY()&lt;(15-WEEKDAY(TODAY())))</formula>
    </cfRule>
    <cfRule type="timePeriod" dxfId="312" priority="6277" timePeriod="lastMonth">
      <formula>AND(MONTH(I16)=MONTH(EDATE(TODAY(),0-1)),YEAR(I16)=YEAR(EDATE(TODAY(),0-1)))</formula>
    </cfRule>
    <cfRule type="timePeriod" dxfId="311" priority="6278" timePeriod="last7Days">
      <formula>AND(TODAY()-FLOOR(I16,1)&lt;=6,FLOOR(I16,1)&lt;=TODAY())</formula>
    </cfRule>
    <cfRule type="timePeriod" dxfId="310" priority="6279" timePeriod="thisWeek">
      <formula>AND(TODAY()-ROUNDDOWN(I16,0)&lt;=WEEKDAY(TODAY())-1,ROUNDDOWN(I16,0)-TODAY()&lt;=7-WEEKDAY(TODAY()))</formula>
    </cfRule>
  </conditionalFormatting>
  <conditionalFormatting sqref="I222:J222 B222:E223">
    <cfRule type="timePeriod" dxfId="309" priority="4566" timePeriod="last7Days">
      <formula>AND(TODAY()-FLOOR(B222,1)&lt;=6,FLOOR(B222,1)&lt;=TODAY())</formula>
    </cfRule>
    <cfRule type="timePeriod" dxfId="308" priority="4567" timePeriod="thisWeek">
      <formula>AND(TODAY()-ROUNDDOWN(B222,0)&lt;=WEEKDAY(TODAY())-1,ROUNDDOWN(B222,0)-TODAY()&lt;=7-WEEKDAY(TODAY()))</formula>
    </cfRule>
  </conditionalFormatting>
  <conditionalFormatting sqref="I222:J222 C222:E223">
    <cfRule type="timePeriod" dxfId="307" priority="4565" timePeriod="lastMonth">
      <formula>AND(MONTH(C222)=MONTH(EDATE(TODAY(),0-1)),YEAR(C222)=YEAR(EDATE(TODAY(),0-1)))</formula>
    </cfRule>
  </conditionalFormatting>
  <conditionalFormatting sqref="I222:J222">
    <cfRule type="timePeriod" priority="4564" timePeriod="nextWeek">
      <formula>AND(ROUNDDOWN(I222,0)-TODAY()&gt;(7-WEEKDAY(TODAY())),ROUNDDOWN(I222,0)-TODAY()&lt;(15-WEEKDAY(TODAY())))</formula>
    </cfRule>
  </conditionalFormatting>
  <conditionalFormatting sqref="L18:L29">
    <cfRule type="timePeriod" priority="5699" timePeriod="nextWeek">
      <formula>AND(ROUNDDOWN(L18,0)-TODAY()&gt;(7-WEEKDAY(TODAY())),ROUNDDOWN(L18,0)-TODAY()&lt;(15-WEEKDAY(TODAY())))</formula>
    </cfRule>
  </conditionalFormatting>
  <conditionalFormatting sqref="L26">
    <cfRule type="timePeriod" dxfId="306" priority="5698" timePeriod="nextWeek">
      <formula>AND(ROUNDDOWN(L26,0)-TODAY()&gt;(7-WEEKDAY(TODAY())),ROUNDDOWN(L26,0)-TODAY()&lt;(15-WEEKDAY(TODAY())))</formula>
    </cfRule>
    <cfRule type="timePeriod" dxfId="305" priority="5700" timePeriod="lastMonth">
      <formula>AND(MONTH(L26)=MONTH(EDATE(TODAY(),0-1)),YEAR(L26)=YEAR(EDATE(TODAY(),0-1)))</formula>
    </cfRule>
    <cfRule type="timePeriod" dxfId="304" priority="5701" timePeriod="last7Days">
      <formula>AND(TODAY()-FLOOR(L26,1)&lt;=6,FLOOR(L26,1)&lt;=TODAY())</formula>
    </cfRule>
    <cfRule type="timePeriod" dxfId="303" priority="5702" timePeriod="thisWeek">
      <formula>AND(TODAY()-ROUNDDOWN(L26,0)&lt;=WEEKDAY(TODAY())-1,ROUNDDOWN(L26,0)-TODAY()&lt;=7-WEEKDAY(TODAY()))</formula>
    </cfRule>
  </conditionalFormatting>
  <conditionalFormatting sqref="L116:L140 AL132:XFD132">
    <cfRule type="timePeriod" dxfId="302" priority="2064" timePeriod="nextWeek">
      <formula>AND(ROUNDDOWN(L116,0)-TODAY()&gt;(7-WEEKDAY(TODAY())),ROUNDDOWN(L116,0)-TODAY()&lt;(15-WEEKDAY(TODAY())))</formula>
    </cfRule>
  </conditionalFormatting>
  <conditionalFormatting sqref="L116:L178 M142:AE208 B206:E209 L207:L209">
    <cfRule type="timePeriod" priority="1573" timePeriod="nextWeek">
      <formula>AND(ROUNDDOWN(B116,0)-TODAY()&gt;(7-WEEKDAY(TODAY())),ROUNDDOWN(B116,0)-TODAY()&lt;(15-WEEKDAY(TODAY())))</formula>
    </cfRule>
  </conditionalFormatting>
  <conditionalFormatting sqref="L119:L140 G123:G126 D23:D29">
    <cfRule type="timePeriod" dxfId="301" priority="5496" timePeriod="nextWeek">
      <formula>AND(ROUNDDOWN(D23,0)-TODAY()&gt;(7-WEEKDAY(TODAY())),ROUNDDOWN(D23,0)-TODAY()&lt;(15-WEEKDAY(TODAY())))</formula>
    </cfRule>
  </conditionalFormatting>
  <conditionalFormatting sqref="L74:XFD77">
    <cfRule type="timePeriod" dxfId="300" priority="3111" timePeriod="nextWeek">
      <formula>AND(ROUNDDOWN(L74,0)-TODAY()&gt;(7-WEEKDAY(TODAY())),ROUNDDOWN(L74,0)-TODAY()&lt;(15-WEEKDAY(TODAY())))</formula>
    </cfRule>
    <cfRule type="timePeriod" priority="3112" timePeriod="nextWeek">
      <formula>AND(ROUNDDOWN(L74,0)-TODAY()&gt;(7-WEEKDAY(TODAY())),ROUNDDOWN(L74,0)-TODAY()&lt;(15-WEEKDAY(TODAY())))</formula>
    </cfRule>
    <cfRule type="timePeriod" dxfId="299" priority="3113" timePeriod="lastMonth">
      <formula>AND(MONTH(L74)=MONTH(EDATE(TODAY(),0-1)),YEAR(L74)=YEAR(EDATE(TODAY(),0-1)))</formula>
    </cfRule>
    <cfRule type="timePeriod" dxfId="298" priority="3114" timePeriod="last7Days">
      <formula>AND(TODAY()-FLOOR(L74,1)&lt;=6,FLOOR(L74,1)&lt;=TODAY())</formula>
    </cfRule>
    <cfRule type="timePeriod" dxfId="297" priority="3115" timePeriod="thisWeek">
      <formula>AND(TODAY()-ROUNDDOWN(L74,0)&lt;=WEEKDAY(TODAY())-1,ROUNDDOWN(L74,0)-TODAY()&lt;=7-WEEKDAY(TODAY()))</formula>
    </cfRule>
  </conditionalFormatting>
  <conditionalFormatting sqref="M97:AK113 G99:G121">
    <cfRule type="timePeriod" dxfId="296" priority="2775" timePeriod="last7Days">
      <formula>AND(TODAY()-FLOOR(G97,1)&lt;=6,FLOOR(G97,1)&lt;=TODAY())</formula>
    </cfRule>
  </conditionalFormatting>
  <conditionalFormatting sqref="M97:AK113">
    <cfRule type="timePeriod" dxfId="295" priority="2776" timePeriod="thisWeek">
      <formula>AND(TODAY()-ROUNDDOWN(M97,0)&lt;=WEEKDAY(TODAY())-1,ROUNDDOWN(M97,0)-TODAY()&lt;=7-WEEKDAY(TODAY()))</formula>
    </cfRule>
  </conditionalFormatting>
  <conditionalFormatting sqref="M97:XFD113">
    <cfRule type="timePeriod" priority="2700" timePeriod="nextWeek">
      <formula>AND(ROUNDDOWN(M97,0)-TODAY()&gt;(7-WEEKDAY(TODAY())),ROUNDDOWN(M97,0)-TODAY()&lt;(15-WEEKDAY(TODAY())))</formula>
    </cfRule>
  </conditionalFormatting>
  <conditionalFormatting sqref="M133:XFD140">
    <cfRule type="timePeriod" dxfId="294" priority="2039" timePeriod="nextWeek">
      <formula>AND(ROUNDDOWN(M133,0)-TODAY()&gt;(7-WEEKDAY(TODAY())),ROUNDDOWN(M133,0)-TODAY()&lt;(15-WEEKDAY(TODAY())))</formula>
    </cfRule>
  </conditionalFormatting>
  <conditionalFormatting sqref="N25:N48">
    <cfRule type="timePeriod" dxfId="293" priority="5436" timePeriod="nextWeek">
      <formula>AND(ROUNDDOWN(N25,0)-TODAY()&gt;(7-WEEKDAY(TODAY())),ROUNDDOWN(N25,0)-TODAY()&lt;(15-WEEKDAY(TODAY())))</formula>
    </cfRule>
    <cfRule type="timePeriod" priority="5437" timePeriod="nextWeek">
      <formula>AND(ROUNDDOWN(N25,0)-TODAY()&gt;(7-WEEKDAY(TODAY())),ROUNDDOWN(N25,0)-TODAY()&lt;(15-WEEKDAY(TODAY())))</formula>
    </cfRule>
    <cfRule type="timePeriod" dxfId="292" priority="5438" timePeriod="lastMonth">
      <formula>AND(MONTH(N25)=MONTH(EDATE(TODAY(),0-1)),YEAR(N25)=YEAR(EDATE(TODAY(),0-1)))</formula>
    </cfRule>
    <cfRule type="timePeriod" dxfId="291" priority="5439" timePeriod="last7Days">
      <formula>AND(TODAY()-FLOOR(N25,1)&lt;=6,FLOOR(N25,1)&lt;=TODAY())</formula>
    </cfRule>
    <cfRule type="timePeriod" dxfId="290" priority="5440" timePeriod="thisWeek">
      <formula>AND(TODAY()-ROUNDDOWN(N25,0)&lt;=WEEKDAY(TODAY())-1,ROUNDDOWN(N25,0)-TODAY()&lt;=7-WEEKDAY(TODAY()))</formula>
    </cfRule>
  </conditionalFormatting>
  <conditionalFormatting sqref="P17:XFD29">
    <cfRule type="timePeriod" dxfId="289" priority="6249" timePeriod="nextWeek">
      <formula>AND(ROUNDDOWN(P17,0)-TODAY()&gt;(7-WEEKDAY(TODAY())),ROUNDDOWN(P17,0)-TODAY()&lt;(15-WEEKDAY(TODAY())))</formula>
    </cfRule>
  </conditionalFormatting>
  <conditionalFormatting sqref="AD71:XFD75">
    <cfRule type="timePeriod" dxfId="288" priority="3260" timePeriod="nextWeek">
      <formula>AND(ROUNDDOWN(AD71,0)-TODAY()&gt;(7-WEEKDAY(TODAY())),ROUNDDOWN(AD71,0)-TODAY()&lt;(15-WEEKDAY(TODAY())))</formula>
    </cfRule>
    <cfRule type="timePeriod" priority="3261" timePeriod="nextWeek">
      <formula>AND(ROUNDDOWN(AD71,0)-TODAY()&gt;(7-WEEKDAY(TODAY())),ROUNDDOWN(AD71,0)-TODAY()&lt;(15-WEEKDAY(TODAY())))</formula>
    </cfRule>
    <cfRule type="timePeriod" dxfId="287" priority="3262" timePeriod="lastMonth">
      <formula>AND(MONTH(AD71)=MONTH(EDATE(TODAY(),0-1)),YEAR(AD71)=YEAR(EDATE(TODAY(),0-1)))</formula>
    </cfRule>
    <cfRule type="timePeriod" dxfId="286" priority="3263" timePeriod="last7Days">
      <formula>AND(TODAY()-FLOOR(AD71,1)&lt;=6,FLOOR(AD71,1)&lt;=TODAY())</formula>
    </cfRule>
    <cfRule type="timePeriod" dxfId="285" priority="3264" timePeriod="thisWeek">
      <formula>AND(TODAY()-ROUNDDOWN(AD71,0)&lt;=WEEKDAY(TODAY())-1,ROUNDDOWN(AD71,0)-TODAY()&lt;=7-WEEKDAY(TODAY()))</formula>
    </cfRule>
  </conditionalFormatting>
  <conditionalFormatting sqref="AE78:XFD78">
    <cfRule type="timePeriod" dxfId="284" priority="3084" timePeriod="nextWeek">
      <formula>AND(ROUNDDOWN(AE78,0)-TODAY()&gt;(7-WEEKDAY(TODAY())),ROUNDDOWN(AE78,0)-TODAY()&lt;(15-WEEKDAY(TODAY())))</formula>
    </cfRule>
    <cfRule type="timePeriod" priority="3085" timePeriod="nextWeek">
      <formula>AND(ROUNDDOWN(AE78,0)-TODAY()&gt;(7-WEEKDAY(TODAY())),ROUNDDOWN(AE78,0)-TODAY()&lt;(15-WEEKDAY(TODAY())))</formula>
    </cfRule>
    <cfRule type="timePeriod" dxfId="283" priority="3086" timePeriod="lastMonth">
      <formula>AND(MONTH(AE78)=MONTH(EDATE(TODAY(),0-1)),YEAR(AE78)=YEAR(EDATE(TODAY(),0-1)))</formula>
    </cfRule>
    <cfRule type="timePeriod" dxfId="282" priority="3087" timePeriod="last7Days">
      <formula>AND(TODAY()-FLOOR(AE78,1)&lt;=6,FLOOR(AE78,1)&lt;=TODAY())</formula>
    </cfRule>
    <cfRule type="timePeriod" dxfId="281" priority="3088" timePeriod="thisWeek">
      <formula>AND(TODAY()-ROUNDDOWN(AE78,0)&lt;=WEEKDAY(TODAY())-1,ROUNDDOWN(AE78,0)-TODAY()&lt;=7-WEEKDAY(TODAY()))</formula>
    </cfRule>
  </conditionalFormatting>
  <conditionalFormatting sqref="AF79:XFD79">
    <cfRule type="timePeriod" dxfId="280" priority="3052" timePeriod="nextWeek">
      <formula>AND(ROUNDDOWN(AF79,0)-TODAY()&gt;(7-WEEKDAY(TODAY())),ROUNDDOWN(AF79,0)-TODAY()&lt;(15-WEEKDAY(TODAY())))</formula>
    </cfRule>
    <cfRule type="timePeriod" priority="3053" timePeriod="nextWeek">
      <formula>AND(ROUNDDOWN(AF79,0)-TODAY()&gt;(7-WEEKDAY(TODAY())),ROUNDDOWN(AF79,0)-TODAY()&lt;(15-WEEKDAY(TODAY())))</formula>
    </cfRule>
    <cfRule type="timePeriod" dxfId="279" priority="3054" timePeriod="lastMonth">
      <formula>AND(MONTH(AF79)=MONTH(EDATE(TODAY(),0-1)),YEAR(AF79)=YEAR(EDATE(TODAY(),0-1)))</formula>
    </cfRule>
    <cfRule type="timePeriod" dxfId="278" priority="3055" timePeriod="last7Days">
      <formula>AND(TODAY()-FLOOR(AF79,1)&lt;=6,FLOOR(AF79,1)&lt;=TODAY())</formula>
    </cfRule>
    <cfRule type="timePeriod" dxfId="277" priority="3056" timePeriod="thisWeek">
      <formula>AND(TODAY()-ROUNDDOWN(AF79,0)&lt;=WEEKDAY(TODAY())-1,ROUNDDOWN(AF79,0)-TODAY()&lt;=7-WEEKDAY(TODAY()))</formula>
    </cfRule>
  </conditionalFormatting>
  <conditionalFormatting sqref="AI81:XFD84">
    <cfRule type="timePeriod" dxfId="276" priority="2976" timePeriod="nextWeek">
      <formula>AND(ROUNDDOWN(AI81,0)-TODAY()&gt;(7-WEEKDAY(TODAY())),ROUNDDOWN(AI81,0)-TODAY()&lt;(15-WEEKDAY(TODAY())))</formula>
    </cfRule>
    <cfRule type="timePeriod" dxfId="275" priority="2978" timePeriod="lastMonth">
      <formula>AND(MONTH(AI81)=MONTH(EDATE(TODAY(),0-1)),YEAR(AI81)=YEAR(EDATE(TODAY(),0-1)))</formula>
    </cfRule>
    <cfRule type="timePeriod" dxfId="274" priority="2979" timePeriod="last7Days">
      <formula>AND(TODAY()-FLOOR(AI81,1)&lt;=6,FLOOR(AI81,1)&lt;=TODAY())</formula>
    </cfRule>
    <cfRule type="timePeriod" dxfId="273" priority="2980" timePeriod="thisWeek">
      <formula>AND(TODAY()-ROUNDDOWN(AI81,0)&lt;=WEEKDAY(TODAY())-1,ROUNDDOWN(AI81,0)-TODAY()&lt;=7-WEEKDAY(TODAY()))</formula>
    </cfRule>
  </conditionalFormatting>
  <conditionalFormatting sqref="AI81:XFD94">
    <cfRule type="timePeriod" priority="2891" timePeriod="nextWeek">
      <formula>AND(ROUNDDOWN(AI81,0)-TODAY()&gt;(7-WEEKDAY(TODAY())),ROUNDDOWN(AI81,0)-TODAY()&lt;(15-WEEKDAY(TODAY())))</formula>
    </cfRule>
  </conditionalFormatting>
  <conditionalFormatting sqref="AI91:XFD94">
    <cfRule type="timePeriod" dxfId="272" priority="2890" timePeriod="nextWeek">
      <formula>AND(ROUNDDOWN(AI91,0)-TODAY()&gt;(7-WEEKDAY(TODAY())),ROUNDDOWN(AI91,0)-TODAY()&lt;(15-WEEKDAY(TODAY())))</formula>
    </cfRule>
  </conditionalFormatting>
  <conditionalFormatting sqref="AJ91:XFD94">
    <cfRule type="timePeriod" dxfId="271" priority="2892" timePeriod="lastMonth">
      <formula>AND(MONTH(AJ91)=MONTH(EDATE(TODAY(),0-1)),YEAR(AJ91)=YEAR(EDATE(TODAY(),0-1)))</formula>
    </cfRule>
    <cfRule type="timePeriod" dxfId="270" priority="2893" timePeriod="last7Days">
      <formula>AND(TODAY()-FLOOR(AJ91,1)&lt;=6,FLOOR(AJ91,1)&lt;=TODAY())</formula>
    </cfRule>
    <cfRule type="timePeriod" dxfId="269" priority="2894" timePeriod="thisWeek">
      <formula>AND(TODAY()-ROUNDDOWN(AJ91,0)&lt;=WEEKDAY(TODAY())-1,ROUNDDOWN(AJ91,0)-TODAY()&lt;=7-WEEKDAY(TODAY()))</formula>
    </cfRule>
  </conditionalFormatting>
  <conditionalFormatting sqref="AK167:AK206 AK144:XFD146">
    <cfRule type="timePeriod" dxfId="268" priority="1898" timePeriod="lastMonth">
      <formula>AND(MONTH(AK144)=MONTH(EDATE(TODAY(),0-1)),YEAR(AK144)=YEAR(EDATE(TODAY(),0-1)))</formula>
    </cfRule>
  </conditionalFormatting>
  <conditionalFormatting sqref="AK96:XFD97 AK98:AK113 AL113:XFD114">
    <cfRule type="timePeriod" dxfId="267" priority="2760" timePeriod="thisWeek">
      <formula>AND(TODAY()-ROUNDDOWN(AK96,0)&lt;=WEEKDAY(TODAY())-1,ROUNDDOWN(AK96,0)-TODAY()&lt;=7-WEEKDAY(TODAY()))</formula>
    </cfRule>
  </conditionalFormatting>
  <conditionalFormatting sqref="AK96:XFD97 AL113:XFD114 AK98:AK113">
    <cfRule type="timePeriod" dxfId="266" priority="2759" timePeriod="last7Days">
      <formula>AND(TODAY()-FLOOR(AK96,1)&lt;=6,FLOOR(AK96,1)&lt;=TODAY())</formula>
    </cfRule>
  </conditionalFormatting>
  <conditionalFormatting sqref="AK96:XFD97">
    <cfRule type="timePeriod" priority="2773" timePeriod="nextWeek">
      <formula>AND(ROUNDDOWN(AK96,0)-TODAY()&gt;(7-WEEKDAY(TODAY())),ROUNDDOWN(AK96,0)-TODAY()&lt;(15-WEEKDAY(TODAY())))</formula>
    </cfRule>
  </conditionalFormatting>
  <conditionalFormatting sqref="AK107:XFD107">
    <cfRule type="timePeriod" dxfId="265" priority="2654" timePeriod="last7Days">
      <formula>AND(TODAY()-FLOOR(AK107,1)&lt;=6,FLOOR(AK107,1)&lt;=TODAY())</formula>
    </cfRule>
    <cfRule type="timePeriod" dxfId="264" priority="2655" timePeriod="thisWeek">
      <formula>AND(TODAY()-ROUNDDOWN(AK107,0)&lt;=WEEKDAY(TODAY())-1,ROUNDDOWN(AK107,0)-TODAY()&lt;=7-WEEKDAY(TODAY()))</formula>
    </cfRule>
  </conditionalFormatting>
  <conditionalFormatting sqref="AK110:XFD112">
    <cfRule type="timePeriod" dxfId="263" priority="2545" timePeriod="last7Days">
      <formula>AND(TODAY()-FLOOR(AK110,1)&lt;=6,FLOOR(AK110,1)&lt;=TODAY())</formula>
    </cfRule>
    <cfRule type="timePeriod" dxfId="262" priority="2546" timePeriod="thisWeek">
      <formula>AND(TODAY()-ROUNDDOWN(AK110,0)&lt;=WEEKDAY(TODAY())-1,ROUNDDOWN(AK110,0)-TODAY()&lt;=7-WEEKDAY(TODAY()))</formula>
    </cfRule>
  </conditionalFormatting>
  <conditionalFormatting sqref="AK122:XFD122 M123:AK132 M133:AJ141 B122">
    <cfRule type="timePeriod" dxfId="261" priority="2234" timePeriod="last7Days">
      <formula>AND(TODAY()-FLOOR(B122,1)&lt;=6,FLOOR(B122,1)&lt;=TODAY())</formula>
    </cfRule>
  </conditionalFormatting>
  <conditionalFormatting sqref="AK122:XFD122 M123:AK132 M141:AJ141 M133:XFD140">
    <cfRule type="timePeriod" dxfId="260" priority="2233" timePeriod="lastMonth">
      <formula>AND(MONTH(M122)=MONTH(EDATE(TODAY(),0-1)),YEAR(M122)=YEAR(EDATE(TODAY(),0-1)))</formula>
    </cfRule>
  </conditionalFormatting>
  <conditionalFormatting sqref="AK122:XFD122 M123:AK132 M141:AJ141">
    <cfRule type="timePeriod" dxfId="259" priority="2231" timePeriod="nextWeek">
      <formula>AND(ROUNDDOWN(M122,0)-TODAY()&gt;(7-WEEKDAY(TODAY())),ROUNDDOWN(M122,0)-TODAY()&lt;(15-WEEKDAY(TODAY())))</formula>
    </cfRule>
  </conditionalFormatting>
  <conditionalFormatting sqref="AK122:XFD122 AK123:AK132">
    <cfRule type="timePeriod" priority="2218" timePeriod="nextWeek">
      <formula>AND(ROUNDDOWN(AK122,0)-TODAY()&gt;(7-WEEKDAY(TODAY())),ROUNDDOWN(AK122,0)-TODAY()&lt;(15-WEEKDAY(TODAY())))</formula>
    </cfRule>
  </conditionalFormatting>
  <conditionalFormatting sqref="AK133:XFD141">
    <cfRule type="timePeriod" dxfId="258" priority="2025" timePeriod="last7Days">
      <formula>AND(TODAY()-FLOOR(AK133,1)&lt;=6,FLOOR(AK133,1)&lt;=TODAY())</formula>
    </cfRule>
  </conditionalFormatting>
  <conditionalFormatting sqref="AK133:XFD143">
    <cfRule type="timePeriod" dxfId="257" priority="2026" timePeriod="thisWeek">
      <formula>AND(TODAY()-ROUNDDOWN(AK133,0)&lt;=WEEKDAY(TODAY())-1,ROUNDDOWN(AK133,0)-TODAY()&lt;=7-WEEKDAY(TODAY()))</formula>
    </cfRule>
  </conditionalFormatting>
  <conditionalFormatting sqref="AK133:XFD148">
    <cfRule type="timePeriod" priority="1857" timePeriod="nextWeek">
      <formula>AND(ROUNDDOWN(AK133,0)-TODAY()&gt;(7-WEEKDAY(TODAY())),ROUNDDOWN(AK133,0)-TODAY()&lt;(15-WEEKDAY(TODAY())))</formula>
    </cfRule>
  </conditionalFormatting>
  <conditionalFormatting sqref="AK141:XFD141">
    <cfRule type="timePeriod" dxfId="256" priority="2012" timePeriod="lastMonth">
      <formula>AND(MONTH(AK141)=MONTH(EDATE(TODAY(),0-1)),YEAR(AK141)=YEAR(EDATE(TODAY(),0-1)))</formula>
    </cfRule>
  </conditionalFormatting>
  <conditionalFormatting sqref="AK141:XFD143">
    <cfRule type="timePeriod" dxfId="255" priority="2023" timePeriod="nextWeek">
      <formula>AND(ROUNDDOWN(AK141,0)-TODAY()&gt;(7-WEEKDAY(TODAY())),ROUNDDOWN(AK141,0)-TODAY()&lt;(15-WEEKDAY(TODAY())))</formula>
    </cfRule>
  </conditionalFormatting>
  <conditionalFormatting sqref="AK144:XFD144">
    <cfRule type="timePeriod" dxfId="254" priority="1987" timePeriod="nextWeek">
      <formula>AND(ROUNDDOWN(AK144,0)-TODAY()&gt;(7-WEEKDAY(TODAY())),ROUNDDOWN(AK144,0)-TODAY()&lt;(15-WEEKDAY(TODAY())))</formula>
    </cfRule>
  </conditionalFormatting>
  <conditionalFormatting sqref="AK144:XFD146 AK167:AK206">
    <cfRule type="timePeriod" dxfId="253" priority="1918" timePeriod="last7Days">
      <formula>AND(TODAY()-FLOOR(AK144,1)&lt;=6,FLOOR(AK144,1)&lt;=TODAY())</formula>
    </cfRule>
  </conditionalFormatting>
  <conditionalFormatting sqref="AK144:XFD147">
    <cfRule type="timePeriod" dxfId="252" priority="1919" timePeriod="thisWeek">
      <formula>AND(TODAY()-ROUNDDOWN(AK144,0)&lt;=WEEKDAY(TODAY())-1,ROUNDDOWN(AK144,0)-TODAY()&lt;=7-WEEKDAY(TODAY()))</formula>
    </cfRule>
  </conditionalFormatting>
  <conditionalFormatting sqref="AK145:XFD146">
    <cfRule type="timePeriod" dxfId="251" priority="1915" timePeriod="nextWeek">
      <formula>AND(ROUNDDOWN(AK145,0)-TODAY()&gt;(7-WEEKDAY(TODAY())),ROUNDDOWN(AK145,0)-TODAY()&lt;(15-WEEKDAY(TODAY())))</formula>
    </cfRule>
  </conditionalFormatting>
  <conditionalFormatting sqref="AK147:XFD148">
    <cfRule type="timePeriod" dxfId="250" priority="1858" timePeriod="last7Days">
      <formula>AND(TODAY()-FLOOR(AK147,1)&lt;=6,FLOOR(AK147,1)&lt;=TODAY())</formula>
    </cfRule>
    <cfRule type="timePeriod" dxfId="249" priority="1868" timePeriod="nextWeek">
      <formula>AND(ROUNDDOWN(AK147,0)-TODAY()&gt;(7-WEEKDAY(TODAY())),ROUNDDOWN(AK147,0)-TODAY()&lt;(15-WEEKDAY(TODAY())))</formula>
    </cfRule>
  </conditionalFormatting>
  <conditionalFormatting sqref="AK148:XFD148">
    <cfRule type="timePeriod" dxfId="248" priority="1862" timePeriod="lastMonth">
      <formula>AND(MONTH(AK148)=MONTH(EDATE(TODAY(),0-1)),YEAR(AK148)=YEAR(EDATE(TODAY(),0-1)))</formula>
    </cfRule>
    <cfRule type="timePeriod" dxfId="247" priority="1866" timePeriod="thisWeek">
      <formula>AND(TODAY()-ROUNDDOWN(AK148,0)&lt;=WEEKDAY(TODAY())-1,ROUNDDOWN(AK148,0)-TODAY()&lt;=7-WEEKDAY(TODAY()))</formula>
    </cfRule>
  </conditionalFormatting>
  <conditionalFormatting sqref="AK159:XFD161">
    <cfRule type="timePeriod" dxfId="246" priority="1526" timePeriod="nextWeek">
      <formula>AND(ROUNDDOWN(AK159,0)-TODAY()&gt;(7-WEEKDAY(TODAY())),ROUNDDOWN(AK159,0)-TODAY()&lt;(15-WEEKDAY(TODAY())))</formula>
    </cfRule>
  </conditionalFormatting>
  <conditionalFormatting sqref="AK159:XFD206">
    <cfRule type="timePeriod" priority="23" timePeriod="nextWeek">
      <formula>AND(ROUNDDOWN(AK159,0)-TODAY()&gt;(7-WEEKDAY(TODAY())),ROUNDDOWN(AK159,0)-TODAY()&lt;(15-WEEKDAY(TODAY())))</formula>
    </cfRule>
  </conditionalFormatting>
  <conditionalFormatting sqref="AK162:XFD163 D204:D205">
    <cfRule type="timePeriod" dxfId="245" priority="1470" timePeriod="thisWeek">
      <formula>AND(TODAY()-ROUNDDOWN(D162,0)&lt;=WEEKDAY(TODAY())-1,ROUNDDOWN(D162,0)-TODAY()&lt;=7-WEEKDAY(TODAY()))</formula>
    </cfRule>
  </conditionalFormatting>
  <conditionalFormatting sqref="AK162:XFD163 D204:E204">
    <cfRule type="timePeriod" dxfId="244" priority="1475" timePeriod="nextWeek">
      <formula>AND(ROUNDDOWN(D162,0)-TODAY()&gt;(7-WEEKDAY(TODAY())),ROUNDDOWN(D162,0)-TODAY()&lt;(15-WEEKDAY(TODAY())))</formula>
    </cfRule>
  </conditionalFormatting>
  <conditionalFormatting sqref="AK164:XFD166">
    <cfRule type="timePeriod" dxfId="243" priority="1217" timePeriod="lastMonth">
      <formula>AND(MONTH(AK164)=MONTH(EDATE(TODAY(),0-1)),YEAR(AK164)=YEAR(EDATE(TODAY(),0-1)))</formula>
    </cfRule>
    <cfRule type="timePeriod" dxfId="242" priority="1221" timePeriod="last7Days">
      <formula>AND(TODAY()-FLOOR(AK164,1)&lt;=6,FLOOR(AK164,1)&lt;=TODAY())</formula>
    </cfRule>
  </conditionalFormatting>
  <conditionalFormatting sqref="AK164:XFD167">
    <cfRule type="timePeriod" dxfId="241" priority="1228" timePeriod="thisWeek">
      <formula>AND(TODAY()-ROUNDDOWN(AK164,0)&lt;=WEEKDAY(TODAY())-1,ROUNDDOWN(AK164,0)-TODAY()&lt;=7-WEEKDAY(TODAY()))</formula>
    </cfRule>
    <cfRule type="timePeriod" dxfId="240" priority="1232" timePeriod="nextWeek">
      <formula>AND(ROUNDDOWN(AK164,0)-TODAY()&gt;(7-WEEKDAY(TODAY())),ROUNDDOWN(AK164,0)-TODAY()&lt;(15-WEEKDAY(TODAY())))</formula>
    </cfRule>
  </conditionalFormatting>
  <conditionalFormatting sqref="AL93:XFD94">
    <cfRule type="timePeriod" dxfId="239" priority="2854" timePeriod="last7Days">
      <formula>AND(TODAY()-FLOOR(AL93,1)&lt;=6,FLOOR(AL93,1)&lt;=TODAY())</formula>
    </cfRule>
    <cfRule type="timePeriod" dxfId="238" priority="2855" timePeriod="thisWeek">
      <formula>AND(TODAY()-ROUNDDOWN(AL93,0)&lt;=WEEKDAY(TODAY())-1,ROUNDDOWN(AL93,0)-TODAY()&lt;=7-WEEKDAY(TODAY()))</formula>
    </cfRule>
  </conditionalFormatting>
  <conditionalFormatting sqref="AL94:XFD94">
    <cfRule type="timePeriod" dxfId="237" priority="2862" timePeriod="last7Days">
      <formula>AND(TODAY()-FLOOR(AL94,1)&lt;=6,FLOOR(AL94,1)&lt;=TODAY())</formula>
    </cfRule>
    <cfRule type="timePeriod" dxfId="236" priority="2863" timePeriod="thisWeek">
      <formula>AND(TODAY()-ROUNDDOWN(AL94,0)&lt;=WEEKDAY(TODAY())-1,ROUNDDOWN(AL94,0)-TODAY()&lt;=7-WEEKDAY(TODAY()))</formula>
    </cfRule>
  </conditionalFormatting>
  <conditionalFormatting sqref="AL97:XFD98">
    <cfRule type="timePeriod" dxfId="235" priority="2707" timePeriod="nextWeek">
      <formula>AND(ROUNDDOWN(AL97,0)-TODAY()&gt;(7-WEEKDAY(TODAY())),ROUNDDOWN(AL97,0)-TODAY()&lt;(15-WEEKDAY(TODAY())))</formula>
    </cfRule>
    <cfRule type="timePeriod" dxfId="234" priority="2710" timePeriod="last7Days">
      <formula>AND(TODAY()-FLOOR(AL97,1)&lt;=6,FLOOR(AL97,1)&lt;=TODAY())</formula>
    </cfRule>
  </conditionalFormatting>
  <conditionalFormatting sqref="AL98:XFD98">
    <cfRule type="timePeriod" dxfId="233" priority="2711" timePeriod="thisWeek">
      <formula>AND(TODAY()-ROUNDDOWN(AL98,0)&lt;=WEEKDAY(TODAY())-1,ROUNDDOWN(AL98,0)-TODAY()&lt;=7-WEEKDAY(TODAY()))</formula>
    </cfRule>
  </conditionalFormatting>
  <conditionalFormatting sqref="AL99:XFD112">
    <cfRule type="timePeriod" dxfId="232" priority="2698" timePeriod="last7Days">
      <formula>AND(TODAY()-FLOOR(AL99,1)&lt;=6,FLOOR(AL99,1)&lt;=TODAY())</formula>
    </cfRule>
    <cfRule type="timePeriod" dxfId="231" priority="2699" timePeriod="thisWeek">
      <formula>AND(TODAY()-ROUNDDOWN(AL99,0)&lt;=WEEKDAY(TODAY())-1,ROUNDDOWN(AL99,0)-TODAY()&lt;=7-WEEKDAY(TODAY()))</formula>
    </cfRule>
  </conditionalFormatting>
  <conditionalFormatting sqref="AL100:XFD100">
    <cfRule type="timePeriod" dxfId="230" priority="2843" timePeriod="nextWeek">
      <formula>AND(ROUNDDOWN(AL100,0)-TODAY()&gt;(7-WEEKDAY(TODAY())),ROUNDDOWN(AL100,0)-TODAY()&lt;(15-WEEKDAY(TODAY())))</formula>
    </cfRule>
    <cfRule type="timePeriod" priority="2844" timePeriod="nextWeek">
      <formula>AND(ROUNDDOWN(AL100,0)-TODAY()&gt;(7-WEEKDAY(TODAY())),ROUNDDOWN(AL100,0)-TODAY()&lt;(15-WEEKDAY(TODAY())))</formula>
    </cfRule>
    <cfRule type="timePeriod" dxfId="229" priority="2845" timePeriod="lastMonth">
      <formula>AND(MONTH(AL100)=MONTH(EDATE(TODAY(),0-1)),YEAR(AL100)=YEAR(EDATE(TODAY(),0-1)))</formula>
    </cfRule>
    <cfRule type="timePeriod" dxfId="228" priority="2846" timePeriod="last7Days">
      <formula>AND(TODAY()-FLOOR(AL100,1)&lt;=6,FLOOR(AL100,1)&lt;=TODAY())</formula>
    </cfRule>
    <cfRule type="timePeriod" dxfId="227" priority="2847" timePeriod="thisWeek">
      <formula>AND(TODAY()-ROUNDDOWN(AL100,0)&lt;=WEEKDAY(TODAY())-1,ROUNDDOWN(AL100,0)-TODAY()&lt;=7-WEEKDAY(TODAY()))</formula>
    </cfRule>
  </conditionalFormatting>
  <conditionalFormatting sqref="AL102:XFD105">
    <cfRule type="timePeriod" dxfId="226" priority="2674" timePeriod="last7Days">
      <formula>AND(TODAY()-FLOOR(AL102,1)&lt;=6,FLOOR(AL102,1)&lt;=TODAY())</formula>
    </cfRule>
    <cfRule type="timePeriod" dxfId="225" priority="2675" timePeriod="thisWeek">
      <formula>AND(TODAY()-ROUNDDOWN(AL102,0)&lt;=WEEKDAY(TODAY())-1,ROUNDDOWN(AL102,0)-TODAY()&lt;=7-WEEKDAY(TODAY()))</formula>
    </cfRule>
  </conditionalFormatting>
  <conditionalFormatting sqref="AL108:XFD109">
    <cfRule type="timePeriod" priority="2642" timePeriod="nextWeek">
      <formula>AND(ROUNDDOWN(AL108,0)-TODAY()&gt;(7-WEEKDAY(TODAY())),ROUNDDOWN(AL108,0)-TODAY()&lt;(15-WEEKDAY(TODAY())))</formula>
    </cfRule>
    <cfRule type="timePeriod" dxfId="224" priority="2644" timePeriod="last7Days">
      <formula>AND(TODAY()-FLOOR(AL108,1)&lt;=6,FLOOR(AL108,1)&lt;=TODAY())</formula>
    </cfRule>
    <cfRule type="timePeriod" dxfId="223" priority="2645" timePeriod="thisWeek">
      <formula>AND(TODAY()-ROUNDDOWN(AL108,0)&lt;=WEEKDAY(TODAY())-1,ROUNDDOWN(AL108,0)-TODAY()&lt;=7-WEEKDAY(TODAY()))</formula>
    </cfRule>
  </conditionalFormatting>
  <conditionalFormatting sqref="AL109:XFD109">
    <cfRule type="timePeriod" dxfId="222" priority="2641" timePeriod="nextWeek">
      <formula>AND(ROUNDDOWN(AL109,0)-TODAY()&gt;(7-WEEKDAY(TODAY())),ROUNDDOWN(AL109,0)-TODAY()&lt;(15-WEEKDAY(TODAY())))</formula>
    </cfRule>
    <cfRule type="timePeriod" dxfId="221" priority="2643" timePeriod="lastMonth">
      <formula>AND(MONTH(AL109)=MONTH(EDATE(TODAY(),0-1)),YEAR(AL109)=YEAR(EDATE(TODAY(),0-1)))</formula>
    </cfRule>
  </conditionalFormatting>
  <conditionalFormatting sqref="AL113:XFD113 AL97:XFD97">
    <cfRule type="timePeriod" dxfId="220" priority="2748" timePeriod="lastMonth">
      <formula>AND(MONTH(AL97)=MONTH(EDATE(TODAY(),0-1)),YEAR(AL97)=YEAR(EDATE(TODAY(),0-1)))</formula>
    </cfRule>
    <cfRule type="timePeriod" dxfId="219" priority="2750" timePeriod="thisWeek">
      <formula>AND(TODAY()-ROUNDDOWN(AL97,0)&lt;=WEEKDAY(TODAY())-1,ROUNDDOWN(AL97,0)-TODAY()&lt;=7-WEEKDAY(TODAY()))</formula>
    </cfRule>
  </conditionalFormatting>
  <conditionalFormatting sqref="AL113:XFD113">
    <cfRule type="timePeriod" dxfId="218" priority="2746" timePeriod="nextWeek">
      <formula>AND(ROUNDDOWN(AL113,0)-TODAY()&gt;(7-WEEKDAY(TODAY())),ROUNDDOWN(AL113,0)-TODAY()&lt;(15-WEEKDAY(TODAY())))</formula>
    </cfRule>
    <cfRule type="timePeriod" dxfId="217" priority="2749" timePeriod="last7Days">
      <formula>AND(TODAY()-FLOOR(AL113,1)&lt;=6,FLOOR(AL113,1)&lt;=TODAY())</formula>
    </cfRule>
  </conditionalFormatting>
  <conditionalFormatting sqref="AL114:XFD121">
    <cfRule type="timePeriod" priority="2269" timePeriod="nextWeek">
      <formula>AND(ROUNDDOWN(AL114,0)-TODAY()&gt;(7-WEEKDAY(TODAY())),ROUNDDOWN(AL114,0)-TODAY()&lt;(15-WEEKDAY(TODAY())))</formula>
    </cfRule>
  </conditionalFormatting>
  <conditionalFormatting sqref="AL115:XFD115">
    <cfRule type="timePeriod" dxfId="216" priority="2505" timePeriod="last7Days">
      <formula>AND(TODAY()-FLOOR(AL115,1)&lt;=6,FLOOR(AL115,1)&lt;=TODAY())</formula>
    </cfRule>
  </conditionalFormatting>
  <conditionalFormatting sqref="AL115:XFD116">
    <cfRule type="timePeriod" dxfId="215" priority="2506" timePeriod="thisWeek">
      <formula>AND(TODAY()-ROUNDDOWN(AL115,0)&lt;=WEEKDAY(TODAY())-1,ROUNDDOWN(AL115,0)-TODAY()&lt;=7-WEEKDAY(TODAY()))</formula>
    </cfRule>
  </conditionalFormatting>
  <conditionalFormatting sqref="AL117:XFD119">
    <cfRule type="timePeriod" dxfId="214" priority="2319" timePeriod="last7Days">
      <formula>AND(TODAY()-FLOOR(AL117,1)&lt;=6,FLOOR(AL117,1)&lt;=TODAY())</formula>
    </cfRule>
    <cfRule type="timePeriod" dxfId="213" priority="2320" timePeriod="thisWeek">
      <formula>AND(TODAY()-ROUNDDOWN(AL117,0)&lt;=WEEKDAY(TODAY())-1,ROUNDDOWN(AL117,0)-TODAY()&lt;=7-WEEKDAY(TODAY()))</formula>
    </cfRule>
  </conditionalFormatting>
  <conditionalFormatting sqref="AL117:XFD121">
    <cfRule type="timePeriod" dxfId="212" priority="2254" timePeriod="nextWeek">
      <formula>AND(ROUNDDOWN(AL117,0)-TODAY()&gt;(7-WEEKDAY(TODAY())),ROUNDDOWN(AL117,0)-TODAY()&lt;(15-WEEKDAY(TODAY())))</formula>
    </cfRule>
    <cfRule type="timePeriod" dxfId="211" priority="2259" timePeriod="lastMonth">
      <formula>AND(MONTH(AL117)=MONTH(EDATE(TODAY(),0-1)),YEAR(AL117)=YEAR(EDATE(TODAY(),0-1)))</formula>
    </cfRule>
  </conditionalFormatting>
  <conditionalFormatting sqref="AL120:XFD121">
    <cfRule type="timePeriod" dxfId="210" priority="2240" timePeriod="last7Days">
      <formula>AND(TODAY()-FLOOR(AL120,1)&lt;=6,FLOOR(AL120,1)&lt;=TODAY())</formula>
    </cfRule>
    <cfRule type="timePeriod" dxfId="209" priority="2241" timePeriod="thisWeek">
      <formula>AND(TODAY()-ROUNDDOWN(AL120,0)&lt;=WEEKDAY(TODAY())-1,ROUNDDOWN(AL120,0)-TODAY()&lt;=7-WEEKDAY(TODAY()))</formula>
    </cfRule>
  </conditionalFormatting>
  <conditionalFormatting sqref="AL124:XFD129">
    <cfRule type="timePeriod" dxfId="208" priority="2154" timePeriod="last7Days">
      <formula>AND(TODAY()-FLOOR(AL124,1)&lt;=6,FLOOR(AL124,1)&lt;=TODAY())</formula>
    </cfRule>
    <cfRule type="timePeriod" dxfId="207" priority="2155" timePeriod="thisWeek">
      <formula>AND(TODAY()-ROUNDDOWN(AL124,0)&lt;=WEEKDAY(TODAY())-1,ROUNDDOWN(AL124,0)-TODAY()&lt;=7-WEEKDAY(TODAY()))</formula>
    </cfRule>
  </conditionalFormatting>
  <conditionalFormatting sqref="AL124:XFD131">
    <cfRule type="timePeriod" dxfId="206" priority="2081" timePeriod="nextWeek">
      <formula>AND(ROUNDDOWN(AL124,0)-TODAY()&gt;(7-WEEKDAY(TODAY())),ROUNDDOWN(AL124,0)-TODAY()&lt;(15-WEEKDAY(TODAY())))</formula>
    </cfRule>
    <cfRule type="timePeriod" dxfId="205" priority="2083" timePeriod="lastMonth">
      <formula>AND(MONTH(AL124)=MONTH(EDATE(TODAY(),0-1)),YEAR(AL124)=YEAR(EDATE(TODAY(),0-1)))</formula>
    </cfRule>
  </conditionalFormatting>
  <conditionalFormatting sqref="AL124:XFD132">
    <cfRule type="timePeriod" priority="2045" timePeriod="nextWeek">
      <formula>AND(ROUNDDOWN(AL124,0)-TODAY()&gt;(7-WEEKDAY(TODAY())),ROUNDDOWN(AL124,0)-TODAY()&lt;(15-WEEKDAY(TODAY())))</formula>
    </cfRule>
  </conditionalFormatting>
  <conditionalFormatting sqref="AL130:XFD132 B132">
    <cfRule type="timePeriod" dxfId="204" priority="2067" timePeriod="last7Days">
      <formula>AND(TODAY()-FLOOR(B130,1)&lt;=6,FLOOR(B130,1)&lt;=TODAY())</formula>
    </cfRule>
    <cfRule type="timePeriod" dxfId="203" priority="2068" timePeriod="thisWeek">
      <formula>AND(TODAY()-ROUNDDOWN(B130,0)&lt;=WEEKDAY(TODAY())-1,ROUNDDOWN(B130,0)-TODAY()&lt;=7-WEEKDAY(TODAY()))</formula>
    </cfRule>
  </conditionalFormatting>
  <conditionalFormatting sqref="AL132:XFD132">
    <cfRule type="timePeriod" dxfId="202" priority="2066" timePeriod="lastMonth">
      <formula>AND(MONTH(AL132)=MONTH(EDATE(TODAY(),0-1)),YEAR(AL132)=YEAR(EDATE(TODAY(),0-1)))</formula>
    </cfRule>
  </conditionalFormatting>
  <conditionalFormatting sqref="AL149:XFD149">
    <cfRule type="timePeriod" dxfId="201" priority="1854" timePeriod="last7Days">
      <formula>AND(TODAY()-FLOOR(AL149,1)&lt;=6,FLOOR(AL149,1)&lt;=TODAY())</formula>
    </cfRule>
    <cfRule type="timePeriod" dxfId="200" priority="1855" timePeriod="thisWeek">
      <formula>AND(TODAY()-ROUNDDOWN(AL149,0)&lt;=WEEKDAY(TODAY())-1,ROUNDDOWN(AL149,0)-TODAY()&lt;=7-WEEKDAY(TODAY()))</formula>
    </cfRule>
  </conditionalFormatting>
  <conditionalFormatting sqref="AL149:XFD150">
    <cfRule type="timePeriod" dxfId="199" priority="1827" timePeriod="nextWeek">
      <formula>AND(ROUNDDOWN(AL149,0)-TODAY()&gt;(7-WEEKDAY(TODAY())),ROUNDDOWN(AL149,0)-TODAY()&lt;(15-WEEKDAY(TODAY())))</formula>
    </cfRule>
  </conditionalFormatting>
  <conditionalFormatting sqref="AL149:XFD158">
    <cfRule type="timePeriod" priority="1647" timePeriod="nextWeek">
      <formula>AND(ROUNDDOWN(AL149,0)-TODAY()&gt;(7-WEEKDAY(TODAY())),ROUNDDOWN(AL149,0)-TODAY()&lt;(15-WEEKDAY(TODAY())))</formula>
    </cfRule>
  </conditionalFormatting>
  <conditionalFormatting sqref="AL150:XFD150">
    <cfRule type="timePeriod" dxfId="198" priority="1825" timePeriod="thisWeek">
      <formula>AND(TODAY()-ROUNDDOWN(AL150,0)&lt;=WEEKDAY(TODAY())-1,ROUNDDOWN(AL150,0)-TODAY()&lt;=7-WEEKDAY(TODAY()))</formula>
    </cfRule>
  </conditionalFormatting>
  <conditionalFormatting sqref="AL150:XFD151">
    <cfRule type="timePeriod" dxfId="197" priority="1821" timePeriod="lastMonth">
      <formula>AND(MONTH(AL150)=MONTH(EDATE(TODAY(),0-1)),YEAR(AL150)=YEAR(EDATE(TODAY(),0-1)))</formula>
    </cfRule>
  </conditionalFormatting>
  <conditionalFormatting sqref="AL150:XFD154">
    <cfRule type="timePeriod" dxfId="196" priority="1717" timePeriod="last7Days">
      <formula>AND(TODAY()-FLOOR(AL150,1)&lt;=6,FLOOR(AL150,1)&lt;=TODAY())</formula>
    </cfRule>
  </conditionalFormatting>
  <conditionalFormatting sqref="AL151:XFD152">
    <cfRule type="timePeriod" dxfId="195" priority="1773" timePeriod="nextWeek">
      <formula>AND(ROUNDDOWN(AL151,0)-TODAY()&gt;(7-WEEKDAY(TODAY())),ROUNDDOWN(AL151,0)-TODAY()&lt;(15-WEEKDAY(TODAY())))</formula>
    </cfRule>
  </conditionalFormatting>
  <conditionalFormatting sqref="AL151:XFD156">
    <cfRule type="timePeriod" dxfId="194" priority="1771" timePeriod="thisWeek">
      <formula>AND(TODAY()-ROUNDDOWN(AL151,0)&lt;=WEEKDAY(TODAY())-1,ROUNDDOWN(AL151,0)-TODAY()&lt;=7-WEEKDAY(TODAY()))</formula>
    </cfRule>
  </conditionalFormatting>
  <conditionalFormatting sqref="AL152:XFD152">
    <cfRule type="timePeriod" dxfId="193" priority="1767" timePeriod="lastMonth">
      <formula>AND(MONTH(AL152)=MONTH(EDATE(TODAY(),0-1)),YEAR(AL152)=YEAR(EDATE(TODAY(),0-1)))</formula>
    </cfRule>
  </conditionalFormatting>
  <conditionalFormatting sqref="AL153:XFD156">
    <cfRule type="timePeriod" dxfId="192" priority="1722" timePeriod="nextWeek">
      <formula>AND(ROUNDDOWN(AL153,0)-TODAY()&gt;(7-WEEKDAY(TODAY())),ROUNDDOWN(AL153,0)-TODAY()&lt;(15-WEEKDAY(TODAY())))</formula>
    </cfRule>
  </conditionalFormatting>
  <conditionalFormatting sqref="AL156:XFD158">
    <cfRule type="timePeriod" dxfId="191" priority="1612" timePeriod="thisWeek">
      <formula>AND(TODAY()-ROUNDDOWN(AL156,0)&lt;=WEEKDAY(TODAY())-1,ROUNDDOWN(AL156,0)-TODAY()&lt;=7-WEEKDAY(TODAY()))</formula>
    </cfRule>
  </conditionalFormatting>
  <conditionalFormatting sqref="AL160:XFD160">
    <cfRule type="timePeriod" dxfId="190" priority="1569" timePeriod="last7Days">
      <formula>AND(TODAY()-FLOOR(AL160,1)&lt;=6,FLOOR(AL160,1)&lt;=TODAY())</formula>
    </cfRule>
    <cfRule type="timePeriod" dxfId="189" priority="1570" timePeriod="thisWeek">
      <formula>AND(TODAY()-ROUNDDOWN(AL160,0)&lt;=WEEKDAY(TODAY())-1,ROUNDDOWN(AL160,0)-TODAY()&lt;=7-WEEKDAY(TODAY()))</formula>
    </cfRule>
  </conditionalFormatting>
  <conditionalFormatting sqref="AL161:XFD161">
    <cfRule type="timePeriod" dxfId="188" priority="1523" timePeriod="last7Days">
      <formula>AND(TODAY()-FLOOR(AL161,1)&lt;=6,FLOOR(AL161,1)&lt;=TODAY())</formula>
    </cfRule>
    <cfRule type="timePeriod" dxfId="187" priority="1524" timePeriod="thisWeek">
      <formula>AND(TODAY()-ROUNDDOWN(AL161,0)&lt;=WEEKDAY(TODAY())-1,ROUNDDOWN(AL161,0)-TODAY()&lt;=7-WEEKDAY(TODAY()))</formula>
    </cfRule>
    <cfRule type="timePeriod" dxfId="186" priority="1529" timePeriod="lastMonth">
      <formula>AND(MONTH(AL161)=MONTH(EDATE(TODAY(),0-1)),YEAR(AL161)=YEAR(EDATE(TODAY(),0-1)))</formula>
    </cfRule>
  </conditionalFormatting>
  <conditionalFormatting sqref="AL168:XFD169 AL170:AM174">
    <cfRule type="timePeriod" dxfId="185" priority="1120" timePeriod="nextWeek">
      <formula>AND(ROUNDDOWN(AL168,0)-TODAY()&gt;(7-WEEKDAY(TODAY())),ROUNDDOWN(AL168,0)-TODAY()&lt;(15-WEEKDAY(TODAY())))</formula>
    </cfRule>
  </conditionalFormatting>
  <conditionalFormatting sqref="AL168:XFD169 AN170:XFD171 AL170:AM174">
    <cfRule type="timePeriod" dxfId="184" priority="1055" timePeriod="thisWeek">
      <formula>AND(TODAY()-ROUNDDOWN(AL168,0)&lt;=WEEKDAY(TODAY())-1,ROUNDDOWN(AL168,0)-TODAY()&lt;=7-WEEKDAY(TODAY()))</formula>
    </cfRule>
  </conditionalFormatting>
  <conditionalFormatting sqref="AL169:XFD169 AN170:XFD170 AL170:AM174">
    <cfRule type="timePeriod" dxfId="183" priority="1036" timePeriod="lastMonth">
      <formula>AND(MONTH(AL169)=MONTH(EDATE(TODAY(),0-1)),YEAR(AL169)=YEAR(EDATE(TODAY(),0-1)))</formula>
    </cfRule>
  </conditionalFormatting>
  <conditionalFormatting sqref="AM175:XFD177">
    <cfRule type="timePeriod" dxfId="182" priority="865" timePeriod="last7Days">
      <formula>AND(TODAY()-FLOOR(AM175,1)&lt;=6,FLOOR(AM175,1)&lt;=TODAY())</formula>
    </cfRule>
    <cfRule type="timePeriod" dxfId="181" priority="866" timePeriod="thisWeek">
      <formula>AND(TODAY()-ROUNDDOWN(AM175,0)&lt;=WEEKDAY(TODAY())-1,ROUNDDOWN(AM175,0)-TODAY()&lt;=7-WEEKDAY(TODAY()))</formula>
    </cfRule>
  </conditionalFormatting>
  <conditionalFormatting sqref="AM177:XFD177">
    <cfRule type="timePeriod" dxfId="180" priority="851" timePeriod="lastMonth">
      <formula>AND(MONTH(AM177)=MONTH(EDATE(TODAY(),0-1)),YEAR(AM177)=YEAR(EDATE(TODAY(),0-1)))</formula>
    </cfRule>
  </conditionalFormatting>
  <conditionalFormatting sqref="AM177:XFD178">
    <cfRule type="timePeriod" dxfId="179" priority="863" timePeriod="nextWeek">
      <formula>AND(ROUNDDOWN(AM177,0)-TODAY()&gt;(7-WEEKDAY(TODAY())),ROUNDDOWN(AM177,0)-TODAY()&lt;(15-WEEKDAY(TODAY())))</formula>
    </cfRule>
  </conditionalFormatting>
  <conditionalFormatting sqref="AM178:XFD180">
    <cfRule type="timePeriod" dxfId="178" priority="808" timePeriod="last7Days">
      <formula>AND(TODAY()-FLOOR(AM178,1)&lt;=6,FLOOR(AM178,1)&lt;=TODAY())</formula>
    </cfRule>
    <cfRule type="timePeriod" dxfId="177" priority="809" timePeriod="thisWeek">
      <formula>AND(TODAY()-ROUNDDOWN(AM178,0)&lt;=WEEKDAY(TODAY())-1,ROUNDDOWN(AM178,0)-TODAY()&lt;=7-WEEKDAY(TODAY()))</formula>
    </cfRule>
  </conditionalFormatting>
  <conditionalFormatting sqref="AM179:XFD180">
    <cfRule type="timePeriod" dxfId="176" priority="780" timePeriod="nextWeek">
      <formula>AND(ROUNDDOWN(AM179,0)-TODAY()&gt;(7-WEEKDAY(TODAY())),ROUNDDOWN(AM179,0)-TODAY()&lt;(15-WEEKDAY(TODAY())))</formula>
    </cfRule>
  </conditionalFormatting>
  <conditionalFormatting sqref="AM179:XFD181">
    <cfRule type="timePeriod" dxfId="175" priority="769" timePeriod="lastMonth">
      <formula>AND(MONTH(AM179)=MONTH(EDATE(TODAY(),0-1)),YEAR(AM179)=YEAR(EDATE(TODAY(),0-1)))</formula>
    </cfRule>
  </conditionalFormatting>
  <conditionalFormatting sqref="AM181:XFD182">
    <cfRule type="timePeriod" dxfId="174" priority="742" timePeriod="last7Days">
      <formula>AND(TODAY()-FLOOR(AM181,1)&lt;=6,FLOOR(AM181,1)&lt;=TODAY())</formula>
    </cfRule>
    <cfRule type="timePeriod" dxfId="173" priority="743" timePeriod="thisWeek">
      <formula>AND(TODAY()-ROUNDDOWN(AM181,0)&lt;=WEEKDAY(TODAY())-1,ROUNDDOWN(AM181,0)-TODAY()&lt;=7-WEEKDAY(TODAY()))</formula>
    </cfRule>
  </conditionalFormatting>
  <conditionalFormatting sqref="AM181:XFD184 AM185:AM199 AM201 AM203 AM205:AM206">
    <cfRule type="timePeriod" dxfId="172" priority="695" timePeriod="nextWeek">
      <formula>AND(ROUNDDOWN(AM181,0)-TODAY()&gt;(7-WEEKDAY(TODAY())),ROUNDDOWN(AM181,0)-TODAY()&lt;(15-WEEKDAY(TODAY())))</formula>
    </cfRule>
  </conditionalFormatting>
  <conditionalFormatting sqref="AM182:XFD186 AM187:AO189">
    <cfRule type="timePeriod" dxfId="171" priority="690" timePeriod="lastMonth">
      <formula>AND(MONTH(AM182)=MONTH(EDATE(TODAY(),0-1)),YEAR(AM182)=YEAR(EDATE(TODAY(),0-1)))</formula>
    </cfRule>
  </conditionalFormatting>
  <conditionalFormatting sqref="AM183:XFD184 AM185:AM199">
    <cfRule type="timePeriod" dxfId="170" priority="693" timePeriod="thisWeek">
      <formula>AND(TODAY()-ROUNDDOWN(AM183,0)&lt;=WEEKDAY(TODAY())-1,ROUNDDOWN(AM183,0)-TODAY()&lt;=7-WEEKDAY(TODAY()))</formula>
    </cfRule>
  </conditionalFormatting>
  <conditionalFormatting sqref="AM183:XFD186 AM187:AO189">
    <cfRule type="timePeriod" dxfId="169" priority="691" timePeriod="last7Days">
      <formula>AND(TODAY()-FLOOR(AM183,1)&lt;=6,FLOOR(AM183,1)&lt;=TODAY())</formula>
    </cfRule>
  </conditionalFormatting>
  <conditionalFormatting sqref="AM190:XFD191 AM192:AO193">
    <cfRule type="timePeriod" dxfId="168" priority="472" timePeriod="lastMonth">
      <formula>AND(MONTH(AM190)=MONTH(EDATE(TODAY(),0-1)),YEAR(AM190)=YEAR(EDATE(TODAY(),0-1)))</formula>
    </cfRule>
  </conditionalFormatting>
  <conditionalFormatting sqref="AM190:XFD193 AM194:AM199">
    <cfRule type="timePeriod" dxfId="167" priority="443" timePeriod="last7Days">
      <formula>AND(TODAY()-FLOOR(AM190,1)&lt;=6,FLOOR(AM190,1)&lt;=TODAY())</formula>
    </cfRule>
  </conditionalFormatting>
  <conditionalFormatting sqref="AM194:XFD199 AM203:AO203 AM201:AO201 AM205:AN205 AM206:XFD206">
    <cfRule type="timePeriod" dxfId="166" priority="234" timePeriod="lastMonth">
      <formula>AND(MONTH(AM194)=MONTH(EDATE(TODAY(),0-1)),YEAR(AM194)=YEAR(EDATE(TODAY(),0-1)))</formula>
    </cfRule>
  </conditionalFormatting>
  <conditionalFormatting sqref="AM200:XFD200 AM202:AO202 AM204:AO204 AN201:XFD201">
    <cfRule type="timePeriod" dxfId="165" priority="170" timePeriod="nextWeek">
      <formula>AND(ROUNDDOWN(AM200,0)-TODAY()&gt;(7-WEEKDAY(TODAY())),ROUNDDOWN(AM200,0)-TODAY()&lt;(15-WEEKDAY(TODAY())))</formula>
    </cfRule>
  </conditionalFormatting>
  <conditionalFormatting sqref="AM200:XFD200 AM202:AO202 AM204:AO204">
    <cfRule type="timePeriod" dxfId="164" priority="149" timePeriod="lastMonth">
      <formula>AND(MONTH(AM200)=MONTH(EDATE(TODAY(),0-1)),YEAR(AM200)=YEAR(EDATE(TODAY(),0-1)))</formula>
    </cfRule>
    <cfRule type="timePeriod" dxfId="163" priority="151" timePeriod="last7Days">
      <formula>AND(TODAY()-FLOOR(AM200,1)&lt;=6,FLOOR(AM200,1)&lt;=TODAY())</formula>
    </cfRule>
    <cfRule type="timePeriod" dxfId="162" priority="160" timePeriod="thisWeek">
      <formula>AND(TODAY()-ROUNDDOWN(AM200,0)&lt;=WEEKDAY(TODAY())-1,ROUNDDOWN(AM200,0)-TODAY()&lt;=7-WEEKDAY(TODAY()))</formula>
    </cfRule>
  </conditionalFormatting>
  <conditionalFormatting sqref="AN170:XFD170 AL168:XFD169 AL170:AM174">
    <cfRule type="timePeriod" dxfId="161" priority="1054" timePeriod="last7Days">
      <formula>AND(TODAY()-FLOOR(AL168,1)&lt;=6,FLOOR(AL168,1)&lt;=TODAY())</formula>
    </cfRule>
  </conditionalFormatting>
  <conditionalFormatting sqref="AN170:XFD170">
    <cfRule type="timePeriod" dxfId="160" priority="1052" timePeriod="nextWeek">
      <formula>AND(ROUNDDOWN(AN170,0)-TODAY()&gt;(7-WEEKDAY(TODAY())),ROUNDDOWN(AN170,0)-TODAY()&lt;(15-WEEKDAY(TODAY())))</formula>
    </cfRule>
  </conditionalFormatting>
  <conditionalFormatting sqref="AN171:XFD171">
    <cfRule type="timePeriod" dxfId="159" priority="995" timePeriod="last7Days">
      <formula>AND(TODAY()-FLOOR(AN171,1)&lt;=6,FLOOR(AN171,1)&lt;=TODAY())</formula>
    </cfRule>
  </conditionalFormatting>
  <conditionalFormatting sqref="AN171:XFD172">
    <cfRule type="timePeriod" dxfId="158" priority="1005" timePeriod="nextWeek">
      <formula>AND(ROUNDDOWN(AN171,0)-TODAY()&gt;(7-WEEKDAY(TODAY())),ROUNDDOWN(AN171,0)-TODAY()&lt;(15-WEEKDAY(TODAY())))</formula>
    </cfRule>
  </conditionalFormatting>
  <conditionalFormatting sqref="AN173:XFD174">
    <cfRule type="timePeriod" dxfId="157" priority="925" timePeriod="lastMonth">
      <formula>AND(MONTH(AN173)=MONTH(EDATE(TODAY(),0-1)),YEAR(AN173)=YEAR(EDATE(TODAY(),0-1)))</formula>
    </cfRule>
    <cfRule type="timePeriod" dxfId="156" priority="927" timePeriod="last7Days">
      <formula>AND(TODAY()-FLOOR(AN173,1)&lt;=6,FLOOR(AN173,1)&lt;=TODAY())</formula>
    </cfRule>
    <cfRule type="timePeriod" dxfId="155" priority="940" timePeriod="nextWeek">
      <formula>AND(ROUNDDOWN(AN173,0)-TODAY()&gt;(7-WEEKDAY(TODAY())),ROUNDDOWN(AN173,0)-TODAY()&lt;(15-WEEKDAY(TODAY())))</formula>
    </cfRule>
  </conditionalFormatting>
  <conditionalFormatting sqref="AN185:XFD185 AN186:AO189">
    <cfRule type="timePeriod" dxfId="154" priority="663" timePeriod="thisWeek">
      <formula>AND(TODAY()-ROUNDDOWN(AN185,0)&lt;=WEEKDAY(TODAY())-1,ROUNDDOWN(AN185,0)-TODAY()&lt;=7-WEEKDAY(TODAY()))</formula>
    </cfRule>
  </conditionalFormatting>
  <conditionalFormatting sqref="AN185:XFD189">
    <cfRule type="timePeriod" dxfId="153" priority="550" timePeriod="nextWeek">
      <formula>AND(ROUNDDOWN(AN185,0)-TODAY()&gt;(7-WEEKDAY(TODAY())),ROUNDDOWN(AN185,0)-TODAY()&lt;(15-WEEKDAY(TODAY())))</formula>
    </cfRule>
  </conditionalFormatting>
  <conditionalFormatting sqref="AN190:XFD190">
    <cfRule type="timePeriod" dxfId="152" priority="502" timePeriod="nextWeek">
      <formula>AND(ROUNDDOWN(AN190,0)-TODAY()&gt;(7-WEEKDAY(TODAY())),ROUNDDOWN(AN190,0)-TODAY()&lt;(15-WEEKDAY(TODAY())))</formula>
    </cfRule>
    <cfRule type="timePeriod" dxfId="151" priority="508" timePeriod="last7Days">
      <formula>AND(TODAY()-FLOOR(AN190,1)&lt;=6,FLOOR(AN190,1)&lt;=TODAY())</formula>
    </cfRule>
    <cfRule type="timePeriod" dxfId="150" priority="509" timePeriod="thisWeek">
      <formula>AND(TODAY()-ROUNDDOWN(AN190,0)&lt;=WEEKDAY(TODAY())-1,ROUNDDOWN(AN190,0)-TODAY()&lt;=7-WEEKDAY(TODAY()))</formula>
    </cfRule>
    <cfRule type="timePeriod" dxfId="149" priority="521" timePeriod="nextWeek">
      <formula>AND(ROUNDDOWN(AN190,0)-TODAY()&gt;(7-WEEKDAY(TODAY())),ROUNDDOWN(AN190,0)-TODAY()&lt;(15-WEEKDAY(TODAY())))</formula>
    </cfRule>
    <cfRule type="timePeriod" dxfId="148" priority="522" timePeriod="lastMonth">
      <formula>AND(MONTH(AN190)=MONTH(EDATE(TODAY(),0-1)),YEAR(AN190)=YEAR(EDATE(TODAY(),0-1)))</formula>
    </cfRule>
  </conditionalFormatting>
  <conditionalFormatting sqref="AN190:XFD191 AN192:AO193">
    <cfRule type="timePeriod" dxfId="147" priority="479" timePeriod="thisWeek">
      <formula>AND(TODAY()-ROUNDDOWN(AN190,0)&lt;=WEEKDAY(TODAY())-1,ROUNDDOWN(AN190,0)-TODAY()&lt;=7-WEEKDAY(TODAY()))</formula>
    </cfRule>
  </conditionalFormatting>
  <conditionalFormatting sqref="AN194:XFD194">
    <cfRule type="timePeriod" dxfId="146" priority="413" timePeriod="nextWeek">
      <formula>AND(ROUNDDOWN(AN194,0)-TODAY()&gt;(7-WEEKDAY(TODAY())),ROUNDDOWN(AN194,0)-TODAY()&lt;(15-WEEKDAY(TODAY())))</formula>
    </cfRule>
    <cfRule type="timePeriod" dxfId="145" priority="414" timePeriod="lastMonth">
      <formula>AND(MONTH(AN194)=MONTH(EDATE(TODAY(),0-1)),YEAR(AN194)=YEAR(EDATE(TODAY(),0-1)))</formula>
    </cfRule>
  </conditionalFormatting>
  <conditionalFormatting sqref="AN194:XFD195">
    <cfRule type="timePeriod" dxfId="144" priority="378" timePeriod="last7Days">
      <formula>AND(TODAY()-FLOOR(AN194,1)&lt;=6,FLOOR(AN194,1)&lt;=TODAY())</formula>
    </cfRule>
    <cfRule type="timePeriod" dxfId="143" priority="379" timePeriod="thisWeek">
      <formula>AND(TODAY()-ROUNDDOWN(AN194,0)&lt;=WEEKDAY(TODAY())-1,ROUNDDOWN(AN194,0)-TODAY()&lt;=7-WEEKDAY(TODAY()))</formula>
    </cfRule>
  </conditionalFormatting>
  <conditionalFormatting sqref="AN195:XFD198">
    <cfRule type="timePeriod" dxfId="142" priority="272" timePeriod="nextWeek">
      <formula>AND(ROUNDDOWN(AN195,0)-TODAY()&gt;(7-WEEKDAY(TODAY())),ROUNDDOWN(AN195,0)-TODAY()&lt;(15-WEEKDAY(TODAY())))</formula>
    </cfRule>
  </conditionalFormatting>
  <conditionalFormatting sqref="AN196:XFD199 AM201:AO201 AM203:AO203 AM205:AN205 AM206:XFD206">
    <cfRule type="timePeriod" dxfId="141" priority="236" timePeriod="thisWeek">
      <formula>AND(TODAY()-ROUNDDOWN(AM196,0)&lt;=WEEKDAY(TODAY())-1,ROUNDDOWN(AM196,0)-TODAY()&lt;=7-WEEKDAY(TODAY()))</formula>
    </cfRule>
  </conditionalFormatting>
  <conditionalFormatting sqref="AN196:XFD199 AM203:AO203 AM201:AO201 AM205:AN205 AM206:XFD206">
    <cfRule type="timePeriod" dxfId="140" priority="228" timePeriod="last7Days">
      <formula>AND(TODAY()-FLOOR(AM196,1)&lt;=6,FLOOR(AM196,1)&lt;=TODAY())</formula>
    </cfRule>
  </conditionalFormatting>
  <conditionalFormatting sqref="AN199:XFD199 AN203:AO203">
    <cfRule type="timePeriod" dxfId="139" priority="227" timePeriod="nextWeek">
      <formula>AND(ROUNDDOWN(AN199,0)-TODAY()&gt;(7-WEEKDAY(TODAY())),ROUNDDOWN(AN199,0)-TODAY()&lt;(15-WEEKDAY(TODAY())))</formula>
    </cfRule>
  </conditionalFormatting>
  <conditionalFormatting sqref="AN205:XFD206">
    <cfRule type="timePeriod" dxfId="138" priority="48" timePeriod="nextWeek">
      <formula>AND(ROUNDDOWN(AN205,0)-TODAY()&gt;(7-WEEKDAY(TODAY())),ROUNDDOWN(AN205,0)-TODAY()&lt;(15-WEEKDAY(TODAY())))</formula>
    </cfRule>
  </conditionalFormatting>
  <conditionalFormatting sqref="AO205:XFD205">
    <cfRule type="timePeriod" dxfId="137" priority="20" timePeriod="lastMonth">
      <formula>AND(MONTH(AO205)=MONTH(EDATE(TODAY(),0-1)),YEAR(AO205)=YEAR(EDATE(TODAY(),0-1)))</formula>
    </cfRule>
    <cfRule type="timePeriod" dxfId="136" priority="25" timePeriod="last7Days">
      <formula>AND(TODAY()-FLOOR(AO205,1)&lt;=6,FLOOR(AO205,1)&lt;=TODAY())</formula>
    </cfRule>
    <cfRule type="timePeriod" dxfId="135" priority="38" timePeriod="thisWeek">
      <formula>AND(TODAY()-ROUNDDOWN(AO205,0)&lt;=WEEKDAY(TODAY())-1,ROUNDDOWN(AO205,0)-TODAY()&lt;=7-WEEKDAY(TODAY()))</formula>
    </cfRule>
  </conditionalFormatting>
  <conditionalFormatting sqref="AP187:XFD188">
    <cfRule type="timePeriod" dxfId="134" priority="567" timePeriod="thisWeek">
      <formula>AND(TODAY()-ROUNDDOWN(AP187,0)&lt;=WEEKDAY(TODAY())-1,ROUNDDOWN(AP187,0)-TODAY()&lt;=7-WEEKDAY(TODAY()))</formula>
    </cfRule>
  </conditionalFormatting>
  <conditionalFormatting sqref="AP187:XFD189">
    <cfRule type="timePeriod" dxfId="133" priority="536" timePeriod="last7Days">
      <formula>AND(TODAY()-FLOOR(AP187,1)&lt;=6,FLOOR(AP187,1)&lt;=TODAY())</formula>
    </cfRule>
    <cfRule type="timePeriod" dxfId="132" priority="545" timePeriod="lastMonth">
      <formula>AND(MONTH(AP187)=MONTH(EDATE(TODAY(),0-1)),YEAR(AP187)=YEAR(EDATE(TODAY(),0-1)))</formula>
    </cfRule>
  </conditionalFormatting>
  <conditionalFormatting sqref="AP189:XFD189">
    <cfRule type="timePeriod" dxfId="131" priority="541" timePeriod="thisWeek">
      <formula>AND(TODAY()-ROUNDDOWN(AP189,0)&lt;=WEEKDAY(TODAY())-1,ROUNDDOWN(AP189,0)-TODAY()&lt;=7-WEEKDAY(TODAY()))</formula>
    </cfRule>
  </conditionalFormatting>
  <conditionalFormatting sqref="AP192:XFD192">
    <cfRule type="timePeriod" dxfId="130" priority="453" timePeriod="lastMonth">
      <formula>AND(MONTH(AP192)=MONTH(EDATE(TODAY(),0-1)),YEAR(AP192)=YEAR(EDATE(TODAY(),0-1)))</formula>
    </cfRule>
  </conditionalFormatting>
  <conditionalFormatting sqref="AP192:XFD193">
    <cfRule type="timePeriod" dxfId="129" priority="455" timePeriod="thisWeek">
      <formula>AND(TODAY()-ROUNDDOWN(AP192,0)&lt;=WEEKDAY(TODAY())-1,ROUNDDOWN(AP192,0)-TODAY()&lt;=7-WEEKDAY(TODAY()))</formula>
    </cfRule>
  </conditionalFormatting>
  <conditionalFormatting sqref="AP193:XFD193">
    <cfRule type="timePeriod" dxfId="128" priority="421" timePeriod="lastMonth">
      <formula>AND(MONTH(AP193)=MONTH(EDATE(TODAY(),0-1)),YEAR(AP193)=YEAR(EDATE(TODAY(),0-1)))</formula>
    </cfRule>
  </conditionalFormatting>
  <conditionalFormatting sqref="AP201:XFD204">
    <cfRule type="timePeriod" dxfId="127" priority="59" timePeriod="lastMonth">
      <formula>AND(MONTH(AP201)=MONTH(EDATE(TODAY(),0-1)),YEAR(AP201)=YEAR(EDATE(TODAY(),0-1)))</formula>
    </cfRule>
    <cfRule type="timePeriod" dxfId="126" priority="63" timePeriod="last7Days">
      <formula>AND(TODAY()-FLOOR(AP201,1)&lt;=6,FLOOR(AP201,1)&lt;=TODAY())</formula>
    </cfRule>
    <cfRule type="timePeriod" dxfId="125" priority="80" timePeriod="thisWeek">
      <formula>AND(TODAY()-ROUNDDOWN(AP201,0)&lt;=WEEKDAY(TODAY())-1,ROUNDDOWN(AP201,0)-TODAY()&lt;=7-WEEKDAY(TODAY()))</formula>
    </cfRule>
  </conditionalFormatting>
  <conditionalFormatting sqref="AP202:XFD204">
    <cfRule type="timePeriod" dxfId="124" priority="92" timePeriod="nextWeek">
      <formula>AND(ROUNDDOWN(AP202,0)-TODAY()&gt;(7-WEEKDAY(TODAY())),ROUNDDOWN(AP202,0)-TODAY()&lt;(15-WEEKDAY(TODAY())))</formula>
    </cfRule>
  </conditionalFormatting>
  <pageMargins left="0.25" right="0.25" top="0.75" bottom="0.75" header="0.3" footer="0.3"/>
  <pageSetup paperSize="9" scale="18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Q1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4" sqref="H14"/>
    </sheetView>
  </sheetViews>
  <sheetFormatPr defaultRowHeight="32.25" customHeight="1" x14ac:dyDescent="0.25"/>
  <cols>
    <col min="1" max="1" width="3.5703125" style="8" customWidth="1"/>
    <col min="2" max="2" width="7.140625" style="8" customWidth="1"/>
    <col min="3" max="3" width="30" style="3" customWidth="1"/>
    <col min="4" max="4" width="17.7109375" style="8" customWidth="1"/>
    <col min="5" max="5" width="18.28515625" style="8" customWidth="1"/>
    <col min="6" max="6" width="17.7109375" style="30" customWidth="1"/>
    <col min="7" max="7" width="21.42578125" style="23" customWidth="1"/>
    <col min="8" max="8" width="16.5703125" style="3" customWidth="1"/>
    <col min="9" max="9" width="13.42578125" style="72" customWidth="1"/>
    <col min="10" max="10" width="16.42578125" style="3" customWidth="1"/>
    <col min="11" max="11" width="22.28515625" style="3" customWidth="1"/>
    <col min="12" max="12" width="23.5703125" style="72" customWidth="1"/>
    <col min="13" max="13" width="23.140625" style="3" customWidth="1"/>
    <col min="14" max="14" width="44.42578125" style="3" customWidth="1"/>
    <col min="15" max="16384" width="9.140625" style="3"/>
  </cols>
  <sheetData>
    <row r="1" spans="1:10" ht="21" customHeight="1" thickTop="1" thickBot="1" x14ac:dyDescent="0.3">
      <c r="A1" s="20">
        <f ca="1">NOW()</f>
        <v>46316.953917129627</v>
      </c>
      <c r="B1" s="19" t="s">
        <v>149</v>
      </c>
      <c r="C1" s="19" t="s">
        <v>81</v>
      </c>
      <c r="D1" s="19"/>
      <c r="E1" s="19" t="s">
        <v>130</v>
      </c>
      <c r="F1" s="28" t="s">
        <v>196</v>
      </c>
      <c r="G1" s="26" t="s">
        <v>191</v>
      </c>
      <c r="H1" s="19" t="s">
        <v>79</v>
      </c>
    </row>
    <row r="2" spans="1:10" ht="32.25" customHeight="1" thickTop="1" thickBot="1" x14ac:dyDescent="0.3">
      <c r="A2" s="22"/>
      <c r="B2" s="21"/>
      <c r="C2" s="21"/>
      <c r="D2" s="91"/>
      <c r="E2" s="21"/>
      <c r="F2" s="29"/>
      <c r="H2" s="21"/>
      <c r="I2" s="19" t="s">
        <v>393</v>
      </c>
      <c r="J2" s="19" t="s">
        <v>473</v>
      </c>
    </row>
    <row r="3" spans="1:10" ht="30" customHeight="1" thickTop="1" x14ac:dyDescent="0.25">
      <c r="A3" s="4">
        <v>1</v>
      </c>
      <c r="B3" s="5">
        <v>27</v>
      </c>
      <c r="C3" s="80" t="s">
        <v>88</v>
      </c>
      <c r="D3" s="238"/>
      <c r="E3" s="5" t="s">
        <v>131</v>
      </c>
      <c r="F3" s="5"/>
      <c r="G3" s="24" t="s">
        <v>193</v>
      </c>
      <c r="H3" s="10" t="s">
        <v>1</v>
      </c>
      <c r="I3" s="72">
        <v>8000</v>
      </c>
    </row>
    <row r="4" spans="1:10" ht="24.75" customHeight="1" x14ac:dyDescent="0.25">
      <c r="A4" s="4">
        <v>2</v>
      </c>
      <c r="B4" s="5">
        <v>204</v>
      </c>
      <c r="C4" s="80" t="s">
        <v>89</v>
      </c>
      <c r="D4" s="238"/>
      <c r="E4" s="5" t="s">
        <v>131</v>
      </c>
      <c r="F4" s="1">
        <v>31413</v>
      </c>
      <c r="G4" s="24" t="s">
        <v>194</v>
      </c>
      <c r="H4" s="10" t="s">
        <v>2</v>
      </c>
      <c r="I4" s="72">
        <v>8000</v>
      </c>
    </row>
    <row r="5" spans="1:10" ht="30" customHeight="1" x14ac:dyDescent="0.25">
      <c r="A5" s="4">
        <v>3</v>
      </c>
      <c r="B5" s="5">
        <v>30</v>
      </c>
      <c r="C5" s="80" t="s">
        <v>123</v>
      </c>
      <c r="D5" s="238"/>
      <c r="E5" s="5" t="s">
        <v>131</v>
      </c>
      <c r="F5" s="1">
        <v>29696</v>
      </c>
      <c r="G5" s="24">
        <v>9679560</v>
      </c>
      <c r="H5" s="10" t="s">
        <v>3</v>
      </c>
      <c r="I5" s="72">
        <v>8000</v>
      </c>
    </row>
    <row r="6" spans="1:10" ht="30" customHeight="1" x14ac:dyDescent="0.25">
      <c r="A6" s="4">
        <v>4</v>
      </c>
      <c r="B6" s="5">
        <v>29</v>
      </c>
      <c r="C6" s="80" t="s">
        <v>86</v>
      </c>
      <c r="D6" s="238"/>
      <c r="E6" s="5" t="s">
        <v>131</v>
      </c>
      <c r="F6" s="18">
        <v>29637</v>
      </c>
      <c r="G6" s="24" t="s">
        <v>195</v>
      </c>
      <c r="H6" s="10" t="s">
        <v>5</v>
      </c>
      <c r="I6" s="72">
        <v>8000</v>
      </c>
    </row>
    <row r="7" spans="1:10" ht="30" customHeight="1" x14ac:dyDescent="0.25">
      <c r="A7" s="4">
        <v>5</v>
      </c>
      <c r="B7" s="5">
        <v>24</v>
      </c>
      <c r="C7" s="80" t="s">
        <v>52</v>
      </c>
      <c r="D7" s="238"/>
      <c r="E7" s="5" t="s">
        <v>131</v>
      </c>
      <c r="F7" s="70">
        <v>27760</v>
      </c>
      <c r="G7" s="24"/>
      <c r="H7" s="10" t="s">
        <v>6</v>
      </c>
      <c r="I7" s="72">
        <v>8000</v>
      </c>
    </row>
    <row r="8" spans="1:10" ht="30" customHeight="1" x14ac:dyDescent="0.25">
      <c r="A8" s="4">
        <v>6</v>
      </c>
      <c r="B8" s="5">
        <v>16</v>
      </c>
      <c r="C8" s="80" t="s">
        <v>53</v>
      </c>
      <c r="D8" s="238"/>
      <c r="E8" s="5" t="s">
        <v>131</v>
      </c>
      <c r="F8" s="70"/>
      <c r="G8" s="24">
        <v>9182512</v>
      </c>
      <c r="H8" s="10" t="s">
        <v>7</v>
      </c>
      <c r="I8" s="72">
        <v>8000</v>
      </c>
    </row>
    <row r="9" spans="1:10" ht="30" customHeight="1" x14ac:dyDescent="0.25">
      <c r="A9" s="4">
        <v>7</v>
      </c>
      <c r="B9" s="5">
        <v>23</v>
      </c>
      <c r="C9" s="80" t="s">
        <v>54</v>
      </c>
      <c r="D9" s="238"/>
      <c r="E9" s="5" t="s">
        <v>131</v>
      </c>
      <c r="F9" s="70"/>
      <c r="G9" s="24"/>
      <c r="H9" s="10" t="s">
        <v>8</v>
      </c>
      <c r="I9" s="72">
        <v>8000</v>
      </c>
    </row>
    <row r="10" spans="1:10" ht="30" customHeight="1" x14ac:dyDescent="0.25">
      <c r="A10" s="4">
        <v>8</v>
      </c>
      <c r="B10" s="5">
        <v>26</v>
      </c>
      <c r="C10" s="80" t="s">
        <v>55</v>
      </c>
      <c r="D10" s="238"/>
      <c r="E10" s="5" t="s">
        <v>131</v>
      </c>
      <c r="F10" s="70"/>
      <c r="G10" s="24">
        <v>7468504</v>
      </c>
      <c r="H10" s="10" t="s">
        <v>9</v>
      </c>
      <c r="I10" s="72">
        <v>8000</v>
      </c>
    </row>
    <row r="11" spans="1:10" ht="30" customHeight="1" x14ac:dyDescent="0.25">
      <c r="A11" s="4">
        <v>9</v>
      </c>
      <c r="B11" s="5">
        <v>40</v>
      </c>
      <c r="C11" s="80" t="s">
        <v>127</v>
      </c>
      <c r="D11" s="238"/>
      <c r="E11" s="5" t="s">
        <v>131</v>
      </c>
      <c r="F11" s="70"/>
      <c r="G11" s="24">
        <v>7851218</v>
      </c>
      <c r="H11" s="10" t="s">
        <v>11</v>
      </c>
      <c r="I11" s="72">
        <v>8000</v>
      </c>
    </row>
    <row r="12" spans="1:10" ht="30" customHeight="1" x14ac:dyDescent="0.25">
      <c r="A12" s="4">
        <v>10</v>
      </c>
      <c r="B12" s="5">
        <v>21</v>
      </c>
      <c r="C12" s="80" t="s">
        <v>91</v>
      </c>
      <c r="D12" s="238"/>
      <c r="E12" s="5" t="s">
        <v>131</v>
      </c>
      <c r="F12" s="70">
        <v>28491</v>
      </c>
      <c r="G12" s="24">
        <v>9929051</v>
      </c>
      <c r="H12" s="10" t="s">
        <v>13</v>
      </c>
      <c r="I12" s="72">
        <v>8000</v>
      </c>
    </row>
    <row r="13" spans="1:10" ht="30" customHeight="1" x14ac:dyDescent="0.25">
      <c r="A13" s="4">
        <v>11</v>
      </c>
      <c r="B13" s="5">
        <v>83</v>
      </c>
      <c r="C13" s="80" t="s">
        <v>87</v>
      </c>
      <c r="D13" s="238"/>
      <c r="E13" s="5" t="s">
        <v>133</v>
      </c>
      <c r="F13" s="70">
        <v>31191</v>
      </c>
      <c r="G13" s="24">
        <v>7667220</v>
      </c>
      <c r="H13" s="10" t="s">
        <v>14</v>
      </c>
      <c r="I13" s="72">
        <v>3500</v>
      </c>
    </row>
    <row r="14" spans="1:10" ht="30" customHeight="1" x14ac:dyDescent="0.25">
      <c r="A14" s="4">
        <v>12</v>
      </c>
      <c r="B14" s="5"/>
      <c r="C14" s="80" t="s">
        <v>122</v>
      </c>
      <c r="D14" s="238"/>
      <c r="E14" s="5" t="s">
        <v>131</v>
      </c>
      <c r="F14" s="70">
        <v>31837</v>
      </c>
      <c r="G14" s="24"/>
      <c r="H14" s="10" t="s">
        <v>78</v>
      </c>
      <c r="I14" s="72">
        <v>8000</v>
      </c>
    </row>
    <row r="15" spans="1:10" ht="30" customHeight="1" x14ac:dyDescent="0.25">
      <c r="A15" s="4">
        <v>13</v>
      </c>
      <c r="B15" s="5">
        <v>98</v>
      </c>
      <c r="C15" s="85" t="s">
        <v>118</v>
      </c>
      <c r="D15" s="238"/>
      <c r="E15" s="5" t="s">
        <v>131</v>
      </c>
      <c r="F15" s="70">
        <v>31355</v>
      </c>
      <c r="G15" s="24"/>
      <c r="H15" s="10" t="s">
        <v>17</v>
      </c>
      <c r="I15" s="72">
        <v>8000</v>
      </c>
    </row>
    <row r="16" spans="1:10" ht="30" customHeight="1" x14ac:dyDescent="0.25">
      <c r="A16" s="4">
        <v>14</v>
      </c>
      <c r="B16" s="5">
        <v>104</v>
      </c>
      <c r="C16" s="80" t="s">
        <v>136</v>
      </c>
      <c r="D16" s="238"/>
      <c r="E16" s="5" t="s">
        <v>131</v>
      </c>
      <c r="F16" s="70">
        <v>35161</v>
      </c>
      <c r="G16" s="24"/>
      <c r="H16" s="10" t="s">
        <v>18</v>
      </c>
      <c r="I16" s="72">
        <v>8000</v>
      </c>
    </row>
    <row r="17" spans="1:17" ht="30" customHeight="1" x14ac:dyDescent="0.25">
      <c r="A17" s="4">
        <v>15</v>
      </c>
      <c r="B17" s="5"/>
      <c r="C17" s="85" t="s">
        <v>120</v>
      </c>
      <c r="D17" s="238"/>
      <c r="E17" s="5" t="s">
        <v>131</v>
      </c>
      <c r="F17" s="70"/>
      <c r="G17" s="24"/>
      <c r="H17" s="10" t="s">
        <v>22</v>
      </c>
      <c r="I17" s="72">
        <v>8000</v>
      </c>
    </row>
    <row r="18" spans="1:17" ht="30" customHeight="1" x14ac:dyDescent="0.25">
      <c r="A18" s="4">
        <v>16</v>
      </c>
      <c r="B18" s="5">
        <v>132</v>
      </c>
      <c r="C18" s="80" t="s">
        <v>92</v>
      </c>
      <c r="D18" s="238"/>
      <c r="E18" s="5" t="s">
        <v>131</v>
      </c>
      <c r="F18" s="70"/>
      <c r="G18" s="4">
        <v>9563044</v>
      </c>
      <c r="H18" s="10" t="s">
        <v>24</v>
      </c>
      <c r="I18" s="72">
        <v>8000</v>
      </c>
    </row>
    <row r="19" spans="1:17" ht="24" customHeight="1" x14ac:dyDescent="0.25">
      <c r="A19" s="4">
        <v>17</v>
      </c>
      <c r="B19" s="5">
        <v>133</v>
      </c>
      <c r="C19" s="80" t="s">
        <v>84</v>
      </c>
      <c r="D19" s="238"/>
      <c r="E19" s="5" t="s">
        <v>131</v>
      </c>
      <c r="F19" s="70"/>
      <c r="G19" s="24">
        <v>9501245</v>
      </c>
      <c r="H19" s="10" t="s">
        <v>25</v>
      </c>
      <c r="I19" s="72">
        <v>8000</v>
      </c>
    </row>
    <row r="20" spans="1:17" ht="30" customHeight="1" x14ac:dyDescent="0.25">
      <c r="A20" s="4">
        <v>18</v>
      </c>
      <c r="B20" s="5">
        <v>268</v>
      </c>
      <c r="C20" s="80" t="s">
        <v>93</v>
      </c>
      <c r="D20" s="238"/>
      <c r="E20" s="5" t="s">
        <v>131</v>
      </c>
      <c r="F20" s="70">
        <v>34700</v>
      </c>
      <c r="G20" s="24"/>
      <c r="H20" s="10" t="s">
        <v>26</v>
      </c>
      <c r="I20" s="72">
        <v>8000</v>
      </c>
    </row>
    <row r="21" spans="1:17" ht="30" customHeight="1" x14ac:dyDescent="0.25">
      <c r="A21" s="4">
        <v>19</v>
      </c>
      <c r="B21" s="5">
        <v>156</v>
      </c>
      <c r="C21" s="80" t="s">
        <v>124</v>
      </c>
      <c r="D21" s="238"/>
      <c r="E21" s="5" t="s">
        <v>131</v>
      </c>
      <c r="F21" s="70"/>
      <c r="G21" s="24">
        <v>7577843</v>
      </c>
      <c r="H21" s="10" t="s">
        <v>28</v>
      </c>
      <c r="I21" s="72">
        <v>8000</v>
      </c>
    </row>
    <row r="22" spans="1:17" ht="30" customHeight="1" x14ac:dyDescent="0.25">
      <c r="A22" s="4">
        <v>20</v>
      </c>
      <c r="B22" s="5">
        <v>207</v>
      </c>
      <c r="C22" s="80" t="s">
        <v>95</v>
      </c>
      <c r="D22" s="238"/>
      <c r="E22" s="5" t="s">
        <v>133</v>
      </c>
      <c r="F22" s="70"/>
      <c r="G22" s="24"/>
      <c r="H22" s="10" t="s">
        <v>30</v>
      </c>
      <c r="I22" s="72">
        <v>3500</v>
      </c>
      <c r="Q22" s="3">
        <v>1</v>
      </c>
    </row>
    <row r="23" spans="1:17" ht="30" customHeight="1" x14ac:dyDescent="0.25">
      <c r="A23" s="4">
        <v>21</v>
      </c>
      <c r="B23" s="5">
        <v>172</v>
      </c>
      <c r="C23" s="80" t="s">
        <v>98</v>
      </c>
      <c r="D23" s="238"/>
      <c r="E23" s="5" t="s">
        <v>133</v>
      </c>
      <c r="F23" s="70"/>
      <c r="G23" s="24">
        <v>9781539</v>
      </c>
      <c r="H23" s="10" t="s">
        <v>187</v>
      </c>
      <c r="I23" s="72">
        <v>3500</v>
      </c>
    </row>
    <row r="24" spans="1:17" ht="30" customHeight="1" x14ac:dyDescent="0.25">
      <c r="A24" s="4">
        <v>22</v>
      </c>
      <c r="B24" s="5">
        <v>174</v>
      </c>
      <c r="C24" s="80" t="s">
        <v>99</v>
      </c>
      <c r="D24" s="238"/>
      <c r="E24" s="5" t="s">
        <v>133</v>
      </c>
      <c r="F24" s="70"/>
      <c r="G24" s="24"/>
      <c r="H24" s="11" t="s">
        <v>322</v>
      </c>
      <c r="I24" s="72">
        <v>3500</v>
      </c>
    </row>
    <row r="25" spans="1:17" ht="30" customHeight="1" x14ac:dyDescent="0.25">
      <c r="A25" s="4">
        <v>23</v>
      </c>
      <c r="B25" s="5">
        <v>196</v>
      </c>
      <c r="C25" s="85" t="s">
        <v>101</v>
      </c>
      <c r="D25" s="238"/>
      <c r="E25" s="5" t="s">
        <v>131</v>
      </c>
      <c r="F25" s="70">
        <v>33979</v>
      </c>
      <c r="G25" s="24"/>
      <c r="H25" s="10" t="s">
        <v>35</v>
      </c>
      <c r="I25" s="72">
        <v>8000</v>
      </c>
    </row>
    <row r="26" spans="1:17" ht="30" customHeight="1" x14ac:dyDescent="0.25">
      <c r="A26" s="4">
        <v>24</v>
      </c>
      <c r="B26" s="5">
        <v>232</v>
      </c>
      <c r="C26" s="116" t="s">
        <v>106</v>
      </c>
      <c r="D26" s="239"/>
      <c r="E26" s="5" t="s">
        <v>131</v>
      </c>
      <c r="F26" s="70"/>
      <c r="G26" s="24"/>
      <c r="H26" s="11" t="s">
        <v>39</v>
      </c>
      <c r="I26" s="72">
        <v>8000</v>
      </c>
    </row>
    <row r="27" spans="1:17" ht="30" customHeight="1" x14ac:dyDescent="0.25">
      <c r="A27" s="4">
        <v>25</v>
      </c>
      <c r="B27" s="5">
        <v>233</v>
      </c>
      <c r="C27" s="116" t="s">
        <v>107</v>
      </c>
      <c r="D27" s="239"/>
      <c r="E27" s="5" t="s">
        <v>131</v>
      </c>
      <c r="F27" s="70"/>
      <c r="G27" s="24"/>
      <c r="H27" s="11" t="s">
        <v>40</v>
      </c>
      <c r="I27" s="72">
        <v>8000</v>
      </c>
    </row>
    <row r="28" spans="1:17" ht="30" customHeight="1" x14ac:dyDescent="0.25">
      <c r="A28" s="4">
        <v>26</v>
      </c>
      <c r="B28" s="5">
        <v>244</v>
      </c>
      <c r="C28" s="84" t="s">
        <v>139</v>
      </c>
      <c r="D28" s="240"/>
      <c r="E28" s="5" t="s">
        <v>131</v>
      </c>
      <c r="F28" s="70"/>
      <c r="G28" s="24"/>
      <c r="H28" s="11" t="s">
        <v>41</v>
      </c>
      <c r="I28" s="72">
        <v>8000</v>
      </c>
    </row>
    <row r="29" spans="1:17" ht="30" customHeight="1" x14ac:dyDescent="0.25">
      <c r="A29" s="4">
        <v>27</v>
      </c>
      <c r="B29" s="5">
        <v>238</v>
      </c>
      <c r="C29" s="85" t="s">
        <v>140</v>
      </c>
      <c r="D29" s="238"/>
      <c r="E29" s="5" t="s">
        <v>132</v>
      </c>
      <c r="F29" s="66"/>
      <c r="G29" s="24"/>
      <c r="H29" s="10" t="s">
        <v>42</v>
      </c>
      <c r="I29" s="72">
        <v>4000</v>
      </c>
    </row>
    <row r="30" spans="1:17" ht="30" customHeight="1" x14ac:dyDescent="0.25">
      <c r="A30" s="4">
        <v>28</v>
      </c>
      <c r="B30" s="5">
        <v>246</v>
      </c>
      <c r="C30" s="84" t="s">
        <v>110</v>
      </c>
      <c r="D30" s="240"/>
      <c r="E30" s="5" t="s">
        <v>131</v>
      </c>
      <c r="F30" s="70">
        <v>34344</v>
      </c>
      <c r="G30" s="24"/>
      <c r="H30" s="10" t="s">
        <v>43</v>
      </c>
      <c r="I30" s="72">
        <v>8000</v>
      </c>
    </row>
    <row r="31" spans="1:17" ht="30" customHeight="1" x14ac:dyDescent="0.25">
      <c r="A31" s="4">
        <v>29</v>
      </c>
      <c r="B31" s="5">
        <v>241</v>
      </c>
      <c r="C31" s="85" t="s">
        <v>109</v>
      </c>
      <c r="D31" s="238"/>
      <c r="E31" s="5" t="s">
        <v>131</v>
      </c>
      <c r="F31" s="70">
        <v>34700</v>
      </c>
      <c r="G31" s="24">
        <v>9503196</v>
      </c>
      <c r="H31" s="10" t="s">
        <v>44</v>
      </c>
      <c r="I31" s="72">
        <v>8000</v>
      </c>
    </row>
    <row r="32" spans="1:17" ht="30" customHeight="1" x14ac:dyDescent="0.25">
      <c r="A32" s="4">
        <v>30</v>
      </c>
      <c r="B32" s="5"/>
      <c r="C32" s="85" t="s">
        <v>112</v>
      </c>
      <c r="D32" s="238"/>
      <c r="E32" s="5" t="s">
        <v>131</v>
      </c>
      <c r="F32" s="70">
        <v>36559</v>
      </c>
      <c r="G32" s="24"/>
      <c r="H32" s="10" t="s">
        <v>45</v>
      </c>
      <c r="I32" s="72">
        <v>8000</v>
      </c>
    </row>
    <row r="33" spans="1:9" ht="30" customHeight="1" x14ac:dyDescent="0.25">
      <c r="A33" s="4">
        <v>31</v>
      </c>
      <c r="B33" s="5">
        <v>251</v>
      </c>
      <c r="C33" s="85" t="s">
        <v>113</v>
      </c>
      <c r="D33" s="238"/>
      <c r="E33" s="5" t="s">
        <v>131</v>
      </c>
      <c r="F33" s="70">
        <v>31815</v>
      </c>
      <c r="G33" s="24"/>
      <c r="H33" s="10" t="s">
        <v>46</v>
      </c>
      <c r="I33" s="72">
        <v>8000</v>
      </c>
    </row>
    <row r="34" spans="1:9" ht="30" customHeight="1" x14ac:dyDescent="0.25">
      <c r="A34" s="4">
        <v>32</v>
      </c>
      <c r="B34" s="5">
        <v>249</v>
      </c>
      <c r="C34" s="84" t="s">
        <v>111</v>
      </c>
      <c r="D34" s="240"/>
      <c r="E34" s="5" t="s">
        <v>131</v>
      </c>
      <c r="F34" s="70">
        <v>35239</v>
      </c>
      <c r="G34" s="24"/>
      <c r="H34" s="10" t="s">
        <v>47</v>
      </c>
      <c r="I34" s="72">
        <v>8000</v>
      </c>
    </row>
    <row r="35" spans="1:9" ht="30" customHeight="1" x14ac:dyDescent="0.25">
      <c r="A35" s="4">
        <v>33</v>
      </c>
      <c r="B35" s="5"/>
      <c r="C35" s="115" t="s">
        <v>128</v>
      </c>
      <c r="D35" s="241"/>
      <c r="E35" s="7" t="s">
        <v>132</v>
      </c>
      <c r="F35" s="70"/>
      <c r="G35" s="25"/>
      <c r="H35" s="12" t="s">
        <v>129</v>
      </c>
      <c r="I35" s="72">
        <v>4000</v>
      </c>
    </row>
    <row r="36" spans="1:9" ht="30" customHeight="1" x14ac:dyDescent="0.25">
      <c r="A36" s="4">
        <v>34</v>
      </c>
      <c r="B36" s="5"/>
      <c r="C36" s="80" t="s">
        <v>179</v>
      </c>
      <c r="D36" s="238"/>
      <c r="E36" s="5" t="s">
        <v>131</v>
      </c>
      <c r="F36" s="70">
        <v>26218</v>
      </c>
      <c r="G36" s="24"/>
      <c r="H36" s="10" t="s">
        <v>177</v>
      </c>
      <c r="I36" s="72">
        <v>8000</v>
      </c>
    </row>
    <row r="37" spans="1:9" ht="30" customHeight="1" x14ac:dyDescent="0.25">
      <c r="A37" s="4">
        <v>35</v>
      </c>
      <c r="B37" s="5"/>
      <c r="C37" s="80" t="s">
        <v>174</v>
      </c>
      <c r="D37" s="238"/>
      <c r="E37" s="5" t="s">
        <v>131</v>
      </c>
      <c r="F37" s="70"/>
      <c r="G37" s="24"/>
      <c r="H37" s="10" t="s">
        <v>220</v>
      </c>
      <c r="I37" s="72">
        <v>8000</v>
      </c>
    </row>
    <row r="38" spans="1:9" ht="30" customHeight="1" x14ac:dyDescent="0.25">
      <c r="A38" s="4">
        <v>36</v>
      </c>
      <c r="B38" s="5"/>
      <c r="C38" s="119" t="s">
        <v>137</v>
      </c>
      <c r="D38" s="242"/>
      <c r="E38" s="5" t="s">
        <v>147</v>
      </c>
      <c r="F38" s="70"/>
      <c r="G38" s="24"/>
      <c r="H38" s="10" t="s">
        <v>29</v>
      </c>
      <c r="I38" s="72">
        <v>4000</v>
      </c>
    </row>
    <row r="39" spans="1:9" ht="30" customHeight="1" x14ac:dyDescent="0.25">
      <c r="A39" s="4">
        <v>37</v>
      </c>
      <c r="B39" s="5"/>
      <c r="C39" s="80" t="s">
        <v>182</v>
      </c>
      <c r="D39" s="238"/>
      <c r="E39" s="5" t="s">
        <v>133</v>
      </c>
      <c r="F39" s="70">
        <v>26052</v>
      </c>
      <c r="G39" s="24"/>
      <c r="H39" s="5" t="s">
        <v>189</v>
      </c>
      <c r="I39" s="72">
        <v>3500</v>
      </c>
    </row>
    <row r="40" spans="1:9" ht="32.25" customHeight="1" x14ac:dyDescent="0.25">
      <c r="A40" s="4">
        <v>38</v>
      </c>
      <c r="B40" s="5"/>
      <c r="C40" s="85" t="s">
        <v>197</v>
      </c>
      <c r="D40" s="238"/>
      <c r="E40" s="5" t="s">
        <v>133</v>
      </c>
      <c r="F40" s="70">
        <v>34454</v>
      </c>
      <c r="G40" s="24"/>
      <c r="H40" s="5" t="s">
        <v>209</v>
      </c>
      <c r="I40" s="72">
        <v>3500</v>
      </c>
    </row>
    <row r="41" spans="1:9" ht="32.25" customHeight="1" x14ac:dyDescent="0.25">
      <c r="A41" s="4">
        <v>39</v>
      </c>
      <c r="B41" s="5"/>
      <c r="C41" s="86" t="s">
        <v>199</v>
      </c>
      <c r="D41" s="243"/>
      <c r="E41" s="5" t="s">
        <v>133</v>
      </c>
      <c r="F41" s="70"/>
      <c r="G41" s="24"/>
      <c r="H41" s="5" t="s">
        <v>210</v>
      </c>
      <c r="I41" s="72">
        <v>3500</v>
      </c>
    </row>
    <row r="42" spans="1:9" ht="32.25" customHeight="1" x14ac:dyDescent="0.25">
      <c r="A42" s="4">
        <v>40</v>
      </c>
      <c r="B42" s="61"/>
      <c r="C42" s="114" t="s">
        <v>215</v>
      </c>
      <c r="D42" s="244"/>
      <c r="E42" s="61" t="s">
        <v>133</v>
      </c>
      <c r="F42" s="62">
        <v>35341</v>
      </c>
      <c r="G42" s="63"/>
      <c r="H42" s="61" t="s">
        <v>238</v>
      </c>
      <c r="I42" s="72">
        <v>3500</v>
      </c>
    </row>
    <row r="43" spans="1:9" ht="32.25" customHeight="1" x14ac:dyDescent="0.25">
      <c r="A43" s="4">
        <v>41</v>
      </c>
      <c r="B43" s="68">
        <v>363</v>
      </c>
      <c r="C43" s="87" t="s">
        <v>239</v>
      </c>
      <c r="D43" s="245"/>
      <c r="E43" s="68" t="s">
        <v>133</v>
      </c>
      <c r="F43" s="70">
        <v>30576</v>
      </c>
      <c r="G43" s="71"/>
      <c r="H43" s="68" t="s">
        <v>240</v>
      </c>
      <c r="I43" s="72">
        <v>3500</v>
      </c>
    </row>
    <row r="44" spans="1:9" ht="32.25" customHeight="1" x14ac:dyDescent="0.25">
      <c r="A44" s="4">
        <v>42</v>
      </c>
      <c r="B44" s="64"/>
      <c r="C44" s="74" t="s">
        <v>242</v>
      </c>
      <c r="D44" s="246"/>
      <c r="E44" s="64" t="s">
        <v>133</v>
      </c>
      <c r="F44" s="66">
        <v>32523</v>
      </c>
      <c r="G44" s="67"/>
      <c r="H44" s="64" t="s">
        <v>243</v>
      </c>
      <c r="I44" s="72">
        <v>3500</v>
      </c>
    </row>
    <row r="45" spans="1:9" ht="32.25" customHeight="1" x14ac:dyDescent="0.25">
      <c r="A45" s="4">
        <v>43</v>
      </c>
      <c r="B45" s="64"/>
      <c r="C45" s="74" t="s">
        <v>249</v>
      </c>
      <c r="D45" s="246"/>
      <c r="E45" s="64" t="s">
        <v>133</v>
      </c>
      <c r="F45" s="66">
        <v>36824</v>
      </c>
      <c r="G45" s="67"/>
      <c r="H45" s="64" t="s">
        <v>250</v>
      </c>
      <c r="I45" s="72">
        <v>3500</v>
      </c>
    </row>
    <row r="46" spans="1:9" ht="32.25" customHeight="1" x14ac:dyDescent="0.25">
      <c r="A46" s="4">
        <v>44</v>
      </c>
      <c r="B46" s="68"/>
      <c r="C46" s="87" t="s">
        <v>252</v>
      </c>
      <c r="D46" s="245"/>
      <c r="E46" s="68" t="s">
        <v>133</v>
      </c>
      <c r="F46" s="70">
        <v>32412</v>
      </c>
      <c r="G46" s="71"/>
      <c r="H46" s="68" t="s">
        <v>253</v>
      </c>
      <c r="I46" s="72">
        <v>3500</v>
      </c>
    </row>
    <row r="47" spans="1:9" ht="32.25" customHeight="1" x14ac:dyDescent="0.25">
      <c r="A47" s="4">
        <v>45</v>
      </c>
      <c r="B47" s="64"/>
      <c r="C47" s="74" t="s">
        <v>255</v>
      </c>
      <c r="D47" s="246"/>
      <c r="E47" s="64" t="s">
        <v>132</v>
      </c>
      <c r="F47" s="66">
        <v>27330</v>
      </c>
      <c r="G47" s="67"/>
      <c r="H47" s="64" t="s">
        <v>256</v>
      </c>
      <c r="I47" s="72">
        <v>4000</v>
      </c>
    </row>
    <row r="48" spans="1:9" ht="32.25" customHeight="1" x14ac:dyDescent="0.25">
      <c r="A48" s="4">
        <v>46</v>
      </c>
      <c r="B48" s="68">
        <v>372</v>
      </c>
      <c r="C48" s="87" t="s">
        <v>258</v>
      </c>
      <c r="D48" s="245"/>
      <c r="E48" s="68" t="s">
        <v>133</v>
      </c>
      <c r="F48" s="70">
        <v>32129</v>
      </c>
      <c r="G48" s="71"/>
      <c r="H48" s="68" t="s">
        <v>259</v>
      </c>
      <c r="I48" s="72">
        <v>3500</v>
      </c>
    </row>
    <row r="49" spans="1:10" ht="32.25" customHeight="1" x14ac:dyDescent="0.25">
      <c r="A49" s="4">
        <v>48</v>
      </c>
      <c r="B49" s="68"/>
      <c r="C49" s="87" t="s">
        <v>265</v>
      </c>
      <c r="D49" s="245"/>
      <c r="E49" s="68" t="s">
        <v>133</v>
      </c>
      <c r="F49" s="70">
        <v>36692</v>
      </c>
      <c r="G49" s="71"/>
      <c r="H49" s="68" t="s">
        <v>266</v>
      </c>
      <c r="I49" s="72">
        <v>3500</v>
      </c>
      <c r="J49" s="3">
        <v>3500</v>
      </c>
    </row>
    <row r="50" spans="1:10" ht="32.25" customHeight="1" x14ac:dyDescent="0.25">
      <c r="A50" s="4">
        <v>49</v>
      </c>
      <c r="B50" s="64"/>
      <c r="C50" s="74" t="s">
        <v>271</v>
      </c>
      <c r="D50" s="246"/>
      <c r="E50" s="64" t="s">
        <v>132</v>
      </c>
      <c r="F50" s="66">
        <v>24208</v>
      </c>
      <c r="G50" s="67"/>
      <c r="H50" s="64" t="s">
        <v>272</v>
      </c>
      <c r="I50" s="72">
        <v>4000</v>
      </c>
    </row>
    <row r="51" spans="1:10" ht="32.25" customHeight="1" x14ac:dyDescent="0.25">
      <c r="A51" s="4">
        <v>50</v>
      </c>
      <c r="B51" s="64"/>
      <c r="C51" s="112" t="s">
        <v>274</v>
      </c>
      <c r="D51" s="247"/>
      <c r="E51" s="64" t="s">
        <v>132</v>
      </c>
      <c r="F51" s="66">
        <v>29046</v>
      </c>
      <c r="G51" s="67"/>
      <c r="H51" s="64" t="s">
        <v>275</v>
      </c>
      <c r="I51" s="72">
        <v>4000</v>
      </c>
    </row>
    <row r="52" spans="1:10" ht="32.25" customHeight="1" x14ac:dyDescent="0.25">
      <c r="A52" s="4">
        <v>51</v>
      </c>
      <c r="B52" s="64"/>
      <c r="C52" s="112" t="s">
        <v>277</v>
      </c>
      <c r="D52" s="247"/>
      <c r="E52" s="64" t="s">
        <v>133</v>
      </c>
      <c r="F52" s="66">
        <v>29225</v>
      </c>
      <c r="G52" s="67"/>
      <c r="H52" s="64" t="s">
        <v>278</v>
      </c>
      <c r="I52" s="72">
        <v>3500</v>
      </c>
      <c r="J52" s="3">
        <v>3500</v>
      </c>
    </row>
    <row r="53" spans="1:10" ht="32.25" customHeight="1" x14ac:dyDescent="0.25">
      <c r="A53" s="4">
        <v>52</v>
      </c>
      <c r="B53" s="64"/>
      <c r="C53" s="112" t="s">
        <v>280</v>
      </c>
      <c r="D53" s="247"/>
      <c r="E53" s="64" t="s">
        <v>133</v>
      </c>
      <c r="F53" s="66">
        <v>35868</v>
      </c>
      <c r="G53" s="67"/>
      <c r="H53" s="64" t="s">
        <v>299</v>
      </c>
      <c r="I53" s="72">
        <v>3500</v>
      </c>
    </row>
    <row r="54" spans="1:10" ht="32.25" customHeight="1" x14ac:dyDescent="0.25">
      <c r="A54" s="4">
        <v>53</v>
      </c>
      <c r="B54" s="64"/>
      <c r="C54" s="112" t="s">
        <v>282</v>
      </c>
      <c r="D54" s="247"/>
      <c r="E54" s="64" t="s">
        <v>133</v>
      </c>
      <c r="F54" s="66">
        <v>35868</v>
      </c>
      <c r="G54" s="67"/>
      <c r="H54" s="64" t="s">
        <v>283</v>
      </c>
      <c r="I54" s="72">
        <v>3500</v>
      </c>
    </row>
    <row r="55" spans="1:10" ht="32.25" customHeight="1" x14ac:dyDescent="0.25">
      <c r="A55" s="4">
        <v>54</v>
      </c>
      <c r="B55" s="64"/>
      <c r="C55" s="74" t="s">
        <v>287</v>
      </c>
      <c r="D55" s="246"/>
      <c r="E55" s="64" t="s">
        <v>133</v>
      </c>
      <c r="F55" s="66">
        <v>35820</v>
      </c>
      <c r="G55" s="67"/>
      <c r="H55" s="64" t="s">
        <v>288</v>
      </c>
      <c r="I55" s="72">
        <v>3500</v>
      </c>
    </row>
    <row r="56" spans="1:10" ht="32.25" customHeight="1" x14ac:dyDescent="0.25">
      <c r="A56" s="4">
        <v>55</v>
      </c>
      <c r="B56" s="64"/>
      <c r="C56" s="74" t="s">
        <v>290</v>
      </c>
      <c r="D56" s="246"/>
      <c r="E56" s="64" t="s">
        <v>133</v>
      </c>
      <c r="F56" s="66">
        <v>36342</v>
      </c>
      <c r="G56" s="67"/>
      <c r="H56" s="64" t="s">
        <v>291</v>
      </c>
      <c r="I56" s="72">
        <v>3500</v>
      </c>
    </row>
    <row r="57" spans="1:10" ht="32.25" customHeight="1" x14ac:dyDescent="0.25">
      <c r="A57" s="4">
        <v>56</v>
      </c>
      <c r="B57" s="64"/>
      <c r="C57" s="74" t="s">
        <v>293</v>
      </c>
      <c r="D57" s="246"/>
      <c r="E57" s="64" t="s">
        <v>133</v>
      </c>
      <c r="F57" s="66">
        <v>34609</v>
      </c>
      <c r="G57" s="67"/>
      <c r="H57" s="64" t="s">
        <v>294</v>
      </c>
      <c r="I57" s="72">
        <v>3500</v>
      </c>
    </row>
    <row r="58" spans="1:10" ht="32.25" customHeight="1" x14ac:dyDescent="0.25">
      <c r="A58" s="4">
        <v>57</v>
      </c>
      <c r="B58" s="88"/>
      <c r="C58" s="113" t="s">
        <v>296</v>
      </c>
      <c r="D58" s="248"/>
      <c r="E58" s="88" t="s">
        <v>133</v>
      </c>
      <c r="F58" s="89">
        <v>35796</v>
      </c>
      <c r="G58" s="90"/>
      <c r="H58" s="88" t="s">
        <v>297</v>
      </c>
      <c r="I58" s="72">
        <v>3500</v>
      </c>
    </row>
    <row r="59" spans="1:10" ht="32.25" customHeight="1" x14ac:dyDescent="0.25">
      <c r="A59" s="4">
        <v>60</v>
      </c>
      <c r="B59" s="64"/>
      <c r="C59" s="74" t="s">
        <v>301</v>
      </c>
      <c r="D59" s="246"/>
      <c r="E59" s="64" t="s">
        <v>133</v>
      </c>
      <c r="F59" s="66">
        <v>36947</v>
      </c>
      <c r="G59" s="67"/>
      <c r="H59" s="64" t="s">
        <v>302</v>
      </c>
      <c r="I59" s="72">
        <v>3500</v>
      </c>
    </row>
    <row r="60" spans="1:10" ht="32.25" customHeight="1" x14ac:dyDescent="0.25">
      <c r="A60" s="4">
        <v>61</v>
      </c>
      <c r="B60" s="64"/>
      <c r="C60" s="74" t="s">
        <v>304</v>
      </c>
      <c r="D60" s="246"/>
      <c r="E60" s="64" t="s">
        <v>133</v>
      </c>
      <c r="F60" s="66">
        <v>35442</v>
      </c>
      <c r="G60" s="67"/>
      <c r="H60" s="64" t="s">
        <v>305</v>
      </c>
      <c r="I60" s="72">
        <v>3500</v>
      </c>
    </row>
    <row r="61" spans="1:10" ht="32.25" customHeight="1" x14ac:dyDescent="0.25">
      <c r="A61" s="4">
        <v>62</v>
      </c>
      <c r="B61" s="68"/>
      <c r="C61" s="87" t="s">
        <v>307</v>
      </c>
      <c r="D61" s="245"/>
      <c r="E61" s="68" t="s">
        <v>133</v>
      </c>
      <c r="F61" s="70">
        <v>36317</v>
      </c>
      <c r="G61" s="71"/>
      <c r="H61" s="68" t="s">
        <v>308</v>
      </c>
      <c r="I61" s="72">
        <v>3500</v>
      </c>
    </row>
    <row r="62" spans="1:10" ht="32.25" customHeight="1" x14ac:dyDescent="0.25">
      <c r="A62" s="4">
        <v>63</v>
      </c>
      <c r="B62" s="64"/>
      <c r="C62" s="74" t="s">
        <v>310</v>
      </c>
      <c r="D62" s="246"/>
      <c r="E62" s="64" t="s">
        <v>133</v>
      </c>
      <c r="F62" s="66">
        <v>35146</v>
      </c>
      <c r="G62" s="67"/>
      <c r="H62" s="64" t="s">
        <v>311</v>
      </c>
      <c r="I62" s="72">
        <v>3500</v>
      </c>
    </row>
    <row r="63" spans="1:10" ht="32.25" customHeight="1" x14ac:dyDescent="0.25">
      <c r="A63" s="4">
        <v>64</v>
      </c>
      <c r="B63" s="68"/>
      <c r="C63" s="87" t="s">
        <v>326</v>
      </c>
      <c r="D63" s="245"/>
      <c r="E63" s="68" t="s">
        <v>133</v>
      </c>
      <c r="F63" s="70">
        <v>30723</v>
      </c>
      <c r="G63" s="71"/>
      <c r="H63" s="68" t="s">
        <v>317</v>
      </c>
      <c r="I63" s="72">
        <v>3500</v>
      </c>
      <c r="J63" s="3">
        <v>3500</v>
      </c>
    </row>
    <row r="64" spans="1:10" ht="32.25" customHeight="1" x14ac:dyDescent="0.25">
      <c r="A64" s="4">
        <v>65</v>
      </c>
      <c r="B64" s="64"/>
      <c r="C64" s="74" t="s">
        <v>323</v>
      </c>
      <c r="D64" s="246"/>
      <c r="E64" s="64" t="s">
        <v>133</v>
      </c>
      <c r="F64" s="66"/>
      <c r="G64" s="67"/>
      <c r="H64" s="64" t="s">
        <v>324</v>
      </c>
      <c r="I64" s="72">
        <v>3500</v>
      </c>
    </row>
    <row r="65" spans="1:13" ht="32.25" customHeight="1" x14ac:dyDescent="0.25">
      <c r="A65" s="4">
        <v>66</v>
      </c>
      <c r="B65" s="64"/>
      <c r="C65" s="74" t="s">
        <v>327</v>
      </c>
      <c r="D65" s="246"/>
      <c r="E65" s="64" t="s">
        <v>133</v>
      </c>
      <c r="F65" s="66">
        <v>31048</v>
      </c>
      <c r="G65" s="67"/>
      <c r="H65" s="64" t="s">
        <v>328</v>
      </c>
      <c r="I65" s="72">
        <v>3500</v>
      </c>
    </row>
    <row r="66" spans="1:13" ht="32.25" customHeight="1" x14ac:dyDescent="0.25">
      <c r="A66" s="4">
        <v>67</v>
      </c>
      <c r="B66" s="64"/>
      <c r="C66" s="74" t="s">
        <v>330</v>
      </c>
      <c r="D66" s="246"/>
      <c r="E66" s="64" t="s">
        <v>133</v>
      </c>
      <c r="F66" s="66">
        <v>36892</v>
      </c>
      <c r="G66" s="67"/>
      <c r="H66" s="64" t="s">
        <v>331</v>
      </c>
      <c r="I66" s="72">
        <v>3500</v>
      </c>
    </row>
    <row r="67" spans="1:13" ht="32.25" customHeight="1" x14ac:dyDescent="0.25">
      <c r="A67" s="4">
        <v>68</v>
      </c>
      <c r="B67" s="69"/>
      <c r="C67" s="87" t="s">
        <v>336</v>
      </c>
      <c r="D67" s="245"/>
      <c r="E67" s="70" t="s">
        <v>133</v>
      </c>
      <c r="F67" s="70">
        <v>34897</v>
      </c>
      <c r="G67" s="68"/>
      <c r="H67" s="68" t="s">
        <v>337</v>
      </c>
      <c r="I67" s="72">
        <v>3500</v>
      </c>
    </row>
    <row r="68" spans="1:13" ht="32.25" customHeight="1" x14ac:dyDescent="0.25">
      <c r="A68" s="4">
        <v>69</v>
      </c>
      <c r="B68" s="65"/>
      <c r="C68" s="74" t="s">
        <v>335</v>
      </c>
      <c r="D68" s="246"/>
      <c r="E68" s="66" t="s">
        <v>133</v>
      </c>
      <c r="F68" s="66">
        <v>35264</v>
      </c>
      <c r="G68" s="64"/>
      <c r="H68" s="64" t="s">
        <v>333</v>
      </c>
      <c r="I68" s="72">
        <v>3500</v>
      </c>
    </row>
    <row r="69" spans="1:13" ht="32.25" customHeight="1" x14ac:dyDescent="0.25">
      <c r="A69" s="4">
        <v>70</v>
      </c>
      <c r="B69" s="64"/>
      <c r="C69" s="74" t="s">
        <v>340</v>
      </c>
      <c r="D69" s="246"/>
      <c r="E69" s="64" t="s">
        <v>133</v>
      </c>
      <c r="F69" s="66">
        <v>32493</v>
      </c>
      <c r="G69" s="67"/>
      <c r="H69" s="64" t="s">
        <v>341</v>
      </c>
      <c r="I69" s="72">
        <v>3500</v>
      </c>
    </row>
    <row r="70" spans="1:13" ht="32.25" customHeight="1" x14ac:dyDescent="0.25">
      <c r="A70" s="4">
        <v>71</v>
      </c>
      <c r="B70" s="64"/>
      <c r="C70" s="74" t="s">
        <v>343</v>
      </c>
      <c r="D70" s="246"/>
      <c r="E70" s="64" t="s">
        <v>133</v>
      </c>
      <c r="F70" s="66">
        <v>37539</v>
      </c>
      <c r="G70" s="67"/>
      <c r="H70" s="64" t="s">
        <v>346</v>
      </c>
      <c r="I70" s="72">
        <v>3500</v>
      </c>
    </row>
    <row r="71" spans="1:13" ht="32.25" customHeight="1" x14ac:dyDescent="0.25">
      <c r="A71" s="4">
        <v>72</v>
      </c>
      <c r="B71" s="64"/>
      <c r="C71" s="74" t="s">
        <v>344</v>
      </c>
      <c r="D71" s="246"/>
      <c r="E71" s="64" t="s">
        <v>133</v>
      </c>
      <c r="F71" s="66">
        <v>37622</v>
      </c>
      <c r="G71" s="67"/>
      <c r="H71" s="64" t="s">
        <v>348</v>
      </c>
      <c r="I71" s="72">
        <v>3500</v>
      </c>
    </row>
    <row r="72" spans="1:13" ht="32.25" customHeight="1" x14ac:dyDescent="0.25">
      <c r="A72" s="4">
        <v>73</v>
      </c>
      <c r="B72" s="64"/>
      <c r="C72" s="74" t="s">
        <v>345</v>
      </c>
      <c r="D72" s="246"/>
      <c r="E72" s="64" t="s">
        <v>133</v>
      </c>
      <c r="F72" s="66">
        <v>35465</v>
      </c>
      <c r="G72" s="67"/>
      <c r="H72" s="64" t="s">
        <v>350</v>
      </c>
      <c r="I72" s="72">
        <v>3500</v>
      </c>
    </row>
    <row r="73" spans="1:13" ht="32.25" customHeight="1" x14ac:dyDescent="0.25">
      <c r="A73" s="4">
        <v>74</v>
      </c>
      <c r="B73" s="64"/>
      <c r="C73" s="74" t="s">
        <v>353</v>
      </c>
      <c r="D73" s="246"/>
      <c r="E73" s="64" t="s">
        <v>133</v>
      </c>
      <c r="F73" s="66">
        <v>37159</v>
      </c>
      <c r="G73" s="67"/>
      <c r="H73" s="64" t="s">
        <v>355</v>
      </c>
      <c r="I73" s="72">
        <v>3500</v>
      </c>
    </row>
    <row r="74" spans="1:13" ht="32.25" customHeight="1" x14ac:dyDescent="0.25">
      <c r="A74" s="92">
        <v>75</v>
      </c>
      <c r="B74" s="68"/>
      <c r="C74" s="87" t="s">
        <v>354</v>
      </c>
      <c r="D74" s="245"/>
      <c r="E74" s="68" t="s">
        <v>133</v>
      </c>
      <c r="F74" s="70">
        <v>37258</v>
      </c>
      <c r="G74" s="71"/>
      <c r="H74" s="68" t="s">
        <v>352</v>
      </c>
      <c r="I74" s="72">
        <v>3500</v>
      </c>
    </row>
    <row r="75" spans="1:13" ht="32.25" customHeight="1" x14ac:dyDescent="0.25">
      <c r="A75" s="64">
        <v>76</v>
      </c>
      <c r="B75" s="64"/>
      <c r="C75" s="74" t="s">
        <v>372</v>
      </c>
      <c r="D75" s="246"/>
      <c r="E75" s="64" t="s">
        <v>133</v>
      </c>
      <c r="F75" s="66">
        <v>32874</v>
      </c>
      <c r="G75" s="67"/>
      <c r="H75" s="64" t="s">
        <v>373</v>
      </c>
      <c r="I75" s="72">
        <v>3500</v>
      </c>
    </row>
    <row r="76" spans="1:13" ht="32.25" customHeight="1" x14ac:dyDescent="0.25">
      <c r="A76" s="64"/>
      <c r="B76" s="64"/>
      <c r="C76" s="74" t="s">
        <v>382</v>
      </c>
      <c r="D76" s="246"/>
      <c r="E76" s="64" t="s">
        <v>133</v>
      </c>
      <c r="F76" s="66">
        <v>35036</v>
      </c>
      <c r="G76" s="67"/>
      <c r="H76" s="64" t="s">
        <v>383</v>
      </c>
      <c r="I76" s="72">
        <v>3500</v>
      </c>
    </row>
    <row r="77" spans="1:13" ht="32.25" customHeight="1" x14ac:dyDescent="0.25">
      <c r="A77" s="64"/>
      <c r="B77" s="64"/>
      <c r="C77" s="74" t="s">
        <v>384</v>
      </c>
      <c r="D77" s="246"/>
      <c r="E77" s="64" t="s">
        <v>133</v>
      </c>
      <c r="F77" s="66">
        <v>30843</v>
      </c>
      <c r="G77" s="67"/>
      <c r="H77" s="64" t="s">
        <v>385</v>
      </c>
      <c r="I77" s="72">
        <v>3500</v>
      </c>
      <c r="J77" s="3">
        <v>3500</v>
      </c>
      <c r="M77" s="3" t="s">
        <v>463</v>
      </c>
    </row>
    <row r="78" spans="1:13" ht="32.25" customHeight="1" x14ac:dyDescent="0.25">
      <c r="C78" s="81" t="s">
        <v>51</v>
      </c>
      <c r="D78" s="64"/>
      <c r="E78" s="64" t="s">
        <v>131</v>
      </c>
      <c r="F78" s="64" t="s">
        <v>4</v>
      </c>
      <c r="G78" s="67">
        <v>9821950</v>
      </c>
      <c r="H78" s="64"/>
      <c r="I78" s="107">
        <f>SUM(I3:I77)</f>
        <v>396000</v>
      </c>
      <c r="J78" s="107">
        <f>SUM(J3:J77)</f>
        <v>14000</v>
      </c>
      <c r="K78" s="107">
        <f>I78-J78</f>
        <v>382000</v>
      </c>
      <c r="M78" s="3" t="s">
        <v>462</v>
      </c>
    </row>
    <row r="79" spans="1:13" ht="32.25" customHeight="1" x14ac:dyDescent="0.25">
      <c r="C79" s="81" t="s">
        <v>115</v>
      </c>
      <c r="D79" s="64"/>
      <c r="E79" s="64" t="s">
        <v>131</v>
      </c>
      <c r="F79" s="64" t="s">
        <v>180</v>
      </c>
      <c r="G79" s="64"/>
      <c r="H79" s="64"/>
      <c r="M79" s="3" t="s">
        <v>462</v>
      </c>
    </row>
    <row r="80" spans="1:13" ht="32.25" customHeight="1" x14ac:dyDescent="0.25">
      <c r="C80" s="81" t="s">
        <v>178</v>
      </c>
      <c r="D80" s="64"/>
      <c r="E80" s="64" t="s">
        <v>131</v>
      </c>
      <c r="F80" s="64" t="s">
        <v>176</v>
      </c>
      <c r="G80" s="64"/>
      <c r="H80" s="64" t="s">
        <v>175</v>
      </c>
      <c r="M80" s="3" t="s">
        <v>462</v>
      </c>
    </row>
    <row r="81" spans="2:14" ht="32.25" customHeight="1" x14ac:dyDescent="0.25">
      <c r="C81" s="3" t="s">
        <v>399</v>
      </c>
      <c r="E81" s="8" t="s">
        <v>131</v>
      </c>
      <c r="F81" s="30" t="s">
        <v>400</v>
      </c>
      <c r="H81" s="3" t="s">
        <v>398</v>
      </c>
      <c r="I81" s="72">
        <v>8000</v>
      </c>
      <c r="M81" s="3" t="s">
        <v>461</v>
      </c>
    </row>
    <row r="82" spans="2:14" ht="32.25" customHeight="1" x14ac:dyDescent="0.25">
      <c r="C82" s="118" t="s">
        <v>83</v>
      </c>
      <c r="D82" s="249"/>
      <c r="E82" s="109" t="s">
        <v>131</v>
      </c>
      <c r="F82" s="110" t="s">
        <v>192</v>
      </c>
      <c r="G82" s="109" t="s">
        <v>0</v>
      </c>
      <c r="H82" s="3" t="s">
        <v>398</v>
      </c>
      <c r="I82" s="72">
        <v>8000</v>
      </c>
      <c r="M82" s="3" t="s">
        <v>461</v>
      </c>
    </row>
    <row r="83" spans="2:14" ht="32.25" customHeight="1" x14ac:dyDescent="0.25">
      <c r="C83" s="121" t="s">
        <v>119</v>
      </c>
      <c r="D83" s="249"/>
      <c r="E83" s="109" t="s">
        <v>131</v>
      </c>
      <c r="F83" s="110"/>
      <c r="G83" s="109" t="s">
        <v>19</v>
      </c>
      <c r="H83" s="109"/>
      <c r="I83" s="72">
        <v>8000</v>
      </c>
      <c r="M83" s="3" t="s">
        <v>461</v>
      </c>
    </row>
    <row r="84" spans="2:14" ht="32.25" customHeight="1" x14ac:dyDescent="0.25">
      <c r="C84" s="121" t="s">
        <v>117</v>
      </c>
      <c r="D84" s="249"/>
      <c r="E84" s="109" t="s">
        <v>131</v>
      </c>
      <c r="F84" s="110"/>
      <c r="G84" s="109" t="s">
        <v>21</v>
      </c>
      <c r="H84" s="109"/>
      <c r="I84" s="72">
        <v>8000</v>
      </c>
      <c r="M84" s="3" t="s">
        <v>461</v>
      </c>
    </row>
    <row r="85" spans="2:14" ht="32.25" customHeight="1" x14ac:dyDescent="0.25">
      <c r="C85" s="118" t="s">
        <v>108</v>
      </c>
      <c r="D85" s="249"/>
      <c r="E85" s="109" t="s">
        <v>131</v>
      </c>
      <c r="F85" s="110"/>
      <c r="G85" s="109" t="s">
        <v>32</v>
      </c>
      <c r="H85" s="3" t="s">
        <v>398</v>
      </c>
      <c r="I85" s="72">
        <v>8000</v>
      </c>
      <c r="M85" s="3" t="s">
        <v>461</v>
      </c>
    </row>
    <row r="86" spans="2:14" ht="32.25" customHeight="1" x14ac:dyDescent="0.25">
      <c r="C86" s="74" t="s">
        <v>102</v>
      </c>
      <c r="D86" s="246"/>
      <c r="E86" s="64" t="s">
        <v>131</v>
      </c>
      <c r="F86" s="64"/>
      <c r="G86" s="64" t="s">
        <v>37</v>
      </c>
      <c r="H86" s="3" t="s">
        <v>398</v>
      </c>
      <c r="I86" s="72">
        <v>8000</v>
      </c>
      <c r="M86" s="3" t="s">
        <v>461</v>
      </c>
    </row>
    <row r="87" spans="2:14" ht="32.25" customHeight="1" x14ac:dyDescent="0.25">
      <c r="C87" s="120" t="s">
        <v>116</v>
      </c>
      <c r="D87" s="246"/>
      <c r="E87" s="64" t="s">
        <v>131</v>
      </c>
      <c r="F87" s="111"/>
      <c r="G87" s="64" t="s">
        <v>20</v>
      </c>
      <c r="H87" s="64" t="s">
        <v>186</v>
      </c>
      <c r="I87" s="72">
        <v>8000</v>
      </c>
      <c r="M87" s="3" t="s">
        <v>461</v>
      </c>
    </row>
    <row r="88" spans="2:14" ht="32.25" customHeight="1" x14ac:dyDescent="0.25">
      <c r="C88" s="117" t="s">
        <v>104</v>
      </c>
      <c r="D88" s="242"/>
      <c r="E88" s="5" t="s">
        <v>131</v>
      </c>
      <c r="F88" s="5"/>
      <c r="G88" s="11" t="s">
        <v>38</v>
      </c>
      <c r="H88" s="3" t="s">
        <v>398</v>
      </c>
      <c r="I88" s="72">
        <v>8000</v>
      </c>
      <c r="M88" s="3" t="s">
        <v>461</v>
      </c>
    </row>
    <row r="89" spans="2:14" ht="32.25" customHeight="1" x14ac:dyDescent="0.25">
      <c r="C89" s="74" t="s">
        <v>105</v>
      </c>
      <c r="D89" s="246"/>
      <c r="E89" s="64" t="s">
        <v>131</v>
      </c>
      <c r="F89" s="66">
        <v>34405</v>
      </c>
      <c r="G89" s="64" t="s">
        <v>34</v>
      </c>
      <c r="H89" s="3" t="s">
        <v>398</v>
      </c>
      <c r="I89" s="72">
        <v>8000</v>
      </c>
      <c r="J89" s="107">
        <f>SUM(I81:I89)</f>
        <v>72000</v>
      </c>
      <c r="M89" s="3" t="s">
        <v>461</v>
      </c>
    </row>
    <row r="90" spans="2:14" ht="32.25" customHeight="1" thickBot="1" x14ac:dyDescent="0.3">
      <c r="C90" s="81" t="s">
        <v>142</v>
      </c>
      <c r="D90" s="64"/>
      <c r="E90" s="64" t="s">
        <v>132</v>
      </c>
      <c r="F90" s="64">
        <v>7955576</v>
      </c>
      <c r="G90" s="64" t="s">
        <v>143</v>
      </c>
      <c r="H90" s="64" t="s">
        <v>94</v>
      </c>
      <c r="J90" s="108">
        <f>K78+J89</f>
        <v>454000</v>
      </c>
    </row>
    <row r="91" spans="2:14" ht="32.25" customHeight="1" thickTop="1" x14ac:dyDescent="0.25">
      <c r="C91" s="65"/>
      <c r="D91" s="64"/>
      <c r="E91" s="64"/>
      <c r="F91" s="66"/>
      <c r="G91" s="65"/>
      <c r="H91" s="64"/>
      <c r="J91" s="3" t="s">
        <v>394</v>
      </c>
    </row>
    <row r="92" spans="2:14" ht="32.25" customHeight="1" x14ac:dyDescent="0.25">
      <c r="G92" s="3"/>
      <c r="H92" s="8"/>
    </row>
    <row r="93" spans="2:14" ht="32.25" customHeight="1" x14ac:dyDescent="0.25">
      <c r="B93" s="359" t="s">
        <v>858</v>
      </c>
      <c r="C93" s="359"/>
      <c r="D93" s="359"/>
      <c r="E93" s="359"/>
      <c r="F93" s="359"/>
      <c r="G93" s="359"/>
      <c r="H93" s="359"/>
      <c r="I93" s="359"/>
    </row>
    <row r="94" spans="2:14" ht="15.75" customHeight="1" x14ac:dyDescent="0.25"/>
    <row r="95" spans="2:14" s="8" customFormat="1" ht="32.25" customHeight="1" x14ac:dyDescent="0.25">
      <c r="B95" s="234" t="s">
        <v>854</v>
      </c>
      <c r="C95" s="234" t="s">
        <v>81</v>
      </c>
      <c r="D95" s="234" t="s">
        <v>859</v>
      </c>
      <c r="E95" s="234" t="s">
        <v>130</v>
      </c>
      <c r="F95" s="235" t="s">
        <v>855</v>
      </c>
      <c r="G95" s="236" t="s">
        <v>135</v>
      </c>
      <c r="H95" s="234" t="s">
        <v>856</v>
      </c>
      <c r="I95" s="237" t="s">
        <v>248</v>
      </c>
      <c r="L95" s="231"/>
    </row>
    <row r="96" spans="2:14" ht="32.25" customHeight="1" x14ac:dyDescent="0.25">
      <c r="B96" s="64">
        <v>1</v>
      </c>
      <c r="C96" s="65" t="s">
        <v>401</v>
      </c>
      <c r="D96" s="64" t="s">
        <v>860</v>
      </c>
      <c r="E96" s="64" t="s">
        <v>396</v>
      </c>
      <c r="F96" s="67" t="s">
        <v>402</v>
      </c>
      <c r="G96" s="232" t="s">
        <v>234</v>
      </c>
      <c r="H96" s="233">
        <v>44972</v>
      </c>
      <c r="I96" s="232">
        <v>8000</v>
      </c>
      <c r="K96" s="3" t="s">
        <v>461</v>
      </c>
      <c r="N96" s="3" t="s">
        <v>398</v>
      </c>
    </row>
    <row r="97" spans="1:14" ht="32.25" customHeight="1" x14ac:dyDescent="0.25">
      <c r="B97" s="64">
        <v>2</v>
      </c>
      <c r="C97" s="65" t="s">
        <v>414</v>
      </c>
      <c r="D97" s="64" t="s">
        <v>861</v>
      </c>
      <c r="E97" s="64" t="s">
        <v>396</v>
      </c>
      <c r="F97" s="67" t="s">
        <v>415</v>
      </c>
      <c r="G97" s="232" t="s">
        <v>234</v>
      </c>
      <c r="H97" s="233">
        <v>44977</v>
      </c>
      <c r="I97" s="232">
        <v>8000</v>
      </c>
      <c r="K97" s="3" t="s">
        <v>461</v>
      </c>
      <c r="N97" s="3" t="s">
        <v>420</v>
      </c>
    </row>
    <row r="98" spans="1:14" ht="32.25" customHeight="1" x14ac:dyDescent="0.25">
      <c r="B98" s="64">
        <v>3</v>
      </c>
      <c r="C98" s="65" t="s">
        <v>435</v>
      </c>
      <c r="D98" s="64" t="s">
        <v>862</v>
      </c>
      <c r="E98" s="64" t="s">
        <v>396</v>
      </c>
      <c r="F98" s="67" t="s">
        <v>436</v>
      </c>
      <c r="G98" s="232" t="s">
        <v>234</v>
      </c>
      <c r="H98" s="233">
        <v>44977</v>
      </c>
      <c r="I98" s="232">
        <v>8000</v>
      </c>
      <c r="K98" s="3" t="s">
        <v>461</v>
      </c>
      <c r="N98" s="3" t="s">
        <v>420</v>
      </c>
    </row>
    <row r="99" spans="1:14" ht="32.25" customHeight="1" x14ac:dyDescent="0.25">
      <c r="B99" s="64">
        <v>4</v>
      </c>
      <c r="C99" s="65" t="s">
        <v>457</v>
      </c>
      <c r="D99" s="64" t="s">
        <v>863</v>
      </c>
      <c r="E99" s="64" t="s">
        <v>396</v>
      </c>
      <c r="F99" s="67" t="s">
        <v>458</v>
      </c>
      <c r="G99" s="232" t="s">
        <v>234</v>
      </c>
      <c r="H99" s="233">
        <v>44977</v>
      </c>
      <c r="I99" s="232">
        <v>8000</v>
      </c>
      <c r="K99" s="3" t="s">
        <v>461</v>
      </c>
      <c r="N99" s="3" t="s">
        <v>420</v>
      </c>
    </row>
    <row r="100" spans="1:14" ht="32.25" customHeight="1" x14ac:dyDescent="0.25">
      <c r="B100" s="64">
        <v>5</v>
      </c>
      <c r="C100" s="65" t="s">
        <v>395</v>
      </c>
      <c r="D100" s="64" t="s">
        <v>864</v>
      </c>
      <c r="E100" s="64" t="s">
        <v>396</v>
      </c>
      <c r="F100" s="67" t="s">
        <v>397</v>
      </c>
      <c r="G100" s="232" t="s">
        <v>234</v>
      </c>
      <c r="H100" s="233">
        <v>45297</v>
      </c>
      <c r="I100" s="232">
        <v>8000</v>
      </c>
      <c r="K100" s="3" t="s">
        <v>461</v>
      </c>
      <c r="N100" s="3" t="s">
        <v>398</v>
      </c>
    </row>
    <row r="101" spans="1:14" ht="32.25" customHeight="1" x14ac:dyDescent="0.25">
      <c r="B101" s="64">
        <v>6</v>
      </c>
      <c r="C101" s="65" t="s">
        <v>421</v>
      </c>
      <c r="D101" s="64" t="s">
        <v>865</v>
      </c>
      <c r="E101" s="64" t="s">
        <v>396</v>
      </c>
      <c r="F101" s="67" t="s">
        <v>422</v>
      </c>
      <c r="G101" s="232" t="s">
        <v>234</v>
      </c>
      <c r="H101" s="233">
        <v>45297</v>
      </c>
      <c r="I101" s="232">
        <v>8000</v>
      </c>
      <c r="K101" s="3" t="s">
        <v>461</v>
      </c>
      <c r="N101" s="3" t="s">
        <v>398</v>
      </c>
    </row>
    <row r="102" spans="1:14" ht="32.25" customHeight="1" x14ac:dyDescent="0.25">
      <c r="B102" s="64">
        <v>7</v>
      </c>
      <c r="C102" s="65" t="s">
        <v>425</v>
      </c>
      <c r="D102" s="64" t="s">
        <v>866</v>
      </c>
      <c r="E102" s="64" t="s">
        <v>396</v>
      </c>
      <c r="F102" s="67" t="s">
        <v>426</v>
      </c>
      <c r="G102" s="232" t="s">
        <v>234</v>
      </c>
      <c r="H102" s="233">
        <v>45297</v>
      </c>
      <c r="I102" s="232">
        <v>8000</v>
      </c>
      <c r="K102" s="3" t="s">
        <v>461</v>
      </c>
      <c r="N102" s="3" t="s">
        <v>398</v>
      </c>
    </row>
    <row r="103" spans="1:14" ht="32.25" customHeight="1" x14ac:dyDescent="0.25">
      <c r="B103" s="64">
        <v>8</v>
      </c>
      <c r="C103" s="65" t="s">
        <v>427</v>
      </c>
      <c r="D103" s="64" t="s">
        <v>867</v>
      </c>
      <c r="E103" s="64" t="s">
        <v>396</v>
      </c>
      <c r="F103" s="67" t="s">
        <v>428</v>
      </c>
      <c r="G103" s="232" t="s">
        <v>234</v>
      </c>
      <c r="H103" s="233">
        <v>45297</v>
      </c>
      <c r="I103" s="232">
        <v>8000</v>
      </c>
      <c r="K103" s="3" t="s">
        <v>461</v>
      </c>
      <c r="N103" s="3" t="s">
        <v>398</v>
      </c>
    </row>
    <row r="104" spans="1:14" ht="32.25" customHeight="1" x14ac:dyDescent="0.25">
      <c r="B104" s="64">
        <v>9</v>
      </c>
      <c r="C104" s="65" t="s">
        <v>429</v>
      </c>
      <c r="D104" s="64" t="s">
        <v>868</v>
      </c>
      <c r="E104" s="64" t="s">
        <v>396</v>
      </c>
      <c r="F104" s="67" t="s">
        <v>430</v>
      </c>
      <c r="G104" s="232" t="s">
        <v>234</v>
      </c>
      <c r="H104" s="233">
        <v>45297</v>
      </c>
      <c r="I104" s="232">
        <v>8000</v>
      </c>
      <c r="K104" s="3" t="s">
        <v>461</v>
      </c>
      <c r="N104" s="3" t="s">
        <v>398</v>
      </c>
    </row>
    <row r="105" spans="1:14" ht="32.25" customHeight="1" x14ac:dyDescent="0.25">
      <c r="B105" s="64">
        <v>10</v>
      </c>
      <c r="C105" s="65" t="s">
        <v>431</v>
      </c>
      <c r="D105" s="64" t="s">
        <v>869</v>
      </c>
      <c r="E105" s="64" t="s">
        <v>396</v>
      </c>
      <c r="F105" s="67" t="s">
        <v>432</v>
      </c>
      <c r="G105" s="232" t="s">
        <v>234</v>
      </c>
      <c r="H105" s="233">
        <v>45297</v>
      </c>
      <c r="I105" s="232">
        <v>8000</v>
      </c>
      <c r="K105" s="3" t="s">
        <v>461</v>
      </c>
      <c r="N105" s="3" t="s">
        <v>398</v>
      </c>
    </row>
    <row r="106" spans="1:14" ht="32.25" customHeight="1" x14ac:dyDescent="0.25">
      <c r="B106" s="64">
        <v>11</v>
      </c>
      <c r="C106" s="65" t="s">
        <v>433</v>
      </c>
      <c r="D106" s="64" t="s">
        <v>870</v>
      </c>
      <c r="E106" s="64" t="s">
        <v>396</v>
      </c>
      <c r="F106" s="67" t="s">
        <v>434</v>
      </c>
      <c r="G106" s="232" t="s">
        <v>234</v>
      </c>
      <c r="H106" s="233">
        <v>45297</v>
      </c>
      <c r="I106" s="232">
        <v>8000</v>
      </c>
      <c r="K106" s="3" t="s">
        <v>461</v>
      </c>
      <c r="N106" s="3" t="s">
        <v>398</v>
      </c>
    </row>
    <row r="107" spans="1:14" ht="32.25" customHeight="1" x14ac:dyDescent="0.25">
      <c r="B107" s="64">
        <v>12</v>
      </c>
      <c r="C107" s="65" t="s">
        <v>437</v>
      </c>
      <c r="D107" s="64" t="s">
        <v>871</v>
      </c>
      <c r="E107" s="64" t="s">
        <v>396</v>
      </c>
      <c r="F107" s="67" t="s">
        <v>438</v>
      </c>
      <c r="G107" s="232" t="s">
        <v>234</v>
      </c>
      <c r="H107" s="233">
        <v>45297</v>
      </c>
      <c r="I107" s="232">
        <v>8000</v>
      </c>
      <c r="K107" s="3" t="s">
        <v>461</v>
      </c>
      <c r="N107" s="3" t="s">
        <v>398</v>
      </c>
    </row>
    <row r="108" spans="1:14" ht="32.25" customHeight="1" x14ac:dyDescent="0.25">
      <c r="B108" s="64">
        <v>13</v>
      </c>
      <c r="C108" s="65" t="s">
        <v>405</v>
      </c>
      <c r="D108" s="64" t="s">
        <v>872</v>
      </c>
      <c r="E108" s="64" t="s">
        <v>396</v>
      </c>
      <c r="F108" s="67" t="s">
        <v>406</v>
      </c>
      <c r="G108" s="232" t="s">
        <v>234</v>
      </c>
      <c r="H108" s="233">
        <v>45297</v>
      </c>
      <c r="I108" s="232">
        <v>8000</v>
      </c>
      <c r="K108" s="3" t="s">
        <v>461</v>
      </c>
      <c r="N108" s="3" t="s">
        <v>398</v>
      </c>
    </row>
    <row r="109" spans="1:14" ht="32.25" customHeight="1" x14ac:dyDescent="0.25">
      <c r="B109" s="64">
        <v>14</v>
      </c>
      <c r="C109" s="65" t="s">
        <v>451</v>
      </c>
      <c r="D109" s="64" t="s">
        <v>873</v>
      </c>
      <c r="E109" s="64" t="s">
        <v>396</v>
      </c>
      <c r="F109" s="67" t="s">
        <v>452</v>
      </c>
      <c r="G109" s="232" t="s">
        <v>234</v>
      </c>
      <c r="H109" s="233">
        <v>45297</v>
      </c>
      <c r="I109" s="232">
        <v>8000</v>
      </c>
      <c r="K109" s="3" t="s">
        <v>461</v>
      </c>
      <c r="N109" s="3" t="s">
        <v>398</v>
      </c>
    </row>
    <row r="110" spans="1:14" ht="32.25" customHeight="1" x14ac:dyDescent="0.25">
      <c r="B110" s="64">
        <v>15</v>
      </c>
      <c r="C110" s="65" t="s">
        <v>459</v>
      </c>
      <c r="D110" s="64" t="s">
        <v>874</v>
      </c>
      <c r="E110" s="64" t="s">
        <v>396</v>
      </c>
      <c r="F110" s="67" t="s">
        <v>460</v>
      </c>
      <c r="G110" s="232" t="s">
        <v>234</v>
      </c>
      <c r="H110" s="233">
        <v>45297</v>
      </c>
      <c r="I110" s="232">
        <v>8000</v>
      </c>
      <c r="J110" s="107"/>
      <c r="K110" s="3" t="s">
        <v>461</v>
      </c>
      <c r="N110" s="3" t="s">
        <v>398</v>
      </c>
    </row>
    <row r="111" spans="1:14" ht="32.25" customHeight="1" x14ac:dyDescent="0.25">
      <c r="A111" s="229"/>
      <c r="B111" s="64">
        <v>16</v>
      </c>
      <c r="C111" s="228" t="s">
        <v>117</v>
      </c>
      <c r="D111" s="109" t="s">
        <v>875</v>
      </c>
      <c r="E111" s="109" t="s">
        <v>131</v>
      </c>
      <c r="F111" s="109" t="s">
        <v>21</v>
      </c>
      <c r="G111" s="232" t="s">
        <v>234</v>
      </c>
      <c r="H111" s="233">
        <v>45295</v>
      </c>
      <c r="I111" s="232">
        <v>8000</v>
      </c>
      <c r="J111" s="229"/>
      <c r="K111" s="230" t="s">
        <v>221</v>
      </c>
      <c r="L111" s="3"/>
      <c r="N111" s="3" t="s">
        <v>398</v>
      </c>
    </row>
    <row r="112" spans="1:14" ht="32.25" customHeight="1" x14ac:dyDescent="0.25">
      <c r="A112" s="229"/>
      <c r="B112" s="64">
        <v>17</v>
      </c>
      <c r="C112" s="211" t="s">
        <v>108</v>
      </c>
      <c r="D112" s="109" t="s">
        <v>190</v>
      </c>
      <c r="E112" s="109" t="s">
        <v>131</v>
      </c>
      <c r="F112" s="109" t="s">
        <v>32</v>
      </c>
      <c r="G112" s="232" t="s">
        <v>234</v>
      </c>
      <c r="H112" s="233">
        <v>44972</v>
      </c>
      <c r="I112" s="232">
        <v>8000</v>
      </c>
      <c r="J112" s="229"/>
      <c r="K112" s="230" t="s">
        <v>221</v>
      </c>
      <c r="L112" s="3"/>
      <c r="N112" s="3" t="s">
        <v>398</v>
      </c>
    </row>
    <row r="113" spans="2:14" ht="32.25" customHeight="1" x14ac:dyDescent="0.25">
      <c r="B113" s="64">
        <v>18</v>
      </c>
      <c r="C113" s="65" t="s">
        <v>403</v>
      </c>
      <c r="D113" s="64" t="s">
        <v>876</v>
      </c>
      <c r="E113" s="64" t="s">
        <v>396</v>
      </c>
      <c r="F113" s="67" t="s">
        <v>404</v>
      </c>
      <c r="G113" s="67" t="s">
        <v>857</v>
      </c>
      <c r="H113" s="233">
        <v>45297</v>
      </c>
      <c r="I113" s="232">
        <v>8000</v>
      </c>
      <c r="K113" s="3" t="s">
        <v>461</v>
      </c>
      <c r="N113" s="3" t="s">
        <v>398</v>
      </c>
    </row>
    <row r="114" spans="2:14" ht="32.25" customHeight="1" x14ac:dyDescent="0.25">
      <c r="B114" s="64">
        <v>19</v>
      </c>
      <c r="C114" s="65" t="s">
        <v>407</v>
      </c>
      <c r="D114" s="64" t="s">
        <v>877</v>
      </c>
      <c r="E114" s="64" t="s">
        <v>396</v>
      </c>
      <c r="F114" s="67" t="s">
        <v>408</v>
      </c>
      <c r="G114" s="67" t="s">
        <v>857</v>
      </c>
      <c r="H114" s="233">
        <v>45297</v>
      </c>
      <c r="I114" s="232">
        <v>8000</v>
      </c>
      <c r="K114" s="3" t="s">
        <v>461</v>
      </c>
      <c r="N114" s="3" t="s">
        <v>398</v>
      </c>
    </row>
    <row r="115" spans="2:14" ht="32.25" customHeight="1" x14ac:dyDescent="0.25">
      <c r="B115" s="64">
        <v>20</v>
      </c>
      <c r="C115" s="65" t="s">
        <v>93</v>
      </c>
      <c r="D115" s="64" t="s">
        <v>878</v>
      </c>
      <c r="E115" s="64" t="s">
        <v>396</v>
      </c>
      <c r="F115" s="67" t="s">
        <v>409</v>
      </c>
      <c r="G115" s="67" t="s">
        <v>857</v>
      </c>
      <c r="H115" s="233">
        <v>45297</v>
      </c>
      <c r="I115" s="232">
        <v>8000</v>
      </c>
      <c r="K115" s="3" t="s">
        <v>461</v>
      </c>
      <c r="N115" s="3" t="s">
        <v>398</v>
      </c>
    </row>
    <row r="116" spans="2:14" ht="32.25" customHeight="1" x14ac:dyDescent="0.25">
      <c r="B116" s="64">
        <v>21</v>
      </c>
      <c r="C116" s="65" t="s">
        <v>410</v>
      </c>
      <c r="D116" s="64" t="s">
        <v>879</v>
      </c>
      <c r="E116" s="64" t="s">
        <v>396</v>
      </c>
      <c r="F116" s="67" t="s">
        <v>411</v>
      </c>
      <c r="G116" s="67" t="s">
        <v>857</v>
      </c>
      <c r="H116" s="233">
        <v>45297</v>
      </c>
      <c r="I116" s="232">
        <v>8000</v>
      </c>
      <c r="K116" s="3" t="s">
        <v>461</v>
      </c>
      <c r="N116" s="3" t="s">
        <v>398</v>
      </c>
    </row>
    <row r="117" spans="2:14" ht="32.25" customHeight="1" x14ac:dyDescent="0.25">
      <c r="B117" s="64">
        <v>22</v>
      </c>
      <c r="C117" s="65" t="s">
        <v>412</v>
      </c>
      <c r="D117" s="64" t="s">
        <v>880</v>
      </c>
      <c r="E117" s="64" t="s">
        <v>396</v>
      </c>
      <c r="F117" s="67" t="s">
        <v>413</v>
      </c>
      <c r="G117" s="67" t="s">
        <v>857</v>
      </c>
      <c r="H117" s="233">
        <v>45297</v>
      </c>
      <c r="I117" s="232">
        <v>8000</v>
      </c>
      <c r="K117" s="3" t="s">
        <v>461</v>
      </c>
      <c r="N117" s="3" t="s">
        <v>398</v>
      </c>
    </row>
    <row r="118" spans="2:14" ht="32.25" customHeight="1" x14ac:dyDescent="0.25">
      <c r="B118" s="64">
        <v>23</v>
      </c>
      <c r="C118" s="65" t="s">
        <v>416</v>
      </c>
      <c r="D118" s="64" t="s">
        <v>881</v>
      </c>
      <c r="E118" s="64" t="s">
        <v>396</v>
      </c>
      <c r="F118" s="67" t="s">
        <v>417</v>
      </c>
      <c r="G118" s="67" t="s">
        <v>857</v>
      </c>
      <c r="H118" s="233">
        <v>45297</v>
      </c>
      <c r="I118" s="232">
        <v>8000</v>
      </c>
      <c r="K118" s="3" t="s">
        <v>461</v>
      </c>
      <c r="N118" s="3" t="s">
        <v>398</v>
      </c>
    </row>
    <row r="119" spans="2:14" ht="32.25" customHeight="1" x14ac:dyDescent="0.25">
      <c r="B119" s="64">
        <v>24</v>
      </c>
      <c r="C119" s="65" t="s">
        <v>418</v>
      </c>
      <c r="D119" s="64" t="s">
        <v>882</v>
      </c>
      <c r="E119" s="64" t="s">
        <v>396</v>
      </c>
      <c r="F119" s="67" t="s">
        <v>419</v>
      </c>
      <c r="G119" s="67" t="s">
        <v>857</v>
      </c>
      <c r="H119" s="233">
        <v>45297</v>
      </c>
      <c r="I119" s="232">
        <v>8000</v>
      </c>
      <c r="K119" s="3" t="s">
        <v>461</v>
      </c>
      <c r="N119" s="3" t="s">
        <v>420</v>
      </c>
    </row>
    <row r="120" spans="2:14" ht="32.25" customHeight="1" x14ac:dyDescent="0.25">
      <c r="B120" s="64">
        <v>25</v>
      </c>
      <c r="C120" s="65" t="s">
        <v>423</v>
      </c>
      <c r="D120" s="64" t="s">
        <v>883</v>
      </c>
      <c r="E120" s="64" t="s">
        <v>396</v>
      </c>
      <c r="F120" s="67" t="s">
        <v>424</v>
      </c>
      <c r="G120" s="67" t="s">
        <v>857</v>
      </c>
      <c r="H120" s="233">
        <v>45297</v>
      </c>
      <c r="I120" s="232">
        <v>8000</v>
      </c>
      <c r="K120" s="3" t="s">
        <v>461</v>
      </c>
      <c r="N120" s="3" t="s">
        <v>398</v>
      </c>
    </row>
    <row r="121" spans="2:14" ht="32.25" customHeight="1" x14ac:dyDescent="0.25">
      <c r="B121" s="64">
        <v>26</v>
      </c>
      <c r="C121" s="65" t="s">
        <v>439</v>
      </c>
      <c r="D121" s="64" t="s">
        <v>884</v>
      </c>
      <c r="E121" s="64" t="s">
        <v>396</v>
      </c>
      <c r="F121" s="67" t="s">
        <v>440</v>
      </c>
      <c r="G121" s="67" t="s">
        <v>857</v>
      </c>
      <c r="H121" s="233">
        <v>45297</v>
      </c>
      <c r="I121" s="232">
        <v>8000</v>
      </c>
      <c r="K121" s="3" t="s">
        <v>461</v>
      </c>
      <c r="N121" s="3" t="s">
        <v>398</v>
      </c>
    </row>
    <row r="122" spans="2:14" ht="32.25" customHeight="1" x14ac:dyDescent="0.25">
      <c r="B122" s="64">
        <v>27</v>
      </c>
      <c r="C122" s="65" t="s">
        <v>441</v>
      </c>
      <c r="D122" s="64" t="s">
        <v>885</v>
      </c>
      <c r="E122" s="64" t="s">
        <v>396</v>
      </c>
      <c r="F122" s="67" t="s">
        <v>442</v>
      </c>
      <c r="G122" s="67" t="s">
        <v>857</v>
      </c>
      <c r="H122" s="233">
        <v>45297</v>
      </c>
      <c r="I122" s="232">
        <v>8000</v>
      </c>
      <c r="K122" s="3" t="s">
        <v>461</v>
      </c>
      <c r="N122" s="3" t="s">
        <v>398</v>
      </c>
    </row>
    <row r="123" spans="2:14" ht="32.25" customHeight="1" x14ac:dyDescent="0.25">
      <c r="B123" s="64">
        <v>28</v>
      </c>
      <c r="C123" s="65" t="s">
        <v>443</v>
      </c>
      <c r="D123" s="64" t="s">
        <v>886</v>
      </c>
      <c r="E123" s="64" t="s">
        <v>396</v>
      </c>
      <c r="F123" s="67" t="s">
        <v>444</v>
      </c>
      <c r="G123" s="67" t="s">
        <v>857</v>
      </c>
      <c r="H123" s="233">
        <v>45297</v>
      </c>
      <c r="I123" s="232">
        <v>8000</v>
      </c>
      <c r="K123" s="3" t="s">
        <v>461</v>
      </c>
      <c r="N123" s="3" t="s">
        <v>398</v>
      </c>
    </row>
    <row r="124" spans="2:14" ht="32.25" customHeight="1" x14ac:dyDescent="0.25">
      <c r="B124" s="64">
        <v>29</v>
      </c>
      <c r="C124" s="65" t="s">
        <v>445</v>
      </c>
      <c r="D124" s="64" t="s">
        <v>887</v>
      </c>
      <c r="E124" s="64" t="s">
        <v>396</v>
      </c>
      <c r="F124" s="67" t="s">
        <v>446</v>
      </c>
      <c r="G124" s="67" t="s">
        <v>857</v>
      </c>
      <c r="H124" s="233">
        <v>45297</v>
      </c>
      <c r="I124" s="232">
        <v>8000</v>
      </c>
      <c r="K124" s="3" t="s">
        <v>461</v>
      </c>
      <c r="N124" s="3" t="s">
        <v>398</v>
      </c>
    </row>
    <row r="125" spans="2:14" ht="32.25" customHeight="1" x14ac:dyDescent="0.25">
      <c r="B125" s="64">
        <v>30</v>
      </c>
      <c r="C125" s="65" t="s">
        <v>447</v>
      </c>
      <c r="D125" s="64" t="s">
        <v>889</v>
      </c>
      <c r="E125" s="64" t="s">
        <v>396</v>
      </c>
      <c r="F125" s="67" t="s">
        <v>448</v>
      </c>
      <c r="G125" s="67" t="s">
        <v>857</v>
      </c>
      <c r="H125" s="233">
        <v>45297</v>
      </c>
      <c r="I125" s="232">
        <v>8000</v>
      </c>
      <c r="K125" s="3" t="s">
        <v>461</v>
      </c>
      <c r="N125" s="3" t="s">
        <v>398</v>
      </c>
    </row>
    <row r="126" spans="2:14" ht="32.25" customHeight="1" x14ac:dyDescent="0.25">
      <c r="B126" s="64">
        <v>31</v>
      </c>
      <c r="C126" s="65" t="s">
        <v>449</v>
      </c>
      <c r="D126" s="64" t="s">
        <v>890</v>
      </c>
      <c r="E126" s="64" t="s">
        <v>396</v>
      </c>
      <c r="F126" s="67" t="s">
        <v>450</v>
      </c>
      <c r="G126" s="67" t="s">
        <v>857</v>
      </c>
      <c r="H126" s="233">
        <v>45297</v>
      </c>
      <c r="I126" s="232">
        <v>8000</v>
      </c>
      <c r="K126" s="3" t="s">
        <v>461</v>
      </c>
      <c r="N126" s="3" t="s">
        <v>398</v>
      </c>
    </row>
    <row r="127" spans="2:14" ht="32.25" customHeight="1" x14ac:dyDescent="0.25">
      <c r="B127" s="64">
        <v>32</v>
      </c>
      <c r="C127" s="65" t="s">
        <v>453</v>
      </c>
      <c r="D127" s="64" t="s">
        <v>891</v>
      </c>
      <c r="E127" s="64" t="s">
        <v>396</v>
      </c>
      <c r="F127" s="67" t="s">
        <v>454</v>
      </c>
      <c r="G127" s="67" t="s">
        <v>857</v>
      </c>
      <c r="H127" s="233">
        <v>45297</v>
      </c>
      <c r="I127" s="232">
        <v>8000</v>
      </c>
      <c r="K127" s="3" t="s">
        <v>461</v>
      </c>
      <c r="N127" s="3" t="s">
        <v>398</v>
      </c>
    </row>
    <row r="128" spans="2:14" ht="32.25" customHeight="1" x14ac:dyDescent="0.25">
      <c r="B128" s="64">
        <v>33</v>
      </c>
      <c r="C128" s="65" t="s">
        <v>455</v>
      </c>
      <c r="D128" s="64" t="s">
        <v>892</v>
      </c>
      <c r="E128" s="64" t="s">
        <v>396</v>
      </c>
      <c r="F128" s="67" t="s">
        <v>456</v>
      </c>
      <c r="G128" s="67" t="s">
        <v>857</v>
      </c>
      <c r="H128" s="233">
        <v>45297</v>
      </c>
      <c r="I128" s="232">
        <v>8000</v>
      </c>
      <c r="K128" s="3" t="s">
        <v>461</v>
      </c>
      <c r="N128" s="3" t="s">
        <v>398</v>
      </c>
    </row>
    <row r="129" spans="1:16" ht="32.25" customHeight="1" x14ac:dyDescent="0.25">
      <c r="A129" s="229"/>
      <c r="B129" s="64">
        <v>34</v>
      </c>
      <c r="C129" s="65" t="s">
        <v>83</v>
      </c>
      <c r="D129" s="64" t="s">
        <v>50</v>
      </c>
      <c r="E129" s="109" t="s">
        <v>131</v>
      </c>
      <c r="F129" s="109" t="s">
        <v>0</v>
      </c>
      <c r="G129" s="67" t="s">
        <v>857</v>
      </c>
      <c r="H129" s="233">
        <v>45297</v>
      </c>
      <c r="I129" s="232">
        <v>8000</v>
      </c>
      <c r="K129" s="3" t="s">
        <v>461</v>
      </c>
      <c r="L129" s="3"/>
      <c r="N129" s="230" t="s">
        <v>221</v>
      </c>
    </row>
    <row r="130" spans="1:16" ht="32.25" customHeight="1" x14ac:dyDescent="0.25">
      <c r="A130" s="229"/>
      <c r="B130" s="64">
        <v>35</v>
      </c>
      <c r="C130" s="65" t="s">
        <v>119</v>
      </c>
      <c r="D130" s="64" t="s">
        <v>893</v>
      </c>
      <c r="E130" s="109" t="s">
        <v>131</v>
      </c>
      <c r="F130" s="109" t="s">
        <v>19</v>
      </c>
      <c r="G130" s="67" t="s">
        <v>857</v>
      </c>
      <c r="H130" s="233">
        <v>45297</v>
      </c>
      <c r="I130" s="232">
        <v>8000</v>
      </c>
      <c r="K130" s="3" t="s">
        <v>461</v>
      </c>
      <c r="L130" s="3"/>
      <c r="N130" s="230" t="s">
        <v>221</v>
      </c>
    </row>
    <row r="131" spans="1:16" ht="32.25" customHeight="1" x14ac:dyDescent="0.25">
      <c r="A131" s="229"/>
      <c r="B131" s="64">
        <v>36</v>
      </c>
      <c r="C131" s="65" t="s">
        <v>102</v>
      </c>
      <c r="D131" s="64" t="s">
        <v>894</v>
      </c>
      <c r="E131" s="64" t="s">
        <v>131</v>
      </c>
      <c r="F131" s="64" t="s">
        <v>37</v>
      </c>
      <c r="G131" s="67" t="s">
        <v>857</v>
      </c>
      <c r="H131" s="233">
        <v>45297</v>
      </c>
      <c r="I131" s="232">
        <v>8000</v>
      </c>
      <c r="K131" s="3" t="s">
        <v>461</v>
      </c>
      <c r="L131" s="3"/>
      <c r="N131" s="32" t="s">
        <v>221</v>
      </c>
    </row>
    <row r="132" spans="1:16" ht="32.25" customHeight="1" x14ac:dyDescent="0.25">
      <c r="A132" s="229"/>
      <c r="B132" s="64">
        <v>37</v>
      </c>
      <c r="C132" s="65" t="s">
        <v>116</v>
      </c>
      <c r="D132" s="64" t="s">
        <v>186</v>
      </c>
      <c r="E132" s="64" t="s">
        <v>131</v>
      </c>
      <c r="F132" s="64" t="s">
        <v>20</v>
      </c>
      <c r="G132" s="67" t="s">
        <v>857</v>
      </c>
      <c r="H132" s="233">
        <v>45297</v>
      </c>
      <c r="I132" s="232">
        <v>8000</v>
      </c>
      <c r="K132" s="3" t="s">
        <v>461</v>
      </c>
      <c r="L132" s="3"/>
      <c r="N132" s="32" t="s">
        <v>221</v>
      </c>
    </row>
    <row r="133" spans="1:16" ht="30" customHeight="1" x14ac:dyDescent="0.25">
      <c r="A133" s="229"/>
      <c r="B133" s="64">
        <v>38</v>
      </c>
      <c r="C133" s="65" t="s">
        <v>104</v>
      </c>
      <c r="D133" s="64" t="s">
        <v>895</v>
      </c>
      <c r="E133" s="64" t="s">
        <v>131</v>
      </c>
      <c r="F133" s="177" t="s">
        <v>38</v>
      </c>
      <c r="G133" s="67" t="s">
        <v>857</v>
      </c>
      <c r="H133" s="233">
        <v>45297</v>
      </c>
      <c r="I133" s="232">
        <v>8000</v>
      </c>
      <c r="K133" s="3" t="s">
        <v>461</v>
      </c>
      <c r="L133" s="3"/>
      <c r="N133" s="32" t="s">
        <v>221</v>
      </c>
    </row>
    <row r="134" spans="1:16" ht="30" customHeight="1" x14ac:dyDescent="0.25">
      <c r="A134" s="229"/>
      <c r="B134" s="64">
        <v>39</v>
      </c>
      <c r="C134" s="65" t="s">
        <v>105</v>
      </c>
      <c r="D134" s="64" t="s">
        <v>72</v>
      </c>
      <c r="E134" s="64" t="s">
        <v>131</v>
      </c>
      <c r="F134" s="64" t="s">
        <v>34</v>
      </c>
      <c r="G134" s="67" t="s">
        <v>857</v>
      </c>
      <c r="H134" s="233">
        <v>45297</v>
      </c>
      <c r="I134" s="232">
        <v>8000</v>
      </c>
      <c r="K134" s="3" t="s">
        <v>461</v>
      </c>
      <c r="L134" s="3"/>
      <c r="N134" s="32" t="s">
        <v>221</v>
      </c>
      <c r="O134" s="105"/>
      <c r="P134" s="105"/>
    </row>
    <row r="135" spans="1:16" ht="30" customHeight="1" x14ac:dyDescent="0.25">
      <c r="A135" s="229"/>
      <c r="B135" s="64">
        <v>40</v>
      </c>
      <c r="C135" s="65" t="s">
        <v>848</v>
      </c>
      <c r="D135" s="64" t="s">
        <v>896</v>
      </c>
      <c r="E135" s="64" t="s">
        <v>131</v>
      </c>
      <c r="F135" s="64" t="s">
        <v>849</v>
      </c>
      <c r="G135" s="67" t="s">
        <v>857</v>
      </c>
      <c r="H135" s="233">
        <v>45297</v>
      </c>
      <c r="I135" s="232">
        <v>8000</v>
      </c>
      <c r="K135" s="3" t="s">
        <v>461</v>
      </c>
      <c r="L135" s="3"/>
      <c r="N135" s="32" t="s">
        <v>221</v>
      </c>
      <c r="O135" s="105"/>
      <c r="P135" s="105"/>
    </row>
    <row r="136" spans="1:16" ht="30" customHeight="1" x14ac:dyDescent="0.25">
      <c r="A136" s="229"/>
      <c r="B136" s="64">
        <v>41</v>
      </c>
      <c r="C136" s="65" t="s">
        <v>851</v>
      </c>
      <c r="D136" s="64" t="s">
        <v>852</v>
      </c>
      <c r="E136" s="64" t="s">
        <v>131</v>
      </c>
      <c r="F136" s="64" t="s">
        <v>400</v>
      </c>
      <c r="G136" s="67" t="s">
        <v>857</v>
      </c>
      <c r="H136" s="233">
        <v>45297</v>
      </c>
      <c r="I136" s="232">
        <v>8000</v>
      </c>
      <c r="K136" s="3" t="s">
        <v>461</v>
      </c>
      <c r="L136" s="3"/>
      <c r="N136" s="32" t="s">
        <v>221</v>
      </c>
      <c r="O136" s="105"/>
      <c r="P136" s="105"/>
    </row>
    <row r="137" spans="1:16" ht="32.25" customHeight="1" thickBot="1" x14ac:dyDescent="0.3">
      <c r="I137" s="250">
        <f>SUM(I96:I136)</f>
        <v>328000</v>
      </c>
      <c r="L137" s="72" t="s">
        <v>464</v>
      </c>
    </row>
    <row r="138" spans="1:16" ht="32.25" customHeight="1" thickTop="1" x14ac:dyDescent="0.25">
      <c r="F138" s="30" t="s">
        <v>188</v>
      </c>
      <c r="J138" s="107">
        <f>J110+J90</f>
        <v>454000</v>
      </c>
      <c r="L138" s="123">
        <v>627500</v>
      </c>
    </row>
    <row r="140" spans="1:16" ht="32.25" customHeight="1" x14ac:dyDescent="0.25">
      <c r="K140" s="122">
        <f>J138-L138</f>
        <v>-173500</v>
      </c>
    </row>
    <row r="142" spans="1:16" ht="32.25" customHeight="1" x14ac:dyDescent="0.25">
      <c r="J142" s="3">
        <v>72000</v>
      </c>
    </row>
    <row r="143" spans="1:16" ht="32.25" customHeight="1" x14ac:dyDescent="0.25">
      <c r="J143" s="3">
        <v>248000</v>
      </c>
    </row>
    <row r="144" spans="1:16" ht="32.25" customHeight="1" x14ac:dyDescent="0.25">
      <c r="J144" s="3">
        <f>SUM(J142:J143)</f>
        <v>320000</v>
      </c>
    </row>
  </sheetData>
  <autoFilter ref="A2:H77" xr:uid="{00000000-0009-0000-0000-000002000000}">
    <sortState xmlns:xlrd2="http://schemas.microsoft.com/office/spreadsheetml/2017/richdata2" ref="A3:H49">
      <sortCondition ref="A2:A49"/>
    </sortState>
  </autoFilter>
  <mergeCells count="1">
    <mergeCell ref="B93:I93"/>
  </mergeCells>
  <pageMargins left="0.25" right="0.25" top="0.75" bottom="0.75" header="0.3" footer="0.3"/>
  <pageSetup paperSize="9" scale="32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7654-3FCB-49D1-B221-32B9B84E5F14}">
  <dimension ref="B2:G47"/>
  <sheetViews>
    <sheetView workbookViewId="0">
      <selection activeCell="D3" sqref="D3:D47"/>
    </sheetView>
  </sheetViews>
  <sheetFormatPr defaultRowHeight="15" x14ac:dyDescent="0.25"/>
  <cols>
    <col min="2" max="2" width="40.140625" customWidth="1"/>
    <col min="3" max="3" width="29.5703125" customWidth="1"/>
    <col min="6" max="6" width="40.42578125" customWidth="1"/>
    <col min="7" max="7" width="27.42578125" customWidth="1"/>
  </cols>
  <sheetData>
    <row r="2" spans="2:7" ht="40.5" customHeight="1" x14ac:dyDescent="0.25">
      <c r="B2" s="347" t="s">
        <v>1823</v>
      </c>
      <c r="C2" s="347"/>
      <c r="D2" s="347"/>
      <c r="E2" s="347"/>
      <c r="F2" s="347" t="s">
        <v>1824</v>
      </c>
      <c r="G2" s="347"/>
    </row>
    <row r="3" spans="2:7" ht="32.25" customHeight="1" x14ac:dyDescent="0.25">
      <c r="B3" s="143" t="s">
        <v>127</v>
      </c>
      <c r="C3" s="280" t="s">
        <v>11</v>
      </c>
      <c r="D3" s="348"/>
      <c r="F3" s="143" t="s">
        <v>106</v>
      </c>
      <c r="G3" s="11" t="s">
        <v>39</v>
      </c>
    </row>
    <row r="4" spans="2:7" ht="32.25" customHeight="1" x14ac:dyDescent="0.25">
      <c r="B4" s="143" t="s">
        <v>53</v>
      </c>
      <c r="C4" s="10" t="s">
        <v>7</v>
      </c>
      <c r="D4" s="348"/>
      <c r="F4" s="259" t="s">
        <v>107</v>
      </c>
      <c r="G4" s="11" t="s">
        <v>40</v>
      </c>
    </row>
    <row r="5" spans="2:7" ht="32.25" customHeight="1" x14ac:dyDescent="0.25">
      <c r="B5" s="143" t="s">
        <v>55</v>
      </c>
      <c r="C5" s="208" t="s">
        <v>9</v>
      </c>
      <c r="D5" s="348"/>
      <c r="F5" s="262" t="s">
        <v>293</v>
      </c>
      <c r="G5" s="179" t="s">
        <v>294</v>
      </c>
    </row>
    <row r="6" spans="2:7" ht="32.25" customHeight="1" x14ac:dyDescent="0.25">
      <c r="B6" s="143" t="s">
        <v>92</v>
      </c>
      <c r="C6" s="10" t="s">
        <v>24</v>
      </c>
      <c r="D6" s="348"/>
      <c r="F6" s="170" t="s">
        <v>574</v>
      </c>
      <c r="G6" s="68" t="s">
        <v>566</v>
      </c>
    </row>
    <row r="7" spans="2:7" ht="32.25" customHeight="1" x14ac:dyDescent="0.25">
      <c r="B7" s="143" t="s">
        <v>106</v>
      </c>
      <c r="C7" s="11" t="s">
        <v>39</v>
      </c>
      <c r="D7" s="348"/>
      <c r="F7" s="82" t="s">
        <v>1808</v>
      </c>
      <c r="G7" s="64" t="s">
        <v>821</v>
      </c>
    </row>
    <row r="8" spans="2:7" ht="32.25" customHeight="1" x14ac:dyDescent="0.25">
      <c r="B8" s="259" t="s">
        <v>107</v>
      </c>
      <c r="C8" s="11" t="s">
        <v>40</v>
      </c>
      <c r="D8" s="348"/>
      <c r="F8" s="82" t="s">
        <v>815</v>
      </c>
      <c r="G8" s="64" t="s">
        <v>817</v>
      </c>
    </row>
    <row r="9" spans="2:7" ht="32.25" customHeight="1" x14ac:dyDescent="0.25">
      <c r="B9" s="143" t="s">
        <v>113</v>
      </c>
      <c r="C9" s="10" t="s">
        <v>46</v>
      </c>
      <c r="D9" s="348"/>
      <c r="F9" s="262" t="s">
        <v>1134</v>
      </c>
      <c r="G9" s="272" t="s">
        <v>1135</v>
      </c>
    </row>
    <row r="10" spans="2:7" ht="32.25" customHeight="1" x14ac:dyDescent="0.25">
      <c r="B10" s="262" t="s">
        <v>293</v>
      </c>
      <c r="C10" s="179" t="s">
        <v>294</v>
      </c>
      <c r="D10" s="348"/>
      <c r="F10" s="262" t="s">
        <v>1511</v>
      </c>
      <c r="G10" s="272" t="s">
        <v>1711</v>
      </c>
    </row>
    <row r="11" spans="2:7" ht="32.25" customHeight="1" x14ac:dyDescent="0.25">
      <c r="B11" s="170" t="s">
        <v>574</v>
      </c>
      <c r="C11" s="68" t="s">
        <v>566</v>
      </c>
      <c r="D11" s="348"/>
      <c r="F11" s="262" t="s">
        <v>1529</v>
      </c>
      <c r="G11" s="272" t="s">
        <v>1531</v>
      </c>
    </row>
    <row r="12" spans="2:7" ht="32.25" customHeight="1" x14ac:dyDescent="0.25">
      <c r="B12" s="82" t="s">
        <v>578</v>
      </c>
      <c r="C12" s="64" t="s">
        <v>579</v>
      </c>
      <c r="D12" s="348"/>
      <c r="F12" s="262" t="s">
        <v>1535</v>
      </c>
      <c r="G12" s="272" t="s">
        <v>1537</v>
      </c>
    </row>
    <row r="13" spans="2:7" ht="32.25" customHeight="1" x14ac:dyDescent="0.25">
      <c r="B13" s="82" t="s">
        <v>593</v>
      </c>
      <c r="C13" s="64" t="s">
        <v>594</v>
      </c>
      <c r="D13" s="348"/>
      <c r="F13" s="262" t="s">
        <v>1546</v>
      </c>
      <c r="G13" s="272" t="s">
        <v>1548</v>
      </c>
    </row>
    <row r="14" spans="2:7" ht="32.25" customHeight="1" x14ac:dyDescent="0.25">
      <c r="B14" s="82" t="s">
        <v>596</v>
      </c>
      <c r="C14" s="64" t="s">
        <v>597</v>
      </c>
      <c r="D14" s="348"/>
      <c r="F14" s="262" t="s">
        <v>1549</v>
      </c>
      <c r="G14" s="272" t="s">
        <v>1551</v>
      </c>
    </row>
    <row r="15" spans="2:7" ht="32.25" customHeight="1" x14ac:dyDescent="0.25">
      <c r="B15" s="82" t="s">
        <v>1808</v>
      </c>
      <c r="C15" s="64" t="s">
        <v>821</v>
      </c>
      <c r="D15" s="348"/>
      <c r="F15" s="262" t="s">
        <v>1552</v>
      </c>
      <c r="G15" s="272" t="s">
        <v>1554</v>
      </c>
    </row>
    <row r="16" spans="2:7" ht="32.25" customHeight="1" x14ac:dyDescent="0.25">
      <c r="B16" s="82" t="s">
        <v>815</v>
      </c>
      <c r="C16" s="64" t="s">
        <v>817</v>
      </c>
      <c r="D16" s="348"/>
      <c r="F16" s="262" t="s">
        <v>1555</v>
      </c>
      <c r="G16" s="272" t="s">
        <v>1557</v>
      </c>
    </row>
    <row r="17" spans="2:7" ht="32.25" customHeight="1" x14ac:dyDescent="0.25">
      <c r="B17" s="262" t="s">
        <v>962</v>
      </c>
      <c r="C17" s="272" t="s">
        <v>963</v>
      </c>
      <c r="D17" s="348"/>
      <c r="F17" s="262" t="s">
        <v>1565</v>
      </c>
      <c r="G17" s="272" t="s">
        <v>1567</v>
      </c>
    </row>
    <row r="18" spans="2:7" ht="32.25" customHeight="1" x14ac:dyDescent="0.25">
      <c r="B18" s="262" t="s">
        <v>1005</v>
      </c>
      <c r="C18" s="272" t="s">
        <v>1006</v>
      </c>
      <c r="D18" s="348"/>
      <c r="F18" s="290" t="s">
        <v>1639</v>
      </c>
      <c r="G18" s="272"/>
    </row>
    <row r="19" spans="2:7" ht="32.25" customHeight="1" x14ac:dyDescent="0.25">
      <c r="B19" s="262" t="s">
        <v>1050</v>
      </c>
      <c r="C19" s="272" t="s">
        <v>1051</v>
      </c>
      <c r="D19" s="348"/>
      <c r="F19" s="290" t="s">
        <v>1640</v>
      </c>
      <c r="G19" s="272"/>
    </row>
    <row r="20" spans="2:7" ht="32.25" customHeight="1" x14ac:dyDescent="0.25">
      <c r="B20" s="262" t="s">
        <v>1076</v>
      </c>
      <c r="C20" s="272" t="s">
        <v>1069</v>
      </c>
      <c r="D20" s="348"/>
      <c r="F20" s="338" t="s">
        <v>1759</v>
      </c>
      <c r="G20" s="272"/>
    </row>
    <row r="21" spans="2:7" ht="32.25" customHeight="1" x14ac:dyDescent="0.25">
      <c r="B21" s="262" t="s">
        <v>1097</v>
      </c>
      <c r="C21" s="272" t="s">
        <v>1098</v>
      </c>
      <c r="D21" s="348"/>
      <c r="F21" s="338" t="s">
        <v>1819</v>
      </c>
      <c r="G21" s="272" t="s">
        <v>1821</v>
      </c>
    </row>
    <row r="22" spans="2:7" ht="32.25" customHeight="1" x14ac:dyDescent="0.25">
      <c r="B22" s="262" t="s">
        <v>1134</v>
      </c>
      <c r="C22" s="272" t="s">
        <v>1135</v>
      </c>
      <c r="D22" s="348"/>
    </row>
    <row r="23" spans="2:7" ht="32.25" customHeight="1" x14ac:dyDescent="0.25">
      <c r="B23" s="262" t="s">
        <v>1207</v>
      </c>
      <c r="C23" s="272" t="s">
        <v>1209</v>
      </c>
      <c r="D23" s="348"/>
    </row>
    <row r="24" spans="2:7" ht="32.25" customHeight="1" x14ac:dyDescent="0.25">
      <c r="B24" s="346" t="s">
        <v>1202</v>
      </c>
      <c r="C24" s="310" t="s">
        <v>1205</v>
      </c>
      <c r="D24" s="348"/>
    </row>
    <row r="25" spans="2:7" ht="32.25" customHeight="1" x14ac:dyDescent="0.25">
      <c r="B25" s="262" t="s">
        <v>1243</v>
      </c>
      <c r="C25" s="310" t="s">
        <v>1246</v>
      </c>
      <c r="D25" s="348"/>
    </row>
    <row r="26" spans="2:7" ht="32.25" customHeight="1" x14ac:dyDescent="0.25">
      <c r="B26" s="262" t="s">
        <v>1318</v>
      </c>
      <c r="C26" s="272" t="s">
        <v>1320</v>
      </c>
      <c r="D26" s="348"/>
    </row>
    <row r="27" spans="2:7" ht="32.25" customHeight="1" x14ac:dyDescent="0.25">
      <c r="B27" s="262" t="s">
        <v>1499</v>
      </c>
      <c r="C27" s="272" t="s">
        <v>1502</v>
      </c>
      <c r="D27" s="348"/>
    </row>
    <row r="28" spans="2:7" ht="32.25" customHeight="1" x14ac:dyDescent="0.25">
      <c r="B28" s="262" t="s">
        <v>1489</v>
      </c>
      <c r="C28" s="272" t="s">
        <v>1490</v>
      </c>
      <c r="D28" s="348"/>
    </row>
    <row r="29" spans="2:7" ht="32.25" customHeight="1" x14ac:dyDescent="0.25">
      <c r="B29" s="262" t="s">
        <v>1506</v>
      </c>
      <c r="C29" s="272" t="s">
        <v>1508</v>
      </c>
      <c r="D29" s="348"/>
    </row>
    <row r="30" spans="2:7" ht="32.25" customHeight="1" x14ac:dyDescent="0.25">
      <c r="B30" s="262" t="s">
        <v>1529</v>
      </c>
      <c r="C30" s="272" t="s">
        <v>1531</v>
      </c>
      <c r="D30" s="348"/>
    </row>
    <row r="31" spans="2:7" ht="32.25" customHeight="1" x14ac:dyDescent="0.25">
      <c r="B31" s="262" t="s">
        <v>1535</v>
      </c>
      <c r="C31" s="272" t="s">
        <v>1537</v>
      </c>
      <c r="D31" s="348"/>
    </row>
    <row r="32" spans="2:7" ht="32.25" customHeight="1" x14ac:dyDescent="0.25">
      <c r="B32" s="262" t="s">
        <v>1555</v>
      </c>
      <c r="C32" s="272" t="s">
        <v>1557</v>
      </c>
      <c r="D32" s="348"/>
    </row>
    <row r="33" spans="2:4" ht="32.25" customHeight="1" x14ac:dyDescent="0.25">
      <c r="B33" s="262" t="s">
        <v>1565</v>
      </c>
      <c r="C33" s="272" t="s">
        <v>1567</v>
      </c>
      <c r="D33" s="348"/>
    </row>
    <row r="34" spans="2:4" ht="32.25" customHeight="1" x14ac:dyDescent="0.25">
      <c r="B34" s="262" t="s">
        <v>1618</v>
      </c>
      <c r="C34" s="272" t="s">
        <v>1621</v>
      </c>
      <c r="D34" s="348"/>
    </row>
    <row r="35" spans="2:4" ht="32.25" customHeight="1" x14ac:dyDescent="0.25">
      <c r="B35" s="262" t="s">
        <v>1596</v>
      </c>
      <c r="C35" s="272" t="s">
        <v>1598</v>
      </c>
      <c r="D35" s="348"/>
    </row>
    <row r="36" spans="2:4" ht="32.25" customHeight="1" x14ac:dyDescent="0.25">
      <c r="B36" s="262" t="s">
        <v>1624</v>
      </c>
      <c r="C36" s="272" t="s">
        <v>1625</v>
      </c>
      <c r="D36" s="348"/>
    </row>
    <row r="37" spans="2:4" ht="32.25" customHeight="1" x14ac:dyDescent="0.25">
      <c r="B37" s="290" t="s">
        <v>1639</v>
      </c>
      <c r="C37" s="272"/>
      <c r="D37" s="348"/>
    </row>
    <row r="38" spans="2:4" ht="32.25" customHeight="1" x14ac:dyDescent="0.25">
      <c r="B38" s="290" t="s">
        <v>1640</v>
      </c>
      <c r="C38" s="272"/>
      <c r="D38" s="348"/>
    </row>
    <row r="39" spans="2:4" ht="32.25" customHeight="1" x14ac:dyDescent="0.25">
      <c r="B39" s="262" t="s">
        <v>1646</v>
      </c>
      <c r="C39" s="272" t="s">
        <v>1654</v>
      </c>
      <c r="D39" s="348"/>
    </row>
    <row r="40" spans="2:4" ht="32.25" customHeight="1" x14ac:dyDescent="0.25">
      <c r="B40" s="262" t="s">
        <v>1669</v>
      </c>
      <c r="C40" s="272" t="s">
        <v>1683</v>
      </c>
      <c r="D40" s="348"/>
    </row>
    <row r="41" spans="2:4" ht="32.25" customHeight="1" x14ac:dyDescent="0.25">
      <c r="B41" s="339" t="s">
        <v>1670</v>
      </c>
      <c r="C41" s="272" t="s">
        <v>1751</v>
      </c>
      <c r="D41" s="348"/>
    </row>
    <row r="42" spans="2:4" ht="32.25" customHeight="1" x14ac:dyDescent="0.25">
      <c r="B42" s="339" t="s">
        <v>1671</v>
      </c>
      <c r="C42" s="272" t="s">
        <v>1752</v>
      </c>
      <c r="D42" s="348"/>
    </row>
    <row r="43" spans="2:4" ht="32.25" customHeight="1" x14ac:dyDescent="0.25">
      <c r="B43" s="339" t="s">
        <v>1674</v>
      </c>
      <c r="C43" s="272" t="s">
        <v>1753</v>
      </c>
      <c r="D43" s="348"/>
    </row>
    <row r="44" spans="2:4" ht="32.25" customHeight="1" x14ac:dyDescent="0.25">
      <c r="B44" s="338" t="s">
        <v>1759</v>
      </c>
      <c r="C44" s="272"/>
      <c r="D44" s="348"/>
    </row>
    <row r="45" spans="2:4" ht="32.25" customHeight="1" x14ac:dyDescent="0.25">
      <c r="B45" s="338" t="s">
        <v>1819</v>
      </c>
      <c r="C45" s="272" t="s">
        <v>1821</v>
      </c>
      <c r="D45" s="348"/>
    </row>
    <row r="46" spans="2:4" x14ac:dyDescent="0.25">
      <c r="D46" s="348"/>
    </row>
    <row r="47" spans="2:4" x14ac:dyDescent="0.25">
      <c r="D47" s="348"/>
    </row>
  </sheetData>
  <conditionalFormatting sqref="B3">
    <cfRule type="timePeriod" dxfId="123" priority="76" timePeriod="nextWeek">
      <formula>AND(ROUNDDOWN(B3,0)-TODAY()&gt;(7-WEEKDAY(TODAY())),ROUNDDOWN(B3,0)-TODAY()&lt;(15-WEEKDAY(TODAY())))</formula>
    </cfRule>
  </conditionalFormatting>
  <conditionalFormatting sqref="B13:B14 B3:B6">
    <cfRule type="timePeriod" dxfId="122" priority="80" timePeriod="thisWeek">
      <formula>AND(TODAY()-ROUNDDOWN(B3,0)&lt;=WEEKDAY(TODAY())-1,ROUNDDOWN(B3,0)-TODAY()&lt;=7-WEEKDAY(TODAY()))</formula>
    </cfRule>
  </conditionalFormatting>
  <conditionalFormatting sqref="B13:B14 B3:B6">
    <cfRule type="timePeriod" dxfId="121" priority="79" timePeriod="last7Days">
      <formula>AND(TODAY()-FLOOR(B3,1)&lt;=6,FLOOR(B3,1)&lt;=TODAY())</formula>
    </cfRule>
  </conditionalFormatting>
  <conditionalFormatting sqref="B13:B14 B3:B6">
    <cfRule type="timePeriod" priority="77" timePeriod="nextWeek">
      <formula>AND(ROUNDDOWN(B3,0)-TODAY()&gt;(7-WEEKDAY(TODAY())),ROUNDDOWN(B3,0)-TODAY()&lt;(15-WEEKDAY(TODAY())))</formula>
    </cfRule>
  </conditionalFormatting>
  <conditionalFormatting sqref="B13:B14 B3:B6">
    <cfRule type="timePeriod" dxfId="120" priority="78" timePeriod="lastMonth">
      <formula>AND(MONTH(B3)=MONTH(EDATE(TODAY(),0-1)),YEAR(B3)=YEAR(EDATE(TODAY(),0-1)))</formula>
    </cfRule>
  </conditionalFormatting>
  <conditionalFormatting sqref="B13:B14 B4:B6">
    <cfRule type="timePeriod" dxfId="119" priority="75" timePeriod="nextWeek">
      <formula>AND(ROUNDDOWN(B4,0)-TODAY()&gt;(7-WEEKDAY(TODAY())),ROUNDDOWN(B4,0)-TODAY()&lt;(15-WEEKDAY(TODAY())))</formula>
    </cfRule>
  </conditionalFormatting>
  <conditionalFormatting sqref="B7">
    <cfRule type="timePeriod" dxfId="118" priority="70" timePeriod="nextWeek">
      <formula>AND(ROUNDDOWN(B7,0)-TODAY()&gt;(7-WEEKDAY(TODAY())),ROUNDDOWN(B7,0)-TODAY()&lt;(15-WEEKDAY(TODAY())))</formula>
    </cfRule>
    <cfRule type="timePeriod" priority="71" timePeriod="nextWeek">
      <formula>AND(ROUNDDOWN(B7,0)-TODAY()&gt;(7-WEEKDAY(TODAY())),ROUNDDOWN(B7,0)-TODAY()&lt;(15-WEEKDAY(TODAY())))</formula>
    </cfRule>
    <cfRule type="timePeriod" dxfId="117" priority="72" timePeriod="lastMonth">
      <formula>AND(MONTH(B7)=MONTH(EDATE(TODAY(),0-1)),YEAR(B7)=YEAR(EDATE(TODAY(),0-1)))</formula>
    </cfRule>
    <cfRule type="timePeriod" dxfId="116" priority="73" timePeriod="last7Days">
      <formula>AND(TODAY()-FLOOR(B7,1)&lt;=6,FLOOR(B7,1)&lt;=TODAY())</formula>
    </cfRule>
    <cfRule type="timePeriod" dxfId="115" priority="74" timePeriod="thisWeek">
      <formula>AND(TODAY()-ROUNDDOWN(B7,0)&lt;=WEEKDAY(TODAY())-1,ROUNDDOWN(B7,0)-TODAY()&lt;=7-WEEKDAY(TODAY()))</formula>
    </cfRule>
  </conditionalFormatting>
  <conditionalFormatting sqref="B10:B12">
    <cfRule type="timePeriod" dxfId="114" priority="68" timePeriod="last7Days">
      <formula>AND(TODAY()-FLOOR(B10,1)&lt;=6,FLOOR(B10,1)&lt;=TODAY())</formula>
    </cfRule>
  </conditionalFormatting>
  <conditionalFormatting sqref="B10:B12">
    <cfRule type="timePeriod" dxfId="113" priority="65" timePeriod="nextWeek">
      <formula>AND(ROUNDDOWN(B10,0)-TODAY()&gt;(7-WEEKDAY(TODAY())),ROUNDDOWN(B10,0)-TODAY()&lt;(15-WEEKDAY(TODAY())))</formula>
    </cfRule>
    <cfRule type="timePeriod" dxfId="112" priority="67" timePeriod="lastMonth">
      <formula>AND(MONTH(B10)=MONTH(EDATE(TODAY(),0-1)),YEAR(B10)=YEAR(EDATE(TODAY(),0-1)))</formula>
    </cfRule>
  </conditionalFormatting>
  <conditionalFormatting sqref="B10:B12">
    <cfRule type="timePeriod" dxfId="111" priority="69" timePeriod="thisWeek">
      <formula>AND(TODAY()-ROUNDDOWN(B10,0)&lt;=WEEKDAY(TODAY())-1,ROUNDDOWN(B10,0)-TODAY()&lt;=7-WEEKDAY(TODAY()))</formula>
    </cfRule>
  </conditionalFormatting>
  <conditionalFormatting sqref="B10:B12">
    <cfRule type="timePeriod" priority="66" timePeriod="nextWeek">
      <formula>AND(ROUNDDOWN(B10,0)-TODAY()&gt;(7-WEEKDAY(TODAY())),ROUNDDOWN(B10,0)-TODAY()&lt;(15-WEEKDAY(TODAY())))</formula>
    </cfRule>
  </conditionalFormatting>
  <conditionalFormatting sqref="C3:C5">
    <cfRule type="timePeriod" dxfId="110" priority="60" timePeriod="nextWeek">
      <formula>AND(ROUNDDOWN(C3,0)-TODAY()&gt;(7-WEEKDAY(TODAY())),ROUNDDOWN(C3,0)-TODAY()&lt;(15-WEEKDAY(TODAY())))</formula>
    </cfRule>
    <cfRule type="timePeriod" priority="61" timePeriod="nextWeek">
      <formula>AND(ROUNDDOWN(C3,0)-TODAY()&gt;(7-WEEKDAY(TODAY())),ROUNDDOWN(C3,0)-TODAY()&lt;(15-WEEKDAY(TODAY())))</formula>
    </cfRule>
    <cfRule type="timePeriod" dxfId="109" priority="62" timePeriod="lastMonth">
      <formula>AND(MONTH(C3)=MONTH(EDATE(TODAY(),0-1)),YEAR(C3)=YEAR(EDATE(TODAY(),0-1)))</formula>
    </cfRule>
    <cfRule type="timePeriod" dxfId="108" priority="63" timePeriod="last7Days">
      <formula>AND(TODAY()-FLOOR(C3,1)&lt;=6,FLOOR(C3,1)&lt;=TODAY())</formula>
    </cfRule>
    <cfRule type="timePeriod" dxfId="107" priority="64" timePeriod="thisWeek">
      <formula>AND(TODAY()-ROUNDDOWN(C3,0)&lt;=WEEKDAY(TODAY())-1,ROUNDDOWN(C3,0)-TODAY()&lt;=7-WEEKDAY(TODAY()))</formula>
    </cfRule>
  </conditionalFormatting>
  <conditionalFormatting sqref="C9 C6:C7">
    <cfRule type="timePeriod" dxfId="106" priority="55" timePeriod="nextWeek">
      <formula>AND(ROUNDDOWN(C6,0)-TODAY()&gt;(7-WEEKDAY(TODAY())),ROUNDDOWN(C6,0)-TODAY()&lt;(15-WEEKDAY(TODAY())))</formula>
    </cfRule>
  </conditionalFormatting>
  <conditionalFormatting sqref="C11 C9 C6:C7">
    <cfRule type="timePeriod" dxfId="105" priority="59" timePeriod="thisWeek">
      <formula>AND(TODAY()-ROUNDDOWN(C6,0)&lt;=WEEKDAY(TODAY())-1,ROUNDDOWN(C6,0)-TODAY()&lt;=7-WEEKDAY(TODAY()))</formula>
    </cfRule>
  </conditionalFormatting>
  <conditionalFormatting sqref="C11 C9 C6:C7">
    <cfRule type="timePeriod" dxfId="104" priority="58" timePeriod="last7Days">
      <formula>AND(TODAY()-FLOOR(C6,1)&lt;=6,FLOOR(C6,1)&lt;=TODAY())</formula>
    </cfRule>
  </conditionalFormatting>
  <conditionalFormatting sqref="C9 C6:C7">
    <cfRule type="timePeriod" priority="56" timePeriod="nextWeek">
      <formula>AND(ROUNDDOWN(C6,0)-TODAY()&gt;(7-WEEKDAY(TODAY())),ROUNDDOWN(C6,0)-TODAY()&lt;(15-WEEKDAY(TODAY())))</formula>
    </cfRule>
  </conditionalFormatting>
  <conditionalFormatting sqref="C11 C9 C6:C7">
    <cfRule type="timePeriod" dxfId="103" priority="57" timePeriod="lastMonth">
      <formula>AND(MONTH(C6)=MONTH(EDATE(TODAY(),0-1)),YEAR(C6)=YEAR(EDATE(TODAY(),0-1)))</formula>
    </cfRule>
  </conditionalFormatting>
  <conditionalFormatting sqref="C19 C12:C17 C9">
    <cfRule type="timePeriod" dxfId="102" priority="52" timePeriod="thisWeek">
      <formula>AND(TODAY()-ROUNDDOWN(C9,0)&lt;=WEEKDAY(TODAY())-1,ROUNDDOWN(C9,0)-TODAY()&lt;=7-WEEKDAY(TODAY()))</formula>
    </cfRule>
  </conditionalFormatting>
  <conditionalFormatting sqref="C9">
    <cfRule type="timePeriod" dxfId="101" priority="51" timePeriod="last7Days">
      <formula>AND(TODAY()-FLOOR(C9,1)&lt;=6,FLOOR(C9,1)&lt;=TODAY())</formula>
    </cfRule>
  </conditionalFormatting>
  <conditionalFormatting sqref="C22 C19:C20 C12:C17 C9">
    <cfRule type="timePeriod" dxfId="100" priority="50" timePeriod="lastMonth">
      <formula>AND(MONTH(C9)=MONTH(EDATE(TODAY(),0-1)),YEAR(C9)=YEAR(EDATE(TODAY(),0-1)))</formula>
    </cfRule>
  </conditionalFormatting>
  <conditionalFormatting sqref="C9">
    <cfRule type="timePeriod" priority="54" timePeriod="nextWeek">
      <formula>AND(ROUNDDOWN(C9,0)-TODAY()&gt;(7-WEEKDAY(TODAY())),ROUNDDOWN(C9,0)-TODAY()&lt;(15-WEEKDAY(TODAY())))</formula>
    </cfRule>
  </conditionalFormatting>
  <conditionalFormatting sqref="C11:C27 C9">
    <cfRule type="timePeriod" dxfId="99" priority="53" timePeriod="nextWeek">
      <formula>AND(ROUNDDOWN(C9,0)-TODAY()&gt;(7-WEEKDAY(TODAY())),ROUNDDOWN(C9,0)-TODAY()&lt;(15-WEEKDAY(TODAY())))</formula>
    </cfRule>
  </conditionalFormatting>
  <conditionalFormatting sqref="C22:C45 C10">
    <cfRule type="timePeriod" dxfId="98" priority="44" timePeriod="last7Days">
      <formula>AND(TODAY()-FLOOR(C10,1)&lt;=6,FLOOR(C10,1)&lt;=TODAY())</formula>
    </cfRule>
  </conditionalFormatting>
  <conditionalFormatting sqref="C10">
    <cfRule type="timePeriod" dxfId="97" priority="41" timePeriod="nextWeek">
      <formula>AND(ROUNDDOWN(C10,0)-TODAY()&gt;(7-WEEKDAY(TODAY())),ROUNDDOWN(C10,0)-TODAY()&lt;(15-WEEKDAY(TODAY())))</formula>
    </cfRule>
    <cfRule type="timePeriod" dxfId="96" priority="43" timePeriod="lastMonth">
      <formula>AND(MONTH(C10)=MONTH(EDATE(TODAY(),0-1)),YEAR(C10)=YEAR(EDATE(TODAY(),0-1)))</formula>
    </cfRule>
  </conditionalFormatting>
  <conditionalFormatting sqref="C10">
    <cfRule type="timePeriod" dxfId="95" priority="45" timePeriod="thisWeek">
      <formula>AND(TODAY()-ROUNDDOWN(C10,0)&lt;=WEEKDAY(TODAY())-1,ROUNDDOWN(C10,0)-TODAY()&lt;=7-WEEKDAY(TODAY()))</formula>
    </cfRule>
  </conditionalFormatting>
  <conditionalFormatting sqref="C10">
    <cfRule type="timePeriod" dxfId="94" priority="46" timePeriod="nextWeek">
      <formula>AND(ROUNDDOWN(C10,0)-TODAY()&gt;(7-WEEKDAY(TODAY())),ROUNDDOWN(C10,0)-TODAY()&lt;(15-WEEKDAY(TODAY())))</formula>
    </cfRule>
    <cfRule type="timePeriod" dxfId="93" priority="47" timePeriod="lastMonth">
      <formula>AND(MONTH(C10)=MONTH(EDATE(TODAY(),0-1)),YEAR(C10)=YEAR(EDATE(TODAY(),0-1)))</formula>
    </cfRule>
    <cfRule type="timePeriod" dxfId="92" priority="48" timePeriod="last7Days">
      <formula>AND(TODAY()-FLOOR(C10,1)&lt;=6,FLOOR(C10,1)&lt;=TODAY())</formula>
    </cfRule>
    <cfRule type="timePeriod" dxfId="91" priority="49" timePeriod="thisWeek">
      <formula>AND(TODAY()-ROUNDDOWN(C10,0)&lt;=WEEKDAY(TODAY())-1,ROUNDDOWN(C10,0)-TODAY()&lt;=7-WEEKDAY(TODAY()))</formula>
    </cfRule>
  </conditionalFormatting>
  <conditionalFormatting sqref="C10">
    <cfRule type="timePeriod" priority="42" timePeriod="nextWeek">
      <formula>AND(ROUNDDOWN(C10,0)-TODAY()&gt;(7-WEEKDAY(TODAY())),ROUNDDOWN(C10,0)-TODAY()&lt;(15-WEEKDAY(TODAY())))</formula>
    </cfRule>
  </conditionalFormatting>
  <conditionalFormatting sqref="C11:C45">
    <cfRule type="timePeriod" priority="39" timePeriod="nextWeek">
      <formula>AND(ROUNDDOWN(C11,0)-TODAY()&gt;(7-WEEKDAY(TODAY())),ROUNDDOWN(C11,0)-TODAY()&lt;(15-WEEKDAY(TODAY())))</formula>
    </cfRule>
  </conditionalFormatting>
  <conditionalFormatting sqref="C12:C21">
    <cfRule type="timePeriod" dxfId="90" priority="40" timePeriod="last7Days">
      <formula>AND(TODAY()-FLOOR(C12,1)&lt;=6,FLOOR(C12,1)&lt;=TODAY())</formula>
    </cfRule>
  </conditionalFormatting>
  <conditionalFormatting sqref="C21 C18">
    <cfRule type="timePeriod" dxfId="89" priority="37" timePeriod="lastMonth">
      <formula>AND(MONTH(C18)=MONTH(EDATE(TODAY(),0-1)),YEAR(C18)=YEAR(EDATE(TODAY(),0-1)))</formula>
    </cfRule>
  </conditionalFormatting>
  <conditionalFormatting sqref="C20:C27 C18">
    <cfRule type="timePeriod" dxfId="88" priority="38" timePeriod="thisWeek">
      <formula>AND(TODAY()-ROUNDDOWN(C18,0)&lt;=WEEKDAY(TODAY())-1,ROUNDDOWN(C18,0)-TODAY()&lt;=7-WEEKDAY(TODAY()))</formula>
    </cfRule>
  </conditionalFormatting>
  <conditionalFormatting sqref="C23:C45">
    <cfRule type="timePeriod" dxfId="87" priority="36" timePeriod="lastMonth">
      <formula>AND(MONTH(C23)=MONTH(EDATE(TODAY(),0-1)),YEAR(C23)=YEAR(EDATE(TODAY(),0-1)))</formula>
    </cfRule>
  </conditionalFormatting>
  <conditionalFormatting sqref="C28:C45">
    <cfRule type="timePeriod" dxfId="86" priority="34" timePeriod="thisWeek">
      <formula>AND(TODAY()-ROUNDDOWN(C28,0)&lt;=WEEKDAY(TODAY())-1,ROUNDDOWN(C28,0)-TODAY()&lt;=7-WEEKDAY(TODAY()))</formula>
    </cfRule>
  </conditionalFormatting>
  <conditionalFormatting sqref="C28:C45">
    <cfRule type="timePeriod" dxfId="85" priority="35" timePeriod="nextWeek">
      <formula>AND(ROUNDDOWN(C28,0)-TODAY()&gt;(7-WEEKDAY(TODAY())),ROUNDDOWN(C28,0)-TODAY()&lt;(15-WEEKDAY(TODAY())))</formula>
    </cfRule>
  </conditionalFormatting>
  <conditionalFormatting sqref="F3">
    <cfRule type="timePeriod" dxfId="84" priority="29" timePeriod="nextWeek">
      <formula>AND(ROUNDDOWN(F3,0)-TODAY()&gt;(7-WEEKDAY(TODAY())),ROUNDDOWN(F3,0)-TODAY()&lt;(15-WEEKDAY(TODAY())))</formula>
    </cfRule>
    <cfRule type="timePeriod" priority="30" timePeriod="nextWeek">
      <formula>AND(ROUNDDOWN(F3,0)-TODAY()&gt;(7-WEEKDAY(TODAY())),ROUNDDOWN(F3,0)-TODAY()&lt;(15-WEEKDAY(TODAY())))</formula>
    </cfRule>
    <cfRule type="timePeriod" dxfId="83" priority="31" timePeriod="lastMonth">
      <formula>AND(MONTH(F3)=MONTH(EDATE(TODAY(),0-1)),YEAR(F3)=YEAR(EDATE(TODAY(),0-1)))</formula>
    </cfRule>
    <cfRule type="timePeriod" dxfId="82" priority="32" timePeriod="last7Days">
      <formula>AND(TODAY()-FLOOR(F3,1)&lt;=6,FLOOR(F3,1)&lt;=TODAY())</formula>
    </cfRule>
    <cfRule type="timePeriod" dxfId="81" priority="33" timePeriod="thisWeek">
      <formula>AND(TODAY()-ROUNDDOWN(F3,0)&lt;=WEEKDAY(TODAY())-1,ROUNDDOWN(F3,0)-TODAY()&lt;=7-WEEKDAY(TODAY()))</formula>
    </cfRule>
  </conditionalFormatting>
  <conditionalFormatting sqref="F5:F6">
    <cfRule type="timePeriod" dxfId="80" priority="27" timePeriod="last7Days">
      <formula>AND(TODAY()-FLOOR(F5,1)&lt;=6,FLOOR(F5,1)&lt;=TODAY())</formula>
    </cfRule>
  </conditionalFormatting>
  <conditionalFormatting sqref="F5:F6">
    <cfRule type="timePeriod" dxfId="79" priority="24" timePeriod="nextWeek">
      <formula>AND(ROUNDDOWN(F5,0)-TODAY()&gt;(7-WEEKDAY(TODAY())),ROUNDDOWN(F5,0)-TODAY()&lt;(15-WEEKDAY(TODAY())))</formula>
    </cfRule>
    <cfRule type="timePeriod" dxfId="78" priority="26" timePeriod="lastMonth">
      <formula>AND(MONTH(F5)=MONTH(EDATE(TODAY(),0-1)),YEAR(F5)=YEAR(EDATE(TODAY(),0-1)))</formula>
    </cfRule>
  </conditionalFormatting>
  <conditionalFormatting sqref="F5:F6">
    <cfRule type="timePeriod" dxfId="77" priority="28" timePeriod="thisWeek">
      <formula>AND(TODAY()-ROUNDDOWN(F5,0)&lt;=WEEKDAY(TODAY())-1,ROUNDDOWN(F5,0)-TODAY()&lt;=7-WEEKDAY(TODAY()))</formula>
    </cfRule>
  </conditionalFormatting>
  <conditionalFormatting sqref="F5:F6">
    <cfRule type="timePeriod" priority="25" timePeriod="nextWeek">
      <formula>AND(ROUNDDOWN(F5,0)-TODAY()&gt;(7-WEEKDAY(TODAY())),ROUNDDOWN(F5,0)-TODAY()&lt;(15-WEEKDAY(TODAY())))</formula>
    </cfRule>
  </conditionalFormatting>
  <conditionalFormatting sqref="G3">
    <cfRule type="timePeriod" dxfId="76" priority="19" timePeriod="nextWeek">
      <formula>AND(ROUNDDOWN(G3,0)-TODAY()&gt;(7-WEEKDAY(TODAY())),ROUNDDOWN(G3,0)-TODAY()&lt;(15-WEEKDAY(TODAY())))</formula>
    </cfRule>
  </conditionalFormatting>
  <conditionalFormatting sqref="G6 G3">
    <cfRule type="timePeriod" dxfId="75" priority="23" timePeriod="thisWeek">
      <formula>AND(TODAY()-ROUNDDOWN(G3,0)&lt;=WEEKDAY(TODAY())-1,ROUNDDOWN(G3,0)-TODAY()&lt;=7-WEEKDAY(TODAY()))</formula>
    </cfRule>
  </conditionalFormatting>
  <conditionalFormatting sqref="G6 G3">
    <cfRule type="timePeriod" dxfId="74" priority="22" timePeriod="last7Days">
      <formula>AND(TODAY()-FLOOR(G3,1)&lt;=6,FLOOR(G3,1)&lt;=TODAY())</formula>
    </cfRule>
  </conditionalFormatting>
  <conditionalFormatting sqref="G3">
    <cfRule type="timePeriod" priority="20" timePeriod="nextWeek">
      <formula>AND(ROUNDDOWN(G3,0)-TODAY()&gt;(7-WEEKDAY(TODAY())),ROUNDDOWN(G3,0)-TODAY()&lt;(15-WEEKDAY(TODAY())))</formula>
    </cfRule>
  </conditionalFormatting>
  <conditionalFormatting sqref="G6 G3">
    <cfRule type="timePeriod" dxfId="73" priority="21" timePeriod="lastMonth">
      <formula>AND(MONTH(G3)=MONTH(EDATE(TODAY(),0-1)),YEAR(G3)=YEAR(EDATE(TODAY(),0-1)))</formula>
    </cfRule>
  </conditionalFormatting>
  <conditionalFormatting sqref="G9:G21 G5">
    <cfRule type="timePeriod" dxfId="72" priority="13" timePeriod="last7Days">
      <formula>AND(TODAY()-FLOOR(G5,1)&lt;=6,FLOOR(G5,1)&lt;=TODAY())</formula>
    </cfRule>
  </conditionalFormatting>
  <conditionalFormatting sqref="G5">
    <cfRule type="timePeriod" dxfId="71" priority="10" timePeriod="nextWeek">
      <formula>AND(ROUNDDOWN(G5,0)-TODAY()&gt;(7-WEEKDAY(TODAY())),ROUNDDOWN(G5,0)-TODAY()&lt;(15-WEEKDAY(TODAY())))</formula>
    </cfRule>
    <cfRule type="timePeriod" dxfId="70" priority="12" timePeriod="lastMonth">
      <formula>AND(MONTH(G5)=MONTH(EDATE(TODAY(),0-1)),YEAR(G5)=YEAR(EDATE(TODAY(),0-1)))</formula>
    </cfRule>
  </conditionalFormatting>
  <conditionalFormatting sqref="G5">
    <cfRule type="timePeriod" dxfId="69" priority="14" timePeriod="thisWeek">
      <formula>AND(TODAY()-ROUNDDOWN(G5,0)&lt;=WEEKDAY(TODAY())-1,ROUNDDOWN(G5,0)-TODAY()&lt;=7-WEEKDAY(TODAY()))</formula>
    </cfRule>
  </conditionalFormatting>
  <conditionalFormatting sqref="G5">
    <cfRule type="timePeriod" dxfId="68" priority="15" timePeriod="nextWeek">
      <formula>AND(ROUNDDOWN(G5,0)-TODAY()&gt;(7-WEEKDAY(TODAY())),ROUNDDOWN(G5,0)-TODAY()&lt;(15-WEEKDAY(TODAY())))</formula>
    </cfRule>
    <cfRule type="timePeriod" dxfId="67" priority="16" timePeriod="lastMonth">
      <formula>AND(MONTH(G5)=MONTH(EDATE(TODAY(),0-1)),YEAR(G5)=YEAR(EDATE(TODAY(),0-1)))</formula>
    </cfRule>
    <cfRule type="timePeriod" dxfId="66" priority="17" timePeriod="last7Days">
      <formula>AND(TODAY()-FLOOR(G5,1)&lt;=6,FLOOR(G5,1)&lt;=TODAY())</formula>
    </cfRule>
    <cfRule type="timePeriod" dxfId="65" priority="18" timePeriod="thisWeek">
      <formula>AND(TODAY()-ROUNDDOWN(G5,0)&lt;=WEEKDAY(TODAY())-1,ROUNDDOWN(G5,0)-TODAY()&lt;=7-WEEKDAY(TODAY()))</formula>
    </cfRule>
  </conditionalFormatting>
  <conditionalFormatting sqref="G5">
    <cfRule type="timePeriod" priority="11" timePeriod="nextWeek">
      <formula>AND(ROUNDDOWN(G5,0)-TODAY()&gt;(7-WEEKDAY(TODAY())),ROUNDDOWN(G5,0)-TODAY()&lt;(15-WEEKDAY(TODAY())))</formula>
    </cfRule>
  </conditionalFormatting>
  <conditionalFormatting sqref="G6:G21">
    <cfRule type="timePeriod" priority="8" timePeriod="nextWeek">
      <formula>AND(ROUNDDOWN(G6,0)-TODAY()&gt;(7-WEEKDAY(TODAY())),ROUNDDOWN(G6,0)-TODAY()&lt;(15-WEEKDAY(TODAY())))</formula>
    </cfRule>
  </conditionalFormatting>
  <conditionalFormatting sqref="G6:G9">
    <cfRule type="timePeriod" dxfId="64" priority="9" timePeriod="nextWeek">
      <formula>AND(ROUNDDOWN(G6,0)-TODAY()&gt;(7-WEEKDAY(TODAY())),ROUNDDOWN(G6,0)-TODAY()&lt;(15-WEEKDAY(TODAY())))</formula>
    </cfRule>
  </conditionalFormatting>
  <conditionalFormatting sqref="G7:G8">
    <cfRule type="timePeriod" dxfId="63" priority="5" timePeriod="last7Days">
      <formula>AND(TODAY()-FLOOR(G7,1)&lt;=6,FLOOR(G7,1)&lt;=TODAY())</formula>
    </cfRule>
  </conditionalFormatting>
  <conditionalFormatting sqref="G7:G8">
    <cfRule type="timePeriod" dxfId="62" priority="7" timePeriod="thisWeek">
      <formula>AND(TODAY()-ROUNDDOWN(G7,0)&lt;=WEEKDAY(TODAY())-1,ROUNDDOWN(G7,0)-TODAY()&lt;=7-WEEKDAY(TODAY()))</formula>
    </cfRule>
  </conditionalFormatting>
  <conditionalFormatting sqref="G7:G9">
    <cfRule type="timePeriod" dxfId="61" priority="6" timePeriod="lastMonth">
      <formula>AND(MONTH(G7)=MONTH(EDATE(TODAY(),0-1)),YEAR(G7)=YEAR(EDATE(TODAY(),0-1)))</formula>
    </cfRule>
  </conditionalFormatting>
  <conditionalFormatting sqref="G9">
    <cfRule type="timePeriod" dxfId="60" priority="4" timePeriod="thisWeek">
      <formula>AND(TODAY()-ROUNDDOWN(G9,0)&lt;=WEEKDAY(TODAY())-1,ROUNDDOWN(G9,0)-TODAY()&lt;=7-WEEKDAY(TODAY()))</formula>
    </cfRule>
  </conditionalFormatting>
  <conditionalFormatting sqref="G10:G21">
    <cfRule type="timePeriod" dxfId="59" priority="1" timePeriod="thisWeek">
      <formula>AND(TODAY()-ROUNDDOWN(G10,0)&lt;=WEEKDAY(TODAY())-1,ROUNDDOWN(G10,0)-TODAY()&lt;=7-WEEKDAY(TODAY()))</formula>
    </cfRule>
  </conditionalFormatting>
  <conditionalFormatting sqref="G10:G21">
    <cfRule type="timePeriod" dxfId="58" priority="3" timePeriod="nextWeek">
      <formula>AND(ROUNDDOWN(G10,0)-TODAY()&gt;(7-WEEKDAY(TODAY())),ROUNDDOWN(G10,0)-TODAY()&lt;(15-WEEKDAY(TODAY())))</formula>
    </cfRule>
  </conditionalFormatting>
  <conditionalFormatting sqref="G10:G21">
    <cfRule type="timePeriod" dxfId="57" priority="2" timePeriod="lastMonth">
      <formula>AND(MONTH(G10)=MONTH(EDATE(TODAY(),0-1)),YEAR(G10)=YEAR(EDATE(TODAY(),0-1)))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6061-4263-4A85-B818-6B6B80168152}">
  <sheetPr codeName="Sheet6">
    <pageSetUpPr fitToPage="1"/>
  </sheetPr>
  <dimension ref="B4:P48"/>
  <sheetViews>
    <sheetView workbookViewId="0">
      <selection activeCell="I23" sqref="I23"/>
    </sheetView>
  </sheetViews>
  <sheetFormatPr defaultRowHeight="20.25" x14ac:dyDescent="0.5"/>
  <cols>
    <col min="2" max="2" width="5.28515625" style="281" customWidth="1"/>
    <col min="3" max="3" width="39.5703125" style="283" customWidth="1"/>
    <col min="4" max="4" width="3.42578125" customWidth="1"/>
    <col min="5" max="5" width="5.28515625" customWidth="1"/>
    <col min="6" max="6" width="39.5703125" customWidth="1"/>
    <col min="7" max="7" width="3.42578125" customWidth="1"/>
    <col min="8" max="8" width="5.28515625" customWidth="1"/>
    <col min="9" max="9" width="39.5703125" customWidth="1"/>
    <col min="10" max="10" width="3.42578125" customWidth="1"/>
    <col min="11" max="11" width="4.7109375" customWidth="1"/>
    <col min="12" max="12" width="17.5703125" customWidth="1"/>
    <col min="13" max="13" width="38" customWidth="1"/>
    <col min="14" max="14" width="3.42578125" customWidth="1"/>
    <col min="15" max="15" width="4.7109375" customWidth="1"/>
    <col min="16" max="16" width="38" customWidth="1"/>
  </cols>
  <sheetData>
    <row r="4" spans="2:16" x14ac:dyDescent="0.25">
      <c r="C4" s="282" t="s">
        <v>1103</v>
      </c>
      <c r="F4" s="282" t="s">
        <v>1104</v>
      </c>
      <c r="I4" s="282" t="s">
        <v>917</v>
      </c>
      <c r="M4" s="282" t="s">
        <v>1105</v>
      </c>
      <c r="P4" s="282" t="s">
        <v>1106</v>
      </c>
    </row>
    <row r="6" spans="2:16" x14ac:dyDescent="0.25">
      <c r="B6" s="281">
        <v>1</v>
      </c>
      <c r="C6" s="143"/>
      <c r="E6" s="281">
        <v>1</v>
      </c>
      <c r="F6" s="143"/>
      <c r="H6" s="281">
        <v>1</v>
      </c>
      <c r="I6" s="143" t="s">
        <v>107</v>
      </c>
      <c r="K6" s="281">
        <v>1</v>
      </c>
      <c r="L6" s="9">
        <v>46152</v>
      </c>
      <c r="M6" s="143" t="s">
        <v>91</v>
      </c>
      <c r="O6" s="281">
        <v>1</v>
      </c>
      <c r="P6" s="143"/>
    </row>
    <row r="7" spans="2:16" x14ac:dyDescent="0.25">
      <c r="B7" s="281">
        <v>2</v>
      </c>
      <c r="C7" s="143"/>
      <c r="E7" s="281">
        <v>2</v>
      </c>
      <c r="F7" s="143"/>
      <c r="H7" s="281">
        <v>2</v>
      </c>
      <c r="I7" s="143"/>
      <c r="K7" s="281">
        <v>2</v>
      </c>
      <c r="L7" s="9">
        <v>46122</v>
      </c>
      <c r="M7" s="143" t="s">
        <v>106</v>
      </c>
      <c r="O7" s="281">
        <v>2</v>
      </c>
      <c r="P7" s="143"/>
    </row>
    <row r="8" spans="2:16" x14ac:dyDescent="0.25">
      <c r="B8" s="281">
        <v>3</v>
      </c>
      <c r="C8" s="276"/>
      <c r="E8" s="281">
        <v>3</v>
      </c>
      <c r="F8" s="143"/>
      <c r="H8" s="281">
        <v>3</v>
      </c>
      <c r="I8" s="143"/>
      <c r="K8" s="281">
        <v>3</v>
      </c>
      <c r="L8" s="9">
        <v>46122</v>
      </c>
      <c r="M8" s="259" t="s">
        <v>107</v>
      </c>
      <c r="O8" s="281">
        <v>3</v>
      </c>
      <c r="P8" s="262"/>
    </row>
    <row r="9" spans="2:16" x14ac:dyDescent="0.25">
      <c r="B9" s="281">
        <v>4</v>
      </c>
      <c r="C9" s="143"/>
      <c r="E9" s="281">
        <v>4</v>
      </c>
      <c r="F9" s="143"/>
      <c r="H9" s="281">
        <v>4</v>
      </c>
      <c r="I9" s="143"/>
      <c r="K9" s="281">
        <v>4</v>
      </c>
      <c r="L9" s="9">
        <v>46135</v>
      </c>
      <c r="M9" s="143" t="s">
        <v>113</v>
      </c>
      <c r="O9" s="281">
        <v>4</v>
      </c>
      <c r="P9" s="262"/>
    </row>
    <row r="10" spans="2:16" x14ac:dyDescent="0.25">
      <c r="B10" s="281">
        <v>5</v>
      </c>
      <c r="C10" s="276"/>
      <c r="E10" s="281">
        <v>5</v>
      </c>
      <c r="F10" s="143"/>
      <c r="H10" s="281">
        <v>5</v>
      </c>
      <c r="I10" s="143"/>
      <c r="K10" s="281">
        <v>5</v>
      </c>
      <c r="L10" s="318">
        <v>46129</v>
      </c>
      <c r="M10" s="82" t="s">
        <v>174</v>
      </c>
      <c r="O10" s="281">
        <v>5</v>
      </c>
      <c r="P10" s="262"/>
    </row>
    <row r="11" spans="2:16" x14ac:dyDescent="0.25">
      <c r="B11" s="281">
        <v>6</v>
      </c>
      <c r="C11" s="143"/>
      <c r="E11" s="281">
        <v>6</v>
      </c>
      <c r="F11" s="82"/>
      <c r="H11" s="281">
        <v>6</v>
      </c>
      <c r="I11" s="143"/>
      <c r="K11" s="281">
        <v>6</v>
      </c>
      <c r="L11" s="9">
        <v>46154</v>
      </c>
      <c r="M11" s="82" t="s">
        <v>560</v>
      </c>
      <c r="O11" s="281">
        <v>6</v>
      </c>
      <c r="P11" s="262"/>
    </row>
    <row r="12" spans="2:16" x14ac:dyDescent="0.25">
      <c r="B12" s="281">
        <v>7</v>
      </c>
      <c r="C12" s="261"/>
      <c r="E12" s="281">
        <v>7</v>
      </c>
      <c r="F12" s="82"/>
      <c r="H12" s="281">
        <v>7</v>
      </c>
      <c r="I12" s="143"/>
      <c r="K12" s="281">
        <v>7</v>
      </c>
      <c r="L12" s="9">
        <v>46131</v>
      </c>
      <c r="M12" s="82" t="s">
        <v>578</v>
      </c>
      <c r="O12" s="281">
        <v>7</v>
      </c>
      <c r="P12" s="262"/>
    </row>
    <row r="13" spans="2:16" x14ac:dyDescent="0.25">
      <c r="B13" s="281">
        <v>8</v>
      </c>
      <c r="C13" s="82"/>
      <c r="E13" s="281">
        <v>8</v>
      </c>
      <c r="F13" s="262"/>
      <c r="H13" s="281">
        <v>8</v>
      </c>
      <c r="I13" s="143"/>
      <c r="K13" s="281">
        <v>8</v>
      </c>
      <c r="L13" s="273">
        <v>46160</v>
      </c>
      <c r="M13" s="262" t="s">
        <v>958</v>
      </c>
      <c r="O13" s="281">
        <v>8</v>
      </c>
      <c r="P13" s="262"/>
    </row>
    <row r="14" spans="2:16" x14ac:dyDescent="0.25">
      <c r="B14" s="281">
        <v>9</v>
      </c>
      <c r="C14" s="170"/>
      <c r="E14" s="281">
        <v>9</v>
      </c>
      <c r="F14" s="82"/>
      <c r="H14" s="281">
        <v>9</v>
      </c>
      <c r="I14" s="259"/>
      <c r="K14" s="281">
        <v>9</v>
      </c>
      <c r="L14" s="273">
        <v>46157</v>
      </c>
      <c r="M14" s="262" t="s">
        <v>965</v>
      </c>
      <c r="O14" s="281">
        <v>9</v>
      </c>
      <c r="P14" s="262"/>
    </row>
    <row r="15" spans="2:16" x14ac:dyDescent="0.25">
      <c r="B15" s="281">
        <v>10</v>
      </c>
      <c r="C15" s="82"/>
      <c r="E15" s="281">
        <v>10</v>
      </c>
      <c r="F15" s="277"/>
      <c r="H15" s="281">
        <v>10</v>
      </c>
      <c r="I15" s="259"/>
      <c r="K15" s="281">
        <v>10</v>
      </c>
      <c r="L15" s="9">
        <v>46153</v>
      </c>
      <c r="M15" s="262" t="s">
        <v>1002</v>
      </c>
      <c r="O15" s="281">
        <v>10</v>
      </c>
      <c r="P15" s="262"/>
    </row>
    <row r="16" spans="2:16" x14ac:dyDescent="0.25">
      <c r="B16" s="281">
        <v>11</v>
      </c>
      <c r="C16" s="82"/>
      <c r="E16" s="281">
        <v>11</v>
      </c>
      <c r="F16" s="277"/>
      <c r="H16" s="281">
        <v>11</v>
      </c>
      <c r="I16" s="143"/>
      <c r="K16" s="281">
        <v>11</v>
      </c>
      <c r="L16" s="9">
        <v>46151</v>
      </c>
      <c r="M16" s="262" t="s">
        <v>1005</v>
      </c>
      <c r="O16" s="281">
        <v>11</v>
      </c>
      <c r="P16" s="262"/>
    </row>
    <row r="17" spans="2:16" x14ac:dyDescent="0.25">
      <c r="B17" s="281">
        <v>12</v>
      </c>
      <c r="C17" s="82"/>
      <c r="E17" s="281">
        <v>12</v>
      </c>
      <c r="F17" s="143"/>
      <c r="H17" s="281">
        <v>12</v>
      </c>
      <c r="I17" s="143"/>
      <c r="K17" s="281">
        <v>12</v>
      </c>
      <c r="L17" s="9">
        <v>46183</v>
      </c>
      <c r="M17" s="262" t="s">
        <v>1017</v>
      </c>
      <c r="O17" s="281">
        <v>12</v>
      </c>
      <c r="P17" s="262"/>
    </row>
    <row r="18" spans="2:16" x14ac:dyDescent="0.25">
      <c r="B18" s="281">
        <v>13</v>
      </c>
      <c r="C18" s="262"/>
      <c r="E18" s="281">
        <v>13</v>
      </c>
      <c r="F18" s="261"/>
      <c r="H18" s="281">
        <v>13</v>
      </c>
      <c r="I18" s="126"/>
      <c r="K18" s="281">
        <v>13</v>
      </c>
      <c r="L18" s="9">
        <v>46171</v>
      </c>
      <c r="M18" s="262" t="s">
        <v>1295</v>
      </c>
      <c r="O18" s="281">
        <v>13</v>
      </c>
      <c r="P18" s="262"/>
    </row>
    <row r="19" spans="2:16" x14ac:dyDescent="0.25">
      <c r="B19" s="281">
        <v>14</v>
      </c>
      <c r="C19" s="82"/>
      <c r="E19" s="281">
        <v>14</v>
      </c>
      <c r="F19" s="82"/>
      <c r="H19" s="281">
        <v>14</v>
      </c>
      <c r="I19" s="170"/>
      <c r="K19" s="281">
        <v>14</v>
      </c>
      <c r="L19" s="9">
        <v>46173</v>
      </c>
      <c r="M19" s="262" t="s">
        <v>1298</v>
      </c>
      <c r="O19" s="281">
        <v>14</v>
      </c>
    </row>
    <row r="20" spans="2:16" x14ac:dyDescent="0.25">
      <c r="B20" s="281">
        <v>15</v>
      </c>
      <c r="C20" s="82"/>
      <c r="E20" s="281">
        <v>15</v>
      </c>
      <c r="F20" s="82"/>
      <c r="H20" s="281">
        <v>15</v>
      </c>
      <c r="I20" s="285"/>
      <c r="K20" s="281">
        <v>15</v>
      </c>
      <c r="L20" s="9">
        <v>46179</v>
      </c>
      <c r="M20" s="262" t="s">
        <v>1305</v>
      </c>
    </row>
    <row r="21" spans="2:16" x14ac:dyDescent="0.25">
      <c r="B21" s="281">
        <v>16</v>
      </c>
      <c r="C21" s="82"/>
      <c r="E21" s="281">
        <v>16</v>
      </c>
      <c r="F21" s="82"/>
      <c r="H21" s="281">
        <v>16</v>
      </c>
      <c r="I21" s="82"/>
      <c r="K21" s="281">
        <v>16</v>
      </c>
      <c r="L21" s="9">
        <v>46195</v>
      </c>
      <c r="M21" s="262" t="s">
        <v>1318</v>
      </c>
      <c r="P21" s="32" t="s">
        <v>188</v>
      </c>
    </row>
    <row r="22" spans="2:16" x14ac:dyDescent="0.25">
      <c r="B22" s="281">
        <v>17</v>
      </c>
      <c r="C22" s="82"/>
      <c r="E22" s="281">
        <v>17</v>
      </c>
      <c r="F22" s="262"/>
      <c r="H22" s="281">
        <v>17</v>
      </c>
      <c r="I22" s="170"/>
      <c r="K22" s="281">
        <v>17</v>
      </c>
      <c r="L22" s="9">
        <v>46200</v>
      </c>
      <c r="M22" s="262" t="s">
        <v>1341</v>
      </c>
    </row>
    <row r="23" spans="2:16" ht="31.5" x14ac:dyDescent="0.25">
      <c r="B23" s="281">
        <v>18</v>
      </c>
      <c r="C23" s="82"/>
      <c r="E23" s="281">
        <v>18</v>
      </c>
      <c r="F23" s="262"/>
      <c r="H23" s="281">
        <v>18</v>
      </c>
      <c r="I23" s="82"/>
      <c r="K23" s="281">
        <v>18</v>
      </c>
      <c r="L23" s="9">
        <v>46200</v>
      </c>
      <c r="M23" s="262" t="s">
        <v>1336</v>
      </c>
    </row>
    <row r="24" spans="2:16" x14ac:dyDescent="0.25">
      <c r="B24" s="281">
        <v>19</v>
      </c>
      <c r="C24" s="170"/>
      <c r="E24" s="281">
        <v>19</v>
      </c>
      <c r="F24" s="262"/>
      <c r="H24" s="281">
        <v>19</v>
      </c>
      <c r="I24" s="82"/>
      <c r="K24" s="281">
        <v>19</v>
      </c>
      <c r="L24" s="9">
        <v>46197</v>
      </c>
      <c r="M24" s="262" t="s">
        <v>1332</v>
      </c>
    </row>
    <row r="25" spans="2:16" x14ac:dyDescent="0.25">
      <c r="B25" s="281">
        <v>20</v>
      </c>
      <c r="C25" s="284"/>
      <c r="E25" s="281">
        <v>20</v>
      </c>
      <c r="F25" s="262"/>
      <c r="H25" s="281">
        <v>20</v>
      </c>
      <c r="I25" s="170"/>
      <c r="K25" s="281">
        <v>20</v>
      </c>
    </row>
    <row r="26" spans="2:16" x14ac:dyDescent="0.25">
      <c r="B26" s="281">
        <v>21</v>
      </c>
      <c r="C26" s="262"/>
      <c r="H26" s="281">
        <v>21</v>
      </c>
      <c r="I26" s="82"/>
      <c r="K26" s="281">
        <v>21</v>
      </c>
    </row>
    <row r="27" spans="2:16" x14ac:dyDescent="0.25">
      <c r="B27" s="281">
        <v>22</v>
      </c>
      <c r="C27" s="262"/>
      <c r="H27" s="281">
        <v>22</v>
      </c>
      <c r="I27" s="82"/>
    </row>
    <row r="28" spans="2:16" x14ac:dyDescent="0.25">
      <c r="B28" s="281">
        <v>23</v>
      </c>
      <c r="C28" s="262"/>
      <c r="H28" s="281">
        <v>23</v>
      </c>
      <c r="I28" s="143"/>
    </row>
    <row r="29" spans="2:16" x14ac:dyDescent="0.25">
      <c r="B29" s="281">
        <v>24</v>
      </c>
      <c r="C29" s="262"/>
      <c r="H29" s="281">
        <v>24</v>
      </c>
      <c r="I29" s="82"/>
    </row>
    <row r="30" spans="2:16" x14ac:dyDescent="0.5">
      <c r="H30" s="281">
        <v>25</v>
      </c>
      <c r="I30" s="82"/>
    </row>
    <row r="31" spans="2:16" x14ac:dyDescent="0.5">
      <c r="H31" s="281">
        <v>26</v>
      </c>
      <c r="I31" s="82"/>
    </row>
    <row r="32" spans="2:16" x14ac:dyDescent="0.5">
      <c r="H32" s="281">
        <v>27</v>
      </c>
      <c r="I32" s="82"/>
    </row>
    <row r="33" spans="8:9" x14ac:dyDescent="0.5">
      <c r="H33" s="281">
        <v>28</v>
      </c>
      <c r="I33" s="82"/>
    </row>
    <row r="34" spans="8:9" x14ac:dyDescent="0.5">
      <c r="H34" s="281">
        <v>29</v>
      </c>
      <c r="I34" s="82"/>
    </row>
    <row r="35" spans="8:9" x14ac:dyDescent="0.5">
      <c r="H35" s="281">
        <v>30</v>
      </c>
      <c r="I35" s="82"/>
    </row>
    <row r="36" spans="8:9" x14ac:dyDescent="0.5">
      <c r="H36" s="281">
        <v>31</v>
      </c>
      <c r="I36" s="82"/>
    </row>
    <row r="37" spans="8:9" x14ac:dyDescent="0.5">
      <c r="H37" s="281">
        <v>32</v>
      </c>
      <c r="I37" s="262"/>
    </row>
    <row r="38" spans="8:9" x14ac:dyDescent="0.5">
      <c r="H38" s="281">
        <v>33</v>
      </c>
      <c r="I38" s="262"/>
    </row>
    <row r="39" spans="8:9" x14ac:dyDescent="0.5">
      <c r="H39" s="281">
        <v>34</v>
      </c>
      <c r="I39" s="262"/>
    </row>
    <row r="40" spans="8:9" x14ac:dyDescent="0.5">
      <c r="H40" s="281">
        <v>35</v>
      </c>
      <c r="I40" s="262"/>
    </row>
    <row r="41" spans="8:9" x14ac:dyDescent="0.5">
      <c r="H41" s="281">
        <v>36</v>
      </c>
      <c r="I41" s="262"/>
    </row>
    <row r="42" spans="8:9" x14ac:dyDescent="0.5">
      <c r="H42" s="281">
        <v>37</v>
      </c>
      <c r="I42" s="262"/>
    </row>
    <row r="43" spans="8:9" x14ac:dyDescent="0.5">
      <c r="H43" s="281">
        <v>38</v>
      </c>
      <c r="I43" s="262"/>
    </row>
    <row r="44" spans="8:9" x14ac:dyDescent="0.5">
      <c r="H44" s="281">
        <v>39</v>
      </c>
      <c r="I44" s="262"/>
    </row>
    <row r="45" spans="8:9" x14ac:dyDescent="0.5">
      <c r="H45" s="281">
        <v>40</v>
      </c>
      <c r="I45" s="262"/>
    </row>
    <row r="46" spans="8:9" x14ac:dyDescent="0.5">
      <c r="H46" s="281">
        <v>41</v>
      </c>
      <c r="I46" s="262"/>
    </row>
    <row r="47" spans="8:9" x14ac:dyDescent="0.5">
      <c r="H47" s="281">
        <v>42</v>
      </c>
      <c r="I47" s="262"/>
    </row>
    <row r="48" spans="8:9" x14ac:dyDescent="0.5">
      <c r="H48" s="281">
        <v>43</v>
      </c>
      <c r="I48" s="262"/>
    </row>
  </sheetData>
  <conditionalFormatting sqref="C6:C9">
    <cfRule type="timePeriod" dxfId="56" priority="102" timePeriod="nextWeek">
      <formula>AND(ROUNDDOWN(C6,0)-TODAY()&gt;(7-WEEKDAY(TODAY())),ROUNDDOWN(C6,0)-TODAY()&lt;(15-WEEKDAY(TODAY())))</formula>
    </cfRule>
    <cfRule type="timePeriod" priority="103" timePeriod="nextWeek">
      <formula>AND(ROUNDDOWN(C6,0)-TODAY()&gt;(7-WEEKDAY(TODAY())),ROUNDDOWN(C6,0)-TODAY()&lt;(15-WEEKDAY(TODAY())))</formula>
    </cfRule>
    <cfRule type="timePeriod" dxfId="55" priority="104" timePeriod="lastMonth">
      <formula>AND(MONTH(C6)=MONTH(EDATE(TODAY(),0-1)),YEAR(C6)=YEAR(EDATE(TODAY(),0-1)))</formula>
    </cfRule>
    <cfRule type="timePeriod" dxfId="54" priority="105" timePeriod="last7Days">
      <formula>AND(TODAY()-FLOOR(C6,1)&lt;=6,FLOOR(C6,1)&lt;=TODAY())</formula>
    </cfRule>
    <cfRule type="timePeriod" dxfId="53" priority="106" timePeriod="thisWeek">
      <formula>AND(TODAY()-ROUNDDOWN(C6,0)&lt;=WEEKDAY(TODAY())-1,ROUNDDOWN(C6,0)-TODAY()&lt;=7-WEEKDAY(TODAY()))</formula>
    </cfRule>
  </conditionalFormatting>
  <conditionalFormatting sqref="C11">
    <cfRule type="timePeriod" dxfId="52" priority="97" timePeriod="nextWeek">
      <formula>AND(ROUNDDOWN(C11,0)-TODAY()&gt;(7-WEEKDAY(TODAY())),ROUNDDOWN(C11,0)-TODAY()&lt;(15-WEEKDAY(TODAY())))</formula>
    </cfRule>
    <cfRule type="timePeriod" dxfId="51" priority="98" timePeriod="lastMonth">
      <formula>AND(MONTH(C11)=MONTH(EDATE(TODAY(),0-1)),YEAR(C11)=YEAR(EDATE(TODAY(),0-1)))</formula>
    </cfRule>
    <cfRule type="timePeriod" dxfId="50" priority="99" timePeriod="last7Days">
      <formula>AND(TODAY()-FLOOR(C11,1)&lt;=6,FLOOR(C11,1)&lt;=TODAY())</formula>
    </cfRule>
    <cfRule type="timePeriod" dxfId="49" priority="100" timePeriod="thisWeek">
      <formula>AND(TODAY()-ROUNDDOWN(C11,0)&lt;=WEEKDAY(TODAY())-1,ROUNDDOWN(C11,0)-TODAY()&lt;=7-WEEKDAY(TODAY()))</formula>
    </cfRule>
    <cfRule type="timePeriod" priority="101" timePeriod="nextWeek">
      <formula>AND(ROUNDDOWN(C11,0)-TODAY()&gt;(7-WEEKDAY(TODAY())),ROUNDDOWN(C11,0)-TODAY()&lt;(15-WEEKDAY(TODAY())))</formula>
    </cfRule>
  </conditionalFormatting>
  <conditionalFormatting sqref="C13:C18">
    <cfRule type="timePeriod" dxfId="48" priority="92" timePeriod="nextWeek">
      <formula>AND(ROUNDDOWN(C13,0)-TODAY()&gt;(7-WEEKDAY(TODAY())),ROUNDDOWN(C13,0)-TODAY()&lt;(15-WEEKDAY(TODAY())))</formula>
    </cfRule>
    <cfRule type="timePeriod" priority="93" timePeriod="nextWeek">
      <formula>AND(ROUNDDOWN(C13,0)-TODAY()&gt;(7-WEEKDAY(TODAY())),ROUNDDOWN(C13,0)-TODAY()&lt;(15-WEEKDAY(TODAY())))</formula>
    </cfRule>
    <cfRule type="timePeriod" dxfId="47" priority="94" timePeriod="lastMonth">
      <formula>AND(MONTH(C13)=MONTH(EDATE(TODAY(),0-1)),YEAR(C13)=YEAR(EDATE(TODAY(),0-1)))</formula>
    </cfRule>
    <cfRule type="timePeriod" dxfId="46" priority="95" timePeriod="last7Days">
      <formula>AND(TODAY()-FLOOR(C13,1)&lt;=6,FLOOR(C13,1)&lt;=TODAY())</formula>
    </cfRule>
    <cfRule type="timePeriod" dxfId="45" priority="96" timePeriod="thisWeek">
      <formula>AND(TODAY()-ROUNDDOWN(C13,0)&lt;=WEEKDAY(TODAY())-1,ROUNDDOWN(C13,0)-TODAY()&lt;=7-WEEKDAY(TODAY()))</formula>
    </cfRule>
  </conditionalFormatting>
  <conditionalFormatting sqref="F6:F10">
    <cfRule type="timePeriod" dxfId="44" priority="77" timePeriod="nextWeek">
      <formula>AND(ROUNDDOWN(F6,0)-TODAY()&gt;(7-WEEKDAY(TODAY())),ROUNDDOWN(F6,0)-TODAY()&lt;(15-WEEKDAY(TODAY())))</formula>
    </cfRule>
    <cfRule type="timePeriod" priority="78" timePeriod="nextWeek">
      <formula>AND(ROUNDDOWN(F6,0)-TODAY()&gt;(7-WEEKDAY(TODAY())),ROUNDDOWN(F6,0)-TODAY()&lt;(15-WEEKDAY(TODAY())))</formula>
    </cfRule>
    <cfRule type="timePeriod" dxfId="43" priority="79" timePeriod="lastMonth">
      <formula>AND(MONTH(F6)=MONTH(EDATE(TODAY(),0-1)),YEAR(F6)=YEAR(EDATE(TODAY(),0-1)))</formula>
    </cfRule>
    <cfRule type="timePeriod" dxfId="42" priority="80" timePeriod="last7Days">
      <formula>AND(TODAY()-FLOOR(F6,1)&lt;=6,FLOOR(F6,1)&lt;=TODAY())</formula>
    </cfRule>
    <cfRule type="timePeriod" dxfId="41" priority="81" timePeriod="thisWeek">
      <formula>AND(TODAY()-ROUNDDOWN(F6,0)&lt;=WEEKDAY(TODAY())-1,ROUNDDOWN(F6,0)-TODAY()&lt;=7-WEEKDAY(TODAY()))</formula>
    </cfRule>
  </conditionalFormatting>
  <conditionalFormatting sqref="F12:F16">
    <cfRule type="timePeriod" dxfId="40" priority="72" timePeriod="nextWeek">
      <formula>AND(ROUNDDOWN(F12,0)-TODAY()&gt;(7-WEEKDAY(TODAY())),ROUNDDOWN(F12,0)-TODAY()&lt;(15-WEEKDAY(TODAY())))</formula>
    </cfRule>
    <cfRule type="timePeriod" priority="73" timePeriod="nextWeek">
      <formula>AND(ROUNDDOWN(F12,0)-TODAY()&gt;(7-WEEKDAY(TODAY())),ROUNDDOWN(F12,0)-TODAY()&lt;(15-WEEKDAY(TODAY())))</formula>
    </cfRule>
    <cfRule type="timePeriod" dxfId="39" priority="74" timePeriod="lastMonth">
      <formula>AND(MONTH(F12)=MONTH(EDATE(TODAY(),0-1)),YEAR(F12)=YEAR(EDATE(TODAY(),0-1)))</formula>
    </cfRule>
    <cfRule type="timePeriod" dxfId="38" priority="75" timePeriod="last7Days">
      <formula>AND(TODAY()-FLOOR(F12,1)&lt;=6,FLOOR(F12,1)&lt;=TODAY())</formula>
    </cfRule>
    <cfRule type="timePeriod" dxfId="37" priority="76" timePeriod="thisWeek">
      <formula>AND(TODAY()-ROUNDDOWN(F12,0)&lt;=WEEKDAY(TODAY())-1,ROUNDDOWN(F12,0)-TODAY()&lt;=7-WEEKDAY(TODAY()))</formula>
    </cfRule>
  </conditionalFormatting>
  <conditionalFormatting sqref="I6:I9 I11 I13 I21">
    <cfRule type="timePeriod" dxfId="36" priority="67" timePeriod="nextWeek">
      <formula>AND(ROUNDDOWN(I6,0)-TODAY()&gt;(7-WEEKDAY(TODAY())),ROUNDDOWN(I6,0)-TODAY()&lt;(15-WEEKDAY(TODAY())))</formula>
    </cfRule>
    <cfRule type="timePeriod" priority="68" timePeriod="nextWeek">
      <formula>AND(ROUNDDOWN(I6,0)-TODAY()&gt;(7-WEEKDAY(TODAY())),ROUNDDOWN(I6,0)-TODAY()&lt;(15-WEEKDAY(TODAY())))</formula>
    </cfRule>
    <cfRule type="timePeriod" dxfId="35" priority="69" timePeriod="lastMonth">
      <formula>AND(MONTH(I6)=MONTH(EDATE(TODAY(),0-1)),YEAR(I6)=YEAR(EDATE(TODAY(),0-1)))</formula>
    </cfRule>
    <cfRule type="timePeriod" dxfId="34" priority="70" timePeriod="last7Days">
      <formula>AND(TODAY()-FLOOR(I6,1)&lt;=6,FLOOR(I6,1)&lt;=TODAY())</formula>
    </cfRule>
    <cfRule type="timePeriod" dxfId="33" priority="71" timePeriod="thisWeek">
      <formula>AND(TODAY()-ROUNDDOWN(I6,0)&lt;=WEEKDAY(TODAY())-1,ROUNDDOWN(I6,0)-TODAY()&lt;=7-WEEKDAY(TODAY()))</formula>
    </cfRule>
  </conditionalFormatting>
  <conditionalFormatting sqref="I23:I27">
    <cfRule type="timePeriod" dxfId="32" priority="62" timePeriod="nextWeek">
      <formula>AND(ROUNDDOWN(I23,0)-TODAY()&gt;(7-WEEKDAY(TODAY())),ROUNDDOWN(I23,0)-TODAY()&lt;(15-WEEKDAY(TODAY())))</formula>
    </cfRule>
    <cfRule type="timePeriod" priority="63" timePeriod="nextWeek">
      <formula>AND(ROUNDDOWN(I23,0)-TODAY()&gt;(7-WEEKDAY(TODAY())),ROUNDDOWN(I23,0)-TODAY()&lt;(15-WEEKDAY(TODAY())))</formula>
    </cfRule>
    <cfRule type="timePeriod" dxfId="31" priority="64" timePeriod="lastMonth">
      <formula>AND(MONTH(I23)=MONTH(EDATE(TODAY(),0-1)),YEAR(I23)=YEAR(EDATE(TODAY(),0-1)))</formula>
    </cfRule>
    <cfRule type="timePeriod" dxfId="30" priority="65" timePeriod="last7Days">
      <formula>AND(TODAY()-FLOOR(I23,1)&lt;=6,FLOOR(I23,1)&lt;=TODAY())</formula>
    </cfRule>
    <cfRule type="timePeriod" dxfId="29" priority="66" timePeriod="thisWeek">
      <formula>AND(TODAY()-ROUNDDOWN(I23,0)&lt;=WEEKDAY(TODAY())-1,ROUNDDOWN(I23,0)-TODAY()&lt;=7-WEEKDAY(TODAY()))</formula>
    </cfRule>
  </conditionalFormatting>
  <conditionalFormatting sqref="P6:P7">
    <cfRule type="timePeriod" dxfId="28" priority="52" timePeriod="nextWeek">
      <formula>AND(ROUNDDOWN(P6,0)-TODAY()&gt;(7-WEEKDAY(TODAY())),ROUNDDOWN(P6,0)-TODAY()&lt;(15-WEEKDAY(TODAY())))</formula>
    </cfRule>
    <cfRule type="timePeriod" priority="53" timePeriod="nextWeek">
      <formula>AND(ROUNDDOWN(P6,0)-TODAY()&gt;(7-WEEKDAY(TODAY())),ROUNDDOWN(P6,0)-TODAY()&lt;(15-WEEKDAY(TODAY())))</formula>
    </cfRule>
    <cfRule type="timePeriod" dxfId="27" priority="54" timePeriod="lastMonth">
      <formula>AND(MONTH(P6)=MONTH(EDATE(TODAY(),0-1)),YEAR(P6)=YEAR(EDATE(TODAY(),0-1)))</formula>
    </cfRule>
    <cfRule type="timePeriod" dxfId="26" priority="55" timePeriod="last7Days">
      <formula>AND(TODAY()-FLOOR(P6,1)&lt;=6,FLOOR(P6,1)&lt;=TODAY())</formula>
    </cfRule>
    <cfRule type="timePeriod" dxfId="25" priority="56" timePeriod="thisWeek">
      <formula>AND(TODAY()-ROUNDDOWN(P6,0)&lt;=WEEKDAY(TODAY())-1,ROUNDDOWN(P6,0)-TODAY()&lt;=7-WEEKDAY(TODAY()))</formula>
    </cfRule>
  </conditionalFormatting>
  <conditionalFormatting sqref="L6:L24">
    <cfRule type="timePeriod" dxfId="24" priority="32" timePeriod="nextWeek">
      <formula>AND(ROUNDDOWN(L6,0)-TODAY()&gt;(7-WEEKDAY(TODAY())),ROUNDDOWN(L6,0)-TODAY()&lt;(15-WEEKDAY(TODAY())))</formula>
    </cfRule>
  </conditionalFormatting>
  <conditionalFormatting sqref="L6:L17">
    <cfRule type="timePeriod" dxfId="23" priority="36" timePeriod="thisWeek">
      <formula>AND(TODAY()-ROUNDDOWN(L6,0)&lt;=WEEKDAY(TODAY())-1,ROUNDDOWN(L6,0)-TODAY()&lt;=7-WEEKDAY(TODAY()))</formula>
    </cfRule>
  </conditionalFormatting>
  <conditionalFormatting sqref="L6:L24">
    <cfRule type="timePeriod" dxfId="22" priority="35" timePeriod="last7Days">
      <formula>AND(TODAY()-FLOOR(L6,1)&lt;=6,FLOOR(L6,1)&lt;=TODAY())</formula>
    </cfRule>
  </conditionalFormatting>
  <conditionalFormatting sqref="L6:L10 L13:L24">
    <cfRule type="timePeriod" priority="33" timePeriod="nextWeek">
      <formula>AND(ROUNDDOWN(L6,0)-TODAY()&gt;(7-WEEKDAY(TODAY())),ROUNDDOWN(L6,0)-TODAY()&lt;(15-WEEKDAY(TODAY())))</formula>
    </cfRule>
  </conditionalFormatting>
  <conditionalFormatting sqref="L6:L14 L18:L24">
    <cfRule type="timePeriod" dxfId="21" priority="34" timePeriod="lastMonth">
      <formula>AND(MONTH(L6)=MONTH(EDATE(TODAY(),0-1)),YEAR(L6)=YEAR(EDATE(TODAY(),0-1)))</formula>
    </cfRule>
  </conditionalFormatting>
  <conditionalFormatting sqref="L6:L8">
    <cfRule type="timePeriod" dxfId="20" priority="107" timePeriod="last7Days">
      <formula>AND(TODAY()-FLOOR(L6,1)&lt;=6,FLOOR(L6,1)&lt;=TODAY())</formula>
    </cfRule>
  </conditionalFormatting>
  <conditionalFormatting sqref="L17">
    <cfRule type="timePeriod" dxfId="19" priority="108" timePeriod="thisWeek">
      <formula>AND(TODAY()-ROUNDDOWN(L17,0)&lt;=WEEKDAY(TODAY())-1,ROUNDDOWN(L17,0)-TODAY()&lt;=7-WEEKDAY(TODAY()))</formula>
    </cfRule>
  </conditionalFormatting>
  <conditionalFormatting sqref="L17">
    <cfRule type="timePeriod" dxfId="18" priority="31" timePeriod="lastMonth">
      <formula>AND(MONTH(L17)=MONTH(EDATE(TODAY(),0-1)),YEAR(L17)=YEAR(EDATE(TODAY(),0-1)))</formula>
    </cfRule>
  </conditionalFormatting>
  <conditionalFormatting sqref="L6:L24">
    <cfRule type="cellIs" dxfId="17" priority="109" operator="lessThan">
      <formula>15</formula>
    </cfRule>
  </conditionalFormatting>
  <conditionalFormatting sqref="L11:L12">
    <cfRule type="timePeriod" priority="29" timePeriod="nextWeek">
      <formula>AND(ROUNDDOWN(L11,0)-TODAY()&gt;(7-WEEKDAY(TODAY())),ROUNDDOWN(L11,0)-TODAY()&lt;(15-WEEKDAY(TODAY())))</formula>
    </cfRule>
  </conditionalFormatting>
  <conditionalFormatting sqref="L15:L24">
    <cfRule type="timePeriod" dxfId="16" priority="20" timePeriod="nextWeek">
      <formula>AND(ROUNDDOWN(L15,0)-TODAY()&gt;(7-WEEKDAY(TODAY())),ROUNDDOWN(L15,0)-TODAY()&lt;(15-WEEKDAY(TODAY())))</formula>
    </cfRule>
    <cfRule type="timePeriod" dxfId="15" priority="21" timePeriod="last7Days">
      <formula>AND(TODAY()-FLOOR(L15,1)&lt;=6,FLOOR(L15,1)&lt;=TODAY())</formula>
    </cfRule>
    <cfRule type="timePeriod" dxfId="14" priority="22" timePeriod="thisWeek">
      <formula>AND(TODAY()-ROUNDDOWN(L15,0)&lt;=WEEKDAY(TODAY())-1,ROUNDDOWN(L15,0)-TODAY()&lt;=7-WEEKDAY(TODAY()))</formula>
    </cfRule>
  </conditionalFormatting>
  <conditionalFormatting sqref="L15:L16">
    <cfRule type="timePeriod" dxfId="13" priority="19" timePeriod="lastMonth">
      <formula>AND(MONTH(L15)=MONTH(EDATE(TODAY(),0-1)),YEAR(L15)=YEAR(EDATE(TODAY(),0-1)))</formula>
    </cfRule>
  </conditionalFormatting>
  <conditionalFormatting sqref="L18:L24">
    <cfRule type="timePeriod" dxfId="12" priority="16" timePeriod="thisWeek">
      <formula>AND(TODAY()-ROUNDDOWN(L18,0)&lt;=WEEKDAY(TODAY())-1,ROUNDDOWN(L18,0)-TODAY()&lt;=7-WEEKDAY(TODAY()))</formula>
    </cfRule>
  </conditionalFormatting>
  <conditionalFormatting sqref="M6">
    <cfRule type="timePeriod" dxfId="11" priority="11" timePeriod="nextWeek">
      <formula>AND(ROUNDDOWN(M6,0)-TODAY()&gt;(7-WEEKDAY(TODAY())),ROUNDDOWN(M6,0)-TODAY()&lt;(15-WEEKDAY(TODAY())))</formula>
    </cfRule>
  </conditionalFormatting>
  <conditionalFormatting sqref="M6">
    <cfRule type="timePeriod" dxfId="10" priority="15" timePeriod="thisWeek">
      <formula>AND(TODAY()-ROUNDDOWN(M6,0)&lt;=WEEKDAY(TODAY())-1,ROUNDDOWN(M6,0)-TODAY()&lt;=7-WEEKDAY(TODAY()))</formula>
    </cfRule>
  </conditionalFormatting>
  <conditionalFormatting sqref="M6">
    <cfRule type="timePeriod" dxfId="9" priority="14" timePeriod="last7Days">
      <formula>AND(TODAY()-FLOOR(M6,1)&lt;=6,FLOOR(M6,1)&lt;=TODAY())</formula>
    </cfRule>
  </conditionalFormatting>
  <conditionalFormatting sqref="M6">
    <cfRule type="timePeriod" priority="12" timePeriod="nextWeek">
      <formula>AND(ROUNDDOWN(M6,0)-TODAY()&gt;(7-WEEKDAY(TODAY())),ROUNDDOWN(M6,0)-TODAY()&lt;(15-WEEKDAY(TODAY())))</formula>
    </cfRule>
  </conditionalFormatting>
  <conditionalFormatting sqref="M6">
    <cfRule type="timePeriod" dxfId="8" priority="13" timePeriod="lastMonth">
      <formula>AND(MONTH(M6)=MONTH(EDATE(TODAY(),0-1)),YEAR(M6)=YEAR(EDATE(TODAY(),0-1)))</formula>
    </cfRule>
  </conditionalFormatting>
  <conditionalFormatting sqref="M7">
    <cfRule type="timePeriod" dxfId="7" priority="6" timePeriod="nextWeek">
      <formula>AND(ROUNDDOWN(M7,0)-TODAY()&gt;(7-WEEKDAY(TODAY())),ROUNDDOWN(M7,0)-TODAY()&lt;(15-WEEKDAY(TODAY())))</formula>
    </cfRule>
    <cfRule type="timePeriod" priority="7" timePeriod="nextWeek">
      <formula>AND(ROUNDDOWN(M7,0)-TODAY()&gt;(7-WEEKDAY(TODAY())),ROUNDDOWN(M7,0)-TODAY()&lt;(15-WEEKDAY(TODAY())))</formula>
    </cfRule>
    <cfRule type="timePeriod" dxfId="6" priority="8" timePeriod="lastMonth">
      <formula>AND(MONTH(M7)=MONTH(EDATE(TODAY(),0-1)),YEAR(M7)=YEAR(EDATE(TODAY(),0-1)))</formula>
    </cfRule>
    <cfRule type="timePeriod" dxfId="5" priority="9" timePeriod="last7Days">
      <formula>AND(TODAY()-FLOOR(M7,1)&lt;=6,FLOOR(M7,1)&lt;=TODAY())</formula>
    </cfRule>
    <cfRule type="timePeriod" dxfId="4" priority="10" timePeriod="thisWeek">
      <formula>AND(TODAY()-ROUNDDOWN(M7,0)&lt;=WEEKDAY(TODAY())-1,ROUNDDOWN(M7,0)-TODAY()&lt;=7-WEEKDAY(TODAY()))</formula>
    </cfRule>
  </conditionalFormatting>
  <conditionalFormatting sqref="M11:M12">
    <cfRule type="timePeriod" priority="2" timePeriod="nextWeek">
      <formula>AND(ROUNDDOWN(M11,0)-TODAY()&gt;(7-WEEKDAY(TODAY())),ROUNDDOWN(M11,0)-TODAY()&lt;(15-WEEKDAY(TODAY())))</formula>
    </cfRule>
  </conditionalFormatting>
  <conditionalFormatting sqref="M11:M12">
    <cfRule type="timePeriod" dxfId="3" priority="4" timePeriod="last7Days">
      <formula>AND(TODAY()-FLOOR(M11,1)&lt;=6,FLOOR(M11,1)&lt;=TODAY())</formula>
    </cfRule>
  </conditionalFormatting>
  <conditionalFormatting sqref="M11:M12">
    <cfRule type="timePeriod" dxfId="2" priority="1" timePeriod="nextWeek">
      <formula>AND(ROUNDDOWN(M11,0)-TODAY()&gt;(7-WEEKDAY(TODAY())),ROUNDDOWN(M11,0)-TODAY()&lt;(15-WEEKDAY(TODAY())))</formula>
    </cfRule>
    <cfRule type="timePeriod" dxfId="1" priority="3" timePeriod="lastMonth">
      <formula>AND(MONTH(M11)=MONTH(EDATE(TODAY(),0-1)),YEAR(M11)=YEAR(EDATE(TODAY(),0-1)))</formula>
    </cfRule>
  </conditionalFormatting>
  <conditionalFormatting sqref="M11:M12">
    <cfRule type="timePeriod" dxfId="0" priority="5" timePeriod="thisWeek">
      <formula>AND(TODAY()-ROUNDDOWN(M11,0)&lt;=WEEKDAY(TODAY())-1,ROUNDDOWN(M11,0)-TODAY()&lt;=7-WEEKDAY(TODAY()))</formula>
    </cfRule>
  </conditionalFormatting>
  <pageMargins left="0.7" right="0.7" top="0.75" bottom="0.75" header="0.3" footer="0.3"/>
  <pageSetup paperSize="11"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Expat(Madihaa)</vt:lpstr>
      <vt:lpstr>Expat(Batuta)</vt:lpstr>
      <vt:lpstr>Expat(Madigrand)</vt:lpstr>
      <vt:lpstr>Left Staffs</vt:lpstr>
      <vt:lpstr>All Xpat Details (Deposit)</vt:lpstr>
      <vt:lpstr>Sheet1</vt:lpstr>
      <vt:lpstr>Medical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Shuaau</dc:creator>
  <cp:lastModifiedBy>Madihaa Company</cp:lastModifiedBy>
  <cp:lastPrinted>2026-05-09T07:24:44Z</cp:lastPrinted>
  <dcterms:created xsi:type="dcterms:W3CDTF">2019-06-15T05:06:25Z</dcterms:created>
  <dcterms:modified xsi:type="dcterms:W3CDTF">2026-10-21T17:54:30Z</dcterms:modified>
</cp:coreProperties>
</file>