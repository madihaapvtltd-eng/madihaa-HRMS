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May\"/>
    </mc:Choice>
  </mc:AlternateContent>
  <xr:revisionPtr revIDLastSave="0" documentId="13_ncr:1_{73CBB4D0-D781-4242-9CEE-B5ED59E31ACD}" xr6:coauthVersionLast="47" xr6:coauthVersionMax="47" xr10:uidLastSave="{00000000-0000-0000-0000-000000000000}"/>
  <bookViews>
    <workbookView xWindow="-120" yWindow="-120" windowWidth="29040" windowHeight="15840" tabRatio="613" xr2:uid="{7F99DDCD-0360-437A-A9FB-3353D48E4EF4}"/>
  </bookViews>
  <sheets>
    <sheet name="MASTER" sheetId="1" r:id="rId1"/>
  </sheets>
  <definedNames>
    <definedName name="_xlnm.Print_Area" localSheetId="0">MASTER!$A$1:$CE$37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T27" i="1" l="1"/>
  <c r="BU27" i="1"/>
  <c r="BV27" i="1"/>
  <c r="BW27" i="1"/>
  <c r="BX27" i="1"/>
  <c r="BY27" i="1"/>
  <c r="BZ27" i="1"/>
  <c r="CA27" i="1"/>
  <c r="CB27" i="1"/>
  <c r="CC27" i="1"/>
  <c r="CD27" i="1"/>
  <c r="BT28" i="1"/>
  <c r="BU28" i="1"/>
  <c r="BV28" i="1"/>
  <c r="BW28" i="1"/>
  <c r="BX28" i="1"/>
  <c r="BY28" i="1"/>
  <c r="BZ28" i="1"/>
  <c r="CA28" i="1"/>
  <c r="CB28" i="1"/>
  <c r="CC28" i="1"/>
  <c r="CD28" i="1"/>
  <c r="BT11" i="1"/>
  <c r="BU11" i="1"/>
  <c r="BV11" i="1"/>
  <c r="BW11" i="1"/>
  <c r="BX11" i="1"/>
  <c r="BY11" i="1"/>
  <c r="BZ11" i="1"/>
  <c r="CA11" i="1"/>
  <c r="CB11" i="1"/>
  <c r="CC11" i="1"/>
  <c r="CD11" i="1"/>
  <c r="BT12" i="1"/>
  <c r="BU12" i="1"/>
  <c r="BV12" i="1"/>
  <c r="BW12" i="1"/>
  <c r="BX12" i="1"/>
  <c r="BY12" i="1"/>
  <c r="BZ12" i="1"/>
  <c r="CA12" i="1"/>
  <c r="CB12" i="1"/>
  <c r="CC12" i="1"/>
  <c r="CD12" i="1"/>
  <c r="BS7" i="1"/>
  <c r="BS27" i="1"/>
  <c r="BS28" i="1"/>
  <c r="BS6" i="1"/>
  <c r="BS8" i="1"/>
  <c r="BS9" i="1"/>
  <c r="BS10" i="1"/>
  <c r="BS11" i="1"/>
  <c r="BS12" i="1"/>
  <c r="BS13" i="1"/>
  <c r="BS14" i="1"/>
  <c r="BS15" i="1"/>
  <c r="BS16" i="1"/>
  <c r="BS17" i="1"/>
  <c r="BQ17" i="1" s="1"/>
  <c r="BS18" i="1"/>
  <c r="BS19" i="1"/>
  <c r="BS20" i="1"/>
  <c r="BS21" i="1"/>
  <c r="BS22" i="1"/>
  <c r="BS23" i="1"/>
  <c r="BS24" i="1"/>
  <c r="BS25" i="1"/>
  <c r="BS26" i="1"/>
  <c r="BT13" i="1"/>
  <c r="BU13" i="1"/>
  <c r="BV13" i="1"/>
  <c r="BW13" i="1"/>
  <c r="BX13" i="1"/>
  <c r="BY13" i="1"/>
  <c r="BZ13" i="1"/>
  <c r="CA13" i="1"/>
  <c r="CB13" i="1"/>
  <c r="CC13" i="1"/>
  <c r="CD13" i="1"/>
  <c r="BT14" i="1"/>
  <c r="BU14" i="1"/>
  <c r="BV14" i="1"/>
  <c r="BW14" i="1"/>
  <c r="BX14" i="1"/>
  <c r="BY14" i="1"/>
  <c r="BZ14" i="1"/>
  <c r="CA14" i="1"/>
  <c r="CB14" i="1"/>
  <c r="CC14" i="1"/>
  <c r="CD14" i="1"/>
  <c r="BT15" i="1"/>
  <c r="BU15" i="1"/>
  <c r="BV15" i="1"/>
  <c r="BW15" i="1"/>
  <c r="BX15" i="1"/>
  <c r="BY15" i="1"/>
  <c r="BZ15" i="1"/>
  <c r="CA15" i="1"/>
  <c r="CB15" i="1"/>
  <c r="CC15" i="1"/>
  <c r="CD15" i="1"/>
  <c r="BT16" i="1"/>
  <c r="BU16" i="1"/>
  <c r="BV16" i="1"/>
  <c r="BW16" i="1"/>
  <c r="BX16" i="1"/>
  <c r="BY16" i="1"/>
  <c r="BZ16" i="1"/>
  <c r="CA16" i="1"/>
  <c r="CB16" i="1"/>
  <c r="CC16" i="1"/>
  <c r="CD16" i="1"/>
  <c r="BT17" i="1"/>
  <c r="BU17" i="1"/>
  <c r="BV17" i="1"/>
  <c r="BW17" i="1"/>
  <c r="BX17" i="1"/>
  <c r="BY17" i="1"/>
  <c r="BZ17" i="1"/>
  <c r="CA17" i="1"/>
  <c r="CB17" i="1"/>
  <c r="CC17" i="1"/>
  <c r="CD17" i="1"/>
  <c r="BT18" i="1"/>
  <c r="BU18" i="1"/>
  <c r="BV18" i="1"/>
  <c r="BW18" i="1"/>
  <c r="BX18" i="1"/>
  <c r="BY18" i="1"/>
  <c r="BZ18" i="1"/>
  <c r="CA18" i="1"/>
  <c r="CB18" i="1"/>
  <c r="CC18" i="1"/>
  <c r="CD18" i="1"/>
  <c r="BT19" i="1"/>
  <c r="BU19" i="1"/>
  <c r="BV19" i="1"/>
  <c r="BW19" i="1"/>
  <c r="BX19" i="1"/>
  <c r="BY19" i="1"/>
  <c r="BZ19" i="1"/>
  <c r="CA19" i="1"/>
  <c r="CB19" i="1"/>
  <c r="CC19" i="1"/>
  <c r="CD19" i="1"/>
  <c r="BT20" i="1"/>
  <c r="BU20" i="1"/>
  <c r="BV20" i="1"/>
  <c r="BW20" i="1"/>
  <c r="BX20" i="1"/>
  <c r="BY20" i="1"/>
  <c r="BZ20" i="1"/>
  <c r="CA20" i="1"/>
  <c r="CB20" i="1"/>
  <c r="CC20" i="1"/>
  <c r="CD20" i="1"/>
  <c r="BT21" i="1"/>
  <c r="BU21" i="1"/>
  <c r="BV21" i="1"/>
  <c r="BW21" i="1"/>
  <c r="BX21" i="1"/>
  <c r="BY21" i="1"/>
  <c r="BZ21" i="1"/>
  <c r="CA21" i="1"/>
  <c r="CB21" i="1"/>
  <c r="CC21" i="1"/>
  <c r="CD21" i="1"/>
  <c r="BT22" i="1"/>
  <c r="BU22" i="1"/>
  <c r="BV22" i="1"/>
  <c r="BW22" i="1"/>
  <c r="BX22" i="1"/>
  <c r="BY22" i="1"/>
  <c r="BZ22" i="1"/>
  <c r="CA22" i="1"/>
  <c r="CB22" i="1"/>
  <c r="CC22" i="1"/>
  <c r="CD22" i="1"/>
  <c r="BT23" i="1"/>
  <c r="BU23" i="1"/>
  <c r="BV23" i="1"/>
  <c r="BW23" i="1"/>
  <c r="BX23" i="1"/>
  <c r="BY23" i="1"/>
  <c r="BZ23" i="1"/>
  <c r="CA23" i="1"/>
  <c r="CB23" i="1"/>
  <c r="CC23" i="1"/>
  <c r="CD23" i="1"/>
  <c r="BT24" i="1"/>
  <c r="BU24" i="1"/>
  <c r="BV24" i="1"/>
  <c r="BW24" i="1"/>
  <c r="BX24" i="1"/>
  <c r="BY24" i="1"/>
  <c r="BZ24" i="1"/>
  <c r="CA24" i="1"/>
  <c r="CB24" i="1"/>
  <c r="CC24" i="1"/>
  <c r="CD24" i="1"/>
  <c r="BT25" i="1"/>
  <c r="BU25" i="1"/>
  <c r="BV25" i="1"/>
  <c r="BW25" i="1"/>
  <c r="BX25" i="1"/>
  <c r="BY25" i="1"/>
  <c r="BZ25" i="1"/>
  <c r="CA25" i="1"/>
  <c r="CB25" i="1"/>
  <c r="CC25" i="1"/>
  <c r="CD25" i="1"/>
  <c r="BT26" i="1"/>
  <c r="BU26" i="1"/>
  <c r="BV26" i="1"/>
  <c r="BW26" i="1"/>
  <c r="BX26" i="1"/>
  <c r="BY26" i="1"/>
  <c r="BZ26" i="1"/>
  <c r="CA26" i="1"/>
  <c r="CB26" i="1"/>
  <c r="CC26" i="1"/>
  <c r="CD26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BS5" i="1"/>
  <c r="BT6" i="1"/>
  <c r="BU6" i="1"/>
  <c r="BV6" i="1"/>
  <c r="BW6" i="1"/>
  <c r="BX6" i="1"/>
  <c r="BY6" i="1"/>
  <c r="BZ6" i="1"/>
  <c r="CA6" i="1"/>
  <c r="CB6" i="1"/>
  <c r="CC6" i="1"/>
  <c r="CD6" i="1"/>
  <c r="BT7" i="1"/>
  <c r="BU7" i="1"/>
  <c r="BV7" i="1"/>
  <c r="BW7" i="1"/>
  <c r="BX7" i="1"/>
  <c r="BY7" i="1"/>
  <c r="BZ7" i="1"/>
  <c r="CA7" i="1"/>
  <c r="CB7" i="1"/>
  <c r="CC7" i="1"/>
  <c r="CD7" i="1"/>
  <c r="BT8" i="1"/>
  <c r="BU8" i="1"/>
  <c r="BV8" i="1"/>
  <c r="BW8" i="1"/>
  <c r="BX8" i="1"/>
  <c r="BY8" i="1"/>
  <c r="BZ8" i="1"/>
  <c r="CA8" i="1"/>
  <c r="CB8" i="1"/>
  <c r="CC8" i="1"/>
  <c r="CD8" i="1"/>
  <c r="BT9" i="1"/>
  <c r="BU9" i="1"/>
  <c r="BV9" i="1"/>
  <c r="BW9" i="1"/>
  <c r="BX9" i="1"/>
  <c r="BY9" i="1"/>
  <c r="BZ9" i="1"/>
  <c r="CA9" i="1"/>
  <c r="CB9" i="1"/>
  <c r="CC9" i="1"/>
  <c r="CD9" i="1"/>
  <c r="BT10" i="1"/>
  <c r="BU10" i="1"/>
  <c r="BV10" i="1"/>
  <c r="BW10" i="1"/>
  <c r="BX10" i="1"/>
  <c r="BY10" i="1"/>
  <c r="BZ10" i="1"/>
  <c r="CA10" i="1"/>
  <c r="CB10" i="1"/>
  <c r="CC10" i="1"/>
  <c r="CD10" i="1"/>
  <c r="BQ25" i="1" l="1"/>
  <c r="BQ21" i="1"/>
  <c r="BQ13" i="1"/>
  <c r="BQ53" i="1"/>
  <c r="BQ27" i="1"/>
  <c r="BQ23" i="1"/>
  <c r="BQ19" i="1"/>
  <c r="BQ15" i="1"/>
  <c r="BQ28" i="1"/>
  <c r="BQ26" i="1"/>
  <c r="BQ22" i="1"/>
  <c r="BQ20" i="1"/>
  <c r="BQ18" i="1"/>
  <c r="BQ16" i="1"/>
  <c r="BQ14" i="1"/>
  <c r="BQ24" i="1"/>
  <c r="BQ12" i="1"/>
  <c r="CR27" i="1"/>
  <c r="CR28" i="1"/>
  <c r="CR52" i="1"/>
  <c r="CR26" i="1"/>
  <c r="BQ9" i="1" l="1"/>
  <c r="BQ8" i="1"/>
  <c r="BQ10" i="1"/>
  <c r="BQ11" i="1"/>
  <c r="BQ6" i="1"/>
  <c r="BQ7" i="1"/>
  <c r="CR25" i="1"/>
  <c r="CR24" i="1"/>
  <c r="CR23" i="1"/>
  <c r="CR22" i="1"/>
  <c r="CR21" i="1"/>
  <c r="CR20" i="1"/>
  <c r="CR19" i="1"/>
  <c r="CR18" i="1"/>
  <c r="CR17" i="1"/>
  <c r="CR16" i="1"/>
  <c r="CR15" i="1"/>
  <c r="CR14" i="1"/>
  <c r="CR13" i="1"/>
  <c r="CR12" i="1"/>
  <c r="CR11" i="1"/>
  <c r="CR10" i="1"/>
  <c r="CR9" i="1"/>
  <c r="CR8" i="1"/>
  <c r="CR7" i="1"/>
  <c r="CR6" i="1"/>
  <c r="CR5" i="1"/>
  <c r="CD5" i="1" l="1"/>
  <c r="CC5" i="1"/>
  <c r="CB5" i="1"/>
  <c r="CA5" i="1"/>
  <c r="BZ5" i="1"/>
  <c r="BY5" i="1"/>
  <c r="BX5" i="1"/>
  <c r="BW5" i="1"/>
  <c r="BV5" i="1"/>
  <c r="BU5" i="1"/>
  <c r="BT5" i="1"/>
  <c r="BQ5" i="1" l="1"/>
  <c r="CR51" i="1" l="1"/>
</calcChain>
</file>

<file path=xl/sharedStrings.xml><?xml version="1.0" encoding="utf-8"?>
<sst xmlns="http://schemas.openxmlformats.org/spreadsheetml/2006/main" count="468" uniqueCount="107">
  <si>
    <t>MALDIVIAN STAFFS</t>
  </si>
  <si>
    <t>Wed</t>
  </si>
  <si>
    <t>Thu</t>
  </si>
  <si>
    <t>Fri</t>
  </si>
  <si>
    <t>Sat</t>
  </si>
  <si>
    <t>Sun</t>
  </si>
  <si>
    <t>Mon</t>
  </si>
  <si>
    <t>Tue</t>
  </si>
  <si>
    <t>S No</t>
  </si>
  <si>
    <t>User ID</t>
  </si>
  <si>
    <t>Name</t>
  </si>
  <si>
    <t>IN</t>
  </si>
  <si>
    <t>OUT</t>
  </si>
  <si>
    <t>MD</t>
  </si>
  <si>
    <t>Ahmed Marzooq</t>
  </si>
  <si>
    <t>DMD</t>
  </si>
  <si>
    <t>Hussain Moosa</t>
  </si>
  <si>
    <t>MAD0001</t>
  </si>
  <si>
    <t>Mohamed Ali Didi</t>
  </si>
  <si>
    <t>MAD0339</t>
  </si>
  <si>
    <t>Mohamed Muaz</t>
  </si>
  <si>
    <t>MAD0653</t>
  </si>
  <si>
    <t>Aminath Shafana</t>
  </si>
  <si>
    <t>MAD0006</t>
  </si>
  <si>
    <t>Fathmath Hana</t>
  </si>
  <si>
    <t>MAD0257</t>
  </si>
  <si>
    <t>Hussain Mahir</t>
  </si>
  <si>
    <t>MAD0302</t>
  </si>
  <si>
    <t>Ibrahim Hussain</t>
  </si>
  <si>
    <t>MAD0248</t>
  </si>
  <si>
    <t>Abdulla Aboobakuru</t>
  </si>
  <si>
    <t>MAD0077</t>
  </si>
  <si>
    <t>Fathimath Hassan Zubair</t>
  </si>
  <si>
    <t>MAD0393</t>
  </si>
  <si>
    <t>Mariyam Hameedha</t>
  </si>
  <si>
    <t>MAD0523</t>
  </si>
  <si>
    <t>Aishath Naeema</t>
  </si>
  <si>
    <t>MAD0449</t>
  </si>
  <si>
    <t>Hassan Sameer</t>
  </si>
  <si>
    <t>MAD0536</t>
  </si>
  <si>
    <t>Nuzuhath Abbas</t>
  </si>
  <si>
    <t>MAD0581</t>
  </si>
  <si>
    <t>Abdul Rasheed Ismail</t>
  </si>
  <si>
    <t>MAD0625</t>
  </si>
  <si>
    <t>Aishath Nihaza</t>
  </si>
  <si>
    <t>MAD0631</t>
  </si>
  <si>
    <t>Zumna Ahmed</t>
  </si>
  <si>
    <t>MAD0645</t>
  </si>
  <si>
    <t>Hassan Azeem</t>
  </si>
  <si>
    <t>MAD0689</t>
  </si>
  <si>
    <t>Ahmed Rizny</t>
  </si>
  <si>
    <t>MAD0697</t>
  </si>
  <si>
    <t>Abdul Rahman Gasim</t>
  </si>
  <si>
    <t>Present Days</t>
  </si>
  <si>
    <t>Fridays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</si>
  <si>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</si>
  <si>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</si>
  <si>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</si>
  <si>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</si>
  <si>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</si>
  <si>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</si>
  <si>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</si>
  <si>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</si>
  <si>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</si>
  <si>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</si>
  <si>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</si>
  <si>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</si>
  <si>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Prepared</t>
  </si>
  <si>
    <t xml:space="preserve"> Checked by</t>
  </si>
  <si>
    <t>Approved by:</t>
  </si>
  <si>
    <t xml:space="preserve">Off Day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</si>
  <si>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</si>
  <si>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</si>
  <si>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</si>
  <si>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</si>
  <si>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</si>
  <si>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</si>
  <si>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</si>
  <si>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MUNESWARI SANDRAPALLI</t>
  </si>
  <si>
    <t xml:space="preserve">Moosa Ahmed </t>
  </si>
  <si>
    <t xml:space="preserve"> </t>
  </si>
  <si>
    <t>Suspended</t>
  </si>
  <si>
    <t>Special Leave</t>
  </si>
  <si>
    <t>HR Executive</t>
  </si>
  <si>
    <t>Office Manager</t>
  </si>
  <si>
    <t>Chairman</t>
  </si>
  <si>
    <t>Family Leave</t>
  </si>
  <si>
    <t>MAD0730</t>
  </si>
  <si>
    <t>Shezaa Ahmed Quraish</t>
  </si>
  <si>
    <t>Pls don’t Remove below data</t>
  </si>
  <si>
    <t>Total</t>
  </si>
  <si>
    <t>MAD0732</t>
  </si>
  <si>
    <t>Fathmath Nuha</t>
  </si>
  <si>
    <t>MAD0753</t>
  </si>
  <si>
    <t>Ziyad Moosa</t>
  </si>
  <si>
    <t>DOJ</t>
  </si>
  <si>
    <t>SICK</t>
  </si>
  <si>
    <t xml:space="preserve">Used Leave Totals (Running Year, up to end of this month -MAY 2026) </t>
  </si>
  <si>
    <t>Attendance  -  MAY 2026 -Male Local Staffs</t>
  </si>
  <si>
    <t>Attendance  - MAY 2026 -Male Local Staffs</t>
  </si>
  <si>
    <t>MAD0764</t>
  </si>
  <si>
    <t>MAD0765</t>
  </si>
  <si>
    <t>Ismail Ahmed</t>
  </si>
  <si>
    <t>Nadha Naseem</t>
  </si>
  <si>
    <t>JOINING ON 15TH MAY 2026</t>
  </si>
  <si>
    <t>JOINING ON 12TH MAY 2026</t>
  </si>
  <si>
    <t>Resigned on 17-05-2026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</si>
</sst>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h:mm;@"/>
    <numFmt numFmtId="166" formatCode="[$-409]d\-mmm\-yyyy;@"/>
  </numFmts>
  <fonts count="33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Segoe UI"/>
      <family val="2"/>
    </font>
    <font>
      <b/>
      <sz val="9"/>
      <color theme="1"/>
      <name val="Segoe UI"/>
      <family val="2"/>
    </font>
    <font>
      <b/>
      <sz val="11"/>
      <color theme="1"/>
      <name val="Segoe UI"/>
      <family val="2"/>
      <charset val="1"/>
    </font>
    <font>
      <sz val="10"/>
      <color theme="1"/>
      <name val="Segoe UI"/>
      <family val="2"/>
      <charset val="1"/>
    </font>
    <font>
      <b/>
      <sz val="10"/>
      <color theme="1"/>
      <name val="Segoe UI"/>
      <family val="2"/>
    </font>
    <font>
      <sz val="8"/>
      <name val="Calibri"/>
      <family val="2"/>
      <scheme val="minor"/>
    </font>
    <font>
      <sz val="10"/>
      <name val="Segoe UI"/>
      <family val="2"/>
    </font>
    <font>
      <b/>
      <sz val="11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2"/>
      <color theme="1"/>
      <name val="Calibri"/>
      <family val="2"/>
      <scheme val="minor"/>
    </font>
    <font>
      <b/>
      <u/>
      <sz val="12"/>
      <name val="Segoe UI"/>
      <family val="2"/>
    </font>
    <font>
      <sz val="12"/>
      <color theme="1"/>
      <name val="Segoe UI"/>
      <family val="2"/>
    </font>
    <font>
      <sz val="12"/>
      <name val="Segoe UI"/>
      <family val="2"/>
    </font>
    <font>
      <b/>
      <sz val="10"/>
      <color theme="1"/>
      <name val="Calibri"/>
      <family val="2"/>
      <scheme val="minor"/>
    </font>
    <font>
      <b/>
      <sz val="12"/>
      <name val="Segoe UI"/>
      <family val="2"/>
    </font>
    <font>
      <b/>
      <sz val="12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Segoe UI"/>
      <family val="2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9.9"/>
      <name val="Arial"/>
      <family val="2"/>
    </font>
    <font>
      <sz val="11"/>
      <name val="Arial"/>
      <family val="2"/>
    </font>
    <font>
      <b/>
      <sz val="9.9"/>
      <name val="Arial"/>
      <family val="2"/>
    </font>
    <font>
      <sz val="10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9"/>
      <color theme="1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1" fontId="9" fillId="7" borderId="13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1" fontId="6" fillId="5" borderId="11" xfId="0" applyNumberFormat="1" applyFont="1" applyFill="1" applyBorder="1" applyAlignment="1">
      <alignment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20" fontId="15" fillId="0" borderId="0" xfId="0" applyNumberFormat="1" applyFont="1" applyAlignment="1">
      <alignment horizontal="center" vertical="center" wrapText="1"/>
    </xf>
    <xf numFmtId="0" fontId="12" fillId="8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8" borderId="0" xfId="0" applyFont="1" applyFill="1" applyAlignment="1">
      <alignment vertical="center"/>
    </xf>
    <xf numFmtId="0" fontId="11" fillId="8" borderId="0" xfId="0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49" fontId="11" fillId="8" borderId="0" xfId="0" applyNumberFormat="1" applyFont="1" applyFill="1" applyAlignment="1">
      <alignment vertical="center"/>
    </xf>
    <xf numFmtId="49" fontId="11" fillId="8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5" fontId="14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1" fillId="8" borderId="0" xfId="0" applyFont="1" applyFill="1"/>
    <xf numFmtId="0" fontId="6" fillId="3" borderId="11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11" borderId="16" xfId="0" applyFont="1" applyFill="1" applyBorder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20" fontId="12" fillId="6" borderId="0" xfId="0" applyNumberFormat="1" applyFont="1" applyFill="1" applyAlignment="1">
      <alignment horizontal="center" vertical="center" wrapText="1"/>
    </xf>
    <xf numFmtId="0" fontId="10" fillId="6" borderId="0" xfId="0" applyFont="1" applyFill="1" applyAlignment="1">
      <alignment vertical="center"/>
    </xf>
    <xf numFmtId="0" fontId="19" fillId="6" borderId="0" xfId="0" applyFont="1" applyFill="1" applyAlignment="1">
      <alignment vertical="center"/>
    </xf>
    <xf numFmtId="0" fontId="12" fillId="6" borderId="0" xfId="0" applyFont="1" applyFill="1" applyAlignment="1">
      <alignment horizontal="center" vertical="center"/>
    </xf>
    <xf numFmtId="0" fontId="12" fillId="6" borderId="0" xfId="0" applyFont="1" applyFill="1"/>
    <xf numFmtId="1" fontId="18" fillId="6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0" fillId="6" borderId="0" xfId="0" applyFill="1"/>
    <xf numFmtId="0" fontId="10" fillId="6" borderId="0" xfId="0" applyFont="1" applyFill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12" fillId="12" borderId="8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20" fontId="23" fillId="6" borderId="8" xfId="0" applyNumberFormat="1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20" fontId="24" fillId="9" borderId="8" xfId="0" applyNumberFormat="1" applyFont="1" applyFill="1" applyBorder="1" applyAlignment="1">
      <alignment horizontal="center" vertical="center" wrapText="1"/>
    </xf>
    <xf numFmtId="1" fontId="26" fillId="6" borderId="8" xfId="0" applyNumberFormat="1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20" fontId="25" fillId="6" borderId="8" xfId="0" applyNumberFormat="1" applyFont="1" applyFill="1" applyBorder="1" applyAlignment="1">
      <alignment horizontal="center" vertical="center" wrapText="1"/>
    </xf>
    <xf numFmtId="20" fontId="27" fillId="9" borderId="8" xfId="0" applyNumberFormat="1" applyFont="1" applyFill="1" applyBorder="1" applyAlignment="1">
      <alignment horizontal="center" vertical="center" wrapText="1"/>
    </xf>
    <xf numFmtId="166" fontId="9" fillId="4" borderId="12" xfId="0" applyNumberFormat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66" fontId="28" fillId="0" borderId="9" xfId="0" applyNumberFormat="1" applyFont="1" applyBorder="1" applyAlignment="1">
      <alignment horizontal="center" vertical="center"/>
    </xf>
    <xf numFmtId="166" fontId="28" fillId="0" borderId="4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 wrapText="1"/>
    </xf>
    <xf numFmtId="166" fontId="28" fillId="0" borderId="1" xfId="0" applyNumberFormat="1" applyFont="1" applyBorder="1" applyAlignment="1">
      <alignment horizontal="center" vertical="center"/>
    </xf>
    <xf numFmtId="20" fontId="24" fillId="9" borderId="13" xfId="0" applyNumberFormat="1" applyFont="1" applyFill="1" applyBorder="1" applyAlignment="1">
      <alignment horizontal="center" vertical="center" wrapText="1"/>
    </xf>
    <xf numFmtId="0" fontId="0" fillId="0" borderId="14" xfId="0" applyBorder="1"/>
    <xf numFmtId="1" fontId="20" fillId="0" borderId="8" xfId="0" applyNumberFormat="1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20" fontId="23" fillId="0" borderId="8" xfId="0" applyNumberFormat="1" applyFont="1" applyBorder="1" applyAlignment="1">
      <alignment horizontal="center" vertical="center" wrapText="1"/>
    </xf>
    <xf numFmtId="20" fontId="30" fillId="0" borderId="8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1" fontId="21" fillId="0" borderId="17" xfId="0" applyNumberFormat="1" applyFont="1" applyBorder="1" applyAlignment="1">
      <alignment horizontal="center" vertical="center"/>
    </xf>
    <xf numFmtId="1" fontId="20" fillId="0" borderId="17" xfId="0" applyNumberFormat="1" applyFont="1" applyBorder="1" applyAlignment="1">
      <alignment horizontal="center" vertical="center"/>
    </xf>
    <xf numFmtId="20" fontId="27" fillId="6" borderId="8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2" fillId="0" borderId="8" xfId="0" applyFont="1" applyBorder="1" applyAlignment="1">
      <alignment horizontal="center" vertical="center" wrapText="1"/>
    </xf>
    <xf numFmtId="20" fontId="25" fillId="6" borderId="9" xfId="0" applyNumberFormat="1" applyFont="1" applyFill="1" applyBorder="1" applyAlignment="1">
      <alignment horizontal="center" vertical="center" wrapText="1"/>
    </xf>
    <xf numFmtId="20" fontId="25" fillId="6" borderId="12" xfId="0" applyNumberFormat="1" applyFont="1" applyFill="1" applyBorder="1" applyAlignment="1">
      <alignment horizontal="center" vertical="center" wrapText="1"/>
    </xf>
    <xf numFmtId="20" fontId="25" fillId="6" borderId="1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29" fillId="10" borderId="0" xfId="0" applyFont="1" applyFill="1" applyAlignment="1">
      <alignment horizontal="center" vertical="center"/>
    </xf>
    <xf numFmtId="15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 textRotation="90" wrapText="1"/>
    </xf>
    <xf numFmtId="0" fontId="3" fillId="5" borderId="15" xfId="0" applyFont="1" applyFill="1" applyBorder="1" applyAlignment="1">
      <alignment horizontal="center" vertical="center" textRotation="90" wrapText="1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textRotation="90" wrapText="1"/>
    </xf>
    <xf numFmtId="0" fontId="3" fillId="5" borderId="14" xfId="0" applyFont="1" applyFill="1" applyBorder="1" applyAlignment="1">
      <alignment horizontal="center" vertical="center" textRotation="90" wrapText="1"/>
    </xf>
    <xf numFmtId="164" fontId="5" fillId="3" borderId="6" xfId="0" applyNumberFormat="1" applyFont="1" applyFill="1" applyBorder="1" applyAlignment="1">
      <alignment horizontal="center" vertical="center"/>
    </xf>
    <xf numFmtId="164" fontId="5" fillId="3" borderId="7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" fontId="21" fillId="0" borderId="9" xfId="0" applyNumberFormat="1" applyFont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1" fontId="21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160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0F6E8B-7E5C-428F-AAF0-8F10E6713D94}" name="Table1" displayName="Table1" ref="CH4:CR28" totalsRowShown="0" headerRowDxfId="1602" dataDxfId="1600" headerRowBorderDxfId="1601" tableBorderDxfId="1599" totalsRowBorderDxfId="1598">
  <autoFilter ref="CH4:CR28" xr:uid="{A80F6E8B-7E5C-428F-AAF0-8F10E6713D94}"/>
  <tableColumns count="11">
    <tableColumn id="1" xr3:uid="{6586E15F-C2DD-4486-A747-E3871445E7D8}" name="MC" dataDxfId="1597"/>
    <tableColumn id="2" xr3:uid="{6119AEBA-2882-4A29-8B65-3CE5F50E5A35}" name="EL" dataDxfId="1596"/>
    <tableColumn id="3" xr3:uid="{A4B933EF-91BB-467A-B3E2-F8748BFB0C0C}" name="AL" dataDxfId="1595"/>
    <tableColumn id="4" xr3:uid="{7D2607E7-643A-4BE8-8DCF-5C28EB77BB0E}" name="SUS" dataDxfId="1594"/>
    <tableColumn id="5" xr3:uid="{E23768CA-A8DD-45F9-ACBE-0E9686100AD3}" name="FL" dataDxfId="1593"/>
    <tableColumn id="6" xr3:uid="{D5503395-DEA9-41D3-9732-722A5784A8F4}" name="S" dataDxfId="1592"/>
    <tableColumn id="7" xr3:uid="{A9413DCE-6612-4B99-93F6-5211956ECD22}" name="HD" dataDxfId="1591"/>
    <tableColumn id="8" xr3:uid="{2FC526AB-6D64-4BCF-B522-816D2118C5C0}" name="AB" dataDxfId="1590"/>
    <tableColumn id="9" xr3:uid="{FF68A61F-F40D-49D4-927C-F64709C8B027}" name="NL" dataDxfId="1589"/>
    <tableColumn id="10" xr3:uid="{93843698-215B-41CD-BE9E-5B86DD643899}" name="SP" dataDxfId="1588"/>
    <tableColumn id="11" xr3:uid="{556FE1F1-725C-4D3F-887C-F87A4339643C}" name="Total" dataDxfId="1587">
      <calculatedColumnFormula>SUM(CH5:CQ5)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E4E3-8F50-4D39-A21D-03A339330479}">
  <sheetPr>
    <pageSetUpPr fitToPage="1"/>
  </sheetPr>
  <dimension ref="A1:CT53"/>
  <sheetViews>
    <sheetView tabSelected="1" zoomScaleNormal="100" workbookViewId="0">
      <pane xSplit="3" ySplit="4" topLeftCell="BW14" activePane="bottomRight" state="frozen"/>
      <selection pane="topRight" activeCell="D1" sqref="D1"/>
      <selection pane="bottomLeft" activeCell="A5" sqref="A5"/>
      <selection pane="bottomRight" activeCell="CF22" sqref="CF22"/>
    </sheetView>
  </sheetViews>
  <sheetFormatPr defaultRowHeight="15.75" x14ac:dyDescent="0.25"/>
  <cols>
    <col min="1" max="1" width="5.5703125" customWidth="1"/>
    <col min="2" max="2" width="13.85546875" customWidth="1"/>
    <col min="3" max="3" width="24.7109375" customWidth="1"/>
    <col min="4" max="4" width="15.28515625" style="77" customWidth="1"/>
    <col min="5" max="34" width="7.42578125" customWidth="1"/>
    <col min="35" max="35" width="4.28515625" customWidth="1"/>
    <col min="36" max="36" width="5.5703125" customWidth="1"/>
    <col min="37" max="68" width="6.85546875" customWidth="1"/>
    <col min="69" max="70" width="5.140625" customWidth="1"/>
    <col min="71" max="77" width="5.28515625" customWidth="1"/>
    <col min="78" max="78" width="6.85546875" customWidth="1"/>
    <col min="79" max="82" width="5.28515625" customWidth="1"/>
    <col min="83" max="83" width="20" customWidth="1"/>
    <col min="84" max="85" width="5.42578125" customWidth="1"/>
    <col min="86" max="95" width="7.5703125" style="13" customWidth="1"/>
    <col min="96" max="96" width="7.5703125" style="20" customWidth="1"/>
  </cols>
  <sheetData>
    <row r="1" spans="1:96" ht="30.75" customHeight="1" thickBot="1" x14ac:dyDescent="0.3">
      <c r="A1" s="121" t="s">
        <v>98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4"/>
      <c r="AI1" s="84"/>
      <c r="AJ1" s="120" t="s">
        <v>99</v>
      </c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</row>
    <row r="2" spans="1:96" ht="21.75" customHeight="1" thickBot="1" x14ac:dyDescent="0.3">
      <c r="A2" s="100" t="s">
        <v>0</v>
      </c>
      <c r="B2" s="101"/>
      <c r="C2" s="101"/>
      <c r="D2" s="102"/>
      <c r="E2" s="109" t="s">
        <v>3</v>
      </c>
      <c r="F2" s="110"/>
      <c r="G2" s="109" t="s">
        <v>4</v>
      </c>
      <c r="H2" s="110"/>
      <c r="I2" s="109" t="s">
        <v>5</v>
      </c>
      <c r="J2" s="110"/>
      <c r="K2" s="109" t="s">
        <v>6</v>
      </c>
      <c r="L2" s="110"/>
      <c r="M2" s="109" t="s">
        <v>7</v>
      </c>
      <c r="N2" s="110"/>
      <c r="O2" s="109" t="s">
        <v>1</v>
      </c>
      <c r="P2" s="110"/>
      <c r="Q2" s="109" t="s">
        <v>2</v>
      </c>
      <c r="R2" s="110"/>
      <c r="S2" s="109" t="s">
        <v>3</v>
      </c>
      <c r="T2" s="110"/>
      <c r="U2" s="109" t="s">
        <v>4</v>
      </c>
      <c r="V2" s="110"/>
      <c r="W2" s="109" t="s">
        <v>5</v>
      </c>
      <c r="X2" s="110"/>
      <c r="Y2" s="109" t="s">
        <v>6</v>
      </c>
      <c r="Z2" s="110"/>
      <c r="AA2" s="109" t="s">
        <v>7</v>
      </c>
      <c r="AB2" s="110"/>
      <c r="AC2" s="109" t="s">
        <v>1</v>
      </c>
      <c r="AD2" s="110"/>
      <c r="AE2" s="109" t="s">
        <v>2</v>
      </c>
      <c r="AF2" s="110"/>
      <c r="AG2" s="109" t="s">
        <v>3</v>
      </c>
      <c r="AH2" s="110"/>
      <c r="AI2" s="84"/>
      <c r="AJ2" s="122" t="s">
        <v>8</v>
      </c>
      <c r="AK2" s="109" t="s">
        <v>4</v>
      </c>
      <c r="AL2" s="110"/>
      <c r="AM2" s="109" t="s">
        <v>5</v>
      </c>
      <c r="AN2" s="110"/>
      <c r="AO2" s="109" t="s">
        <v>6</v>
      </c>
      <c r="AP2" s="110"/>
      <c r="AQ2" s="109" t="s">
        <v>7</v>
      </c>
      <c r="AR2" s="110"/>
      <c r="AS2" s="109" t="s">
        <v>1</v>
      </c>
      <c r="AT2" s="110"/>
      <c r="AU2" s="109" t="s">
        <v>2</v>
      </c>
      <c r="AV2" s="110"/>
      <c r="AW2" s="109" t="s">
        <v>3</v>
      </c>
      <c r="AX2" s="110"/>
      <c r="AY2" s="109" t="s">
        <v>4</v>
      </c>
      <c r="AZ2" s="110"/>
      <c r="BA2" s="109" t="s">
        <v>5</v>
      </c>
      <c r="BB2" s="110"/>
      <c r="BC2" s="109" t="s">
        <v>6</v>
      </c>
      <c r="BD2" s="110"/>
      <c r="BE2" s="109" t="s">
        <v>7</v>
      </c>
      <c r="BF2" s="110"/>
      <c r="BG2" s="109" t="s">
        <v>1</v>
      </c>
      <c r="BH2" s="110"/>
      <c r="BI2" s="109" t="s">
        <v>2</v>
      </c>
      <c r="BJ2" s="110"/>
      <c r="BK2" s="109" t="s">
        <v>3</v>
      </c>
      <c r="BL2" s="110"/>
      <c r="BM2" s="109" t="s">
        <v>4</v>
      </c>
      <c r="BN2" s="110"/>
      <c r="BO2" s="109" t="s">
        <v>5</v>
      </c>
      <c r="BP2" s="110"/>
      <c r="BQ2" s="116" t="s">
        <v>53</v>
      </c>
      <c r="BR2" s="111" t="s">
        <v>54</v>
      </c>
      <c r="BS2" s="113"/>
      <c r="BT2" s="114"/>
      <c r="BU2" s="114"/>
      <c r="BV2" s="114"/>
      <c r="BW2" s="114"/>
      <c r="BX2" s="114"/>
      <c r="BY2" s="114"/>
      <c r="BZ2" s="114"/>
      <c r="CA2" s="114"/>
      <c r="CB2" s="114"/>
      <c r="CC2" s="114"/>
      <c r="CD2" s="114"/>
      <c r="CE2" s="115"/>
      <c r="CH2" s="106" t="s">
        <v>89</v>
      </c>
      <c r="CI2" s="106"/>
      <c r="CJ2" s="106"/>
      <c r="CK2" s="106"/>
      <c r="CL2" s="106"/>
      <c r="CM2" s="106"/>
      <c r="CN2" s="106"/>
      <c r="CO2" s="106"/>
      <c r="CP2" s="106"/>
      <c r="CQ2" s="106"/>
    </row>
    <row r="3" spans="1:96" ht="21.75" customHeight="1" x14ac:dyDescent="0.25">
      <c r="A3" s="103"/>
      <c r="B3" s="104"/>
      <c r="C3" s="104"/>
      <c r="D3" s="105"/>
      <c r="E3" s="118">
        <v>46143</v>
      </c>
      <c r="F3" s="119"/>
      <c r="G3" s="118">
        <v>46144</v>
      </c>
      <c r="H3" s="119"/>
      <c r="I3" s="118">
        <v>46145</v>
      </c>
      <c r="J3" s="119"/>
      <c r="K3" s="118">
        <v>46146</v>
      </c>
      <c r="L3" s="119"/>
      <c r="M3" s="118">
        <v>46147</v>
      </c>
      <c r="N3" s="119"/>
      <c r="O3" s="118">
        <v>46148</v>
      </c>
      <c r="P3" s="119"/>
      <c r="Q3" s="118">
        <v>46149</v>
      </c>
      <c r="R3" s="119"/>
      <c r="S3" s="118">
        <v>46150</v>
      </c>
      <c r="T3" s="119"/>
      <c r="U3" s="118">
        <v>46151</v>
      </c>
      <c r="V3" s="119"/>
      <c r="W3" s="118">
        <v>46152</v>
      </c>
      <c r="X3" s="119"/>
      <c r="Y3" s="118">
        <v>46153</v>
      </c>
      <c r="Z3" s="119"/>
      <c r="AA3" s="118">
        <v>46154</v>
      </c>
      <c r="AB3" s="119"/>
      <c r="AC3" s="118">
        <v>46155</v>
      </c>
      <c r="AD3" s="119"/>
      <c r="AE3" s="118">
        <v>46156</v>
      </c>
      <c r="AF3" s="119"/>
      <c r="AG3" s="118">
        <v>46157</v>
      </c>
      <c r="AH3" s="119"/>
      <c r="AI3" s="84"/>
      <c r="AJ3" s="123"/>
      <c r="AK3" s="107">
        <v>46158</v>
      </c>
      <c r="AL3" s="108"/>
      <c r="AM3" s="107">
        <v>46159</v>
      </c>
      <c r="AN3" s="108"/>
      <c r="AO3" s="107">
        <v>46160</v>
      </c>
      <c r="AP3" s="108"/>
      <c r="AQ3" s="107">
        <v>46161</v>
      </c>
      <c r="AR3" s="108"/>
      <c r="AS3" s="107">
        <v>46162</v>
      </c>
      <c r="AT3" s="108"/>
      <c r="AU3" s="107">
        <v>46163</v>
      </c>
      <c r="AV3" s="108"/>
      <c r="AW3" s="107">
        <v>46164</v>
      </c>
      <c r="AX3" s="108"/>
      <c r="AY3" s="107">
        <v>46165</v>
      </c>
      <c r="AZ3" s="108"/>
      <c r="BA3" s="107">
        <v>46166</v>
      </c>
      <c r="BB3" s="108"/>
      <c r="BC3" s="107">
        <v>46167</v>
      </c>
      <c r="BD3" s="108"/>
      <c r="BE3" s="107">
        <v>46168</v>
      </c>
      <c r="BF3" s="108"/>
      <c r="BG3" s="107">
        <v>46169</v>
      </c>
      <c r="BH3" s="108"/>
      <c r="BI3" s="107">
        <v>46170</v>
      </c>
      <c r="BJ3" s="108"/>
      <c r="BK3" s="107">
        <v>46171</v>
      </c>
      <c r="BL3" s="108"/>
      <c r="BM3" s="107">
        <v>46172</v>
      </c>
      <c r="BN3" s="108"/>
      <c r="BO3" s="107">
        <v>46173</v>
      </c>
      <c r="BP3" s="108"/>
      <c r="BQ3" s="117"/>
      <c r="BR3" s="112"/>
      <c r="BS3" s="4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5"/>
      <c r="CH3" s="99" t="s">
        <v>97</v>
      </c>
      <c r="CI3" s="99"/>
      <c r="CJ3" s="99"/>
      <c r="CK3" s="99"/>
      <c r="CL3" s="99"/>
      <c r="CM3" s="99"/>
      <c r="CN3" s="99"/>
      <c r="CO3" s="99"/>
      <c r="CP3" s="99"/>
      <c r="CQ3" s="99"/>
      <c r="CR3" s="99"/>
    </row>
    <row r="4" spans="1:96" ht="25.5" customHeight="1" x14ac:dyDescent="0.25">
      <c r="A4" s="6" t="s">
        <v>8</v>
      </c>
      <c r="B4" s="6" t="s">
        <v>9</v>
      </c>
      <c r="C4" s="32" t="s">
        <v>10</v>
      </c>
      <c r="D4" s="74" t="s">
        <v>95</v>
      </c>
      <c r="E4" s="1" t="s">
        <v>11</v>
      </c>
      <c r="F4" s="2" t="s">
        <v>12</v>
      </c>
      <c r="G4" s="1" t="s">
        <v>11</v>
      </c>
      <c r="H4" s="2" t="s">
        <v>12</v>
      </c>
      <c r="I4" s="1" t="s">
        <v>11</v>
      </c>
      <c r="J4" s="2" t="s">
        <v>12</v>
      </c>
      <c r="K4" s="1" t="s">
        <v>11</v>
      </c>
      <c r="L4" s="2" t="s">
        <v>12</v>
      </c>
      <c r="M4" s="1" t="s">
        <v>11</v>
      </c>
      <c r="N4" s="2" t="s">
        <v>12</v>
      </c>
      <c r="O4" s="1" t="s">
        <v>11</v>
      </c>
      <c r="P4" s="2" t="s">
        <v>12</v>
      </c>
      <c r="Q4" s="1" t="s">
        <v>11</v>
      </c>
      <c r="R4" s="2" t="s">
        <v>12</v>
      </c>
      <c r="S4" s="1" t="s">
        <v>11</v>
      </c>
      <c r="T4" s="2" t="s">
        <v>12</v>
      </c>
      <c r="U4" s="1" t="s">
        <v>11</v>
      </c>
      <c r="V4" s="2" t="s">
        <v>12</v>
      </c>
      <c r="W4" s="1" t="s">
        <v>11</v>
      </c>
      <c r="X4" s="2" t="s">
        <v>12</v>
      </c>
      <c r="Y4" s="1" t="s">
        <v>11</v>
      </c>
      <c r="Z4" s="2" t="s">
        <v>12</v>
      </c>
      <c r="AA4" s="1" t="s">
        <v>11</v>
      </c>
      <c r="AB4" s="2" t="s">
        <v>12</v>
      </c>
      <c r="AC4" s="1" t="s">
        <v>11</v>
      </c>
      <c r="AD4" s="2" t="s">
        <v>12</v>
      </c>
      <c r="AE4" s="8" t="s">
        <v>11</v>
      </c>
      <c r="AF4" s="9" t="s">
        <v>12</v>
      </c>
      <c r="AG4" s="8" t="s">
        <v>11</v>
      </c>
      <c r="AH4" s="31" t="s">
        <v>12</v>
      </c>
      <c r="AI4" s="84"/>
      <c r="AJ4" s="123"/>
      <c r="AK4" s="8" t="s">
        <v>11</v>
      </c>
      <c r="AL4" s="9" t="s">
        <v>12</v>
      </c>
      <c r="AM4" s="8" t="s">
        <v>11</v>
      </c>
      <c r="AN4" s="9" t="s">
        <v>12</v>
      </c>
      <c r="AO4" s="8" t="s">
        <v>11</v>
      </c>
      <c r="AP4" s="9" t="s">
        <v>12</v>
      </c>
      <c r="AQ4" s="8" t="s">
        <v>11</v>
      </c>
      <c r="AR4" s="9" t="s">
        <v>12</v>
      </c>
      <c r="AS4" s="8" t="s">
        <v>11</v>
      </c>
      <c r="AT4" s="9" t="s">
        <v>12</v>
      </c>
      <c r="AU4" s="8" t="s">
        <v>11</v>
      </c>
      <c r="AV4" s="9" t="s">
        <v>12</v>
      </c>
      <c r="AW4" s="8" t="s">
        <v>11</v>
      </c>
      <c r="AX4" s="9" t="s">
        <v>12</v>
      </c>
      <c r="AY4" s="8" t="s">
        <v>11</v>
      </c>
      <c r="AZ4" s="9" t="s">
        <v>12</v>
      </c>
      <c r="BA4" s="8" t="s">
        <v>11</v>
      </c>
      <c r="BB4" s="9" t="s">
        <v>12</v>
      </c>
      <c r="BC4" s="8" t="s">
        <v>11</v>
      </c>
      <c r="BD4" s="9" t="s">
        <v>12</v>
      </c>
      <c r="BE4" s="8" t="s">
        <v>11</v>
      </c>
      <c r="BF4" s="9" t="s">
        <v>12</v>
      </c>
      <c r="BG4" s="8" t="s">
        <v>11</v>
      </c>
      <c r="BH4" s="9" t="s">
        <v>12</v>
      </c>
      <c r="BI4" s="8" t="s">
        <v>11</v>
      </c>
      <c r="BJ4" s="9" t="s">
        <v>12</v>
      </c>
      <c r="BK4" s="8" t="s">
        <v>11</v>
      </c>
      <c r="BL4" s="9" t="s">
        <v>12</v>
      </c>
      <c r="BM4" s="8" t="s">
        <v>11</v>
      </c>
      <c r="BN4" s="9" t="s">
        <v>12</v>
      </c>
      <c r="BO4" s="8" t="s">
        <v>11</v>
      </c>
      <c r="BP4" s="9" t="s">
        <v>12</v>
      </c>
      <c r="BQ4" s="117"/>
      <c r="BR4" s="112"/>
      <c r="BS4" s="10"/>
      <c r="BT4" s="86" t="s">
        <v>55</v>
      </c>
      <c r="BU4" s="87" t="s">
        <v>56</v>
      </c>
      <c r="BV4" s="85" t="s">
        <v>57</v>
      </c>
      <c r="BW4" s="87" t="s">
        <v>58</v>
      </c>
      <c r="BX4" s="85" t="s">
        <v>59</v>
      </c>
      <c r="BY4" s="87" t="s">
        <v>60</v>
      </c>
      <c r="BZ4" s="88" t="s">
        <v>96</v>
      </c>
      <c r="CA4" s="11" t="s">
        <v>62</v>
      </c>
      <c r="CB4" s="85" t="s">
        <v>63</v>
      </c>
      <c r="CC4" s="85" t="s">
        <v>64</v>
      </c>
      <c r="CD4" s="85" t="s">
        <v>65</v>
      </c>
      <c r="CE4" s="12" t="s">
        <v>66</v>
      </c>
      <c r="CH4" s="46" t="s">
        <v>56</v>
      </c>
      <c r="CI4" s="47" t="s">
        <v>57</v>
      </c>
      <c r="CJ4" s="47" t="s">
        <v>58</v>
      </c>
      <c r="CK4" s="47" t="s">
        <v>59</v>
      </c>
      <c r="CL4" s="47" t="s">
        <v>60</v>
      </c>
      <c r="CM4" s="47" t="s">
        <v>61</v>
      </c>
      <c r="CN4" s="47" t="s">
        <v>62</v>
      </c>
      <c r="CO4" s="47" t="s">
        <v>63</v>
      </c>
      <c r="CP4" s="47" t="s">
        <v>64</v>
      </c>
      <c r="CQ4" s="47" t="s">
        <v>65</v>
      </c>
      <c r="CR4" s="48" t="s">
        <v>90</v>
      </c>
    </row>
    <row r="5" spans="1:96" ht="24" customHeight="1" x14ac:dyDescent="0.25">
      <c r="A5" s="33">
        <v>1</v>
      </c>
      <c r="B5" s="34" t="s">
        <v>13</v>
      </c>
      <c r="C5" s="35" t="s">
        <v>14</v>
      </c>
      <c r="D5" s="75"/>
      <c r="E5" s="86" t="s">
        <v>55</v>
      </c>
      <c r="F5" s="86" t="s">
        <v>55</v>
      </c>
      <c r="G5" s="85">
        <v>1</v>
      </c>
      <c r="H5" s="85">
        <v>1</v>
      </c>
      <c r="I5" s="85">
        <v>1</v>
      </c>
      <c r="J5" s="85">
        <v>1</v>
      </c>
      <c r="K5" s="85">
        <v>1</v>
      </c>
      <c r="L5" s="85">
        <v>1</v>
      </c>
      <c r="M5" s="85">
        <v>1</v>
      </c>
      <c r="N5" s="85">
        <v>1</v>
      </c>
      <c r="O5" s="85">
        <v>1</v>
      </c>
      <c r="P5" s="85">
        <v>1</v>
      </c>
      <c r="Q5" s="85">
        <v>1</v>
      </c>
      <c r="R5" s="85">
        <v>1</v>
      </c>
      <c r="S5" s="86" t="s">
        <v>55</v>
      </c>
      <c r="T5" s="86" t="s">
        <v>55</v>
      </c>
      <c r="U5" s="85">
        <v>1</v>
      </c>
      <c r="V5" s="85">
        <v>1</v>
      </c>
      <c r="W5" s="85">
        <v>1</v>
      </c>
      <c r="X5" s="85">
        <v>1</v>
      </c>
      <c r="Y5" s="85">
        <v>1</v>
      </c>
      <c r="Z5" s="85">
        <v>1</v>
      </c>
      <c r="AA5" s="85">
        <v>1</v>
      </c>
      <c r="AB5" s="85">
        <v>1</v>
      </c>
      <c r="AC5" s="85">
        <v>1</v>
      </c>
      <c r="AD5" s="85">
        <v>1</v>
      </c>
      <c r="AE5" s="85">
        <v>1</v>
      </c>
      <c r="AF5" s="85">
        <v>1</v>
      </c>
      <c r="AG5" s="86" t="s">
        <v>55</v>
      </c>
      <c r="AH5" s="86" t="s">
        <v>55</v>
      </c>
      <c r="AI5" s="84"/>
      <c r="AJ5" s="33">
        <v>1</v>
      </c>
      <c r="AK5" s="85">
        <v>1</v>
      </c>
      <c r="AL5" s="85">
        <v>1</v>
      </c>
      <c r="AM5" s="85">
        <v>1</v>
      </c>
      <c r="AN5" s="85">
        <v>1</v>
      </c>
      <c r="AO5" s="85">
        <v>1</v>
      </c>
      <c r="AP5" s="85">
        <v>1</v>
      </c>
      <c r="AQ5" s="85">
        <v>1</v>
      </c>
      <c r="AR5" s="85">
        <v>1</v>
      </c>
      <c r="AS5" s="85">
        <v>1</v>
      </c>
      <c r="AT5" s="85">
        <v>1</v>
      </c>
      <c r="AU5" s="85">
        <v>1</v>
      </c>
      <c r="AV5" s="85">
        <v>1</v>
      </c>
      <c r="AW5" s="86" t="s">
        <v>55</v>
      </c>
      <c r="AX5" s="86" t="s">
        <v>55</v>
      </c>
      <c r="AY5" s="85">
        <v>1</v>
      </c>
      <c r="AZ5" s="85">
        <v>1</v>
      </c>
      <c r="BA5" s="85">
        <v>1</v>
      </c>
      <c r="BB5" s="85">
        <v>1</v>
      </c>
      <c r="BC5" s="85">
        <v>1</v>
      </c>
      <c r="BD5" s="85">
        <v>1</v>
      </c>
      <c r="BE5" s="85">
        <v>1</v>
      </c>
      <c r="BF5" s="85">
        <v>1</v>
      </c>
      <c r="BG5" s="86" t="s">
        <v>55</v>
      </c>
      <c r="BH5" s="86" t="s">
        <v>55</v>
      </c>
      <c r="BI5" s="85">
        <v>1</v>
      </c>
      <c r="BJ5" s="85">
        <v>1</v>
      </c>
      <c r="BK5" s="86" t="s">
        <v>55</v>
      </c>
      <c r="BL5" s="86" t="s">
        <v>55</v>
      </c>
      <c r="BM5" s="85">
        <v>1</v>
      </c>
      <c r="BN5" s="85">
        <v>1</v>
      </c>
      <c r="BO5" s="85">
        <v>1</v>
      </c>
      <c r="BP5" s="85">
        <v>1</v>
      </c>
      <c r="BQ5" s="7">
        <f>BS5+BT5+BU5+BZ5+BX5+CC5+BW5</f>
        <v>31</v>
      </c>
      <c r="BR5" s="61">
        <v>0</v>
      </c>
      <c r="BS5" s="38">
        <f>COUNT(E5:AH5)/2+COUNT(AK5:BP5)/2</f>
        <v>25</v>
      </c>
      <c r="BT5" s="39">
        <f t="shared" ref="BT5:BT10" si="0">COUNTIF(E5:BP5,"OFF")/2</f>
        <v>6</v>
      </c>
      <c r="BU5" s="39">
        <f t="shared" ref="BU5:BU10" si="1">COUNTIF(E5:BP5,"MC")/2</f>
        <v>0</v>
      </c>
      <c r="BV5" s="39">
        <f t="shared" ref="BV5:BV10" si="2">COUNTIF(E5:BP5,"EL")/2</f>
        <v>0</v>
      </c>
      <c r="BW5" s="39">
        <f t="shared" ref="BW5:BW10" si="3">COUNTIF(E5:BP5,"AL")/2</f>
        <v>0</v>
      </c>
      <c r="BX5" s="39">
        <f t="shared" ref="BX5:BX10" si="4">COUNTIF(E5:BP5,"SUS")/2</f>
        <v>0</v>
      </c>
      <c r="BY5" s="39">
        <f t="shared" ref="BY5:BY10" si="5">COUNTIF(E5:BP5,"FL")/2</f>
        <v>0</v>
      </c>
      <c r="BZ5" s="39">
        <f t="shared" ref="BZ5:BZ10" si="6">COUNTIF(E5:BP5,"SICK")/2</f>
        <v>0</v>
      </c>
      <c r="CA5" s="39">
        <f t="shared" ref="CA5:CA10" si="7">COUNTIF(E5:BP5,"HD")/2</f>
        <v>0</v>
      </c>
      <c r="CB5" s="39">
        <f t="shared" ref="CB5:CB10" si="8">COUNTIF(E5:BP5,"AB")/2</f>
        <v>0</v>
      </c>
      <c r="CC5" s="39">
        <f t="shared" ref="CC5:CC10" si="9">COUNTIF(E5:BP5,"NL")/2</f>
        <v>0</v>
      </c>
      <c r="CD5" s="39">
        <f t="shared" ref="CD5:CD10" si="10">COUNTIF(E5:BP5,"SP")/2</f>
        <v>0</v>
      </c>
      <c r="CE5" s="40"/>
      <c r="CH5" s="37">
        <v>0</v>
      </c>
      <c r="CI5" s="33">
        <v>0</v>
      </c>
      <c r="CJ5" s="33">
        <v>0</v>
      </c>
      <c r="CK5" s="33">
        <v>0</v>
      </c>
      <c r="CL5" s="33">
        <v>0</v>
      </c>
      <c r="CM5" s="33">
        <v>0</v>
      </c>
      <c r="CN5" s="33">
        <v>0</v>
      </c>
      <c r="CO5" s="33">
        <v>0</v>
      </c>
      <c r="CP5" s="33">
        <v>0</v>
      </c>
      <c r="CQ5" s="33">
        <v>0</v>
      </c>
      <c r="CR5" s="45">
        <f t="shared" ref="CR5:CR24" si="11">SUM(CH5:CQ5)</f>
        <v>0</v>
      </c>
    </row>
    <row r="6" spans="1:96" ht="24" customHeight="1" x14ac:dyDescent="0.25">
      <c r="A6" s="33">
        <v>2</v>
      </c>
      <c r="B6" s="34" t="s">
        <v>15</v>
      </c>
      <c r="C6" s="35" t="s">
        <v>16</v>
      </c>
      <c r="D6" s="76"/>
      <c r="E6" s="89" t="s">
        <v>55</v>
      </c>
      <c r="F6" s="89" t="s">
        <v>55</v>
      </c>
      <c r="G6" s="90">
        <v>1</v>
      </c>
      <c r="H6" s="90">
        <v>1</v>
      </c>
      <c r="I6" s="90">
        <v>1</v>
      </c>
      <c r="J6" s="90">
        <v>1</v>
      </c>
      <c r="K6" s="90">
        <v>1</v>
      </c>
      <c r="L6" s="90">
        <v>1</v>
      </c>
      <c r="M6" s="90">
        <v>1</v>
      </c>
      <c r="N6" s="85">
        <v>1</v>
      </c>
      <c r="O6" s="85">
        <v>1</v>
      </c>
      <c r="P6" s="85">
        <v>1</v>
      </c>
      <c r="Q6" s="85">
        <v>1</v>
      </c>
      <c r="R6" s="85">
        <v>1</v>
      </c>
      <c r="S6" s="89" t="s">
        <v>55</v>
      </c>
      <c r="T6" s="89" t="s">
        <v>55</v>
      </c>
      <c r="U6" s="85">
        <v>1</v>
      </c>
      <c r="V6" s="85">
        <v>1</v>
      </c>
      <c r="W6" s="85">
        <v>1</v>
      </c>
      <c r="X6" s="85">
        <v>1</v>
      </c>
      <c r="Y6" s="85">
        <v>1</v>
      </c>
      <c r="Z6" s="85">
        <v>1</v>
      </c>
      <c r="AA6" s="85">
        <v>1</v>
      </c>
      <c r="AB6" s="85">
        <v>1</v>
      </c>
      <c r="AC6" s="85">
        <v>1</v>
      </c>
      <c r="AD6" s="85">
        <v>1</v>
      </c>
      <c r="AE6" s="85">
        <v>1</v>
      </c>
      <c r="AF6" s="85">
        <v>1</v>
      </c>
      <c r="AG6" s="86" t="s">
        <v>55</v>
      </c>
      <c r="AH6" s="86" t="s">
        <v>55</v>
      </c>
      <c r="AI6" s="84"/>
      <c r="AJ6" s="33">
        <v>2</v>
      </c>
      <c r="AK6" s="85">
        <v>1</v>
      </c>
      <c r="AL6" s="85">
        <v>1</v>
      </c>
      <c r="AM6" s="85">
        <v>1</v>
      </c>
      <c r="AN6" s="85">
        <v>1</v>
      </c>
      <c r="AO6" s="85">
        <v>1</v>
      </c>
      <c r="AP6" s="85">
        <v>1</v>
      </c>
      <c r="AQ6" s="85">
        <v>1</v>
      </c>
      <c r="AR6" s="85">
        <v>1</v>
      </c>
      <c r="AS6" s="85">
        <v>1</v>
      </c>
      <c r="AT6" s="85">
        <v>1</v>
      </c>
      <c r="AU6" s="85">
        <v>1</v>
      </c>
      <c r="AV6" s="85">
        <v>1</v>
      </c>
      <c r="AW6" s="86" t="s">
        <v>55</v>
      </c>
      <c r="AX6" s="86" t="s">
        <v>55</v>
      </c>
      <c r="AY6" s="85">
        <v>1</v>
      </c>
      <c r="AZ6" s="85">
        <v>1</v>
      </c>
      <c r="BA6" s="85">
        <v>1</v>
      </c>
      <c r="BB6" s="85">
        <v>1</v>
      </c>
      <c r="BC6" s="85">
        <v>1</v>
      </c>
      <c r="BD6" s="85">
        <v>1</v>
      </c>
      <c r="BE6" s="85">
        <v>1</v>
      </c>
      <c r="BF6" s="85">
        <v>1</v>
      </c>
      <c r="BG6" s="86" t="s">
        <v>55</v>
      </c>
      <c r="BH6" s="86" t="s">
        <v>55</v>
      </c>
      <c r="BI6" s="85">
        <v>1</v>
      </c>
      <c r="BJ6" s="85">
        <v>1</v>
      </c>
      <c r="BK6" s="86" t="s">
        <v>55</v>
      </c>
      <c r="BL6" s="86" t="s">
        <v>55</v>
      </c>
      <c r="BM6" s="85">
        <v>1</v>
      </c>
      <c r="BN6" s="85">
        <v>1</v>
      </c>
      <c r="BO6" s="85">
        <v>1</v>
      </c>
      <c r="BP6" s="85">
        <v>1</v>
      </c>
      <c r="BQ6" s="7">
        <f t="shared" ref="BQ6:BQ7" si="12">BS6+BT6+BU6+BZ6+BX6+CC6+BW6</f>
        <v>31</v>
      </c>
      <c r="BR6" s="61">
        <v>0</v>
      </c>
      <c r="BS6" s="38">
        <f t="shared" ref="BS6:BS28" si="13">COUNT(E6:AH6)/2+COUNT(AK6:BP6)/2</f>
        <v>25</v>
      </c>
      <c r="BT6" s="39">
        <f t="shared" si="0"/>
        <v>6</v>
      </c>
      <c r="BU6" s="39">
        <f t="shared" si="1"/>
        <v>0</v>
      </c>
      <c r="BV6" s="39">
        <f t="shared" si="2"/>
        <v>0</v>
      </c>
      <c r="BW6" s="39">
        <f t="shared" si="3"/>
        <v>0</v>
      </c>
      <c r="BX6" s="39">
        <f t="shared" si="4"/>
        <v>0</v>
      </c>
      <c r="BY6" s="39">
        <f t="shared" si="5"/>
        <v>0</v>
      </c>
      <c r="BZ6" s="39">
        <f t="shared" si="6"/>
        <v>0</v>
      </c>
      <c r="CA6" s="39">
        <f t="shared" si="7"/>
        <v>0</v>
      </c>
      <c r="CB6" s="39">
        <f t="shared" si="8"/>
        <v>0</v>
      </c>
      <c r="CC6" s="39">
        <f t="shared" si="9"/>
        <v>0</v>
      </c>
      <c r="CD6" s="39">
        <f t="shared" si="10"/>
        <v>0</v>
      </c>
      <c r="CE6" s="40"/>
      <c r="CH6" s="37">
        <v>0</v>
      </c>
      <c r="CI6" s="33">
        <v>0</v>
      </c>
      <c r="CJ6" s="33">
        <v>0</v>
      </c>
      <c r="CK6" s="33">
        <v>0</v>
      </c>
      <c r="CL6" s="33">
        <v>0</v>
      </c>
      <c r="CM6" s="33">
        <v>0</v>
      </c>
      <c r="CN6" s="33">
        <v>0</v>
      </c>
      <c r="CO6" s="33">
        <v>0</v>
      </c>
      <c r="CP6" s="33">
        <v>0</v>
      </c>
      <c r="CQ6" s="33">
        <v>0</v>
      </c>
      <c r="CR6" s="45">
        <f t="shared" si="11"/>
        <v>0</v>
      </c>
    </row>
    <row r="7" spans="1:96" ht="24" customHeight="1" x14ac:dyDescent="0.25">
      <c r="A7" s="33">
        <v>3</v>
      </c>
      <c r="B7" s="39" t="s">
        <v>17</v>
      </c>
      <c r="C7" s="35" t="s">
        <v>18</v>
      </c>
      <c r="D7" s="79">
        <v>35548</v>
      </c>
      <c r="E7" s="93">
        <v>0.47152777777777777</v>
      </c>
      <c r="F7" s="86">
        <v>1</v>
      </c>
      <c r="G7" s="72">
        <v>0.32500000000000001</v>
      </c>
      <c r="H7" s="85">
        <v>1</v>
      </c>
      <c r="I7" s="72">
        <v>0.33124999999999999</v>
      </c>
      <c r="J7" s="85">
        <v>1</v>
      </c>
      <c r="K7" s="72">
        <v>0.33263888888888887</v>
      </c>
      <c r="L7" s="85">
        <v>1</v>
      </c>
      <c r="M7" s="72">
        <v>0.33333333333333331</v>
      </c>
      <c r="N7" s="85">
        <v>1</v>
      </c>
      <c r="O7" s="72">
        <v>0.32569444444444445</v>
      </c>
      <c r="P7" s="72">
        <v>0.71666666666666667</v>
      </c>
      <c r="Q7" s="72">
        <v>0.32847222222222222</v>
      </c>
      <c r="R7" s="72">
        <v>0.7104166666666667</v>
      </c>
      <c r="S7" s="93">
        <v>0.55625000000000002</v>
      </c>
      <c r="T7" s="86">
        <v>1</v>
      </c>
      <c r="U7" s="72">
        <v>0.32777777777777778</v>
      </c>
      <c r="V7" s="85">
        <v>1</v>
      </c>
      <c r="W7" s="72">
        <v>0.32708333333333334</v>
      </c>
      <c r="X7" s="85">
        <v>1</v>
      </c>
      <c r="Y7" s="72">
        <v>0.32361111111111113</v>
      </c>
      <c r="Z7" s="85">
        <v>1</v>
      </c>
      <c r="AA7" s="72">
        <v>0.32291666666666669</v>
      </c>
      <c r="AB7" s="85">
        <v>1</v>
      </c>
      <c r="AC7" s="72">
        <v>0.32569444444444445</v>
      </c>
      <c r="AD7" s="72">
        <v>0.71319444444444446</v>
      </c>
      <c r="AE7" s="72">
        <v>0.31805555555555554</v>
      </c>
      <c r="AF7" s="85">
        <v>1</v>
      </c>
      <c r="AG7" s="93">
        <v>0.56458333333333333</v>
      </c>
      <c r="AH7" s="86">
        <v>1</v>
      </c>
      <c r="AI7" s="84"/>
      <c r="AJ7" s="33">
        <v>3</v>
      </c>
      <c r="AK7" s="72">
        <v>0.32777777777777778</v>
      </c>
      <c r="AL7" s="72">
        <v>0.72777777777777775</v>
      </c>
      <c r="AM7" s="72">
        <v>0.33194444444444443</v>
      </c>
      <c r="AN7" s="85">
        <v>1</v>
      </c>
      <c r="AO7" s="85">
        <v>1</v>
      </c>
      <c r="AP7" s="85">
        <v>1</v>
      </c>
      <c r="AQ7" s="72">
        <v>0.33124999999999999</v>
      </c>
      <c r="AR7" s="85">
        <v>1</v>
      </c>
      <c r="AS7" s="72">
        <v>0.7104166666666667</v>
      </c>
      <c r="AT7" s="85">
        <v>1</v>
      </c>
      <c r="AU7" s="72">
        <v>0.3298611111111111</v>
      </c>
      <c r="AV7" s="85">
        <v>1</v>
      </c>
      <c r="AW7" s="93">
        <v>0.55694444444444446</v>
      </c>
      <c r="AX7" s="86">
        <v>1</v>
      </c>
      <c r="AY7" s="72">
        <v>0.32430555555555557</v>
      </c>
      <c r="AZ7" s="85">
        <v>1</v>
      </c>
      <c r="BA7" s="72">
        <v>0.32569444444444445</v>
      </c>
      <c r="BB7" s="85">
        <v>1</v>
      </c>
      <c r="BC7" s="72">
        <v>0.31944444444444448</v>
      </c>
      <c r="BD7" s="85">
        <v>1</v>
      </c>
      <c r="BE7" s="72">
        <v>0.32083333333333336</v>
      </c>
      <c r="BF7" s="72">
        <v>0.7006944444444444</v>
      </c>
      <c r="BG7" s="86" t="s">
        <v>55</v>
      </c>
      <c r="BH7" s="86" t="s">
        <v>55</v>
      </c>
      <c r="BI7" s="72">
        <v>0.31319444444444444</v>
      </c>
      <c r="BJ7" s="85">
        <v>1</v>
      </c>
      <c r="BK7" s="93">
        <v>0.55625000000000002</v>
      </c>
      <c r="BL7" s="86">
        <v>1</v>
      </c>
      <c r="BM7" s="72">
        <v>0.32430555555555557</v>
      </c>
      <c r="BN7" s="72"/>
      <c r="BO7" s="72">
        <v>0.32916666666666666</v>
      </c>
      <c r="BP7" s="72">
        <v>0.71666666666666667</v>
      </c>
      <c r="BQ7" s="7">
        <f t="shared" si="12"/>
        <v>30.5</v>
      </c>
      <c r="BR7" s="61">
        <v>5</v>
      </c>
      <c r="BS7" s="38">
        <f t="shared" si="13"/>
        <v>29.5</v>
      </c>
      <c r="BT7" s="39">
        <f t="shared" si="0"/>
        <v>1</v>
      </c>
      <c r="BU7" s="39">
        <f t="shared" si="1"/>
        <v>0</v>
      </c>
      <c r="BV7" s="39">
        <f t="shared" si="2"/>
        <v>0</v>
      </c>
      <c r="BW7" s="39">
        <f t="shared" si="3"/>
        <v>0</v>
      </c>
      <c r="BX7" s="39">
        <f t="shared" si="4"/>
        <v>0</v>
      </c>
      <c r="BY7" s="39">
        <f t="shared" si="5"/>
        <v>0</v>
      </c>
      <c r="BZ7" s="39">
        <f t="shared" si="6"/>
        <v>0</v>
      </c>
      <c r="CA7" s="39">
        <f t="shared" si="7"/>
        <v>0</v>
      </c>
      <c r="CB7" s="39">
        <f t="shared" si="8"/>
        <v>0</v>
      </c>
      <c r="CC7" s="39">
        <f t="shared" si="9"/>
        <v>0</v>
      </c>
      <c r="CD7" s="39">
        <f t="shared" si="10"/>
        <v>0</v>
      </c>
      <c r="CE7" s="40"/>
      <c r="CH7" s="37">
        <v>0</v>
      </c>
      <c r="CI7" s="33">
        <v>0</v>
      </c>
      <c r="CJ7" s="33">
        <v>13</v>
      </c>
      <c r="CK7" s="33">
        <v>0</v>
      </c>
      <c r="CL7" s="33">
        <v>0</v>
      </c>
      <c r="CM7" s="33">
        <v>0</v>
      </c>
      <c r="CN7" s="33">
        <v>0</v>
      </c>
      <c r="CO7" s="33">
        <v>0</v>
      </c>
      <c r="CP7" s="33">
        <v>0</v>
      </c>
      <c r="CQ7" s="33">
        <v>0</v>
      </c>
      <c r="CR7" s="44">
        <f t="shared" si="11"/>
        <v>13</v>
      </c>
    </row>
    <row r="8" spans="1:96" ht="24" customHeight="1" x14ac:dyDescent="0.25">
      <c r="A8" s="33">
        <v>4</v>
      </c>
      <c r="B8" s="39" t="s">
        <v>19</v>
      </c>
      <c r="C8" s="35" t="s">
        <v>20</v>
      </c>
      <c r="D8" s="80">
        <v>43952</v>
      </c>
      <c r="E8" s="91" t="s">
        <v>55</v>
      </c>
      <c r="F8" s="91" t="s">
        <v>55</v>
      </c>
      <c r="G8" s="92">
        <v>1</v>
      </c>
      <c r="H8" s="92">
        <v>1</v>
      </c>
      <c r="I8" s="92">
        <v>1</v>
      </c>
      <c r="J8" s="92">
        <v>1</v>
      </c>
      <c r="K8" s="92">
        <v>1</v>
      </c>
      <c r="L8" s="92">
        <v>1</v>
      </c>
      <c r="M8" s="92">
        <v>1</v>
      </c>
      <c r="N8" s="92">
        <v>1</v>
      </c>
      <c r="O8" s="92">
        <v>1</v>
      </c>
      <c r="P8" s="92">
        <v>1</v>
      </c>
      <c r="Q8" s="92">
        <v>1</v>
      </c>
      <c r="R8" s="92">
        <v>1</v>
      </c>
      <c r="S8" s="86" t="s">
        <v>55</v>
      </c>
      <c r="T8" s="86" t="s">
        <v>55</v>
      </c>
      <c r="U8" s="85">
        <v>1</v>
      </c>
      <c r="V8" s="85">
        <v>1</v>
      </c>
      <c r="W8" s="85">
        <v>1</v>
      </c>
      <c r="X8" s="85">
        <v>1</v>
      </c>
      <c r="Y8" s="85">
        <v>1</v>
      </c>
      <c r="Z8" s="85">
        <v>1</v>
      </c>
      <c r="AA8" s="85">
        <v>1</v>
      </c>
      <c r="AB8" s="85">
        <v>1</v>
      </c>
      <c r="AC8" s="85">
        <v>1</v>
      </c>
      <c r="AD8" s="85">
        <v>1</v>
      </c>
      <c r="AE8" s="85">
        <v>1</v>
      </c>
      <c r="AF8" s="85">
        <v>1</v>
      </c>
      <c r="AG8" s="86" t="s">
        <v>55</v>
      </c>
      <c r="AH8" s="86" t="s">
        <v>55</v>
      </c>
      <c r="AI8" s="84"/>
      <c r="AJ8" s="33">
        <v>4</v>
      </c>
      <c r="AK8" s="85">
        <v>1</v>
      </c>
      <c r="AL8" s="85">
        <v>1</v>
      </c>
      <c r="AM8" s="85">
        <v>1</v>
      </c>
      <c r="AN8" s="85">
        <v>1</v>
      </c>
      <c r="AO8" s="85">
        <v>1</v>
      </c>
      <c r="AP8" s="85">
        <v>1</v>
      </c>
      <c r="AQ8" s="85">
        <v>1</v>
      </c>
      <c r="AR8" s="85">
        <v>1</v>
      </c>
      <c r="AS8" s="85">
        <v>1</v>
      </c>
      <c r="AT8" s="85">
        <v>1</v>
      </c>
      <c r="AU8" s="85">
        <v>1</v>
      </c>
      <c r="AV8" s="85">
        <v>1</v>
      </c>
      <c r="AW8" s="86" t="s">
        <v>55</v>
      </c>
      <c r="AX8" s="86" t="s">
        <v>55</v>
      </c>
      <c r="AY8" s="85">
        <v>1</v>
      </c>
      <c r="AZ8" s="85">
        <v>1</v>
      </c>
      <c r="BA8" s="85">
        <v>1</v>
      </c>
      <c r="BB8" s="85">
        <v>1</v>
      </c>
      <c r="BC8" s="85">
        <v>1</v>
      </c>
      <c r="BD8" s="85">
        <v>1</v>
      </c>
      <c r="BE8" s="85">
        <v>1</v>
      </c>
      <c r="BF8" s="85">
        <v>1</v>
      </c>
      <c r="BG8" s="86" t="s">
        <v>55</v>
      </c>
      <c r="BH8" s="86" t="s">
        <v>55</v>
      </c>
      <c r="BI8" s="85">
        <v>1</v>
      </c>
      <c r="BJ8" s="85">
        <v>1</v>
      </c>
      <c r="BK8" s="86" t="s">
        <v>55</v>
      </c>
      <c r="BL8" s="86" t="s">
        <v>55</v>
      </c>
      <c r="BM8" s="85">
        <v>1</v>
      </c>
      <c r="BN8" s="85">
        <v>1</v>
      </c>
      <c r="BO8" s="85">
        <v>1</v>
      </c>
      <c r="BP8" s="85">
        <v>1</v>
      </c>
      <c r="BQ8" s="7">
        <f>BS8+BT8+BU8+BZ8+CC8+BW8+BY8</f>
        <v>31</v>
      </c>
      <c r="BR8" s="61">
        <v>0</v>
      </c>
      <c r="BS8" s="38">
        <f t="shared" si="13"/>
        <v>25</v>
      </c>
      <c r="BT8" s="39">
        <f t="shared" si="0"/>
        <v>6</v>
      </c>
      <c r="BU8" s="39">
        <f t="shared" si="1"/>
        <v>0</v>
      </c>
      <c r="BV8" s="39">
        <f t="shared" si="2"/>
        <v>0</v>
      </c>
      <c r="BW8" s="39">
        <f t="shared" si="3"/>
        <v>0</v>
      </c>
      <c r="BX8" s="39">
        <f t="shared" si="4"/>
        <v>0</v>
      </c>
      <c r="BY8" s="39">
        <f t="shared" si="5"/>
        <v>0</v>
      </c>
      <c r="BZ8" s="39">
        <f t="shared" si="6"/>
        <v>0</v>
      </c>
      <c r="CA8" s="39">
        <f t="shared" si="7"/>
        <v>0</v>
      </c>
      <c r="CB8" s="39">
        <f t="shared" si="8"/>
        <v>0</v>
      </c>
      <c r="CC8" s="39">
        <f t="shared" si="9"/>
        <v>0</v>
      </c>
      <c r="CD8" s="39">
        <f t="shared" si="10"/>
        <v>0</v>
      </c>
      <c r="CE8" s="40"/>
      <c r="CH8" s="37">
        <v>0</v>
      </c>
      <c r="CI8" s="33">
        <v>0</v>
      </c>
      <c r="CJ8" s="33">
        <v>33</v>
      </c>
      <c r="CK8" s="33">
        <v>0</v>
      </c>
      <c r="CL8" s="33">
        <v>0</v>
      </c>
      <c r="CM8" s="33">
        <v>0</v>
      </c>
      <c r="CN8" s="33">
        <v>0</v>
      </c>
      <c r="CO8" s="33">
        <v>0</v>
      </c>
      <c r="CP8" s="33">
        <v>0</v>
      </c>
      <c r="CQ8" s="33">
        <v>0</v>
      </c>
      <c r="CR8" s="44">
        <f t="shared" si="11"/>
        <v>33</v>
      </c>
    </row>
    <row r="9" spans="1:96" ht="24" customHeight="1" x14ac:dyDescent="0.25">
      <c r="A9" s="33">
        <v>5</v>
      </c>
      <c r="B9" s="41" t="s">
        <v>21</v>
      </c>
      <c r="C9" s="42" t="s">
        <v>22</v>
      </c>
      <c r="D9" s="81">
        <v>45600</v>
      </c>
      <c r="E9" s="86" t="s">
        <v>55</v>
      </c>
      <c r="F9" s="86" t="s">
        <v>55</v>
      </c>
      <c r="G9" s="85">
        <v>1</v>
      </c>
      <c r="H9" s="85">
        <v>1</v>
      </c>
      <c r="I9" s="85">
        <v>1</v>
      </c>
      <c r="J9" s="85">
        <v>1</v>
      </c>
      <c r="K9" s="85">
        <v>1</v>
      </c>
      <c r="L9" s="85">
        <v>1</v>
      </c>
      <c r="M9" s="85">
        <v>1</v>
      </c>
      <c r="N9" s="85">
        <v>1</v>
      </c>
      <c r="O9" s="85">
        <v>1</v>
      </c>
      <c r="P9" s="85">
        <v>1</v>
      </c>
      <c r="Q9" s="85">
        <v>1</v>
      </c>
      <c r="R9" s="85">
        <v>1</v>
      </c>
      <c r="S9" s="89" t="s">
        <v>55</v>
      </c>
      <c r="T9" s="89" t="s">
        <v>55</v>
      </c>
      <c r="U9" s="85">
        <v>1</v>
      </c>
      <c r="V9" s="85">
        <v>1</v>
      </c>
      <c r="W9" s="85">
        <v>1</v>
      </c>
      <c r="X9" s="85">
        <v>1</v>
      </c>
      <c r="Y9" s="85">
        <v>1</v>
      </c>
      <c r="Z9" s="85">
        <v>1</v>
      </c>
      <c r="AA9" s="85">
        <v>1</v>
      </c>
      <c r="AB9" s="85">
        <v>1</v>
      </c>
      <c r="AC9" s="85">
        <v>1</v>
      </c>
      <c r="AD9" s="85">
        <v>1</v>
      </c>
      <c r="AE9" s="85">
        <v>1</v>
      </c>
      <c r="AF9" s="85">
        <v>1</v>
      </c>
      <c r="AG9" s="86" t="s">
        <v>55</v>
      </c>
      <c r="AH9" s="86" t="s">
        <v>55</v>
      </c>
      <c r="AI9" s="84"/>
      <c r="AJ9" s="33">
        <v>5</v>
      </c>
      <c r="AK9" s="85">
        <v>1</v>
      </c>
      <c r="AL9" s="85">
        <v>1</v>
      </c>
      <c r="AM9" s="85">
        <v>1</v>
      </c>
      <c r="AN9" s="85">
        <v>1</v>
      </c>
      <c r="AO9" s="85">
        <v>1</v>
      </c>
      <c r="AP9" s="85">
        <v>1</v>
      </c>
      <c r="AQ9" s="85">
        <v>1</v>
      </c>
      <c r="AR9" s="85">
        <v>1</v>
      </c>
      <c r="AS9" s="85">
        <v>1</v>
      </c>
      <c r="AT9" s="85">
        <v>1</v>
      </c>
      <c r="AU9" s="85">
        <v>1</v>
      </c>
      <c r="AV9" s="85">
        <v>1</v>
      </c>
      <c r="AW9" s="86" t="s">
        <v>55</v>
      </c>
      <c r="AX9" s="86" t="s">
        <v>55</v>
      </c>
      <c r="AY9" s="85">
        <v>1</v>
      </c>
      <c r="AZ9" s="85">
        <v>1</v>
      </c>
      <c r="BA9" s="85">
        <v>1</v>
      </c>
      <c r="BB9" s="85">
        <v>1</v>
      </c>
      <c r="BC9" s="85">
        <v>1</v>
      </c>
      <c r="BD9" s="85">
        <v>1</v>
      </c>
      <c r="BE9" s="85">
        <v>1</v>
      </c>
      <c r="BF9" s="85">
        <v>1</v>
      </c>
      <c r="BG9" s="86" t="s">
        <v>55</v>
      </c>
      <c r="BH9" s="86" t="s">
        <v>55</v>
      </c>
      <c r="BI9" s="85">
        <v>1</v>
      </c>
      <c r="BJ9" s="85">
        <v>1</v>
      </c>
      <c r="BK9" s="86" t="s">
        <v>55</v>
      </c>
      <c r="BL9" s="86" t="s">
        <v>55</v>
      </c>
      <c r="BM9" s="85">
        <v>1</v>
      </c>
      <c r="BN9" s="85">
        <v>1</v>
      </c>
      <c r="BO9" s="85">
        <v>1</v>
      </c>
      <c r="BP9" s="85">
        <v>1</v>
      </c>
      <c r="BQ9" s="7">
        <f t="shared" ref="BQ9:BQ28" si="14">BS9+BT9+BU9+BZ9+CC9+BW9+BY9</f>
        <v>31</v>
      </c>
      <c r="BR9" s="61">
        <v>0</v>
      </c>
      <c r="BS9" s="38">
        <f t="shared" si="13"/>
        <v>25</v>
      </c>
      <c r="BT9" s="39">
        <f t="shared" si="0"/>
        <v>6</v>
      </c>
      <c r="BU9" s="39">
        <f t="shared" si="1"/>
        <v>0</v>
      </c>
      <c r="BV9" s="39">
        <f t="shared" si="2"/>
        <v>0</v>
      </c>
      <c r="BW9" s="39">
        <f t="shared" si="3"/>
        <v>0</v>
      </c>
      <c r="BX9" s="39">
        <f t="shared" si="4"/>
        <v>0</v>
      </c>
      <c r="BY9" s="39">
        <f t="shared" si="5"/>
        <v>0</v>
      </c>
      <c r="BZ9" s="39">
        <f t="shared" si="6"/>
        <v>0</v>
      </c>
      <c r="CA9" s="39">
        <f t="shared" si="7"/>
        <v>0</v>
      </c>
      <c r="CB9" s="39">
        <f t="shared" si="8"/>
        <v>0</v>
      </c>
      <c r="CC9" s="39">
        <f t="shared" si="9"/>
        <v>0</v>
      </c>
      <c r="CD9" s="39">
        <f t="shared" si="10"/>
        <v>0</v>
      </c>
      <c r="CE9" s="40" t="s">
        <v>80</v>
      </c>
      <c r="CH9" s="37">
        <v>0</v>
      </c>
      <c r="CI9" s="33">
        <v>0</v>
      </c>
      <c r="CJ9" s="33">
        <v>0</v>
      </c>
      <c r="CK9" s="33">
        <v>0</v>
      </c>
      <c r="CL9" s="33">
        <v>0</v>
      </c>
      <c r="CM9" s="33">
        <v>0</v>
      </c>
      <c r="CN9" s="33">
        <v>0</v>
      </c>
      <c r="CO9" s="33">
        <v>0</v>
      </c>
      <c r="CP9" s="33">
        <v>0</v>
      </c>
      <c r="CQ9" s="33">
        <v>0</v>
      </c>
      <c r="CR9" s="44">
        <f t="shared" si="11"/>
        <v>0</v>
      </c>
    </row>
    <row r="10" spans="1:96" ht="24" customHeight="1" x14ac:dyDescent="0.25">
      <c r="A10" s="33">
        <v>6</v>
      </c>
      <c r="B10" s="39" t="s">
        <v>23</v>
      </c>
      <c r="C10" s="35" t="s">
        <v>24</v>
      </c>
      <c r="D10" s="79">
        <v>41326</v>
      </c>
      <c r="E10" s="86" t="s">
        <v>55</v>
      </c>
      <c r="F10" s="86" t="s">
        <v>55</v>
      </c>
      <c r="G10" s="72">
        <v>0.43402777777777773</v>
      </c>
      <c r="H10" s="72">
        <v>0.72430555555555554</v>
      </c>
      <c r="I10" s="72">
        <v>0.39097222222222222</v>
      </c>
      <c r="J10" s="72">
        <v>0.73055555555555562</v>
      </c>
      <c r="K10" s="72">
        <v>0.42708333333333331</v>
      </c>
      <c r="L10" s="72">
        <v>0.7090277777777777</v>
      </c>
      <c r="M10" s="72">
        <v>0.39930555555555558</v>
      </c>
      <c r="N10" s="72">
        <v>0.73402777777777783</v>
      </c>
      <c r="O10" s="72">
        <v>0.41388888888888892</v>
      </c>
      <c r="P10" s="72">
        <v>0.72916666666666663</v>
      </c>
      <c r="Q10" s="72">
        <v>0.46666666666666662</v>
      </c>
      <c r="R10" s="72">
        <v>0.72986111111111107</v>
      </c>
      <c r="S10" s="89" t="s">
        <v>55</v>
      </c>
      <c r="T10" s="89" t="s">
        <v>55</v>
      </c>
      <c r="U10" s="72">
        <v>0.48194444444444445</v>
      </c>
      <c r="V10" s="72">
        <v>0.69652777777777775</v>
      </c>
      <c r="W10" s="72">
        <v>0.40416666666666662</v>
      </c>
      <c r="X10" s="72">
        <v>0.72361111111111109</v>
      </c>
      <c r="Y10" s="72">
        <v>0.32361111111111113</v>
      </c>
      <c r="Z10" s="85">
        <v>1</v>
      </c>
      <c r="AA10" s="72">
        <v>0.32291666666666669</v>
      </c>
      <c r="AB10" s="85">
        <v>1</v>
      </c>
      <c r="AC10" s="72">
        <v>0.32569444444444445</v>
      </c>
      <c r="AD10" s="72">
        <v>0.71319444444444446</v>
      </c>
      <c r="AE10" s="72">
        <v>0.31805555555555554</v>
      </c>
      <c r="AF10" s="85">
        <v>1</v>
      </c>
      <c r="AG10" s="86" t="s">
        <v>55</v>
      </c>
      <c r="AH10" s="86" t="s">
        <v>55</v>
      </c>
      <c r="AI10" s="84"/>
      <c r="AJ10" s="33">
        <v>6</v>
      </c>
      <c r="AK10" s="72">
        <v>0.43472222222222223</v>
      </c>
      <c r="AL10" s="72">
        <v>0.68402777777777779</v>
      </c>
      <c r="AM10" s="72">
        <v>0.39861111111111108</v>
      </c>
      <c r="AN10" s="72">
        <v>0.69791666666666663</v>
      </c>
      <c r="AO10" s="72">
        <v>0.38611111111111113</v>
      </c>
      <c r="AP10" s="72">
        <v>0.72638888888888886</v>
      </c>
      <c r="AQ10" s="72">
        <v>0.72569444444444453</v>
      </c>
      <c r="AR10" s="85">
        <v>1</v>
      </c>
      <c r="AS10" s="72">
        <v>0.39513888888888887</v>
      </c>
      <c r="AT10" s="72">
        <v>0.72222222222222221</v>
      </c>
      <c r="AU10" s="72">
        <v>0.40972222222222227</v>
      </c>
      <c r="AV10" s="72">
        <v>0.82916666666666661</v>
      </c>
      <c r="AW10" s="93">
        <v>0.37708333333333338</v>
      </c>
      <c r="AX10" s="93">
        <v>0.59722222222222221</v>
      </c>
      <c r="AY10" s="72">
        <v>0.45208333333333334</v>
      </c>
      <c r="AZ10" s="72">
        <v>0.74722222222222223</v>
      </c>
      <c r="BA10" s="72">
        <v>0.4152777777777778</v>
      </c>
      <c r="BB10" s="72">
        <v>0.73888888888888893</v>
      </c>
      <c r="BC10" s="72">
        <v>0.42499999999999999</v>
      </c>
      <c r="BD10" s="72">
        <v>0.73472222222222217</v>
      </c>
      <c r="BE10" s="72">
        <v>0.42222222222222222</v>
      </c>
      <c r="BF10" s="72">
        <v>0.64513888888888882</v>
      </c>
      <c r="BG10" s="86" t="s">
        <v>55</v>
      </c>
      <c r="BH10" s="86" t="s">
        <v>55</v>
      </c>
      <c r="BI10" s="72">
        <v>0.41319444444444442</v>
      </c>
      <c r="BJ10" s="72">
        <v>0.71875</v>
      </c>
      <c r="BK10" s="93">
        <v>0.41250000000000003</v>
      </c>
      <c r="BL10" s="93">
        <v>0.57638888888888895</v>
      </c>
      <c r="BM10" s="72">
        <v>0.45694444444444443</v>
      </c>
      <c r="BN10" s="72">
        <v>0.7270833333333333</v>
      </c>
      <c r="BO10" s="72">
        <v>0.38263888888888892</v>
      </c>
      <c r="BP10" s="72">
        <v>0.70972222222222225</v>
      </c>
      <c r="BQ10" s="7">
        <f t="shared" si="14"/>
        <v>31</v>
      </c>
      <c r="BR10" s="61">
        <v>2</v>
      </c>
      <c r="BS10" s="38">
        <f t="shared" si="13"/>
        <v>27</v>
      </c>
      <c r="BT10" s="39">
        <f t="shared" si="0"/>
        <v>4</v>
      </c>
      <c r="BU10" s="39">
        <f t="shared" si="1"/>
        <v>0</v>
      </c>
      <c r="BV10" s="39">
        <f t="shared" si="2"/>
        <v>0</v>
      </c>
      <c r="BW10" s="39">
        <f t="shared" si="3"/>
        <v>0</v>
      </c>
      <c r="BX10" s="39">
        <f t="shared" si="4"/>
        <v>0</v>
      </c>
      <c r="BY10" s="39">
        <f t="shared" si="5"/>
        <v>0</v>
      </c>
      <c r="BZ10" s="39">
        <f t="shared" si="6"/>
        <v>0</v>
      </c>
      <c r="CA10" s="39">
        <f t="shared" si="7"/>
        <v>0</v>
      </c>
      <c r="CB10" s="39">
        <f t="shared" si="8"/>
        <v>0</v>
      </c>
      <c r="CC10" s="39">
        <f t="shared" si="9"/>
        <v>0</v>
      </c>
      <c r="CD10" s="39">
        <f t="shared" si="10"/>
        <v>0</v>
      </c>
      <c r="CE10" s="40"/>
      <c r="CH10" s="37">
        <v>0</v>
      </c>
      <c r="CI10" s="33">
        <v>0</v>
      </c>
      <c r="CJ10" s="33">
        <v>18</v>
      </c>
      <c r="CK10" s="33">
        <v>0</v>
      </c>
      <c r="CL10" s="33">
        <v>0</v>
      </c>
      <c r="CM10" s="33">
        <v>8</v>
      </c>
      <c r="CN10" s="33">
        <v>0</v>
      </c>
      <c r="CO10" s="33">
        <v>0</v>
      </c>
      <c r="CP10" s="33">
        <v>0</v>
      </c>
      <c r="CQ10" s="33">
        <v>6</v>
      </c>
      <c r="CR10" s="44">
        <f t="shared" si="11"/>
        <v>32</v>
      </c>
    </row>
    <row r="11" spans="1:96" ht="24" customHeight="1" x14ac:dyDescent="0.25">
      <c r="A11" s="33">
        <v>7</v>
      </c>
      <c r="B11" s="39" t="s">
        <v>25</v>
      </c>
      <c r="C11" s="35" t="s">
        <v>26</v>
      </c>
      <c r="D11" s="79">
        <v>43591</v>
      </c>
      <c r="E11" s="93">
        <v>0.58958333333333335</v>
      </c>
      <c r="F11" s="93">
        <v>3.472222222222222E-3</v>
      </c>
      <c r="G11" s="72">
        <v>0.40069444444444446</v>
      </c>
      <c r="H11" s="72">
        <v>5.5555555555555558E-3</v>
      </c>
      <c r="I11" s="72">
        <v>0.35902777777777778</v>
      </c>
      <c r="J11" s="72">
        <v>0.98819444444444438</v>
      </c>
      <c r="K11" s="72">
        <v>0.37986111111111115</v>
      </c>
      <c r="L11" s="72">
        <v>0.99444444444444446</v>
      </c>
      <c r="M11" s="72">
        <v>0.45347222222222222</v>
      </c>
      <c r="N11" s="72">
        <v>0.63750000000000007</v>
      </c>
      <c r="O11" s="72">
        <v>0.36041666666666666</v>
      </c>
      <c r="P11" s="72">
        <v>0.72916666666666663</v>
      </c>
      <c r="Q11" s="72">
        <v>0.38263888888888892</v>
      </c>
      <c r="R11" s="72">
        <v>0.58194444444444449</v>
      </c>
      <c r="S11" s="93">
        <v>0.58958333333333335</v>
      </c>
      <c r="T11" s="93">
        <v>0.9902777777777777</v>
      </c>
      <c r="U11" s="72">
        <v>0.42152777777777778</v>
      </c>
      <c r="V11" s="72">
        <v>2.2916666666666669E-2</v>
      </c>
      <c r="W11" s="72">
        <v>0.39652777777777781</v>
      </c>
      <c r="X11" s="72">
        <v>0.98263888888888884</v>
      </c>
      <c r="Y11" s="72">
        <v>0.39166666666666666</v>
      </c>
      <c r="Z11" s="72">
        <v>0.72777777777777775</v>
      </c>
      <c r="AA11" s="72">
        <v>0.41666666666666669</v>
      </c>
      <c r="AB11" s="72">
        <v>0.71875</v>
      </c>
      <c r="AC11" s="72">
        <v>0.41041666666666665</v>
      </c>
      <c r="AD11" s="72">
        <v>0.72013888888888899</v>
      </c>
      <c r="AE11" s="72">
        <v>0.39583333333333331</v>
      </c>
      <c r="AF11" s="72">
        <v>0.73402777777777783</v>
      </c>
      <c r="AG11" s="93">
        <v>0.56458333333333333</v>
      </c>
      <c r="AH11" s="86">
        <v>1</v>
      </c>
      <c r="AI11" s="84"/>
      <c r="AJ11" s="33">
        <v>7</v>
      </c>
      <c r="AK11" s="72">
        <v>0.39097222222222222</v>
      </c>
      <c r="AL11" s="72">
        <v>1.4583333333333332E-2</v>
      </c>
      <c r="AM11" s="72">
        <v>0.39652777777777781</v>
      </c>
      <c r="AN11" s="72">
        <v>6.9444444444444441E-3</v>
      </c>
      <c r="AO11" s="72">
        <v>0.42777777777777781</v>
      </c>
      <c r="AP11" s="72">
        <v>0.98611111111111116</v>
      </c>
      <c r="AQ11" s="72">
        <v>0.40416666666666662</v>
      </c>
      <c r="AR11" s="72">
        <v>0.98749999999999993</v>
      </c>
      <c r="AS11" s="72">
        <v>0.40347222222222223</v>
      </c>
      <c r="AT11" s="72">
        <v>0.99305555555555547</v>
      </c>
      <c r="AU11" s="72">
        <v>0.38194444444444442</v>
      </c>
      <c r="AV11" s="72">
        <v>1.3194444444444444E-2</v>
      </c>
      <c r="AW11" s="93">
        <v>0.58402777777777781</v>
      </c>
      <c r="AX11" s="93">
        <v>0.7402777777777777</v>
      </c>
      <c r="AY11" s="72">
        <v>0.37152777777777773</v>
      </c>
      <c r="AZ11" s="72">
        <v>7.6388888888888886E-3</v>
      </c>
      <c r="BA11" s="72">
        <v>0.37638888888888888</v>
      </c>
      <c r="BB11" s="72">
        <v>2.9166666666666664E-2</v>
      </c>
      <c r="BC11" s="72">
        <v>0.375</v>
      </c>
      <c r="BD11" s="72">
        <v>0.74097222222222225</v>
      </c>
      <c r="BE11" s="85">
        <v>1</v>
      </c>
      <c r="BF11" s="72">
        <v>8.1944444444444445E-2</v>
      </c>
      <c r="BG11" s="86" t="s">
        <v>55</v>
      </c>
      <c r="BH11" s="86" t="s">
        <v>55</v>
      </c>
      <c r="BI11" s="72">
        <v>0.39305555555555555</v>
      </c>
      <c r="BJ11" s="72">
        <v>1.0416666666666666E-2</v>
      </c>
      <c r="BK11" s="93">
        <v>0.58680555555555558</v>
      </c>
      <c r="BL11" s="93">
        <v>0.9819444444444444</v>
      </c>
      <c r="BM11" s="72">
        <v>0.38194444444444442</v>
      </c>
      <c r="BN11" s="72">
        <v>6.9444444444444441E-3</v>
      </c>
      <c r="BO11" s="72">
        <v>0.3833333333333333</v>
      </c>
      <c r="BP11" s="72">
        <v>0.54652777777777783</v>
      </c>
      <c r="BQ11" s="7">
        <f t="shared" si="14"/>
        <v>31</v>
      </c>
      <c r="BR11" s="61">
        <v>5</v>
      </c>
      <c r="BS11" s="38">
        <f t="shared" si="13"/>
        <v>30</v>
      </c>
      <c r="BT11" s="39">
        <f t="shared" ref="BT11:BT12" si="15">COUNTIF(E11:BP11,"OFF")/2</f>
        <v>1</v>
      </c>
      <c r="BU11" s="39">
        <f t="shared" ref="BU11:BU12" si="16">COUNTIF(E11:BP11,"MC")/2</f>
        <v>0</v>
      </c>
      <c r="BV11" s="39">
        <f t="shared" ref="BV11:BV12" si="17">COUNTIF(E11:BP11,"EL")/2</f>
        <v>0</v>
      </c>
      <c r="BW11" s="39">
        <f t="shared" ref="BW11:BW12" si="18">COUNTIF(E11:BP11,"AL")/2</f>
        <v>0</v>
      </c>
      <c r="BX11" s="39">
        <f t="shared" ref="BX11:BX12" si="19">COUNTIF(E11:BP11,"SUS")/2</f>
        <v>0</v>
      </c>
      <c r="BY11" s="39">
        <f t="shared" ref="BY11:BY12" si="20">COUNTIF(E11:BP11,"FL")/2</f>
        <v>0</v>
      </c>
      <c r="BZ11" s="39">
        <f t="shared" ref="BZ11:BZ12" si="21">COUNTIF(E11:BP11,"SICK")/2</f>
        <v>0</v>
      </c>
      <c r="CA11" s="39">
        <f t="shared" ref="CA11:CA12" si="22">COUNTIF(E11:BP11,"HD")/2</f>
        <v>0</v>
      </c>
      <c r="CB11" s="39">
        <f t="shared" ref="CB11:CB12" si="23">COUNTIF(E11:BP11,"AB")/2</f>
        <v>0</v>
      </c>
      <c r="CC11" s="39">
        <f t="shared" ref="CC11:CC12" si="24">COUNTIF(E11:BP11,"NL")/2</f>
        <v>0</v>
      </c>
      <c r="CD11" s="39">
        <f t="shared" ref="CD11:CD12" si="25">COUNTIF(E11:BP11,"SP")/2</f>
        <v>0</v>
      </c>
      <c r="CE11" s="40" t="s">
        <v>80</v>
      </c>
      <c r="CH11" s="37">
        <v>0</v>
      </c>
      <c r="CI11" s="33">
        <v>0</v>
      </c>
      <c r="CJ11" s="33">
        <v>27</v>
      </c>
      <c r="CK11" s="33">
        <v>0</v>
      </c>
      <c r="CL11" s="33">
        <v>0</v>
      </c>
      <c r="CM11" s="33">
        <v>7</v>
      </c>
      <c r="CN11" s="33">
        <v>0</v>
      </c>
      <c r="CO11" s="33">
        <v>0</v>
      </c>
      <c r="CP11" s="33">
        <v>0</v>
      </c>
      <c r="CQ11" s="33">
        <v>0</v>
      </c>
      <c r="CR11" s="44">
        <f t="shared" si="11"/>
        <v>34</v>
      </c>
    </row>
    <row r="12" spans="1:96" ht="24" customHeight="1" x14ac:dyDescent="0.25">
      <c r="A12" s="33">
        <v>8</v>
      </c>
      <c r="B12" s="39" t="s">
        <v>27</v>
      </c>
      <c r="C12" s="35" t="s">
        <v>28</v>
      </c>
      <c r="D12" s="79">
        <v>44531</v>
      </c>
      <c r="E12" s="86" t="s">
        <v>55</v>
      </c>
      <c r="F12" s="86" t="s">
        <v>55</v>
      </c>
      <c r="G12" s="85">
        <v>1</v>
      </c>
      <c r="H12" s="85">
        <v>1</v>
      </c>
      <c r="I12" s="85">
        <v>1</v>
      </c>
      <c r="J12" s="85">
        <v>1</v>
      </c>
      <c r="K12" s="85">
        <v>1</v>
      </c>
      <c r="L12" s="85">
        <v>1</v>
      </c>
      <c r="M12" s="85">
        <v>1</v>
      </c>
      <c r="N12" s="85">
        <v>1</v>
      </c>
      <c r="O12" s="85">
        <v>1</v>
      </c>
      <c r="P12" s="85">
        <v>1</v>
      </c>
      <c r="Q12" s="85">
        <v>1</v>
      </c>
      <c r="R12" s="85">
        <v>1</v>
      </c>
      <c r="S12" s="86" t="s">
        <v>55</v>
      </c>
      <c r="T12" s="86" t="s">
        <v>55</v>
      </c>
      <c r="U12" s="85">
        <v>1</v>
      </c>
      <c r="V12" s="85">
        <v>1</v>
      </c>
      <c r="W12" s="85">
        <v>1</v>
      </c>
      <c r="X12" s="85">
        <v>1</v>
      </c>
      <c r="Y12" s="72">
        <v>0.22013888888888888</v>
      </c>
      <c r="Z12" s="85">
        <v>1</v>
      </c>
      <c r="AA12" s="72">
        <v>0.24652777777777779</v>
      </c>
      <c r="AB12" s="85">
        <v>1</v>
      </c>
      <c r="AC12" s="72">
        <v>0.24791666666666667</v>
      </c>
      <c r="AD12" s="85">
        <v>1</v>
      </c>
      <c r="AE12" s="72">
        <v>0.29791666666666666</v>
      </c>
      <c r="AF12" s="85">
        <v>1</v>
      </c>
      <c r="AG12" s="86" t="s">
        <v>55</v>
      </c>
      <c r="AH12" s="86" t="s">
        <v>55</v>
      </c>
      <c r="AI12" s="84"/>
      <c r="AJ12" s="33">
        <v>8</v>
      </c>
      <c r="AK12" s="85">
        <v>1</v>
      </c>
      <c r="AL12" s="85">
        <v>1</v>
      </c>
      <c r="AM12" s="72">
        <v>0.59652777777777777</v>
      </c>
      <c r="AN12" s="85">
        <v>1</v>
      </c>
      <c r="AO12" s="85">
        <v>1</v>
      </c>
      <c r="AP12" s="85">
        <v>1</v>
      </c>
      <c r="AQ12" s="72">
        <v>0.5756944444444444</v>
      </c>
      <c r="AR12" s="85">
        <v>1</v>
      </c>
      <c r="AS12" s="72">
        <v>0.27916666666666667</v>
      </c>
      <c r="AT12" s="85">
        <v>1</v>
      </c>
      <c r="AU12" s="72">
        <v>0.24930555555555556</v>
      </c>
      <c r="AV12" s="85">
        <v>1</v>
      </c>
      <c r="AW12" s="86" t="s">
        <v>55</v>
      </c>
      <c r="AX12" s="86" t="s">
        <v>55</v>
      </c>
      <c r="AY12" s="72">
        <v>0.43541666666666662</v>
      </c>
      <c r="AZ12" s="85">
        <v>1</v>
      </c>
      <c r="BA12" s="72">
        <v>0.75763888888888886</v>
      </c>
      <c r="BB12" s="85">
        <v>1</v>
      </c>
      <c r="BC12" s="72">
        <v>0.24791666666666667</v>
      </c>
      <c r="BD12" s="85">
        <v>1</v>
      </c>
      <c r="BE12" s="72">
        <v>0.42152777777777778</v>
      </c>
      <c r="BF12" s="85">
        <v>1</v>
      </c>
      <c r="BG12" s="86" t="s">
        <v>55</v>
      </c>
      <c r="BH12" s="86" t="s">
        <v>55</v>
      </c>
      <c r="BI12" s="85">
        <v>1</v>
      </c>
      <c r="BJ12" s="85">
        <v>1</v>
      </c>
      <c r="BK12" s="86" t="s">
        <v>55</v>
      </c>
      <c r="BL12" s="86" t="s">
        <v>55</v>
      </c>
      <c r="BM12" s="72">
        <v>0.57291666666666663</v>
      </c>
      <c r="BN12" s="85">
        <v>1</v>
      </c>
      <c r="BO12" s="85">
        <v>1</v>
      </c>
      <c r="BP12" s="85">
        <v>1</v>
      </c>
      <c r="BQ12" s="7">
        <f t="shared" si="14"/>
        <v>31</v>
      </c>
      <c r="BR12" s="61">
        <v>0</v>
      </c>
      <c r="BS12" s="38">
        <f t="shared" si="13"/>
        <v>25</v>
      </c>
      <c r="BT12" s="39">
        <f t="shared" si="15"/>
        <v>6</v>
      </c>
      <c r="BU12" s="39">
        <f t="shared" si="16"/>
        <v>0</v>
      </c>
      <c r="BV12" s="39">
        <f t="shared" si="17"/>
        <v>0</v>
      </c>
      <c r="BW12" s="39">
        <f t="shared" si="18"/>
        <v>0</v>
      </c>
      <c r="BX12" s="39">
        <f t="shared" si="19"/>
        <v>0</v>
      </c>
      <c r="BY12" s="39">
        <f t="shared" si="20"/>
        <v>0</v>
      </c>
      <c r="BZ12" s="39">
        <f t="shared" si="21"/>
        <v>0</v>
      </c>
      <c r="CA12" s="39">
        <f t="shared" si="22"/>
        <v>0</v>
      </c>
      <c r="CB12" s="39">
        <f t="shared" si="23"/>
        <v>0</v>
      </c>
      <c r="CC12" s="39">
        <f t="shared" si="24"/>
        <v>0</v>
      </c>
      <c r="CD12" s="39">
        <f t="shared" si="25"/>
        <v>0</v>
      </c>
      <c r="CE12" s="40"/>
      <c r="CH12" s="37">
        <v>0</v>
      </c>
      <c r="CI12" s="33">
        <v>0</v>
      </c>
      <c r="CJ12" s="33">
        <v>17</v>
      </c>
      <c r="CK12" s="33">
        <v>0</v>
      </c>
      <c r="CL12" s="33">
        <v>0</v>
      </c>
      <c r="CM12" s="33">
        <v>0</v>
      </c>
      <c r="CN12" s="33">
        <v>0</v>
      </c>
      <c r="CO12" s="33">
        <v>0</v>
      </c>
      <c r="CP12" s="33">
        <v>0</v>
      </c>
      <c r="CQ12" s="33">
        <v>0</v>
      </c>
      <c r="CR12" s="44">
        <f t="shared" si="11"/>
        <v>17</v>
      </c>
    </row>
    <row r="13" spans="1:96" ht="24" customHeight="1" x14ac:dyDescent="0.25">
      <c r="A13" s="33">
        <v>9</v>
      </c>
      <c r="B13" s="39" t="s">
        <v>29</v>
      </c>
      <c r="C13" s="35" t="s">
        <v>30</v>
      </c>
      <c r="D13" s="79">
        <v>43542</v>
      </c>
      <c r="E13" s="93">
        <v>0.5756944444444444</v>
      </c>
      <c r="F13" s="93">
        <v>0.9506944444444444</v>
      </c>
      <c r="G13" s="72">
        <v>0.34027777777777773</v>
      </c>
      <c r="H13" s="72">
        <v>0.97291666666666676</v>
      </c>
      <c r="I13" s="72">
        <v>0.3444444444444445</v>
      </c>
      <c r="J13" s="72">
        <v>0.95347222222222217</v>
      </c>
      <c r="K13" s="72">
        <v>0.35069444444444442</v>
      </c>
      <c r="L13" s="72">
        <v>0.95694444444444438</v>
      </c>
      <c r="M13" s="85">
        <v>1</v>
      </c>
      <c r="N13" s="72">
        <v>0.94930555555555562</v>
      </c>
      <c r="O13" s="72">
        <v>0.3444444444444445</v>
      </c>
      <c r="P13" s="72">
        <v>0.95347222222222217</v>
      </c>
      <c r="Q13" s="72">
        <v>0.34166666666666662</v>
      </c>
      <c r="R13" s="72">
        <v>0.97430555555555554</v>
      </c>
      <c r="S13" s="86" t="s">
        <v>55</v>
      </c>
      <c r="T13" s="86" t="s">
        <v>55</v>
      </c>
      <c r="U13" s="72">
        <v>0.32916666666666666</v>
      </c>
      <c r="V13" s="72">
        <v>0.97083333333333333</v>
      </c>
      <c r="W13" s="72">
        <v>0.34652777777777777</v>
      </c>
      <c r="X13" s="72">
        <v>0.95277777777777783</v>
      </c>
      <c r="Y13" s="72">
        <v>0.34583333333333338</v>
      </c>
      <c r="Z13" s="72">
        <v>0.9506944444444444</v>
      </c>
      <c r="AA13" s="72">
        <v>0.3444444444444445</v>
      </c>
      <c r="AB13" s="72">
        <v>0.95486111111111116</v>
      </c>
      <c r="AC13" s="72">
        <v>0.34375</v>
      </c>
      <c r="AD13" s="72">
        <v>0.9506944444444444</v>
      </c>
      <c r="AE13" s="72">
        <v>0.3444444444444445</v>
      </c>
      <c r="AF13" s="72">
        <v>0.9770833333333333</v>
      </c>
      <c r="AG13" s="93">
        <v>0.57777777777777783</v>
      </c>
      <c r="AH13" s="93">
        <v>0.95486111111111116</v>
      </c>
      <c r="AI13" s="84"/>
      <c r="AJ13" s="33">
        <v>9</v>
      </c>
      <c r="AK13" s="72">
        <v>0.34652777777777777</v>
      </c>
      <c r="AL13" s="72">
        <v>0.97569444444444453</v>
      </c>
      <c r="AM13" s="72">
        <v>0.34236111111111112</v>
      </c>
      <c r="AN13" s="72">
        <v>0.95416666666666661</v>
      </c>
      <c r="AO13" s="72">
        <v>0.34652777777777777</v>
      </c>
      <c r="AP13" s="72">
        <v>0.95486111111111116</v>
      </c>
      <c r="AQ13" s="72">
        <v>0.34236111111111112</v>
      </c>
      <c r="AR13" s="72">
        <v>0.9506944444444444</v>
      </c>
      <c r="AS13" s="72">
        <v>0.34583333333333338</v>
      </c>
      <c r="AT13" s="72">
        <v>0.95416666666666661</v>
      </c>
      <c r="AU13" s="72">
        <v>0.34166666666666662</v>
      </c>
      <c r="AV13" s="72">
        <v>0.97569444444444453</v>
      </c>
      <c r="AW13" s="86" t="s">
        <v>55</v>
      </c>
      <c r="AX13" s="86" t="s">
        <v>55</v>
      </c>
      <c r="AY13" s="72">
        <v>0.33958333333333335</v>
      </c>
      <c r="AZ13" s="72">
        <v>0.96944444444444444</v>
      </c>
      <c r="BA13" s="72">
        <v>0.34097222222222223</v>
      </c>
      <c r="BB13" s="72">
        <v>0.9555555555555556</v>
      </c>
      <c r="BC13" s="72">
        <v>0.34166666666666662</v>
      </c>
      <c r="BD13" s="72">
        <v>0.97361111111111109</v>
      </c>
      <c r="BE13" s="72">
        <v>0.34513888888888888</v>
      </c>
      <c r="BF13" s="72">
        <v>0.97152777777777777</v>
      </c>
      <c r="BG13" s="86" t="s">
        <v>55</v>
      </c>
      <c r="BH13" s="86" t="s">
        <v>55</v>
      </c>
      <c r="BI13" s="72">
        <v>0.33680555555555558</v>
      </c>
      <c r="BJ13" s="85">
        <v>1</v>
      </c>
      <c r="BK13" s="93">
        <v>0.57430555555555551</v>
      </c>
      <c r="BL13" s="93">
        <v>0.95486111111111116</v>
      </c>
      <c r="BM13" s="72">
        <v>0.34375</v>
      </c>
      <c r="BN13" s="72">
        <v>0.97013888888888899</v>
      </c>
      <c r="BO13" s="72">
        <v>0.34513888888888888</v>
      </c>
      <c r="BP13" s="72">
        <v>0.95624999999999993</v>
      </c>
      <c r="BQ13" s="7">
        <f t="shared" si="14"/>
        <v>31</v>
      </c>
      <c r="BR13" s="61">
        <v>3</v>
      </c>
      <c r="BS13" s="38">
        <f t="shared" si="13"/>
        <v>28</v>
      </c>
      <c r="BT13" s="39">
        <f>COUNTIF(E13:BP13,"OFF")/2</f>
        <v>3</v>
      </c>
      <c r="BU13" s="39">
        <f>COUNTIF(E13:BP13,"MC")/2</f>
        <v>0</v>
      </c>
      <c r="BV13" s="39">
        <f>COUNTIF(E13:BP13,"EL")/2</f>
        <v>0</v>
      </c>
      <c r="BW13" s="39">
        <f>COUNTIF(E13:BP13,"AL")/2</f>
        <v>0</v>
      </c>
      <c r="BX13" s="39">
        <f>COUNTIF(E13:BP13,"SUS")/2</f>
        <v>0</v>
      </c>
      <c r="BY13" s="39">
        <f>COUNTIF(E13:BP13,"FL")/2</f>
        <v>0</v>
      </c>
      <c r="BZ13" s="39">
        <f>COUNTIF(E13:BP13,"SICK")/2</f>
        <v>0</v>
      </c>
      <c r="CA13" s="39">
        <f>COUNTIF(E13:BP13,"HD")/2</f>
        <v>0</v>
      </c>
      <c r="CB13" s="39">
        <f>COUNTIF(E13:BP13,"AB")/2</f>
        <v>0</v>
      </c>
      <c r="CC13" s="39">
        <f>COUNTIF(E13:BP13,"NL")/2</f>
        <v>0</v>
      </c>
      <c r="CD13" s="39">
        <f>COUNTIF(E13:BP13,"SP")/2</f>
        <v>0</v>
      </c>
      <c r="CE13" s="40" t="s">
        <v>80</v>
      </c>
      <c r="CH13" s="37">
        <v>0</v>
      </c>
      <c r="CI13" s="33">
        <v>0</v>
      </c>
      <c r="CJ13" s="33">
        <v>20</v>
      </c>
      <c r="CK13" s="33">
        <v>0</v>
      </c>
      <c r="CL13" s="33">
        <v>0</v>
      </c>
      <c r="CM13" s="33">
        <v>2</v>
      </c>
      <c r="CN13" s="33">
        <v>0</v>
      </c>
      <c r="CO13" s="33">
        <v>0</v>
      </c>
      <c r="CP13" s="33">
        <v>0</v>
      </c>
      <c r="CQ13" s="33">
        <v>0</v>
      </c>
      <c r="CR13" s="44">
        <f t="shared" si="11"/>
        <v>22</v>
      </c>
    </row>
    <row r="14" spans="1:96" ht="24" customHeight="1" x14ac:dyDescent="0.25">
      <c r="A14" s="33">
        <v>10</v>
      </c>
      <c r="B14" s="39" t="s">
        <v>31</v>
      </c>
      <c r="C14" s="35" t="s">
        <v>32</v>
      </c>
      <c r="D14" s="79">
        <v>41888</v>
      </c>
      <c r="E14" s="86" t="s">
        <v>55</v>
      </c>
      <c r="F14" s="86" t="s">
        <v>55</v>
      </c>
      <c r="G14" s="72">
        <v>0.64722222222222225</v>
      </c>
      <c r="H14" s="72">
        <v>0.97222222222222221</v>
      </c>
      <c r="I14" s="72">
        <v>0.65</v>
      </c>
      <c r="J14" s="72">
        <v>0.95486111111111116</v>
      </c>
      <c r="K14" s="72">
        <v>0.64861111111111114</v>
      </c>
      <c r="L14" s="72">
        <v>0.95624999999999993</v>
      </c>
      <c r="M14" s="72">
        <v>0.64861111111111114</v>
      </c>
      <c r="N14" s="72">
        <v>0.9506944444444444</v>
      </c>
      <c r="O14" s="72">
        <v>0.64861111111111114</v>
      </c>
      <c r="P14" s="72">
        <v>0.94861111111111107</v>
      </c>
      <c r="Q14" s="72">
        <v>0.65</v>
      </c>
      <c r="R14" s="72">
        <v>0.97361111111111109</v>
      </c>
      <c r="S14" s="93">
        <v>0.5854166666666667</v>
      </c>
      <c r="T14" s="93">
        <v>0.95138888888888884</v>
      </c>
      <c r="U14" s="72">
        <v>0.3576388888888889</v>
      </c>
      <c r="V14" s="72">
        <v>0.64722222222222225</v>
      </c>
      <c r="W14" s="85" t="s">
        <v>96</v>
      </c>
      <c r="X14" s="85" t="s">
        <v>96</v>
      </c>
      <c r="Y14" s="85" t="s">
        <v>63</v>
      </c>
      <c r="Z14" s="85" t="s">
        <v>63</v>
      </c>
      <c r="AA14" s="72">
        <v>0.35416666666666669</v>
      </c>
      <c r="AB14" s="72">
        <v>0.64930555555555558</v>
      </c>
      <c r="AC14" s="72">
        <v>0.35902777777777778</v>
      </c>
      <c r="AD14" s="72">
        <v>0.56874999999999998</v>
      </c>
      <c r="AE14" s="72">
        <v>0.35625000000000001</v>
      </c>
      <c r="AF14" s="72">
        <v>0.6479166666666667</v>
      </c>
      <c r="AG14" s="86" t="s">
        <v>55</v>
      </c>
      <c r="AH14" s="86" t="s">
        <v>55</v>
      </c>
      <c r="AI14" s="84"/>
      <c r="AJ14" s="33">
        <v>10</v>
      </c>
      <c r="AK14" s="72">
        <v>0.65</v>
      </c>
      <c r="AL14" s="72">
        <v>0.96875</v>
      </c>
      <c r="AM14" s="72">
        <v>0.64652777777777781</v>
      </c>
      <c r="AN14" s="72">
        <v>0.96111111111111114</v>
      </c>
      <c r="AO14" s="72">
        <v>0.64583333333333337</v>
      </c>
      <c r="AP14" s="72">
        <v>0.95277777777777783</v>
      </c>
      <c r="AQ14" s="72">
        <v>0.65138888888888891</v>
      </c>
      <c r="AR14" s="72">
        <v>0.95138888888888884</v>
      </c>
      <c r="AS14" s="72">
        <v>0.64722222222222225</v>
      </c>
      <c r="AT14" s="72">
        <v>0.95138888888888884</v>
      </c>
      <c r="AU14" s="72">
        <v>0.64861111111111114</v>
      </c>
      <c r="AV14" s="72">
        <v>0.97083333333333333</v>
      </c>
      <c r="AW14" s="93">
        <v>0.5854166666666667</v>
      </c>
      <c r="AX14" s="93">
        <v>0.9506944444444444</v>
      </c>
      <c r="AY14" s="72">
        <v>0.35555555555555557</v>
      </c>
      <c r="AZ14" s="72">
        <v>0.6479166666666667</v>
      </c>
      <c r="BA14" s="72">
        <v>0.35625000000000001</v>
      </c>
      <c r="BB14" s="72">
        <v>0.64583333333333337</v>
      </c>
      <c r="BC14" s="72">
        <v>0.35555555555555557</v>
      </c>
      <c r="BD14" s="72">
        <v>0.64722222222222225</v>
      </c>
      <c r="BE14" s="72">
        <v>0.35833333333333334</v>
      </c>
      <c r="BF14" s="72">
        <v>0.64583333333333337</v>
      </c>
      <c r="BG14" s="86" t="s">
        <v>55</v>
      </c>
      <c r="BH14" s="86" t="s">
        <v>55</v>
      </c>
      <c r="BI14" s="72">
        <v>0.3576388888888889</v>
      </c>
      <c r="BJ14" s="72">
        <v>0.6479166666666667</v>
      </c>
      <c r="BK14" s="86" t="s">
        <v>55</v>
      </c>
      <c r="BL14" s="86" t="s">
        <v>55</v>
      </c>
      <c r="BM14" s="72">
        <v>0.64652777777777781</v>
      </c>
      <c r="BN14" s="72">
        <v>0.96666666666666667</v>
      </c>
      <c r="BO14" s="72">
        <v>0.6479166666666667</v>
      </c>
      <c r="BP14" s="72">
        <v>0.9243055555555556</v>
      </c>
      <c r="BQ14" s="7">
        <f t="shared" si="14"/>
        <v>30</v>
      </c>
      <c r="BR14" s="61">
        <v>2</v>
      </c>
      <c r="BS14" s="38">
        <f t="shared" si="13"/>
        <v>25</v>
      </c>
      <c r="BT14" s="39">
        <f>COUNTIF(E14:BN14,"OFF")/2</f>
        <v>4</v>
      </c>
      <c r="BU14" s="39">
        <f>COUNTIF(E14:BN14,"MC")/2</f>
        <v>0</v>
      </c>
      <c r="BV14" s="39">
        <f>COUNTIF(E14:BN14,"EL")/2</f>
        <v>0</v>
      </c>
      <c r="BW14" s="39">
        <f>COUNTIF(E14:BN14,"AL")/2</f>
        <v>0</v>
      </c>
      <c r="BX14" s="39">
        <f>COUNTIF(E14:BN14,"SUS")/2</f>
        <v>0</v>
      </c>
      <c r="BY14" s="39">
        <f>COUNTIF(E14:BN14,"FL")/2</f>
        <v>0</v>
      </c>
      <c r="BZ14" s="39">
        <f>COUNTIF(E14:BN14,"SICK")/2</f>
        <v>1</v>
      </c>
      <c r="CA14" s="39">
        <f>COUNTIF(E14:BN14,"HD")/2</f>
        <v>0</v>
      </c>
      <c r="CB14" s="39">
        <f>COUNTIF(E14:BN14,"AB")/2</f>
        <v>1</v>
      </c>
      <c r="CC14" s="39">
        <f>COUNTIF(E14:BN14,"NL")/2</f>
        <v>0</v>
      </c>
      <c r="CD14" s="39">
        <f>COUNTIF(E14:BN14,"SP")/2</f>
        <v>0</v>
      </c>
      <c r="CE14" s="40"/>
      <c r="CH14" s="37">
        <v>4</v>
      </c>
      <c r="CI14" s="33">
        <v>1</v>
      </c>
      <c r="CJ14" s="62">
        <v>30</v>
      </c>
      <c r="CK14" s="33">
        <v>0</v>
      </c>
      <c r="CL14" s="33">
        <v>0</v>
      </c>
      <c r="CM14" s="33">
        <v>12</v>
      </c>
      <c r="CN14" s="33">
        <v>0</v>
      </c>
      <c r="CO14" s="33">
        <v>2</v>
      </c>
      <c r="CP14" s="33">
        <v>30</v>
      </c>
      <c r="CQ14" s="33">
        <v>0</v>
      </c>
      <c r="CR14" s="44">
        <f t="shared" si="11"/>
        <v>79</v>
      </c>
    </row>
    <row r="15" spans="1:96" ht="24" customHeight="1" x14ac:dyDescent="0.25">
      <c r="A15" s="33">
        <v>11</v>
      </c>
      <c r="B15" s="39" t="s">
        <v>33</v>
      </c>
      <c r="C15" s="35" t="s">
        <v>34</v>
      </c>
      <c r="D15" s="79">
        <v>44513</v>
      </c>
      <c r="E15" s="86" t="s">
        <v>55</v>
      </c>
      <c r="F15" s="86" t="s">
        <v>55</v>
      </c>
      <c r="G15" s="72">
        <v>0.35555555555555557</v>
      </c>
      <c r="H15" s="72">
        <v>0.97916666666666663</v>
      </c>
      <c r="I15" s="72">
        <v>0.35347222222222219</v>
      </c>
      <c r="J15" s="72">
        <v>0.96180555555555547</v>
      </c>
      <c r="K15" s="72">
        <v>0.35555555555555557</v>
      </c>
      <c r="L15" s="72">
        <v>0.97291666666666676</v>
      </c>
      <c r="M15" s="72">
        <v>0.96388888888888891</v>
      </c>
      <c r="N15" s="85">
        <v>1</v>
      </c>
      <c r="O15" s="72">
        <v>0.35347222222222219</v>
      </c>
      <c r="P15" s="72">
        <v>0.97222222222222221</v>
      </c>
      <c r="Q15" s="72">
        <v>0.3520833333333333</v>
      </c>
      <c r="R15" s="72">
        <v>0.98541666666666661</v>
      </c>
      <c r="S15" s="93">
        <v>0.57986111111111105</v>
      </c>
      <c r="T15" s="93">
        <v>0.96736111111111101</v>
      </c>
      <c r="U15" s="72">
        <v>0.52638888888888891</v>
      </c>
      <c r="V15" s="72">
        <v>0.95833333333333337</v>
      </c>
      <c r="W15" s="72">
        <v>0.35486111111111113</v>
      </c>
      <c r="X15" s="72">
        <v>0.95833333333333337</v>
      </c>
      <c r="Y15" s="72">
        <v>0.35069444444444442</v>
      </c>
      <c r="Z15" s="72">
        <v>0.95833333333333337</v>
      </c>
      <c r="AA15" s="87" t="s">
        <v>56</v>
      </c>
      <c r="AB15" s="87" t="s">
        <v>56</v>
      </c>
      <c r="AC15" s="72">
        <v>0.34930555555555554</v>
      </c>
      <c r="AD15" s="72">
        <v>0.95833333333333337</v>
      </c>
      <c r="AE15" s="72">
        <v>0.35069444444444442</v>
      </c>
      <c r="AF15" s="72">
        <v>0.98263888888888884</v>
      </c>
      <c r="AG15" s="86" t="s">
        <v>55</v>
      </c>
      <c r="AH15" s="86" t="s">
        <v>55</v>
      </c>
      <c r="AI15" s="84"/>
      <c r="AJ15" s="33">
        <v>11</v>
      </c>
      <c r="AK15" s="72">
        <v>0.38958333333333334</v>
      </c>
      <c r="AL15" s="72">
        <v>0.98749999999999993</v>
      </c>
      <c r="AM15" s="72">
        <v>0.35347222222222219</v>
      </c>
      <c r="AN15" s="72">
        <v>0.95833333333333337</v>
      </c>
      <c r="AO15" s="72">
        <v>0.35416666666666669</v>
      </c>
      <c r="AP15" s="72">
        <v>0.96319444444444446</v>
      </c>
      <c r="AQ15" s="72">
        <v>0.34513888888888888</v>
      </c>
      <c r="AR15" s="72">
        <v>0.92708333333333337</v>
      </c>
      <c r="AS15" s="72">
        <v>0.3444444444444445</v>
      </c>
      <c r="AT15" s="72">
        <v>0.94305555555555554</v>
      </c>
      <c r="AU15" s="72">
        <v>0.34375</v>
      </c>
      <c r="AV15" s="72">
        <v>0.98055555555555562</v>
      </c>
      <c r="AW15" s="93">
        <v>0.57986111111111105</v>
      </c>
      <c r="AX15" s="93">
        <v>0.97222222222222221</v>
      </c>
      <c r="AY15" s="72">
        <v>0.34583333333333338</v>
      </c>
      <c r="AZ15" s="72">
        <v>0.98125000000000007</v>
      </c>
      <c r="BA15" s="72">
        <v>0.34791666666666665</v>
      </c>
      <c r="BB15" s="72">
        <v>0.97013888888888899</v>
      </c>
      <c r="BC15" s="72">
        <v>0.34513888888888888</v>
      </c>
      <c r="BD15" s="72">
        <v>0.9902777777777777</v>
      </c>
      <c r="BE15" s="72">
        <v>0.3444444444444445</v>
      </c>
      <c r="BF15" s="72">
        <v>0.98958333333333337</v>
      </c>
      <c r="BG15" s="86" t="s">
        <v>55</v>
      </c>
      <c r="BH15" s="86" t="s">
        <v>55</v>
      </c>
      <c r="BI15" s="72">
        <v>0.35000000000000003</v>
      </c>
      <c r="BJ15" s="72">
        <v>0.96111111111111114</v>
      </c>
      <c r="BK15" s="86" t="s">
        <v>55</v>
      </c>
      <c r="BL15" s="86" t="s">
        <v>55</v>
      </c>
      <c r="BM15" s="72">
        <v>0.34722222222222227</v>
      </c>
      <c r="BN15" s="72">
        <v>0.94930555555555562</v>
      </c>
      <c r="BO15" s="72">
        <v>0.3444444444444445</v>
      </c>
      <c r="BP15" s="72">
        <v>0.96111111111111114</v>
      </c>
      <c r="BQ15" s="7">
        <f t="shared" si="14"/>
        <v>31</v>
      </c>
      <c r="BR15" s="61">
        <v>2</v>
      </c>
      <c r="BS15" s="38">
        <f t="shared" si="13"/>
        <v>26</v>
      </c>
      <c r="BT15" s="39">
        <f>COUNTIF(E15:BN15,"OFF")/2</f>
        <v>4</v>
      </c>
      <c r="BU15" s="39">
        <f>COUNTIF(E15:BN15,"MC")/2</f>
        <v>1</v>
      </c>
      <c r="BV15" s="39">
        <f>COUNTIF(E15:BN15,"EL")/2</f>
        <v>0</v>
      </c>
      <c r="BW15" s="39">
        <f>COUNTIF(E15:BN15,"AL")/2</f>
        <v>0</v>
      </c>
      <c r="BX15" s="39">
        <f>COUNTIF(E15:BN15,"SUS")/2</f>
        <v>0</v>
      </c>
      <c r="BY15" s="39">
        <f>COUNTIF(E15:BN15,"FL")/2</f>
        <v>0</v>
      </c>
      <c r="BZ15" s="39">
        <f>COUNTIF(E15:BN15,"SICK")/2</f>
        <v>0</v>
      </c>
      <c r="CA15" s="39">
        <f>COUNTIF(E15:BN15,"HD")/2</f>
        <v>0</v>
      </c>
      <c r="CB15" s="39">
        <f>COUNTIF(E15:BN15,"AB")/2</f>
        <v>0</v>
      </c>
      <c r="CC15" s="39">
        <f>COUNTIF(E15:BN15,"NL")/2</f>
        <v>0</v>
      </c>
      <c r="CD15" s="39">
        <f>COUNTIF(E15:BN15,"SP")/2</f>
        <v>0</v>
      </c>
      <c r="CE15" s="40" t="s">
        <v>80</v>
      </c>
      <c r="CH15" s="37">
        <v>2</v>
      </c>
      <c r="CI15" s="33">
        <v>0</v>
      </c>
      <c r="CJ15" s="33">
        <v>0</v>
      </c>
      <c r="CK15" s="33">
        <v>0</v>
      </c>
      <c r="CL15" s="33">
        <v>0</v>
      </c>
      <c r="CM15" s="33">
        <v>0</v>
      </c>
      <c r="CN15" s="33">
        <v>0</v>
      </c>
      <c r="CO15" s="33">
        <v>0</v>
      </c>
      <c r="CP15" s="33">
        <v>0</v>
      </c>
      <c r="CQ15" s="33">
        <v>0</v>
      </c>
      <c r="CR15" s="44">
        <f t="shared" si="11"/>
        <v>2</v>
      </c>
    </row>
    <row r="16" spans="1:96" ht="24" customHeight="1" x14ac:dyDescent="0.25">
      <c r="A16" s="33">
        <v>12</v>
      </c>
      <c r="B16" s="39" t="s">
        <v>35</v>
      </c>
      <c r="C16" s="35" t="s">
        <v>36</v>
      </c>
      <c r="D16" s="79"/>
      <c r="E16" s="86" t="s">
        <v>55</v>
      </c>
      <c r="F16" s="86" t="s">
        <v>55</v>
      </c>
      <c r="G16" s="72">
        <v>0.64027777777777783</v>
      </c>
      <c r="H16" s="72">
        <v>0.96250000000000002</v>
      </c>
      <c r="I16" s="72">
        <v>0.6333333333333333</v>
      </c>
      <c r="J16" s="72">
        <v>0.95000000000000007</v>
      </c>
      <c r="K16" s="72">
        <v>0.94374999999999998</v>
      </c>
      <c r="L16" s="85">
        <v>1</v>
      </c>
      <c r="M16" s="72">
        <v>0.35416666666666669</v>
      </c>
      <c r="N16" s="72">
        <v>0.65694444444444444</v>
      </c>
      <c r="O16" s="72">
        <v>0.63263888888888886</v>
      </c>
      <c r="P16" s="85">
        <v>1</v>
      </c>
      <c r="Q16" s="72">
        <v>0.62986111111111109</v>
      </c>
      <c r="R16" s="72">
        <v>0.97013888888888899</v>
      </c>
      <c r="S16" s="93">
        <v>0.57777777777777783</v>
      </c>
      <c r="T16" s="86">
        <v>1</v>
      </c>
      <c r="U16" s="72">
        <v>0.63402777777777775</v>
      </c>
      <c r="V16" s="85">
        <v>1</v>
      </c>
      <c r="W16" s="72">
        <v>0.63194444444444442</v>
      </c>
      <c r="X16" s="72">
        <v>0.94444444444444453</v>
      </c>
      <c r="Y16" s="72">
        <v>0.63263888888888886</v>
      </c>
      <c r="Z16" s="72">
        <v>0.94513888888888886</v>
      </c>
      <c r="AA16" s="85" t="s">
        <v>96</v>
      </c>
      <c r="AB16" s="85" t="s">
        <v>96</v>
      </c>
      <c r="AC16" s="85" t="s">
        <v>63</v>
      </c>
      <c r="AD16" s="85" t="s">
        <v>63</v>
      </c>
      <c r="AE16" s="85" t="s">
        <v>63</v>
      </c>
      <c r="AF16" s="85" t="s">
        <v>63</v>
      </c>
      <c r="AG16" s="86" t="s">
        <v>55</v>
      </c>
      <c r="AH16" s="86" t="s">
        <v>55</v>
      </c>
      <c r="AI16" s="84"/>
      <c r="AJ16" s="33">
        <v>12</v>
      </c>
      <c r="AK16" s="72">
        <v>0.63888888888888895</v>
      </c>
      <c r="AL16" s="72">
        <v>0.96388888888888891</v>
      </c>
      <c r="AM16" s="72">
        <v>0.62986111111111109</v>
      </c>
      <c r="AN16" s="72">
        <v>0.94652777777777775</v>
      </c>
      <c r="AO16" s="72">
        <v>0.63124999999999998</v>
      </c>
      <c r="AP16" s="72">
        <v>0.94444444444444453</v>
      </c>
      <c r="AQ16" s="72">
        <v>0.62916666666666665</v>
      </c>
      <c r="AR16" s="72">
        <v>0.94444444444444453</v>
      </c>
      <c r="AS16" s="85" t="s">
        <v>63</v>
      </c>
      <c r="AT16" s="85" t="s">
        <v>63</v>
      </c>
      <c r="AU16" s="72">
        <v>0.35069444444444442</v>
      </c>
      <c r="AV16" s="72">
        <v>0.65208333333333335</v>
      </c>
      <c r="AW16" s="93">
        <v>0.58263888888888882</v>
      </c>
      <c r="AX16" s="86">
        <v>1</v>
      </c>
      <c r="AY16" s="72">
        <v>0.62638888888888888</v>
      </c>
      <c r="AZ16" s="72">
        <v>0.96180555555555547</v>
      </c>
      <c r="BA16" s="72">
        <v>0.35069444444444442</v>
      </c>
      <c r="BB16" s="72">
        <v>0.65694444444444444</v>
      </c>
      <c r="BC16" s="72">
        <v>0.63055555555555554</v>
      </c>
      <c r="BD16" s="72">
        <v>0.96666666666666667</v>
      </c>
      <c r="BE16" s="72">
        <v>0.34652777777777777</v>
      </c>
      <c r="BF16" s="72">
        <v>0.65277777777777779</v>
      </c>
      <c r="BG16" s="86" t="s">
        <v>55</v>
      </c>
      <c r="BH16" s="86" t="s">
        <v>55</v>
      </c>
      <c r="BI16" s="72">
        <v>0.3527777777777778</v>
      </c>
      <c r="BJ16" s="72">
        <v>0.65694444444444444</v>
      </c>
      <c r="BK16" s="86" t="s">
        <v>55</v>
      </c>
      <c r="BL16" s="86" t="s">
        <v>55</v>
      </c>
      <c r="BM16" s="72">
        <v>0.34861111111111115</v>
      </c>
      <c r="BN16" s="72">
        <v>0.65763888888888888</v>
      </c>
      <c r="BO16" s="72">
        <v>0.64166666666666672</v>
      </c>
      <c r="BP16" s="72">
        <v>0.94374999999999998</v>
      </c>
      <c r="BQ16" s="7">
        <f t="shared" si="14"/>
        <v>28</v>
      </c>
      <c r="BR16" s="61">
        <v>2</v>
      </c>
      <c r="BS16" s="38">
        <f t="shared" si="13"/>
        <v>23</v>
      </c>
      <c r="BT16" s="39">
        <f>COUNTIF(E16:BN16,"OFF")/2</f>
        <v>4</v>
      </c>
      <c r="BU16" s="39">
        <f>COUNTIF(E16:BN16,"MC")/2</f>
        <v>0</v>
      </c>
      <c r="BV16" s="39">
        <f>COUNTIF(E16:BN16,"EL")/2</f>
        <v>0</v>
      </c>
      <c r="BW16" s="39">
        <f>COUNTIF(E16:BN16,"AL")/2</f>
        <v>0</v>
      </c>
      <c r="BX16" s="39">
        <f>COUNTIF(E16:BN16,"SUS")/2</f>
        <v>0</v>
      </c>
      <c r="BY16" s="39">
        <f>COUNTIF(E16:BN16,"FL")/2</f>
        <v>0</v>
      </c>
      <c r="BZ16" s="39">
        <f>COUNTIF(E16:BN16,"SICK")/2</f>
        <v>1</v>
      </c>
      <c r="CA16" s="39">
        <f>COUNTIF(E16:BN16,"HD")/2</f>
        <v>0</v>
      </c>
      <c r="CB16" s="39">
        <f>COUNTIF(E16:BN16,"AB")/2</f>
        <v>3</v>
      </c>
      <c r="CC16" s="39">
        <f>COUNTIF(E16:BN16,"NL")/2</f>
        <v>0</v>
      </c>
      <c r="CD16" s="39">
        <f>COUNTIF(E16:BN16,"SP")/2</f>
        <v>0</v>
      </c>
      <c r="CE16" s="40"/>
      <c r="CH16" s="37">
        <v>0</v>
      </c>
      <c r="CI16" s="33">
        <v>0</v>
      </c>
      <c r="CJ16" s="33">
        <v>0</v>
      </c>
      <c r="CK16" s="33">
        <v>0</v>
      </c>
      <c r="CL16" s="33">
        <v>1</v>
      </c>
      <c r="CM16" s="33">
        <v>3</v>
      </c>
      <c r="CN16" s="33">
        <v>0</v>
      </c>
      <c r="CO16" s="33">
        <v>2</v>
      </c>
      <c r="CP16" s="33">
        <v>0</v>
      </c>
      <c r="CQ16" s="33">
        <v>0</v>
      </c>
      <c r="CR16" s="44">
        <f t="shared" si="11"/>
        <v>6</v>
      </c>
    </row>
    <row r="17" spans="1:98" ht="24" customHeight="1" x14ac:dyDescent="0.25">
      <c r="A17" s="33">
        <v>13</v>
      </c>
      <c r="B17" s="39" t="s">
        <v>37</v>
      </c>
      <c r="C17" s="35" t="s">
        <v>38</v>
      </c>
      <c r="D17" s="79">
        <v>44791</v>
      </c>
      <c r="E17" s="93">
        <v>0.61875000000000002</v>
      </c>
      <c r="F17" s="93">
        <v>0.875</v>
      </c>
      <c r="G17" s="72">
        <v>0.33958333333333335</v>
      </c>
      <c r="H17" s="85">
        <v>1</v>
      </c>
      <c r="I17" s="72">
        <v>0.35416666666666669</v>
      </c>
      <c r="J17" s="85">
        <v>1</v>
      </c>
      <c r="K17" s="72">
        <v>0.36736111111111108</v>
      </c>
      <c r="L17" s="72">
        <v>0.9</v>
      </c>
      <c r="M17" s="72">
        <v>0.39027777777777778</v>
      </c>
      <c r="N17" s="72">
        <v>0.87291666666666667</v>
      </c>
      <c r="O17" s="72">
        <v>0.3354166666666667</v>
      </c>
      <c r="P17" s="72">
        <v>0.8833333333333333</v>
      </c>
      <c r="Q17" s="72">
        <v>0.3347222222222222</v>
      </c>
      <c r="R17" s="85">
        <v>1</v>
      </c>
      <c r="S17" s="93">
        <v>0.6166666666666667</v>
      </c>
      <c r="T17" s="86">
        <v>1</v>
      </c>
      <c r="U17" s="72">
        <v>0.34166666666666662</v>
      </c>
      <c r="V17" s="85">
        <v>1</v>
      </c>
      <c r="W17" s="72">
        <v>0.35694444444444445</v>
      </c>
      <c r="X17" s="72">
        <v>0.89236111111111116</v>
      </c>
      <c r="Y17" s="72">
        <v>0.33819444444444446</v>
      </c>
      <c r="Z17" s="85">
        <v>1</v>
      </c>
      <c r="AA17" s="72">
        <v>0.33055555555555555</v>
      </c>
      <c r="AB17" s="85">
        <v>1</v>
      </c>
      <c r="AC17" s="72">
        <v>0.34236111111111112</v>
      </c>
      <c r="AD17" s="85">
        <v>1</v>
      </c>
      <c r="AE17" s="72">
        <v>0.33263888888888887</v>
      </c>
      <c r="AF17" s="85">
        <v>1</v>
      </c>
      <c r="AG17" s="86">
        <v>1</v>
      </c>
      <c r="AH17" s="86">
        <v>1</v>
      </c>
      <c r="AI17" s="84"/>
      <c r="AJ17" s="33">
        <v>13</v>
      </c>
      <c r="AK17" s="85">
        <v>1</v>
      </c>
      <c r="AL17" s="85">
        <v>1</v>
      </c>
      <c r="AM17" s="72">
        <v>0.34513888888888888</v>
      </c>
      <c r="AN17" s="85">
        <v>1</v>
      </c>
      <c r="AO17" s="72">
        <v>0.33402777777777781</v>
      </c>
      <c r="AP17" s="72">
        <v>0.8930555555555556</v>
      </c>
      <c r="AQ17" s="72">
        <v>0.33333333333333331</v>
      </c>
      <c r="AR17" s="85">
        <v>1</v>
      </c>
      <c r="AS17" s="72">
        <v>0.33333333333333331</v>
      </c>
      <c r="AT17" s="85" t="s">
        <v>59</v>
      </c>
      <c r="AU17" s="85" t="s">
        <v>59</v>
      </c>
      <c r="AV17" s="85" t="s">
        <v>59</v>
      </c>
      <c r="AW17" s="86" t="s">
        <v>59</v>
      </c>
      <c r="AX17" s="86" t="s">
        <v>59</v>
      </c>
      <c r="AY17" s="85" t="s">
        <v>59</v>
      </c>
      <c r="AZ17" s="85" t="s">
        <v>59</v>
      </c>
      <c r="BA17" s="85" t="s">
        <v>59</v>
      </c>
      <c r="BB17" s="85" t="s">
        <v>59</v>
      </c>
      <c r="BC17" s="85" t="s">
        <v>59</v>
      </c>
      <c r="BD17" s="85" t="s">
        <v>59</v>
      </c>
      <c r="BE17" s="85" t="s">
        <v>59</v>
      </c>
      <c r="BF17" s="85" t="s">
        <v>59</v>
      </c>
      <c r="BG17" s="85" t="s">
        <v>59</v>
      </c>
      <c r="BH17" s="85" t="s">
        <v>59</v>
      </c>
      <c r="BI17" s="85" t="s">
        <v>59</v>
      </c>
      <c r="BJ17" s="85" t="s">
        <v>59</v>
      </c>
      <c r="BK17" s="86" t="s">
        <v>59</v>
      </c>
      <c r="BL17" s="86" t="s">
        <v>59</v>
      </c>
      <c r="BM17" s="85" t="s">
        <v>59</v>
      </c>
      <c r="BN17" s="85" t="s">
        <v>59</v>
      </c>
      <c r="BO17" s="85" t="s">
        <v>59</v>
      </c>
      <c r="BP17" s="85" t="s">
        <v>59</v>
      </c>
      <c r="BQ17" s="7">
        <f>BS17+BT17+BU17+BZ17+CC17+BW17+BY17+BX17</f>
        <v>31</v>
      </c>
      <c r="BR17" s="61">
        <v>3</v>
      </c>
      <c r="BS17" s="38">
        <f t="shared" si="13"/>
        <v>19.5</v>
      </c>
      <c r="BT17" s="39">
        <f>COUNTIF(E17:BP17,"OFF")/2</f>
        <v>0</v>
      </c>
      <c r="BU17" s="39">
        <f>COUNTIF(E17:BP17,"MC")/2</f>
        <v>0</v>
      </c>
      <c r="BV17" s="39">
        <f>COUNTIF(E17:BP17,"EL")/2</f>
        <v>0</v>
      </c>
      <c r="BW17" s="39">
        <f>COUNTIF(E17:BP17,"AL")/2</f>
        <v>0</v>
      </c>
      <c r="BX17" s="39">
        <f>COUNTIF(E17:BP17,"SUS")/2</f>
        <v>11.5</v>
      </c>
      <c r="BY17" s="39">
        <f>COUNTIF(E17:BP17,"FL")/2</f>
        <v>0</v>
      </c>
      <c r="BZ17" s="39">
        <f>COUNTIF(E17:BP17,"SICK")/2</f>
        <v>0</v>
      </c>
      <c r="CA17" s="39">
        <f>COUNTIF(E17:BP17,"HD")/2</f>
        <v>0</v>
      </c>
      <c r="CB17" s="39">
        <f>COUNTIF(E17:BP17,"AB")/2</f>
        <v>0</v>
      </c>
      <c r="CC17" s="39">
        <f>COUNTIF(E17:BP17,"NL")/2</f>
        <v>0</v>
      </c>
      <c r="CD17" s="39">
        <f>COUNTIF(E17:BP17,"SP")/2</f>
        <v>0</v>
      </c>
      <c r="CE17" s="40" t="s">
        <v>80</v>
      </c>
      <c r="CH17" s="37">
        <v>0</v>
      </c>
      <c r="CI17" s="33">
        <v>0</v>
      </c>
      <c r="CJ17" s="33">
        <v>0</v>
      </c>
      <c r="CK17" s="33">
        <v>12</v>
      </c>
      <c r="CL17" s="33">
        <v>0</v>
      </c>
      <c r="CM17" s="33">
        <v>0</v>
      </c>
      <c r="CN17" s="33">
        <v>0</v>
      </c>
      <c r="CO17" s="33">
        <v>0</v>
      </c>
      <c r="CP17" s="33">
        <v>0</v>
      </c>
      <c r="CQ17" s="33">
        <v>0</v>
      </c>
      <c r="CR17" s="44">
        <f t="shared" si="11"/>
        <v>12</v>
      </c>
    </row>
    <row r="18" spans="1:98" ht="24" customHeight="1" x14ac:dyDescent="0.25">
      <c r="A18" s="33">
        <v>14</v>
      </c>
      <c r="B18" s="39" t="s">
        <v>41</v>
      </c>
      <c r="C18" s="35" t="s">
        <v>42</v>
      </c>
      <c r="D18" s="82">
        <v>45292</v>
      </c>
      <c r="E18" s="86" t="s">
        <v>55</v>
      </c>
      <c r="F18" s="86" t="s">
        <v>55</v>
      </c>
      <c r="G18" s="85">
        <v>1</v>
      </c>
      <c r="H18" s="85">
        <v>1</v>
      </c>
      <c r="I18" s="85">
        <v>1</v>
      </c>
      <c r="J18" s="85">
        <v>1</v>
      </c>
      <c r="K18" s="85">
        <v>1</v>
      </c>
      <c r="L18" s="85">
        <v>1</v>
      </c>
      <c r="M18" s="85">
        <v>1</v>
      </c>
      <c r="N18" s="85">
        <v>1</v>
      </c>
      <c r="O18" s="85">
        <v>1</v>
      </c>
      <c r="P18" s="85">
        <v>1</v>
      </c>
      <c r="Q18" s="85">
        <v>1</v>
      </c>
      <c r="R18" s="85">
        <v>1</v>
      </c>
      <c r="S18" s="86" t="s">
        <v>55</v>
      </c>
      <c r="T18" s="86" t="s">
        <v>55</v>
      </c>
      <c r="U18" s="85">
        <v>1</v>
      </c>
      <c r="V18" s="85">
        <v>1</v>
      </c>
      <c r="W18" s="85">
        <v>1</v>
      </c>
      <c r="X18" s="85">
        <v>1</v>
      </c>
      <c r="Y18" s="85">
        <v>1</v>
      </c>
      <c r="Z18" s="85">
        <v>1</v>
      </c>
      <c r="AA18" s="85">
        <v>1</v>
      </c>
      <c r="AB18" s="85">
        <v>1</v>
      </c>
      <c r="AC18" s="85">
        <v>1</v>
      </c>
      <c r="AD18" s="85">
        <v>1</v>
      </c>
      <c r="AE18" s="85">
        <v>1</v>
      </c>
      <c r="AF18" s="85">
        <v>1</v>
      </c>
      <c r="AG18" s="86" t="s">
        <v>55</v>
      </c>
      <c r="AH18" s="86" t="s">
        <v>55</v>
      </c>
      <c r="AI18" s="84"/>
      <c r="AJ18" s="33">
        <v>14</v>
      </c>
      <c r="AK18" s="85">
        <v>1</v>
      </c>
      <c r="AL18" s="85">
        <v>1</v>
      </c>
      <c r="AM18" s="85">
        <v>1</v>
      </c>
      <c r="AN18" s="85">
        <v>1</v>
      </c>
      <c r="AO18" s="85">
        <v>1</v>
      </c>
      <c r="AP18" s="85">
        <v>1</v>
      </c>
      <c r="AQ18" s="85">
        <v>1</v>
      </c>
      <c r="AR18" s="85">
        <v>1</v>
      </c>
      <c r="AS18" s="85">
        <v>1</v>
      </c>
      <c r="AT18" s="85">
        <v>1</v>
      </c>
      <c r="AU18" s="85">
        <v>1</v>
      </c>
      <c r="AV18" s="85">
        <v>1</v>
      </c>
      <c r="AW18" s="86" t="s">
        <v>55</v>
      </c>
      <c r="AX18" s="86" t="s">
        <v>55</v>
      </c>
      <c r="AY18" s="85">
        <v>1</v>
      </c>
      <c r="AZ18" s="85">
        <v>1</v>
      </c>
      <c r="BA18" s="85">
        <v>1</v>
      </c>
      <c r="BB18" s="85">
        <v>1</v>
      </c>
      <c r="BC18" s="85">
        <v>1</v>
      </c>
      <c r="BD18" s="85">
        <v>1</v>
      </c>
      <c r="BE18" s="85">
        <v>1</v>
      </c>
      <c r="BF18" s="85">
        <v>1</v>
      </c>
      <c r="BG18" s="86" t="s">
        <v>55</v>
      </c>
      <c r="BH18" s="86" t="s">
        <v>55</v>
      </c>
      <c r="BI18" s="85">
        <v>1</v>
      </c>
      <c r="BJ18" s="85">
        <v>1</v>
      </c>
      <c r="BK18" s="86" t="s">
        <v>55</v>
      </c>
      <c r="BL18" s="86" t="s">
        <v>55</v>
      </c>
      <c r="BM18" s="85">
        <v>1</v>
      </c>
      <c r="BN18" s="85">
        <v>1</v>
      </c>
      <c r="BO18" s="85">
        <v>1</v>
      </c>
      <c r="BP18" s="85">
        <v>1</v>
      </c>
      <c r="BQ18" s="7">
        <f t="shared" si="14"/>
        <v>31</v>
      </c>
      <c r="BR18" s="61">
        <v>0</v>
      </c>
      <c r="BS18" s="38">
        <f t="shared" si="13"/>
        <v>25</v>
      </c>
      <c r="BT18" s="39">
        <f>COUNTIF(E18:BP18,"OFF")/2</f>
        <v>6</v>
      </c>
      <c r="BU18" s="39">
        <f>COUNTIF(E18:BP18,"MC")/2</f>
        <v>0</v>
      </c>
      <c r="BV18" s="39">
        <f>COUNTIF(E18:BP18,"EL")/2</f>
        <v>0</v>
      </c>
      <c r="BW18" s="39">
        <f>COUNTIF(E18:BP18,"AL")/2</f>
        <v>0</v>
      </c>
      <c r="BX18" s="39">
        <f>COUNTIF(E18:BP18,"SUS")/2</f>
        <v>0</v>
      </c>
      <c r="BY18" s="39">
        <f>COUNTIF(E18:BP18,"FL")/2</f>
        <v>0</v>
      </c>
      <c r="BZ18" s="39">
        <f>COUNTIF(E18:BP18,"SICK")/2</f>
        <v>0</v>
      </c>
      <c r="CA18" s="39">
        <f>COUNTIF(E18:BP18,"HD")/2</f>
        <v>0</v>
      </c>
      <c r="CB18" s="39">
        <f>COUNTIF(E18:BP18,"AB")/2</f>
        <v>0</v>
      </c>
      <c r="CC18" s="39">
        <f>COUNTIF(E18:BP18,"NL")/2</f>
        <v>0</v>
      </c>
      <c r="CD18" s="39">
        <f>COUNTIF(E18:BP18,"SP")/2</f>
        <v>0</v>
      </c>
      <c r="CE18" s="40"/>
      <c r="CH18" s="37">
        <v>0</v>
      </c>
      <c r="CI18" s="33">
        <v>0</v>
      </c>
      <c r="CJ18" s="33">
        <v>0</v>
      </c>
      <c r="CK18" s="33">
        <v>0</v>
      </c>
      <c r="CL18" s="33">
        <v>0</v>
      </c>
      <c r="CM18" s="33">
        <v>0</v>
      </c>
      <c r="CN18" s="33">
        <v>0</v>
      </c>
      <c r="CO18" s="33">
        <v>0</v>
      </c>
      <c r="CP18" s="33">
        <v>0</v>
      </c>
      <c r="CQ18" s="33">
        <v>0</v>
      </c>
      <c r="CR18" s="44">
        <f t="shared" si="11"/>
        <v>0</v>
      </c>
    </row>
    <row r="19" spans="1:98" ht="24" customHeight="1" x14ac:dyDescent="0.25">
      <c r="A19" s="33">
        <v>15</v>
      </c>
      <c r="B19" s="39" t="s">
        <v>43</v>
      </c>
      <c r="C19" s="35" t="s">
        <v>44</v>
      </c>
      <c r="D19" s="79">
        <v>45491</v>
      </c>
      <c r="E19" s="93">
        <v>0.58194444444444449</v>
      </c>
      <c r="F19" s="86">
        <v>1</v>
      </c>
      <c r="G19" s="72">
        <v>0.3520833333333333</v>
      </c>
      <c r="H19" s="85">
        <v>1</v>
      </c>
      <c r="I19" s="72">
        <v>0.35486111111111113</v>
      </c>
      <c r="J19" s="85">
        <v>1</v>
      </c>
      <c r="K19" s="85" t="s">
        <v>60</v>
      </c>
      <c r="L19" s="85" t="s">
        <v>60</v>
      </c>
      <c r="M19" s="72">
        <v>0.35694444444444445</v>
      </c>
      <c r="N19" s="85">
        <v>1</v>
      </c>
      <c r="O19" s="85" t="s">
        <v>96</v>
      </c>
      <c r="P19" s="85" t="s">
        <v>96</v>
      </c>
      <c r="Q19" s="72">
        <v>0.35347222222222219</v>
      </c>
      <c r="R19" s="85">
        <v>1</v>
      </c>
      <c r="S19" s="86" t="s">
        <v>55</v>
      </c>
      <c r="T19" s="86" t="s">
        <v>55</v>
      </c>
      <c r="U19" s="72">
        <v>0.35347222222222219</v>
      </c>
      <c r="V19" s="85">
        <v>1</v>
      </c>
      <c r="W19" s="72">
        <v>0.35486111111111113</v>
      </c>
      <c r="X19" s="85">
        <v>1</v>
      </c>
      <c r="Y19" s="85" t="s">
        <v>96</v>
      </c>
      <c r="Z19" s="85" t="s">
        <v>96</v>
      </c>
      <c r="AA19" s="72">
        <v>0.35416666666666669</v>
      </c>
      <c r="AB19" s="85">
        <v>1</v>
      </c>
      <c r="AC19" s="85">
        <v>1</v>
      </c>
      <c r="AD19" s="85">
        <v>1</v>
      </c>
      <c r="AE19" s="85">
        <v>1</v>
      </c>
      <c r="AF19" s="85">
        <v>1</v>
      </c>
      <c r="AG19" s="86" t="s">
        <v>55</v>
      </c>
      <c r="AH19" s="86" t="s">
        <v>55</v>
      </c>
      <c r="AI19" s="84"/>
      <c r="AJ19" s="33">
        <v>15</v>
      </c>
      <c r="AK19" s="72">
        <v>0.3520833333333333</v>
      </c>
      <c r="AL19" s="85">
        <v>1</v>
      </c>
      <c r="AM19" s="72">
        <v>0.35416666666666669</v>
      </c>
      <c r="AN19" s="85">
        <v>1</v>
      </c>
      <c r="AO19" s="72">
        <v>0.3527777777777778</v>
      </c>
      <c r="AP19" s="85">
        <v>1</v>
      </c>
      <c r="AQ19" s="72">
        <v>0.35347222222222219</v>
      </c>
      <c r="AR19" s="85">
        <v>1</v>
      </c>
      <c r="AS19" s="87" t="s">
        <v>60</v>
      </c>
      <c r="AT19" s="87" t="s">
        <v>60</v>
      </c>
      <c r="AU19" s="72">
        <v>0.64374999999999993</v>
      </c>
      <c r="AV19" s="85">
        <v>1</v>
      </c>
      <c r="AW19" s="86" t="s">
        <v>55</v>
      </c>
      <c r="AX19" s="86" t="s">
        <v>55</v>
      </c>
      <c r="AY19" s="72">
        <v>0.35486111111111113</v>
      </c>
      <c r="AZ19" s="85">
        <v>1</v>
      </c>
      <c r="BA19" s="72">
        <v>0.64374999999999993</v>
      </c>
      <c r="BB19" s="85">
        <v>1</v>
      </c>
      <c r="BC19" s="72">
        <v>0.35347222222222219</v>
      </c>
      <c r="BD19" s="85">
        <v>1</v>
      </c>
      <c r="BE19" s="72">
        <v>0.22916666666666666</v>
      </c>
      <c r="BF19" s="85">
        <v>1</v>
      </c>
      <c r="BG19" s="86" t="s">
        <v>55</v>
      </c>
      <c r="BH19" s="86" t="s">
        <v>55</v>
      </c>
      <c r="BI19" s="72">
        <v>0.64236111111111105</v>
      </c>
      <c r="BJ19" s="85">
        <v>1</v>
      </c>
      <c r="BK19" s="93">
        <v>0.5805555555555556</v>
      </c>
      <c r="BL19" s="86">
        <v>1</v>
      </c>
      <c r="BM19" s="72">
        <v>0.64374999999999993</v>
      </c>
      <c r="BN19" s="85">
        <v>1</v>
      </c>
      <c r="BO19" s="72">
        <v>0.35347222222222219</v>
      </c>
      <c r="BP19" s="85">
        <v>1</v>
      </c>
      <c r="BQ19" s="7">
        <f t="shared" si="14"/>
        <v>31</v>
      </c>
      <c r="BR19" s="61">
        <v>2</v>
      </c>
      <c r="BS19" s="38">
        <f t="shared" si="13"/>
        <v>23</v>
      </c>
      <c r="BT19" s="39">
        <f>COUNTIF(E19:BN19,"OFF")/2</f>
        <v>4</v>
      </c>
      <c r="BU19" s="39">
        <f>COUNTIF(E19:BN19,"MC")/2</f>
        <v>0</v>
      </c>
      <c r="BV19" s="39">
        <f>COUNTIF(E19:BN19,"EL")/2</f>
        <v>0</v>
      </c>
      <c r="BW19" s="39">
        <f>COUNTIF(E19:BN19,"AL")/2</f>
        <v>0</v>
      </c>
      <c r="BX19" s="39">
        <f>COUNTIF(E19:BN19,"SUS")/2</f>
        <v>0</v>
      </c>
      <c r="BY19" s="39">
        <f>COUNTIF(E19:BN19,"FL")/2</f>
        <v>2</v>
      </c>
      <c r="BZ19" s="39">
        <f>COUNTIF(E19:BN19,"SICK")/2</f>
        <v>2</v>
      </c>
      <c r="CA19" s="39">
        <f>COUNTIF(E19:BN19,"HD")/2</f>
        <v>0</v>
      </c>
      <c r="CB19" s="39">
        <f>COUNTIF(E19:BN19,"AB")/2</f>
        <v>0</v>
      </c>
      <c r="CC19" s="39">
        <f>COUNTIF(E19:BN19,"NL")/2</f>
        <v>0</v>
      </c>
      <c r="CD19" s="39">
        <f>COUNTIF(E19:BN19,"SP")/2</f>
        <v>0</v>
      </c>
      <c r="CE19" s="40"/>
      <c r="CH19" s="37">
        <v>0</v>
      </c>
      <c r="CI19" s="33">
        <v>11</v>
      </c>
      <c r="CJ19" s="33">
        <v>18</v>
      </c>
      <c r="CK19" s="33">
        <v>0</v>
      </c>
      <c r="CL19" s="33">
        <v>2</v>
      </c>
      <c r="CM19" s="33">
        <v>7</v>
      </c>
      <c r="CN19" s="33">
        <v>0</v>
      </c>
      <c r="CO19" s="33">
        <v>2</v>
      </c>
      <c r="CP19" s="33">
        <v>0</v>
      </c>
      <c r="CQ19" s="33">
        <v>0</v>
      </c>
      <c r="CR19" s="44">
        <f t="shared" si="11"/>
        <v>40</v>
      </c>
    </row>
    <row r="20" spans="1:98" ht="24" customHeight="1" x14ac:dyDescent="0.25">
      <c r="A20" s="33">
        <v>16</v>
      </c>
      <c r="B20" s="39" t="s">
        <v>45</v>
      </c>
      <c r="C20" s="35" t="s">
        <v>46</v>
      </c>
      <c r="D20" s="79">
        <v>45509</v>
      </c>
      <c r="E20" s="93">
        <v>0.58472222222222225</v>
      </c>
      <c r="F20" s="93">
        <v>0.95000000000000007</v>
      </c>
      <c r="G20" s="72">
        <v>0.35347222222222219</v>
      </c>
      <c r="H20" s="72">
        <v>0.65</v>
      </c>
      <c r="I20" s="72">
        <v>0.35902777777777778</v>
      </c>
      <c r="J20" s="72">
        <v>0.65</v>
      </c>
      <c r="K20" s="85" t="s">
        <v>96</v>
      </c>
      <c r="L20" s="85" t="s">
        <v>96</v>
      </c>
      <c r="M20" s="72">
        <v>0.3576388888888889</v>
      </c>
      <c r="N20" s="72">
        <v>0.6777777777777777</v>
      </c>
      <c r="O20" s="72">
        <v>0.35486111111111113</v>
      </c>
      <c r="P20" s="72">
        <v>0.64930555555555558</v>
      </c>
      <c r="Q20" s="72">
        <v>0.35555555555555557</v>
      </c>
      <c r="R20" s="72">
        <v>0.65138888888888891</v>
      </c>
      <c r="S20" s="86" t="s">
        <v>55</v>
      </c>
      <c r="T20" s="86" t="s">
        <v>55</v>
      </c>
      <c r="U20" s="72">
        <v>0.64583333333333337</v>
      </c>
      <c r="V20" s="72">
        <v>0.96736111111111101</v>
      </c>
      <c r="W20" s="72">
        <v>0.6430555555555556</v>
      </c>
      <c r="X20" s="72">
        <v>0.9506944444444444</v>
      </c>
      <c r="Y20" s="72">
        <v>0.64861111111111114</v>
      </c>
      <c r="Z20" s="72">
        <v>0.9458333333333333</v>
      </c>
      <c r="AA20" s="72">
        <v>0.64652777777777781</v>
      </c>
      <c r="AB20" s="72">
        <v>0.95138888888888884</v>
      </c>
      <c r="AC20" s="72">
        <v>0.6479166666666667</v>
      </c>
      <c r="AD20" s="72">
        <v>0.94930555555555562</v>
      </c>
      <c r="AE20" s="72">
        <v>0.64374999999999993</v>
      </c>
      <c r="AF20" s="72">
        <v>0.97638888888888886</v>
      </c>
      <c r="AG20" s="93">
        <v>0.58680555555555558</v>
      </c>
      <c r="AH20" s="86">
        <v>1</v>
      </c>
      <c r="AI20" s="84"/>
      <c r="AJ20" s="33">
        <v>16</v>
      </c>
      <c r="AK20" s="85" t="s">
        <v>96</v>
      </c>
      <c r="AL20" s="85" t="s">
        <v>96</v>
      </c>
      <c r="AM20" s="72">
        <v>0.35625000000000001</v>
      </c>
      <c r="AN20" s="72">
        <v>0.6479166666666667</v>
      </c>
      <c r="AO20" s="72">
        <v>0.35555555555555557</v>
      </c>
      <c r="AP20" s="72">
        <v>0.64722222222222225</v>
      </c>
      <c r="AQ20" s="72">
        <v>0.3576388888888889</v>
      </c>
      <c r="AR20" s="72">
        <v>0.64930555555555558</v>
      </c>
      <c r="AS20" s="72">
        <v>0.35486111111111113</v>
      </c>
      <c r="AT20" s="72">
        <v>0.6479166666666667</v>
      </c>
      <c r="AU20" s="72">
        <v>0.35347222222222219</v>
      </c>
      <c r="AV20" s="72">
        <v>0.65</v>
      </c>
      <c r="AW20" s="86" t="s">
        <v>55</v>
      </c>
      <c r="AX20" s="86" t="s">
        <v>55</v>
      </c>
      <c r="AY20" s="72">
        <v>0.64652777777777781</v>
      </c>
      <c r="AZ20" s="72">
        <v>0.96944444444444444</v>
      </c>
      <c r="BA20" s="72">
        <v>0.64374999999999993</v>
      </c>
      <c r="BB20" s="72">
        <v>0.9458333333333333</v>
      </c>
      <c r="BC20" s="72">
        <v>0.64583333333333337</v>
      </c>
      <c r="BD20" s="72">
        <v>0.97083333333333333</v>
      </c>
      <c r="BE20" s="72">
        <v>0.6430555555555556</v>
      </c>
      <c r="BF20" s="72">
        <v>0.96458333333333324</v>
      </c>
      <c r="BG20" s="86" t="s">
        <v>55</v>
      </c>
      <c r="BH20" s="86" t="s">
        <v>55</v>
      </c>
      <c r="BI20" s="72">
        <v>0.64652777777777781</v>
      </c>
      <c r="BJ20" s="72">
        <v>0.96597222222222223</v>
      </c>
      <c r="BK20" s="93">
        <v>0.57986111111111105</v>
      </c>
      <c r="BL20" s="93">
        <v>0.94930555555555562</v>
      </c>
      <c r="BM20" s="72">
        <v>0.3527777777777778</v>
      </c>
      <c r="BN20" s="72">
        <v>0.64652777777777781</v>
      </c>
      <c r="BO20" s="72">
        <v>0.35416666666666669</v>
      </c>
      <c r="BP20" s="72">
        <v>0.6479166666666667</v>
      </c>
      <c r="BQ20" s="7">
        <f t="shared" si="14"/>
        <v>31</v>
      </c>
      <c r="BR20" s="61">
        <v>3</v>
      </c>
      <c r="BS20" s="38">
        <f t="shared" si="13"/>
        <v>26</v>
      </c>
      <c r="BT20" s="39">
        <f>COUNTIF(E20:BL20,"OFF")/2</f>
        <v>3</v>
      </c>
      <c r="BU20" s="39">
        <f>COUNTIF(E20:BL20,"MC")/2</f>
        <v>0</v>
      </c>
      <c r="BV20" s="39">
        <f>COUNTIF(E20:BL20,"EL")/2</f>
        <v>0</v>
      </c>
      <c r="BW20" s="39">
        <f>COUNTIF(E20:BL20,"AL")/2</f>
        <v>0</v>
      </c>
      <c r="BX20" s="39">
        <f>COUNTIF(E20:BL20,"SUS")/2</f>
        <v>0</v>
      </c>
      <c r="BY20" s="39">
        <f>COUNTIF(E20:BL20,"FL")/2</f>
        <v>0</v>
      </c>
      <c r="BZ20" s="39">
        <f>COUNTIF(E20:BL20,"SICK")/2</f>
        <v>2</v>
      </c>
      <c r="CA20" s="39">
        <f>COUNTIF(E20:BL20,"HD")/2</f>
        <v>0</v>
      </c>
      <c r="CB20" s="39">
        <f>COUNTIF(E20:BL20,"AB")/2</f>
        <v>0</v>
      </c>
      <c r="CC20" s="39">
        <f>COUNTIF(E20:BL20,"NL")/2</f>
        <v>0</v>
      </c>
      <c r="CD20" s="39">
        <f>COUNTIF(E20:BL20,"SP")/2</f>
        <v>0</v>
      </c>
      <c r="CE20" s="40"/>
      <c r="CH20" s="37">
        <v>1</v>
      </c>
      <c r="CI20" s="33">
        <v>0</v>
      </c>
      <c r="CJ20" s="33">
        <v>0</v>
      </c>
      <c r="CK20" s="33">
        <v>0</v>
      </c>
      <c r="CL20" s="33">
        <v>0</v>
      </c>
      <c r="CM20" s="33">
        <v>13</v>
      </c>
      <c r="CN20" s="33">
        <v>0</v>
      </c>
      <c r="CO20" s="33">
        <v>3</v>
      </c>
      <c r="CP20" s="33">
        <v>0</v>
      </c>
      <c r="CQ20" s="33">
        <v>0</v>
      </c>
      <c r="CR20" s="44">
        <f t="shared" si="11"/>
        <v>17</v>
      </c>
    </row>
    <row r="21" spans="1:98" ht="24" customHeight="1" x14ac:dyDescent="0.25">
      <c r="A21" s="33">
        <v>17</v>
      </c>
      <c r="B21" s="43" t="s">
        <v>47</v>
      </c>
      <c r="C21" s="35" t="s">
        <v>48</v>
      </c>
      <c r="D21" s="79">
        <v>45566</v>
      </c>
      <c r="E21" s="86" t="s">
        <v>55</v>
      </c>
      <c r="F21" s="86" t="s">
        <v>55</v>
      </c>
      <c r="G21" s="85" t="s">
        <v>96</v>
      </c>
      <c r="H21" s="85" t="s">
        <v>96</v>
      </c>
      <c r="I21" s="72">
        <v>0.3833333333333333</v>
      </c>
      <c r="J21" s="72">
        <v>0.75069444444444444</v>
      </c>
      <c r="K21" s="72">
        <v>0.40138888888888885</v>
      </c>
      <c r="L21" s="72">
        <v>0.73125000000000007</v>
      </c>
      <c r="M21" s="72">
        <v>0.37916666666666665</v>
      </c>
      <c r="N21" s="72">
        <v>0.66111111111111109</v>
      </c>
      <c r="O21" s="72">
        <v>0.47986111111111113</v>
      </c>
      <c r="P21" s="72">
        <v>0.90069444444444446</v>
      </c>
      <c r="Q21" s="72">
        <v>0.37222222222222223</v>
      </c>
      <c r="R21" s="72">
        <v>0.73263888888888884</v>
      </c>
      <c r="S21" s="86" t="s">
        <v>55</v>
      </c>
      <c r="T21" s="86" t="s">
        <v>55</v>
      </c>
      <c r="U21" s="72">
        <v>0.37222222222222223</v>
      </c>
      <c r="V21" s="72">
        <v>0.74236111111111114</v>
      </c>
      <c r="W21" s="72">
        <v>0.37222222222222223</v>
      </c>
      <c r="X21" s="72">
        <v>0.72430555555555554</v>
      </c>
      <c r="Y21" s="72">
        <v>0.37083333333333335</v>
      </c>
      <c r="Z21" s="72">
        <v>0.73055555555555562</v>
      </c>
      <c r="AA21" s="72">
        <v>0.375</v>
      </c>
      <c r="AB21" s="72">
        <v>0.77500000000000002</v>
      </c>
      <c r="AC21" s="72">
        <v>0.37152777777777773</v>
      </c>
      <c r="AD21" s="72">
        <v>0.75069444444444444</v>
      </c>
      <c r="AE21" s="72">
        <v>0.3756944444444445</v>
      </c>
      <c r="AF21" s="72">
        <v>0.75138888888888899</v>
      </c>
      <c r="AG21" s="93">
        <v>0.57986111111111105</v>
      </c>
      <c r="AH21" s="93">
        <v>0.7284722222222223</v>
      </c>
      <c r="AI21" s="84"/>
      <c r="AJ21" s="33">
        <v>17</v>
      </c>
      <c r="AK21" s="72">
        <v>0.44236111111111115</v>
      </c>
      <c r="AL21" s="72">
        <v>0.82152777777777775</v>
      </c>
      <c r="AM21" s="72">
        <v>0.375</v>
      </c>
      <c r="AN21" s="72">
        <v>0.75208333333333333</v>
      </c>
      <c r="AO21" s="72">
        <v>0.37986111111111115</v>
      </c>
      <c r="AP21" s="72">
        <v>0.72152777777777777</v>
      </c>
      <c r="AQ21" s="72">
        <v>0.37986111111111115</v>
      </c>
      <c r="AR21" s="72">
        <v>0.87013888888888891</v>
      </c>
      <c r="AS21" s="72">
        <v>0.38125000000000003</v>
      </c>
      <c r="AT21" s="72">
        <v>0.78263888888888899</v>
      </c>
      <c r="AU21" s="72">
        <v>0.37638888888888888</v>
      </c>
      <c r="AV21" s="85">
        <v>1</v>
      </c>
      <c r="AW21" s="86" t="s">
        <v>55</v>
      </c>
      <c r="AX21" s="86" t="s">
        <v>55</v>
      </c>
      <c r="AY21" s="72">
        <v>0.39444444444444443</v>
      </c>
      <c r="AZ21" s="72">
        <v>0.75</v>
      </c>
      <c r="BA21" s="72">
        <v>0.39027777777777778</v>
      </c>
      <c r="BB21" s="72">
        <v>0.93611111111111101</v>
      </c>
      <c r="BC21" s="72">
        <v>0.39305555555555555</v>
      </c>
      <c r="BD21" s="72">
        <v>0.91249999999999998</v>
      </c>
      <c r="BE21" s="72">
        <v>0.37083333333333335</v>
      </c>
      <c r="BF21" s="72">
        <v>0.75347222222222221</v>
      </c>
      <c r="BG21" s="86" t="s">
        <v>55</v>
      </c>
      <c r="BH21" s="86" t="s">
        <v>55</v>
      </c>
      <c r="BI21" s="72">
        <v>0.36944444444444446</v>
      </c>
      <c r="BJ21" s="85">
        <v>1</v>
      </c>
      <c r="BK21" s="93">
        <v>0.57777777777777783</v>
      </c>
      <c r="BL21" s="86">
        <v>1</v>
      </c>
      <c r="BM21" s="88" t="s">
        <v>96</v>
      </c>
      <c r="BN21" s="88" t="s">
        <v>96</v>
      </c>
      <c r="BO21" s="72">
        <v>0.39027777777777778</v>
      </c>
      <c r="BP21" s="72">
        <v>0.73819444444444438</v>
      </c>
      <c r="BQ21" s="7">
        <f t="shared" si="14"/>
        <v>31</v>
      </c>
      <c r="BR21" s="61">
        <v>2</v>
      </c>
      <c r="BS21" s="38">
        <f t="shared" si="13"/>
        <v>25</v>
      </c>
      <c r="BT21" s="39">
        <f t="shared" ref="BT21:BT26" si="26">COUNTIF(E21:BP21,"OFF")/2</f>
        <v>4</v>
      </c>
      <c r="BU21" s="39">
        <f t="shared" ref="BU21:BU26" si="27">COUNTIF(E21:BP21,"MC")/2</f>
        <v>0</v>
      </c>
      <c r="BV21" s="39">
        <f t="shared" ref="BV21:BV26" si="28">COUNTIF(E21:BP21,"EL")/2</f>
        <v>0</v>
      </c>
      <c r="BW21" s="39">
        <f t="shared" ref="BW21:BW26" si="29">COUNTIF(E21:BP21,"AL")/2</f>
        <v>0</v>
      </c>
      <c r="BX21" s="39">
        <f t="shared" ref="BX21:BX26" si="30">COUNTIF(E21:BP21,"SUS")/2</f>
        <v>0</v>
      </c>
      <c r="BY21" s="39">
        <f t="shared" ref="BY21:BY26" si="31">COUNTIF(E21:BP21,"FL")/2</f>
        <v>0</v>
      </c>
      <c r="BZ21" s="39">
        <f t="shared" ref="BZ21:BZ26" si="32">COUNTIF(E21:BP21,"SICK")/2</f>
        <v>2</v>
      </c>
      <c r="CA21" s="39">
        <f t="shared" ref="CA21:CA26" si="33">COUNTIF(E21:BP21,"HD")/2</f>
        <v>0</v>
      </c>
      <c r="CB21" s="39">
        <f t="shared" ref="CB21:CB26" si="34">COUNTIF(E21:BP21,"AB")/2</f>
        <v>0</v>
      </c>
      <c r="CC21" s="39">
        <f t="shared" ref="CC21:CC26" si="35">COUNTIF(E21:BP21,"NL")/2</f>
        <v>0</v>
      </c>
      <c r="CD21" s="39">
        <f t="shared" ref="CD21:CD26" si="36">COUNTIF(E21:BP21,"SP")/2</f>
        <v>0</v>
      </c>
      <c r="CE21" s="40"/>
      <c r="CH21" s="37">
        <v>0</v>
      </c>
      <c r="CI21" s="33">
        <v>0</v>
      </c>
      <c r="CJ21" s="33">
        <v>30</v>
      </c>
      <c r="CK21" s="33">
        <v>0</v>
      </c>
      <c r="CL21" s="33">
        <v>0</v>
      </c>
      <c r="CM21" s="33">
        <v>5</v>
      </c>
      <c r="CN21" s="33">
        <v>0</v>
      </c>
      <c r="CO21" s="33">
        <v>0</v>
      </c>
      <c r="CP21" s="33">
        <v>0</v>
      </c>
      <c r="CQ21" s="33">
        <v>0</v>
      </c>
      <c r="CR21" s="44">
        <f t="shared" si="11"/>
        <v>35</v>
      </c>
    </row>
    <row r="22" spans="1:98" ht="24" customHeight="1" x14ac:dyDescent="0.25">
      <c r="A22" s="33">
        <v>18</v>
      </c>
      <c r="B22" s="43" t="s">
        <v>49</v>
      </c>
      <c r="C22" s="35" t="s">
        <v>50</v>
      </c>
      <c r="D22" s="79">
        <v>45785</v>
      </c>
      <c r="E22" s="93">
        <v>0.5708333333333333</v>
      </c>
      <c r="F22" s="93">
        <v>0.5708333333333333</v>
      </c>
      <c r="G22" s="72">
        <v>0.47430555555555554</v>
      </c>
      <c r="H22" s="85">
        <v>1</v>
      </c>
      <c r="I22" s="72">
        <v>0.36180555555555555</v>
      </c>
      <c r="J22" s="72">
        <v>0.88958333333333339</v>
      </c>
      <c r="K22" s="85">
        <v>1</v>
      </c>
      <c r="L22" s="85">
        <v>1</v>
      </c>
      <c r="M22" s="72">
        <v>0.36249999999999999</v>
      </c>
      <c r="N22" s="72">
        <v>0.87152777777777779</v>
      </c>
      <c r="O22" s="72">
        <v>0.36249999999999999</v>
      </c>
      <c r="P22" s="85">
        <v>1</v>
      </c>
      <c r="Q22" s="72">
        <v>0.33333333333333331</v>
      </c>
      <c r="R22" s="72">
        <v>0.33680555555555558</v>
      </c>
      <c r="S22" s="86" t="s">
        <v>55</v>
      </c>
      <c r="T22" s="86" t="s">
        <v>55</v>
      </c>
      <c r="U22" s="72">
        <v>0.38541666666666669</v>
      </c>
      <c r="V22" s="85">
        <v>1</v>
      </c>
      <c r="W22" s="72">
        <v>0.36041666666666666</v>
      </c>
      <c r="X22" s="85">
        <v>1</v>
      </c>
      <c r="Y22" s="72">
        <v>0.36527777777777781</v>
      </c>
      <c r="Z22" s="85">
        <v>1</v>
      </c>
      <c r="AA22" s="85">
        <v>1</v>
      </c>
      <c r="AB22" s="85">
        <v>1</v>
      </c>
      <c r="AC22" s="72">
        <v>0.33958333333333335</v>
      </c>
      <c r="AD22" s="85">
        <v>1</v>
      </c>
      <c r="AE22" s="72">
        <v>0.37361111111111112</v>
      </c>
      <c r="AF22" s="85">
        <v>1</v>
      </c>
      <c r="AG22" s="86">
        <v>1</v>
      </c>
      <c r="AH22" s="86">
        <v>1</v>
      </c>
      <c r="AI22" s="84"/>
      <c r="AJ22" s="33">
        <v>18</v>
      </c>
      <c r="AK22" s="72">
        <v>0.35833333333333334</v>
      </c>
      <c r="AL22" s="85">
        <v>1</v>
      </c>
      <c r="AM22" s="72">
        <v>0.32222222222222224</v>
      </c>
      <c r="AN22" s="85">
        <v>1</v>
      </c>
      <c r="AO22" s="72">
        <v>0.32777777777777778</v>
      </c>
      <c r="AP22" s="85">
        <v>1</v>
      </c>
      <c r="AQ22" s="72">
        <v>0.33055555555555555</v>
      </c>
      <c r="AR22" s="85">
        <v>1</v>
      </c>
      <c r="AS22" s="72">
        <v>0.36527777777777781</v>
      </c>
      <c r="AT22" s="85">
        <v>1</v>
      </c>
      <c r="AU22" s="72">
        <v>0.4055555555555555</v>
      </c>
      <c r="AV22" s="85">
        <v>1</v>
      </c>
      <c r="AW22" s="86" t="s">
        <v>55</v>
      </c>
      <c r="AX22" s="86" t="s">
        <v>55</v>
      </c>
      <c r="AY22" s="72">
        <v>0.36805555555555558</v>
      </c>
      <c r="AZ22" s="85">
        <v>1</v>
      </c>
      <c r="BA22" s="72">
        <v>0.39027777777777778</v>
      </c>
      <c r="BB22" s="85">
        <v>1</v>
      </c>
      <c r="BC22" s="85">
        <v>1</v>
      </c>
      <c r="BD22" s="85">
        <v>1</v>
      </c>
      <c r="BE22" s="85">
        <v>1</v>
      </c>
      <c r="BF22" s="85">
        <v>1</v>
      </c>
      <c r="BG22" s="86" t="s">
        <v>55</v>
      </c>
      <c r="BH22" s="86" t="s">
        <v>55</v>
      </c>
      <c r="BI22" s="72">
        <v>0.38125000000000003</v>
      </c>
      <c r="BJ22" s="72">
        <v>0.99930555555555556</v>
      </c>
      <c r="BK22" s="93">
        <v>0.58888888888888891</v>
      </c>
      <c r="BL22" s="86">
        <v>1</v>
      </c>
      <c r="BM22" s="72">
        <v>0.39652777777777781</v>
      </c>
      <c r="BN22" s="85">
        <v>1</v>
      </c>
      <c r="BO22" s="72">
        <v>0.37777777777777777</v>
      </c>
      <c r="BP22" s="85">
        <v>1</v>
      </c>
      <c r="BQ22" s="7">
        <f t="shared" si="14"/>
        <v>31</v>
      </c>
      <c r="BR22" s="61">
        <v>3</v>
      </c>
      <c r="BS22" s="38">
        <f t="shared" si="13"/>
        <v>28</v>
      </c>
      <c r="BT22" s="39">
        <f t="shared" si="26"/>
        <v>3</v>
      </c>
      <c r="BU22" s="39">
        <f t="shared" si="27"/>
        <v>0</v>
      </c>
      <c r="BV22" s="39">
        <f t="shared" si="28"/>
        <v>0</v>
      </c>
      <c r="BW22" s="39">
        <f t="shared" si="29"/>
        <v>0</v>
      </c>
      <c r="BX22" s="39">
        <f t="shared" si="30"/>
        <v>0</v>
      </c>
      <c r="BY22" s="39">
        <f t="shared" si="31"/>
        <v>0</v>
      </c>
      <c r="BZ22" s="39">
        <f t="shared" si="32"/>
        <v>0</v>
      </c>
      <c r="CA22" s="39">
        <f t="shared" si="33"/>
        <v>0</v>
      </c>
      <c r="CB22" s="39">
        <f t="shared" si="34"/>
        <v>0</v>
      </c>
      <c r="CC22" s="39">
        <f t="shared" si="35"/>
        <v>0</v>
      </c>
      <c r="CD22" s="39">
        <f t="shared" si="36"/>
        <v>0</v>
      </c>
      <c r="CE22" s="40"/>
      <c r="CH22" s="37">
        <v>0</v>
      </c>
      <c r="CI22" s="33">
        <v>0</v>
      </c>
      <c r="CJ22" s="33">
        <v>0</v>
      </c>
      <c r="CK22" s="33">
        <v>0</v>
      </c>
      <c r="CL22" s="33">
        <v>0</v>
      </c>
      <c r="CM22" s="33">
        <v>0</v>
      </c>
      <c r="CN22" s="33">
        <v>0</v>
      </c>
      <c r="CO22" s="33">
        <v>0</v>
      </c>
      <c r="CP22" s="33">
        <v>0</v>
      </c>
      <c r="CQ22" s="33">
        <v>0</v>
      </c>
      <c r="CR22" s="44">
        <f t="shared" si="11"/>
        <v>0</v>
      </c>
    </row>
    <row r="23" spans="1:98" ht="24" customHeight="1" x14ac:dyDescent="0.25">
      <c r="A23" s="33">
        <v>19</v>
      </c>
      <c r="B23" s="43" t="s">
        <v>51</v>
      </c>
      <c r="C23" s="35" t="s">
        <v>52</v>
      </c>
      <c r="D23" s="79">
        <v>45826</v>
      </c>
      <c r="E23" s="93">
        <v>0.57430555555555551</v>
      </c>
      <c r="F23" s="93">
        <v>3.472222222222222E-3</v>
      </c>
      <c r="G23" s="72">
        <v>0.30833333333333335</v>
      </c>
      <c r="H23" s="72">
        <v>5.5555555555555558E-3</v>
      </c>
      <c r="I23" s="72">
        <v>0.32569444444444445</v>
      </c>
      <c r="J23" s="72">
        <v>0.98611111111111116</v>
      </c>
      <c r="K23" s="72">
        <v>0.29583333333333334</v>
      </c>
      <c r="L23" s="72">
        <v>0.99444444444444446</v>
      </c>
      <c r="M23" s="72">
        <v>0.36041666666666666</v>
      </c>
      <c r="N23" s="72">
        <v>0.98958333333333337</v>
      </c>
      <c r="O23" s="72">
        <v>0.33402777777777781</v>
      </c>
      <c r="P23" s="72">
        <v>0.99930555555555556</v>
      </c>
      <c r="Q23" s="72">
        <v>0.31875000000000003</v>
      </c>
      <c r="R23" s="72">
        <v>2.4305555555555556E-2</v>
      </c>
      <c r="S23" s="93">
        <v>0.56805555555555554</v>
      </c>
      <c r="T23" s="93">
        <v>0.99097222222222225</v>
      </c>
      <c r="U23" s="72">
        <v>0.3444444444444445</v>
      </c>
      <c r="V23" s="72">
        <v>2.2916666666666669E-2</v>
      </c>
      <c r="W23" s="72">
        <v>0.3520833333333333</v>
      </c>
      <c r="X23" s="72">
        <v>0.98333333333333339</v>
      </c>
      <c r="Y23" s="72">
        <v>0.35138888888888892</v>
      </c>
      <c r="Z23" s="72">
        <v>0.99375000000000002</v>
      </c>
      <c r="AA23" s="72">
        <v>0.34791666666666665</v>
      </c>
      <c r="AB23" s="72">
        <v>0.99236111111111114</v>
      </c>
      <c r="AC23" s="72">
        <v>0.34097222222222223</v>
      </c>
      <c r="AD23" s="72">
        <v>0.9902777777777777</v>
      </c>
      <c r="AE23" s="72">
        <v>0.35138888888888892</v>
      </c>
      <c r="AF23" s="72">
        <v>1.9444444444444445E-2</v>
      </c>
      <c r="AG23" s="93">
        <v>0.60555555555555551</v>
      </c>
      <c r="AH23" s="93">
        <v>0.9868055555555556</v>
      </c>
      <c r="AI23" s="84"/>
      <c r="AJ23" s="33">
        <v>19</v>
      </c>
      <c r="AK23" s="72">
        <v>0.35694444444444445</v>
      </c>
      <c r="AL23" s="72">
        <v>1.4583333333333332E-2</v>
      </c>
      <c r="AM23" s="72">
        <v>0.34861111111111115</v>
      </c>
      <c r="AN23" s="85">
        <v>1</v>
      </c>
      <c r="AO23" s="72">
        <v>0.35138888888888892</v>
      </c>
      <c r="AP23" s="72">
        <v>0.98611111111111116</v>
      </c>
      <c r="AQ23" s="72">
        <v>0.34027777777777773</v>
      </c>
      <c r="AR23" s="85">
        <v>1</v>
      </c>
      <c r="AS23" s="72">
        <v>0.98819444444444438</v>
      </c>
      <c r="AT23" s="85">
        <v>1</v>
      </c>
      <c r="AU23" s="72">
        <v>0.35694444444444445</v>
      </c>
      <c r="AV23" s="72">
        <v>0.60416666666666663</v>
      </c>
      <c r="AW23" s="93">
        <v>0.58402777777777781</v>
      </c>
      <c r="AX23" s="93">
        <v>0.99930555555555556</v>
      </c>
      <c r="AY23" s="72">
        <v>0.35416666666666669</v>
      </c>
      <c r="AZ23" s="85">
        <v>1</v>
      </c>
      <c r="BA23" s="72">
        <v>0.34166666666666662</v>
      </c>
      <c r="BB23" s="72">
        <v>2.8472222222222222E-2</v>
      </c>
      <c r="BC23" s="72">
        <v>0.35347222222222219</v>
      </c>
      <c r="BD23" s="85">
        <v>1</v>
      </c>
      <c r="BE23" s="72">
        <v>0.34791666666666665</v>
      </c>
      <c r="BF23" s="72">
        <v>9.7222222222222224E-3</v>
      </c>
      <c r="BG23" s="86" t="s">
        <v>55</v>
      </c>
      <c r="BH23" s="86" t="s">
        <v>55</v>
      </c>
      <c r="BI23" s="87" t="s">
        <v>58</v>
      </c>
      <c r="BJ23" s="87" t="s">
        <v>58</v>
      </c>
      <c r="BK23" s="87" t="s">
        <v>58</v>
      </c>
      <c r="BL23" s="87" t="s">
        <v>58</v>
      </c>
      <c r="BM23" s="87" t="s">
        <v>58</v>
      </c>
      <c r="BN23" s="87" t="s">
        <v>58</v>
      </c>
      <c r="BO23" s="87" t="s">
        <v>58</v>
      </c>
      <c r="BP23" s="87" t="s">
        <v>58</v>
      </c>
      <c r="BQ23" s="7">
        <f t="shared" si="14"/>
        <v>31</v>
      </c>
      <c r="BR23" s="61">
        <v>4</v>
      </c>
      <c r="BS23" s="38">
        <f t="shared" si="13"/>
        <v>26</v>
      </c>
      <c r="BT23" s="39">
        <f t="shared" si="26"/>
        <v>1</v>
      </c>
      <c r="BU23" s="39">
        <f t="shared" si="27"/>
        <v>0</v>
      </c>
      <c r="BV23" s="39">
        <f t="shared" si="28"/>
        <v>0</v>
      </c>
      <c r="BW23" s="39">
        <f t="shared" si="29"/>
        <v>4</v>
      </c>
      <c r="BX23" s="39">
        <f t="shared" si="30"/>
        <v>0</v>
      </c>
      <c r="BY23" s="39">
        <f t="shared" si="31"/>
        <v>0</v>
      </c>
      <c r="BZ23" s="39">
        <f t="shared" si="32"/>
        <v>0</v>
      </c>
      <c r="CA23" s="39">
        <f t="shared" si="33"/>
        <v>0</v>
      </c>
      <c r="CB23" s="39">
        <f t="shared" si="34"/>
        <v>0</v>
      </c>
      <c r="CC23" s="39">
        <f t="shared" si="35"/>
        <v>0</v>
      </c>
      <c r="CD23" s="39">
        <f t="shared" si="36"/>
        <v>0</v>
      </c>
      <c r="CE23" s="40"/>
      <c r="CH23" s="37">
        <v>0</v>
      </c>
      <c r="CI23" s="33">
        <v>0</v>
      </c>
      <c r="CJ23" s="33">
        <v>0</v>
      </c>
      <c r="CK23" s="33">
        <v>0</v>
      </c>
      <c r="CL23" s="33">
        <v>10</v>
      </c>
      <c r="CM23" s="33">
        <v>2</v>
      </c>
      <c r="CN23" s="33">
        <v>0</v>
      </c>
      <c r="CO23" s="33">
        <v>0</v>
      </c>
      <c r="CP23" s="33">
        <v>0</v>
      </c>
      <c r="CQ23" s="33">
        <v>0</v>
      </c>
      <c r="CR23" s="44">
        <f t="shared" si="11"/>
        <v>12</v>
      </c>
    </row>
    <row r="24" spans="1:98" ht="24" customHeight="1" x14ac:dyDescent="0.25">
      <c r="A24" s="33">
        <v>20</v>
      </c>
      <c r="B24" s="43" t="s">
        <v>87</v>
      </c>
      <c r="C24" s="35" t="s">
        <v>88</v>
      </c>
      <c r="D24" s="79">
        <v>45985</v>
      </c>
      <c r="E24" s="93">
        <v>0.54236111111111118</v>
      </c>
      <c r="F24" s="93">
        <v>0.77500000000000002</v>
      </c>
      <c r="G24" s="72">
        <v>0.38125000000000003</v>
      </c>
      <c r="H24" s="72">
        <v>0.75416666666666676</v>
      </c>
      <c r="I24" s="72">
        <v>0.38055555555555554</v>
      </c>
      <c r="J24" s="72">
        <v>0.6694444444444444</v>
      </c>
      <c r="K24" s="85" t="s">
        <v>96</v>
      </c>
      <c r="L24" s="85" t="s">
        <v>96</v>
      </c>
      <c r="M24" s="85">
        <v>1</v>
      </c>
      <c r="N24" s="85">
        <v>1</v>
      </c>
      <c r="O24" s="72">
        <v>0.38680555555555557</v>
      </c>
      <c r="P24" s="72">
        <v>0.71666666666666667</v>
      </c>
      <c r="Q24" s="72">
        <v>0.37013888888888885</v>
      </c>
      <c r="R24" s="72">
        <v>0.71180555555555547</v>
      </c>
      <c r="S24" s="86" t="s">
        <v>55</v>
      </c>
      <c r="T24" s="86" t="s">
        <v>55</v>
      </c>
      <c r="U24" s="72">
        <v>0.37291666666666662</v>
      </c>
      <c r="V24" s="72">
        <v>0.71180555555555547</v>
      </c>
      <c r="W24" s="72">
        <v>0.3756944444444445</v>
      </c>
      <c r="X24" s="72">
        <v>0.71319444444444446</v>
      </c>
      <c r="Y24" s="72">
        <v>0.3840277777777778</v>
      </c>
      <c r="Z24" s="72">
        <v>0.72499999999999998</v>
      </c>
      <c r="AA24" s="72">
        <v>0.37638888888888888</v>
      </c>
      <c r="AB24" s="72">
        <v>0.72569444444444453</v>
      </c>
      <c r="AC24" s="72">
        <v>0.37638888888888888</v>
      </c>
      <c r="AD24" s="72">
        <v>0.70277777777777783</v>
      </c>
      <c r="AE24" s="72">
        <v>0.38125000000000003</v>
      </c>
      <c r="AF24" s="72">
        <v>0.74652777777777779</v>
      </c>
      <c r="AG24" s="86" t="s">
        <v>55</v>
      </c>
      <c r="AH24" s="86" t="s">
        <v>55</v>
      </c>
      <c r="AI24" s="84"/>
      <c r="AJ24" s="33">
        <v>20</v>
      </c>
      <c r="AK24" s="11" t="s">
        <v>55</v>
      </c>
      <c r="AL24" s="11" t="s">
        <v>55</v>
      </c>
      <c r="AM24" s="72">
        <v>0.38194444444444442</v>
      </c>
      <c r="AN24" s="72">
        <v>0.71944444444444444</v>
      </c>
      <c r="AO24" s="72">
        <v>0.3840277777777778</v>
      </c>
      <c r="AP24" s="72">
        <v>0.70208333333333339</v>
      </c>
      <c r="AQ24" s="72">
        <v>0.38125000000000003</v>
      </c>
      <c r="AR24" s="72">
        <v>0.72291666666666676</v>
      </c>
      <c r="AS24" s="72">
        <v>0.41388888888888892</v>
      </c>
      <c r="AT24" s="72">
        <v>0.71388888888888891</v>
      </c>
      <c r="AU24" s="72">
        <v>0.38055555555555554</v>
      </c>
      <c r="AV24" s="72">
        <v>0.70833333333333337</v>
      </c>
      <c r="AW24" s="86" t="s">
        <v>55</v>
      </c>
      <c r="AX24" s="86" t="s">
        <v>55</v>
      </c>
      <c r="AY24" s="87" t="s">
        <v>60</v>
      </c>
      <c r="AZ24" s="87" t="s">
        <v>60</v>
      </c>
      <c r="BA24" s="72">
        <v>0.37152777777777773</v>
      </c>
      <c r="BB24" s="72">
        <v>0.69374999999999998</v>
      </c>
      <c r="BC24" s="72">
        <v>0.37986111111111115</v>
      </c>
      <c r="BD24" s="72">
        <v>0.71944444444444444</v>
      </c>
      <c r="BE24" s="72">
        <v>0.39444444444444443</v>
      </c>
      <c r="BF24" s="85">
        <v>1</v>
      </c>
      <c r="BG24" s="86" t="s">
        <v>55</v>
      </c>
      <c r="BH24" s="86" t="s">
        <v>55</v>
      </c>
      <c r="BI24" s="72">
        <v>0.38680555555555557</v>
      </c>
      <c r="BJ24" s="85">
        <v>1</v>
      </c>
      <c r="BK24" s="86" t="s">
        <v>55</v>
      </c>
      <c r="BL24" s="86" t="s">
        <v>55</v>
      </c>
      <c r="BM24" s="72">
        <v>0.37638888888888888</v>
      </c>
      <c r="BN24" s="72">
        <v>0.73541666666666661</v>
      </c>
      <c r="BO24" s="72">
        <v>0.37708333333333338</v>
      </c>
      <c r="BP24" s="72">
        <v>0.69652777777777775</v>
      </c>
      <c r="BQ24" s="7">
        <f t="shared" si="14"/>
        <v>31</v>
      </c>
      <c r="BR24" s="61">
        <v>1</v>
      </c>
      <c r="BS24" s="38">
        <f t="shared" si="13"/>
        <v>23</v>
      </c>
      <c r="BT24" s="39">
        <f t="shared" si="26"/>
        <v>6</v>
      </c>
      <c r="BU24" s="39">
        <f t="shared" si="27"/>
        <v>0</v>
      </c>
      <c r="BV24" s="39">
        <f t="shared" si="28"/>
        <v>0</v>
      </c>
      <c r="BW24" s="39">
        <f t="shared" si="29"/>
        <v>0</v>
      </c>
      <c r="BX24" s="39">
        <f t="shared" si="30"/>
        <v>0</v>
      </c>
      <c r="BY24" s="39">
        <f t="shared" si="31"/>
        <v>1</v>
      </c>
      <c r="BZ24" s="39">
        <f t="shared" si="32"/>
        <v>1</v>
      </c>
      <c r="CA24" s="39">
        <f t="shared" si="33"/>
        <v>0</v>
      </c>
      <c r="CB24" s="39">
        <f t="shared" si="34"/>
        <v>0</v>
      </c>
      <c r="CC24" s="39">
        <f t="shared" si="35"/>
        <v>0</v>
      </c>
      <c r="CD24" s="39">
        <f t="shared" si="36"/>
        <v>0</v>
      </c>
      <c r="CE24" s="95"/>
      <c r="CH24" s="63">
        <v>0</v>
      </c>
      <c r="CI24" s="64">
        <v>0</v>
      </c>
      <c r="CJ24" s="64">
        <v>0</v>
      </c>
      <c r="CK24" s="64">
        <v>0</v>
      </c>
      <c r="CL24" s="64">
        <v>5</v>
      </c>
      <c r="CM24" s="64">
        <v>1</v>
      </c>
      <c r="CN24" s="64">
        <v>0</v>
      </c>
      <c r="CO24" s="64">
        <v>0</v>
      </c>
      <c r="CP24" s="64">
        <v>0</v>
      </c>
      <c r="CQ24" s="64">
        <v>0</v>
      </c>
      <c r="CR24" s="49">
        <f t="shared" si="11"/>
        <v>6</v>
      </c>
    </row>
    <row r="25" spans="1:98" s="59" customFormat="1" ht="24" customHeight="1" x14ac:dyDescent="0.25">
      <c r="A25" s="33">
        <v>21</v>
      </c>
      <c r="B25" s="43" t="s">
        <v>91</v>
      </c>
      <c r="C25" s="35" t="s">
        <v>92</v>
      </c>
      <c r="D25" s="79">
        <v>45999</v>
      </c>
      <c r="E25" s="86">
        <v>1</v>
      </c>
      <c r="F25" s="86">
        <v>1</v>
      </c>
      <c r="G25" s="72">
        <v>0.37638888888888888</v>
      </c>
      <c r="H25" s="72">
        <v>0.78402777777777777</v>
      </c>
      <c r="I25" s="72">
        <v>0.38263888888888892</v>
      </c>
      <c r="J25" s="72">
        <v>0.84930555555555554</v>
      </c>
      <c r="K25" s="85">
        <v>1</v>
      </c>
      <c r="L25" s="85">
        <v>1</v>
      </c>
      <c r="M25" s="72">
        <v>0.36944444444444446</v>
      </c>
      <c r="N25" s="72">
        <v>0.75208333333333333</v>
      </c>
      <c r="O25" s="72">
        <v>0.3576388888888889</v>
      </c>
      <c r="P25" s="72">
        <v>0.65416666666666667</v>
      </c>
      <c r="Q25" s="85" t="s">
        <v>96</v>
      </c>
      <c r="R25" s="85" t="s">
        <v>96</v>
      </c>
      <c r="S25" s="86" t="s">
        <v>55</v>
      </c>
      <c r="T25" s="86" t="s">
        <v>55</v>
      </c>
      <c r="U25" s="72">
        <v>0.35833333333333334</v>
      </c>
      <c r="V25" s="72">
        <v>0.65416666666666667</v>
      </c>
      <c r="W25" s="72">
        <v>0.36041666666666666</v>
      </c>
      <c r="X25" s="72">
        <v>0.65625</v>
      </c>
      <c r="Y25" s="72">
        <v>0.35902777777777778</v>
      </c>
      <c r="Z25" s="72">
        <v>0.65486111111111112</v>
      </c>
      <c r="AA25" s="72">
        <v>0.35833333333333334</v>
      </c>
      <c r="AB25" s="72">
        <v>0.64930555555555558</v>
      </c>
      <c r="AC25" s="72">
        <v>0.35902777777777778</v>
      </c>
      <c r="AD25" s="72">
        <v>0.65277777777777779</v>
      </c>
      <c r="AE25" s="72">
        <v>0.3576388888888889</v>
      </c>
      <c r="AF25" s="72">
        <v>0.65208333333333335</v>
      </c>
      <c r="AG25" s="86" t="s">
        <v>55</v>
      </c>
      <c r="AH25" s="86" t="s">
        <v>55</v>
      </c>
      <c r="AI25" s="84"/>
      <c r="AJ25" s="33">
        <v>21</v>
      </c>
      <c r="AK25" s="72">
        <v>0.35625000000000001</v>
      </c>
      <c r="AL25" s="72">
        <v>0.65138888888888891</v>
      </c>
      <c r="AM25" s="72">
        <v>0.3576388888888889</v>
      </c>
      <c r="AN25" s="72">
        <v>0.6479166666666667</v>
      </c>
      <c r="AO25" s="72">
        <v>0.36319444444444443</v>
      </c>
      <c r="AP25" s="72">
        <v>0.64722222222222225</v>
      </c>
      <c r="AQ25" s="72">
        <v>0.3527777777777778</v>
      </c>
      <c r="AR25" s="72">
        <v>0.65208333333333335</v>
      </c>
      <c r="AS25" s="72">
        <v>0.36041666666666666</v>
      </c>
      <c r="AT25" s="72">
        <v>0.65138888888888891</v>
      </c>
      <c r="AU25" s="72">
        <v>0.35972222222222222</v>
      </c>
      <c r="AV25" s="72">
        <v>0.64583333333333337</v>
      </c>
      <c r="AW25" s="93">
        <v>0.58263888888888882</v>
      </c>
      <c r="AX25" s="93">
        <v>0.96527777777777779</v>
      </c>
      <c r="AY25" s="72">
        <v>0.35694444444444445</v>
      </c>
      <c r="AZ25" s="72">
        <v>0.6479166666666667</v>
      </c>
      <c r="BA25" s="72">
        <v>0.35694444444444445</v>
      </c>
      <c r="BB25" s="85">
        <v>1</v>
      </c>
      <c r="BC25" s="72">
        <v>0.35347222222222219</v>
      </c>
      <c r="BD25" s="72">
        <v>0.65694444444444444</v>
      </c>
      <c r="BE25" s="87" t="s">
        <v>60</v>
      </c>
      <c r="BF25" s="87" t="s">
        <v>60</v>
      </c>
      <c r="BG25" s="86" t="s">
        <v>55</v>
      </c>
      <c r="BH25" s="86" t="s">
        <v>55</v>
      </c>
      <c r="BI25" s="87" t="s">
        <v>60</v>
      </c>
      <c r="BJ25" s="87" t="s">
        <v>60</v>
      </c>
      <c r="BK25" s="86" t="s">
        <v>55</v>
      </c>
      <c r="BL25" s="86" t="s">
        <v>55</v>
      </c>
      <c r="BM25" s="87" t="s">
        <v>60</v>
      </c>
      <c r="BN25" s="87" t="s">
        <v>60</v>
      </c>
      <c r="BO25" s="87" t="s">
        <v>60</v>
      </c>
      <c r="BP25" s="87" t="s">
        <v>60</v>
      </c>
      <c r="BQ25" s="7">
        <f>BS25+BT25+BU25+BZ25+CC25+BW25+BY25</f>
        <v>31</v>
      </c>
      <c r="BR25" s="61">
        <v>2</v>
      </c>
      <c r="BS25" s="38">
        <f t="shared" si="13"/>
        <v>22</v>
      </c>
      <c r="BT25" s="39">
        <f t="shared" si="26"/>
        <v>4</v>
      </c>
      <c r="BU25" s="39">
        <f t="shared" si="27"/>
        <v>0</v>
      </c>
      <c r="BV25" s="39">
        <f t="shared" si="28"/>
        <v>0</v>
      </c>
      <c r="BW25" s="39">
        <f t="shared" si="29"/>
        <v>0</v>
      </c>
      <c r="BX25" s="39">
        <f t="shared" si="30"/>
        <v>0</v>
      </c>
      <c r="BY25" s="39">
        <f t="shared" si="31"/>
        <v>4</v>
      </c>
      <c r="BZ25" s="39">
        <f t="shared" si="32"/>
        <v>1</v>
      </c>
      <c r="CA25" s="39">
        <f t="shared" si="33"/>
        <v>0</v>
      </c>
      <c r="CB25" s="39">
        <f t="shared" si="34"/>
        <v>0</v>
      </c>
      <c r="CC25" s="39">
        <f t="shared" si="35"/>
        <v>0</v>
      </c>
      <c r="CD25" s="39">
        <f t="shared" si="36"/>
        <v>0</v>
      </c>
      <c r="CE25" s="40"/>
      <c r="CH25" s="63">
        <v>0</v>
      </c>
      <c r="CI25" s="64">
        <v>0</v>
      </c>
      <c r="CJ25" s="64">
        <v>0</v>
      </c>
      <c r="CK25" s="64">
        <v>0</v>
      </c>
      <c r="CL25" s="64">
        <v>4</v>
      </c>
      <c r="CM25" s="64">
        <v>3</v>
      </c>
      <c r="CN25" s="64">
        <v>0</v>
      </c>
      <c r="CO25" s="64">
        <v>1</v>
      </c>
      <c r="CP25" s="64">
        <v>0</v>
      </c>
      <c r="CQ25" s="64">
        <v>0</v>
      </c>
      <c r="CR25" s="49">
        <f t="shared" ref="CR25" si="37">SUM(CH25:CQ25)</f>
        <v>8</v>
      </c>
    </row>
    <row r="26" spans="1:98" s="66" customFormat="1" ht="24" customHeight="1" x14ac:dyDescent="0.25">
      <c r="A26" s="33">
        <v>22</v>
      </c>
      <c r="B26" s="43" t="s">
        <v>93</v>
      </c>
      <c r="C26" s="35" t="s">
        <v>94</v>
      </c>
      <c r="D26" s="79">
        <v>46061</v>
      </c>
      <c r="E26" s="93">
        <v>0.58333333333333337</v>
      </c>
      <c r="F26" s="93">
        <v>0.95972222222222225</v>
      </c>
      <c r="G26" s="72">
        <v>0.35902777777777778</v>
      </c>
      <c r="H26" s="72">
        <v>0.66319444444444442</v>
      </c>
      <c r="I26" s="72">
        <v>0.36180555555555555</v>
      </c>
      <c r="J26" s="72">
        <v>0.64444444444444449</v>
      </c>
      <c r="K26" s="72">
        <v>0.36041666666666666</v>
      </c>
      <c r="L26" s="72">
        <v>0.64930555555555558</v>
      </c>
      <c r="M26" s="72">
        <v>0.3659722222222222</v>
      </c>
      <c r="N26" s="72">
        <v>0.66111111111111109</v>
      </c>
      <c r="O26" s="72">
        <v>0.60625000000000007</v>
      </c>
      <c r="P26" s="72">
        <v>0.92638888888888893</v>
      </c>
      <c r="Q26" s="72">
        <v>0.36805555555555558</v>
      </c>
      <c r="R26" s="72">
        <v>0.96388888888888891</v>
      </c>
      <c r="S26" s="86" t="s">
        <v>55</v>
      </c>
      <c r="T26" s="86" t="s">
        <v>55</v>
      </c>
      <c r="U26" s="72">
        <v>0.36458333333333331</v>
      </c>
      <c r="V26" s="72">
        <v>0.9243055555555556</v>
      </c>
      <c r="W26" s="72">
        <v>0.37361111111111112</v>
      </c>
      <c r="X26" s="72">
        <v>0.92291666666666661</v>
      </c>
      <c r="Y26" s="72">
        <v>0.3743055555555555</v>
      </c>
      <c r="Z26" s="72">
        <v>0.92499999999999993</v>
      </c>
      <c r="AA26" s="72">
        <v>0.35902777777777778</v>
      </c>
      <c r="AB26" s="72">
        <v>0.94513888888888886</v>
      </c>
      <c r="AC26" s="72">
        <v>0.34930555555555554</v>
      </c>
      <c r="AD26" s="72">
        <v>0.92499999999999993</v>
      </c>
      <c r="AE26" s="72">
        <v>0.36527777777777781</v>
      </c>
      <c r="AF26" s="72">
        <v>0.99861111111111101</v>
      </c>
      <c r="AG26" s="93">
        <v>0.59236111111111112</v>
      </c>
      <c r="AH26" s="93">
        <v>0.93611111111111101</v>
      </c>
      <c r="AI26" s="84"/>
      <c r="AJ26" s="33">
        <v>22</v>
      </c>
      <c r="AK26" s="72">
        <v>0.36805555555555558</v>
      </c>
      <c r="AL26" s="72">
        <v>0.98472222222222217</v>
      </c>
      <c r="AM26" s="72">
        <v>0.37152777777777773</v>
      </c>
      <c r="AN26" s="72">
        <v>0.97638888888888886</v>
      </c>
      <c r="AO26" s="72">
        <v>0.375</v>
      </c>
      <c r="AP26" s="72">
        <v>0.95833333333333337</v>
      </c>
      <c r="AQ26" s="72">
        <v>0.52569444444444446</v>
      </c>
      <c r="AR26" s="72">
        <v>0.95277777777777783</v>
      </c>
      <c r="AS26" s="72">
        <v>0.3611111111111111</v>
      </c>
      <c r="AT26" s="72">
        <v>0.98125000000000007</v>
      </c>
      <c r="AU26" s="72">
        <v>0.37916666666666665</v>
      </c>
      <c r="AV26" s="85">
        <v>1</v>
      </c>
      <c r="AW26" s="93">
        <v>0.60069444444444442</v>
      </c>
      <c r="AX26" s="93">
        <v>0.95277777777777783</v>
      </c>
      <c r="AY26" s="72">
        <v>0.37291666666666662</v>
      </c>
      <c r="AZ26" s="72">
        <v>7.6388888888888886E-3</v>
      </c>
      <c r="BA26" s="72">
        <v>0.36249999999999999</v>
      </c>
      <c r="BB26" s="72">
        <v>4.1666666666666666E-3</v>
      </c>
      <c r="BC26" s="72">
        <v>0.35000000000000003</v>
      </c>
      <c r="BD26" s="72">
        <v>0.97430555555555554</v>
      </c>
      <c r="BE26" s="72">
        <v>0.37152777777777773</v>
      </c>
      <c r="BF26" s="72">
        <v>0.97361111111111109</v>
      </c>
      <c r="BG26" s="86" t="s">
        <v>55</v>
      </c>
      <c r="BH26" s="86" t="s">
        <v>55</v>
      </c>
      <c r="BI26" s="72">
        <v>0.37361111111111112</v>
      </c>
      <c r="BJ26" s="72">
        <v>0.96875</v>
      </c>
      <c r="BK26" s="93">
        <v>0.60833333333333328</v>
      </c>
      <c r="BL26" s="93">
        <v>0.9555555555555556</v>
      </c>
      <c r="BM26" s="72">
        <v>0.97986111111111107</v>
      </c>
      <c r="BN26" s="85">
        <v>1</v>
      </c>
      <c r="BO26" s="72">
        <v>0.37222222222222223</v>
      </c>
      <c r="BP26" s="72">
        <v>0.96666666666666667</v>
      </c>
      <c r="BQ26" s="7">
        <f t="shared" si="14"/>
        <v>31</v>
      </c>
      <c r="BR26" s="61">
        <v>4</v>
      </c>
      <c r="BS26" s="38">
        <f t="shared" si="13"/>
        <v>29</v>
      </c>
      <c r="BT26" s="39">
        <f t="shared" si="26"/>
        <v>2</v>
      </c>
      <c r="BU26" s="39">
        <f t="shared" si="27"/>
        <v>0</v>
      </c>
      <c r="BV26" s="39">
        <f t="shared" si="28"/>
        <v>0</v>
      </c>
      <c r="BW26" s="39">
        <f t="shared" si="29"/>
        <v>0</v>
      </c>
      <c r="BX26" s="39">
        <f t="shared" si="30"/>
        <v>0</v>
      </c>
      <c r="BY26" s="39">
        <f t="shared" si="31"/>
        <v>0</v>
      </c>
      <c r="BZ26" s="39">
        <f t="shared" si="32"/>
        <v>0</v>
      </c>
      <c r="CA26" s="39">
        <f t="shared" si="33"/>
        <v>0</v>
      </c>
      <c r="CB26" s="39">
        <f t="shared" si="34"/>
        <v>0</v>
      </c>
      <c r="CC26" s="39">
        <f t="shared" si="35"/>
        <v>0</v>
      </c>
      <c r="CD26" s="39">
        <f t="shared" si="36"/>
        <v>0</v>
      </c>
      <c r="CE26" s="40"/>
      <c r="CF26" s="59"/>
      <c r="CG26" s="59"/>
      <c r="CH26" s="63">
        <v>0</v>
      </c>
      <c r="CI26" s="64">
        <v>0</v>
      </c>
      <c r="CJ26" s="64">
        <v>0</v>
      </c>
      <c r="CK26" s="64">
        <v>0</v>
      </c>
      <c r="CL26" s="64">
        <v>1</v>
      </c>
      <c r="CM26" s="64">
        <v>0</v>
      </c>
      <c r="CN26" s="64">
        <v>0</v>
      </c>
      <c r="CO26" s="64">
        <v>0</v>
      </c>
      <c r="CP26" s="64">
        <v>0</v>
      </c>
      <c r="CQ26" s="64">
        <v>0</v>
      </c>
      <c r="CR26" s="49">
        <f>SUM(CH26:CQ26)</f>
        <v>1</v>
      </c>
      <c r="CS26" s="59"/>
      <c r="CT26" s="59"/>
    </row>
    <row r="27" spans="1:98" s="59" customFormat="1" ht="24" customHeight="1" x14ac:dyDescent="0.25">
      <c r="A27" s="33">
        <v>23</v>
      </c>
      <c r="B27" s="43" t="s">
        <v>100</v>
      </c>
      <c r="C27" s="35" t="s">
        <v>102</v>
      </c>
      <c r="D27" s="79">
        <v>46154</v>
      </c>
      <c r="E27" s="125" t="s">
        <v>105</v>
      </c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72">
        <v>0.39513888888888887</v>
      </c>
      <c r="AB27" s="72">
        <v>0.9194444444444444</v>
      </c>
      <c r="AC27" s="72">
        <v>0.34583333333333338</v>
      </c>
      <c r="AD27" s="72">
        <v>0.93333333333333324</v>
      </c>
      <c r="AE27" s="72">
        <v>0.35000000000000003</v>
      </c>
      <c r="AF27" s="72">
        <v>0.95972222222222225</v>
      </c>
      <c r="AG27" s="93">
        <v>0.5854166666666667</v>
      </c>
      <c r="AH27" s="93">
        <v>0.92222222222222217</v>
      </c>
      <c r="AI27" s="84"/>
      <c r="AJ27" s="33">
        <v>23</v>
      </c>
      <c r="AK27" s="72">
        <v>0.35069444444444442</v>
      </c>
      <c r="AL27" s="72">
        <v>0.92499999999999993</v>
      </c>
      <c r="AM27" s="72">
        <v>0.34861111111111115</v>
      </c>
      <c r="AN27" s="72">
        <v>0.93680555555555556</v>
      </c>
      <c r="AO27" s="72">
        <v>0.35833333333333334</v>
      </c>
      <c r="AP27" s="72">
        <v>0.94097222222222221</v>
      </c>
      <c r="AQ27" s="72">
        <v>0.35625000000000001</v>
      </c>
      <c r="AR27" s="72">
        <v>0.94236111111111109</v>
      </c>
      <c r="AS27" s="72">
        <v>0.34722222222222227</v>
      </c>
      <c r="AT27" s="72">
        <v>0.94097222222222221</v>
      </c>
      <c r="AU27" s="72">
        <v>0.35000000000000003</v>
      </c>
      <c r="AV27" s="72">
        <v>0.95972222222222225</v>
      </c>
      <c r="AW27" s="86" t="s">
        <v>55</v>
      </c>
      <c r="AX27" s="86" t="s">
        <v>55</v>
      </c>
      <c r="AY27" s="72">
        <v>0.34513888888888888</v>
      </c>
      <c r="AZ27" s="72">
        <v>0.95833333333333337</v>
      </c>
      <c r="BA27" s="72">
        <v>0.35069444444444442</v>
      </c>
      <c r="BB27" s="72">
        <v>0.9375</v>
      </c>
      <c r="BC27" s="72">
        <v>0.3527777777777778</v>
      </c>
      <c r="BD27" s="72">
        <v>0.95972222222222225</v>
      </c>
      <c r="BE27" s="72">
        <v>0.3520833333333333</v>
      </c>
      <c r="BF27" s="72">
        <v>0.95833333333333337</v>
      </c>
      <c r="BG27" s="86" t="s">
        <v>55</v>
      </c>
      <c r="BH27" s="86" t="s">
        <v>55</v>
      </c>
      <c r="BI27" s="72">
        <v>0.35347222222222219</v>
      </c>
      <c r="BJ27" s="72">
        <v>0.9458333333333333</v>
      </c>
      <c r="BK27" s="86" t="s">
        <v>55</v>
      </c>
      <c r="BL27" s="86" t="s">
        <v>55</v>
      </c>
      <c r="BM27" s="72">
        <v>0.35347222222222219</v>
      </c>
      <c r="BN27" s="72">
        <v>0.94097222222222221</v>
      </c>
      <c r="BO27" s="72">
        <v>0.35555555555555557</v>
      </c>
      <c r="BP27" s="72">
        <v>0.93888888888888899</v>
      </c>
      <c r="BQ27" s="7">
        <f t="shared" si="14"/>
        <v>20</v>
      </c>
      <c r="BR27" s="61">
        <v>1</v>
      </c>
      <c r="BS27" s="38">
        <f t="shared" si="13"/>
        <v>17</v>
      </c>
      <c r="BT27" s="39">
        <f t="shared" ref="BT27:BT28" si="38">COUNTIF(E27:BP27,"OFF")/2</f>
        <v>3</v>
      </c>
      <c r="BU27" s="39">
        <f t="shared" ref="BU27:BU28" si="39">COUNTIF(E27:BP27,"MC")/2</f>
        <v>0</v>
      </c>
      <c r="BV27" s="39">
        <f t="shared" ref="BV27:BV28" si="40">COUNTIF(E27:BP27,"EL")/2</f>
        <v>0</v>
      </c>
      <c r="BW27" s="39">
        <f t="shared" ref="BW27:BW28" si="41">COUNTIF(E27:BP27,"AL")/2</f>
        <v>0</v>
      </c>
      <c r="BX27" s="39">
        <f t="shared" ref="BX27:BX28" si="42">COUNTIF(E27:BP27,"SUS")/2</f>
        <v>0</v>
      </c>
      <c r="BY27" s="39">
        <f t="shared" ref="BY27:BY28" si="43">COUNTIF(E27:BP27,"FL")/2</f>
        <v>0</v>
      </c>
      <c r="BZ27" s="39">
        <f t="shared" ref="BZ27:BZ28" si="44">COUNTIF(E27:BP27,"SICK")/2</f>
        <v>0</v>
      </c>
      <c r="CA27" s="39">
        <f t="shared" ref="CA27:CA28" si="45">COUNTIF(E27:BP27,"HD")/2</f>
        <v>0</v>
      </c>
      <c r="CB27" s="39">
        <f t="shared" ref="CB27:CB28" si="46">COUNTIF(E27:BP27,"AB")/2</f>
        <v>0</v>
      </c>
      <c r="CC27" s="39">
        <f t="shared" ref="CC27:CC28" si="47">COUNTIF(E27:BP27,"NL")/2</f>
        <v>0</v>
      </c>
      <c r="CD27" s="39">
        <f t="shared" ref="CD27:CD28" si="48">COUNTIF(E27:BP27,"SP")/2</f>
        <v>0</v>
      </c>
      <c r="CE27" s="40"/>
      <c r="CH27" s="63">
        <v>0</v>
      </c>
      <c r="CI27" s="63">
        <v>0</v>
      </c>
      <c r="CJ27" s="63">
        <v>0</v>
      </c>
      <c r="CK27" s="63">
        <v>0</v>
      </c>
      <c r="CL27" s="63">
        <v>0</v>
      </c>
      <c r="CM27" s="63">
        <v>0</v>
      </c>
      <c r="CN27" s="63">
        <v>0</v>
      </c>
      <c r="CO27" s="63">
        <v>0</v>
      </c>
      <c r="CP27" s="63">
        <v>0</v>
      </c>
      <c r="CQ27" s="63">
        <v>0</v>
      </c>
      <c r="CR27" s="49">
        <f>SUM(CH27:CQ27)</f>
        <v>0</v>
      </c>
    </row>
    <row r="28" spans="1:98" s="59" customFormat="1" ht="24" customHeight="1" x14ac:dyDescent="0.25">
      <c r="A28" s="33">
        <v>24</v>
      </c>
      <c r="B28" s="43" t="s">
        <v>101</v>
      </c>
      <c r="C28" s="35" t="s">
        <v>103</v>
      </c>
      <c r="D28" s="79">
        <v>46157</v>
      </c>
      <c r="E28" s="125" t="s">
        <v>104</v>
      </c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7"/>
      <c r="AG28" s="93">
        <v>0.58333333333333337</v>
      </c>
      <c r="AH28" s="93">
        <v>0.92638888888888893</v>
      </c>
      <c r="AI28" s="84"/>
      <c r="AJ28" s="33">
        <v>24</v>
      </c>
      <c r="AK28" s="72">
        <v>0.34861111111111115</v>
      </c>
      <c r="AL28" s="72">
        <v>0.6479166666666667</v>
      </c>
      <c r="AM28" s="96" t="s">
        <v>106</v>
      </c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8"/>
      <c r="BQ28" s="7">
        <f t="shared" si="14"/>
        <v>2</v>
      </c>
      <c r="BR28" s="61">
        <v>1</v>
      </c>
      <c r="BS28" s="38">
        <f t="shared" si="13"/>
        <v>2</v>
      </c>
      <c r="BT28" s="39">
        <f t="shared" si="38"/>
        <v>0</v>
      </c>
      <c r="BU28" s="39">
        <f t="shared" si="39"/>
        <v>0</v>
      </c>
      <c r="BV28" s="39">
        <f t="shared" si="40"/>
        <v>0</v>
      </c>
      <c r="BW28" s="39">
        <f t="shared" si="41"/>
        <v>0</v>
      </c>
      <c r="BX28" s="39">
        <f t="shared" si="42"/>
        <v>0</v>
      </c>
      <c r="BY28" s="39">
        <f t="shared" si="43"/>
        <v>0</v>
      </c>
      <c r="BZ28" s="39">
        <f t="shared" si="44"/>
        <v>0</v>
      </c>
      <c r="CA28" s="39">
        <f t="shared" si="45"/>
        <v>0</v>
      </c>
      <c r="CB28" s="39">
        <f t="shared" si="46"/>
        <v>0</v>
      </c>
      <c r="CC28" s="39">
        <f t="shared" si="47"/>
        <v>0</v>
      </c>
      <c r="CD28" s="39">
        <f t="shared" si="48"/>
        <v>0</v>
      </c>
      <c r="CE28" s="40"/>
      <c r="CH28" s="63">
        <v>0</v>
      </c>
      <c r="CI28" s="63">
        <v>0</v>
      </c>
      <c r="CJ28" s="63">
        <v>0</v>
      </c>
      <c r="CK28" s="63">
        <v>0</v>
      </c>
      <c r="CL28" s="63">
        <v>0</v>
      </c>
      <c r="CM28" s="63">
        <v>0</v>
      </c>
      <c r="CN28" s="63">
        <v>0</v>
      </c>
      <c r="CO28" s="63">
        <v>0</v>
      </c>
      <c r="CP28" s="63">
        <v>0</v>
      </c>
      <c r="CQ28" s="63">
        <v>0</v>
      </c>
      <c r="CR28" s="49">
        <f>SUM(CH28:CQ28)</f>
        <v>0</v>
      </c>
    </row>
    <row r="29" spans="1:98" x14ac:dyDescent="0.25">
      <c r="CH29" s="55"/>
      <c r="CI29" s="55"/>
      <c r="CJ29" s="55"/>
      <c r="CK29" s="55"/>
      <c r="CL29" s="55"/>
      <c r="CM29" s="55"/>
      <c r="CN29" s="55"/>
      <c r="CO29" s="55"/>
      <c r="CP29" s="55"/>
      <c r="CQ29" s="55"/>
      <c r="CR29" s="60"/>
    </row>
    <row r="30" spans="1:98" ht="16.5" x14ac:dyDescent="0.3">
      <c r="BS30" s="30" t="s">
        <v>70</v>
      </c>
      <c r="BT30" s="22"/>
      <c r="BU30" s="18"/>
      <c r="BV30" s="18"/>
      <c r="BW30" s="19" t="s">
        <v>55</v>
      </c>
      <c r="BX30" s="20"/>
      <c r="BY30" s="21" t="s">
        <v>71</v>
      </c>
      <c r="BZ30" s="22"/>
      <c r="CA30" s="22"/>
      <c r="CB30" s="13"/>
      <c r="CC30" s="23" t="s">
        <v>61</v>
      </c>
      <c r="CF30" s="59"/>
      <c r="CG30" s="59"/>
    </row>
    <row r="31" spans="1:98" s="59" customFormat="1" ht="27.75" customHeight="1" x14ac:dyDescent="0.3">
      <c r="A31" s="55"/>
      <c r="B31" s="50"/>
      <c r="C31" s="51"/>
      <c r="D31" s="78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5"/>
      <c r="AB31" s="55"/>
      <c r="AC31" s="52"/>
      <c r="AD31" s="52"/>
      <c r="AE31" s="53"/>
      <c r="AF31" s="53"/>
      <c r="AG31" s="53"/>
      <c r="AH31" s="53"/>
      <c r="AI31" s="56"/>
      <c r="AJ31" s="55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/>
      <c r="AV31" s="54"/>
      <c r="AW31" s="54"/>
      <c r="AX31" s="54"/>
      <c r="AY31" s="54"/>
      <c r="AZ31" s="54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7"/>
      <c r="BR31"/>
      <c r="BS31" s="30" t="s">
        <v>72</v>
      </c>
      <c r="BT31" s="22"/>
      <c r="BU31" s="18"/>
      <c r="BV31" s="18"/>
      <c r="BW31" s="19" t="s">
        <v>56</v>
      </c>
      <c r="BX31" s="20"/>
      <c r="BY31" s="24" t="s">
        <v>73</v>
      </c>
      <c r="BZ31" s="25"/>
      <c r="CA31" s="25"/>
      <c r="CB31" s="13"/>
      <c r="CC31" s="23" t="s">
        <v>62</v>
      </c>
      <c r="CD31"/>
      <c r="CE31" s="58"/>
      <c r="CF31"/>
      <c r="CG31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20"/>
      <c r="CS31"/>
      <c r="CT31"/>
    </row>
    <row r="32" spans="1:98" ht="17.25" x14ac:dyDescent="0.3">
      <c r="F32" s="13"/>
      <c r="G32" s="13"/>
      <c r="H32" s="14" t="s">
        <v>67</v>
      </c>
      <c r="I32" s="14"/>
      <c r="J32" s="14"/>
      <c r="K32" s="13"/>
      <c r="L32" s="13"/>
      <c r="M32" s="15"/>
      <c r="Q32" s="16"/>
      <c r="R32" s="14" t="s">
        <v>68</v>
      </c>
      <c r="S32" s="13"/>
      <c r="T32" s="13"/>
      <c r="X32" s="17"/>
      <c r="Y32" s="13"/>
      <c r="Z32" s="13"/>
      <c r="AA32" s="14" t="s">
        <v>69</v>
      </c>
      <c r="AB32" s="17"/>
      <c r="AC32" s="17"/>
      <c r="AD32" s="13"/>
      <c r="AE32" s="13"/>
      <c r="AF32" s="13"/>
      <c r="AG32" s="13"/>
      <c r="AR32" s="13"/>
      <c r="AS32" s="13"/>
      <c r="BS32" s="30" t="s">
        <v>74</v>
      </c>
      <c r="BT32" s="22"/>
      <c r="BU32" s="18"/>
      <c r="BV32" s="18"/>
      <c r="BW32" s="19" t="s">
        <v>57</v>
      </c>
      <c r="BX32" s="20"/>
      <c r="BY32" s="24" t="s">
        <v>75</v>
      </c>
      <c r="BZ32" s="25"/>
      <c r="CA32" s="25"/>
      <c r="CB32" s="13"/>
      <c r="CC32" s="23" t="s">
        <v>63</v>
      </c>
      <c r="CE32" t="s">
        <v>80</v>
      </c>
    </row>
    <row r="33" spans="6:81" ht="17.25" x14ac:dyDescent="0.3">
      <c r="F33" s="13"/>
      <c r="G33" s="13"/>
      <c r="H33" s="13"/>
      <c r="I33" s="13"/>
      <c r="J33" s="13"/>
      <c r="K33" s="13"/>
      <c r="L33" s="13"/>
      <c r="M33" s="13"/>
      <c r="Q33" s="13"/>
      <c r="R33" s="13"/>
      <c r="S33" s="13"/>
      <c r="T33" s="13"/>
      <c r="X33" s="17"/>
      <c r="Y33" s="13"/>
      <c r="Z33" s="13"/>
      <c r="AA33" s="13"/>
      <c r="AB33" s="13"/>
      <c r="AC33" s="17"/>
      <c r="AD33" s="13"/>
      <c r="AE33" s="13"/>
      <c r="AF33" s="13"/>
      <c r="AG33" s="13"/>
      <c r="AR33" s="13"/>
      <c r="AS33" s="13"/>
      <c r="BS33" s="30" t="s">
        <v>76</v>
      </c>
      <c r="BT33" s="22"/>
      <c r="BU33" s="18"/>
      <c r="BV33" s="18"/>
      <c r="BW33" s="19" t="s">
        <v>58</v>
      </c>
      <c r="BX33" s="20"/>
      <c r="BY33" s="21" t="s">
        <v>77</v>
      </c>
      <c r="BZ33" s="22"/>
      <c r="CA33" s="22"/>
      <c r="CB33" s="13"/>
      <c r="CC33" s="23" t="s">
        <v>64</v>
      </c>
    </row>
    <row r="34" spans="6:81" ht="17.25" x14ac:dyDescent="0.3">
      <c r="F34" s="13"/>
      <c r="G34" s="13"/>
      <c r="H34" s="13"/>
      <c r="I34" s="13"/>
      <c r="J34" s="13"/>
      <c r="K34" s="13"/>
      <c r="L34" s="13"/>
      <c r="M34" s="13"/>
      <c r="Q34" s="13"/>
      <c r="R34" s="13"/>
      <c r="S34" s="13"/>
      <c r="T34" s="13"/>
      <c r="X34" s="17"/>
      <c r="Y34" s="13"/>
      <c r="Z34" s="13"/>
      <c r="AA34" s="13"/>
      <c r="AB34" s="13"/>
      <c r="AC34" s="17"/>
      <c r="AD34" s="13"/>
      <c r="AE34" s="13"/>
      <c r="AF34" s="13"/>
      <c r="AG34" s="13"/>
      <c r="AR34" s="13"/>
      <c r="AS34" s="13"/>
      <c r="BS34" s="30" t="s">
        <v>81</v>
      </c>
      <c r="BT34" s="22"/>
      <c r="BU34" s="18"/>
      <c r="BV34" s="18"/>
      <c r="BW34" s="19" t="s">
        <v>59</v>
      </c>
      <c r="BX34" s="20"/>
      <c r="BY34" s="21" t="s">
        <v>82</v>
      </c>
      <c r="BZ34" s="22"/>
      <c r="CA34" s="22"/>
      <c r="CB34" s="13"/>
      <c r="CC34" s="23" t="s">
        <v>65</v>
      </c>
    </row>
    <row r="35" spans="6:81" ht="17.25" x14ac:dyDescent="0.3">
      <c r="F35" s="13"/>
      <c r="G35" s="13"/>
      <c r="H35" s="26"/>
      <c r="I35" s="27"/>
      <c r="J35" s="26"/>
      <c r="K35" s="13"/>
      <c r="L35" s="13"/>
      <c r="M35" s="28"/>
      <c r="Q35" s="16"/>
      <c r="R35" s="13"/>
      <c r="S35" s="27"/>
      <c r="T35" s="13"/>
      <c r="X35" s="13"/>
      <c r="Y35" s="13"/>
      <c r="Z35" s="27"/>
      <c r="AA35" s="13"/>
      <c r="AB35" s="27"/>
      <c r="AC35" s="13"/>
      <c r="AD35" s="13"/>
      <c r="AE35" s="13"/>
      <c r="AF35" s="13"/>
      <c r="AG35" s="13"/>
      <c r="AR35" s="13"/>
      <c r="AS35" s="13"/>
      <c r="BS35" s="30" t="s">
        <v>86</v>
      </c>
      <c r="BT35" s="22"/>
      <c r="BU35" s="18"/>
      <c r="BV35" s="18"/>
      <c r="BW35" s="19" t="s">
        <v>60</v>
      </c>
      <c r="BX35" s="20"/>
      <c r="BY35" s="20"/>
      <c r="BZ35" s="20"/>
      <c r="CA35" s="20"/>
      <c r="CB35" s="20"/>
      <c r="CC35" s="20"/>
    </row>
    <row r="36" spans="6:81" ht="18.75" x14ac:dyDescent="0.25">
      <c r="F36" s="94"/>
      <c r="G36" s="94"/>
      <c r="H36" s="94" t="s">
        <v>78</v>
      </c>
      <c r="I36" s="94"/>
      <c r="J36" s="94"/>
      <c r="K36" s="94"/>
      <c r="L36" s="94"/>
      <c r="M36" s="94"/>
      <c r="N36" s="94"/>
      <c r="O36" s="94"/>
      <c r="P36" s="94"/>
      <c r="Q36" s="94"/>
      <c r="R36" s="94" t="s">
        <v>26</v>
      </c>
      <c r="S36" s="94"/>
      <c r="T36" s="94"/>
      <c r="U36" s="94"/>
      <c r="V36" s="94"/>
      <c r="W36" s="94"/>
      <c r="X36" s="94"/>
      <c r="Y36" s="94" t="s">
        <v>80</v>
      </c>
      <c r="Z36" s="94"/>
      <c r="AA36" s="94" t="s">
        <v>79</v>
      </c>
      <c r="AB36" s="94"/>
      <c r="AC36" s="13"/>
      <c r="AD36" s="13"/>
      <c r="AE36" s="13"/>
      <c r="AF36" s="13"/>
      <c r="AG36" s="13"/>
      <c r="AR36" s="13"/>
      <c r="AS36" s="13"/>
    </row>
    <row r="37" spans="6:81" ht="18.75" x14ac:dyDescent="0.25">
      <c r="F37" s="94"/>
      <c r="G37" s="94"/>
      <c r="H37" s="94" t="s">
        <v>83</v>
      </c>
      <c r="I37" s="94"/>
      <c r="J37" s="94"/>
      <c r="K37" s="94"/>
      <c r="L37" s="94"/>
      <c r="M37" s="94"/>
      <c r="N37" s="94"/>
      <c r="O37" s="94"/>
      <c r="P37" s="94"/>
      <c r="Q37" s="94"/>
      <c r="R37" s="94" t="s">
        <v>84</v>
      </c>
      <c r="S37" s="94"/>
      <c r="T37" s="94"/>
      <c r="U37" s="94"/>
      <c r="V37" s="94"/>
      <c r="W37" s="94"/>
      <c r="X37" s="94"/>
      <c r="Y37" s="94"/>
      <c r="Z37" s="94"/>
      <c r="AA37" s="94" t="s">
        <v>85</v>
      </c>
      <c r="AB37" s="94"/>
      <c r="AC37" s="13"/>
      <c r="AD37" s="13"/>
      <c r="AE37" s="13"/>
      <c r="AF37" s="13"/>
      <c r="AG37" s="13"/>
      <c r="AR37" s="13"/>
      <c r="AS37" s="13"/>
    </row>
    <row r="38" spans="6:81" ht="17.25" x14ac:dyDescent="0.25">
      <c r="F38" s="27"/>
      <c r="G38" s="26"/>
      <c r="H38" s="27"/>
      <c r="I38" s="27"/>
      <c r="J38" s="27"/>
      <c r="K38" s="27"/>
      <c r="L38" s="28"/>
      <c r="M38" s="28"/>
      <c r="Q38" s="16"/>
      <c r="R38" s="13"/>
      <c r="S38" s="13"/>
      <c r="T38" s="27"/>
      <c r="X38" s="13"/>
      <c r="Y38" s="20"/>
      <c r="Z38" s="27"/>
      <c r="AA38" s="13"/>
      <c r="AB38" s="13"/>
      <c r="AC38" s="13"/>
      <c r="AD38" s="20"/>
      <c r="AE38" s="20"/>
      <c r="AF38" s="20"/>
      <c r="AG38" s="20"/>
      <c r="AH38" s="20"/>
      <c r="AI38" s="20"/>
      <c r="AJ38" s="13"/>
      <c r="AK38" s="29"/>
      <c r="AL38" s="29"/>
      <c r="AM38" s="13"/>
      <c r="AN38" s="13"/>
      <c r="AO38" s="13"/>
      <c r="AP38" s="13"/>
      <c r="AQ38" s="13"/>
      <c r="AR38" s="13"/>
      <c r="AS38" s="13"/>
    </row>
    <row r="39" spans="6:81" x14ac:dyDescent="0.25">
      <c r="F39" s="13"/>
      <c r="G39" s="13"/>
      <c r="H39" s="13"/>
      <c r="I39" s="13"/>
      <c r="J39" s="13"/>
      <c r="K39" s="13"/>
      <c r="L39" s="13"/>
      <c r="M39" s="13"/>
      <c r="Q39" s="13"/>
      <c r="R39" s="13"/>
      <c r="S39" s="13"/>
      <c r="T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</row>
    <row r="40" spans="6:81" x14ac:dyDescent="0.25"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</row>
    <row r="43" spans="6:81" ht="21.75" customHeight="1" x14ac:dyDescent="0.25"/>
    <row r="51" spans="1:98" x14ac:dyDescent="0.25">
      <c r="CH51" s="37">
        <v>0</v>
      </c>
      <c r="CI51" s="33">
        <v>0</v>
      </c>
      <c r="CJ51" s="33">
        <v>0</v>
      </c>
      <c r="CK51" s="33">
        <v>0</v>
      </c>
      <c r="CL51" s="33">
        <v>0</v>
      </c>
      <c r="CM51" s="33">
        <v>1</v>
      </c>
      <c r="CN51" s="33">
        <v>0</v>
      </c>
      <c r="CO51" s="33">
        <v>1</v>
      </c>
      <c r="CP51" s="33">
        <v>0</v>
      </c>
      <c r="CQ51" s="33">
        <v>0</v>
      </c>
      <c r="CR51" s="44">
        <f>SUM(CH51:CQ51)</f>
        <v>2</v>
      </c>
    </row>
    <row r="52" spans="1:98" x14ac:dyDescent="0.25">
      <c r="CH52" s="37">
        <v>3</v>
      </c>
      <c r="CI52" s="33">
        <v>0</v>
      </c>
      <c r="CJ52" s="33">
        <v>19</v>
      </c>
      <c r="CK52" s="33">
        <v>0</v>
      </c>
      <c r="CL52" s="33">
        <v>4</v>
      </c>
      <c r="CM52" s="33">
        <v>4</v>
      </c>
      <c r="CN52" s="33">
        <v>0</v>
      </c>
      <c r="CO52" s="33">
        <v>4</v>
      </c>
      <c r="CP52" s="33">
        <v>0</v>
      </c>
      <c r="CQ52" s="33">
        <v>0</v>
      </c>
      <c r="CR52" s="44">
        <f t="shared" ref="CR52" si="49">SUM(CH52:CQ52)</f>
        <v>34</v>
      </c>
      <c r="CS52" s="59"/>
      <c r="CT52" s="59"/>
    </row>
    <row r="53" spans="1:98" ht="24.75" customHeight="1" x14ac:dyDescent="0.25">
      <c r="A53" s="33">
        <v>14</v>
      </c>
      <c r="B53" s="39" t="s">
        <v>39</v>
      </c>
      <c r="C53" s="35" t="s">
        <v>40</v>
      </c>
      <c r="D53" s="79">
        <v>45156</v>
      </c>
      <c r="E53" s="67"/>
      <c r="F53" s="67"/>
      <c r="G53" s="67"/>
      <c r="H53" s="67"/>
      <c r="I53" s="69"/>
      <c r="J53" s="69"/>
      <c r="K53" s="67"/>
      <c r="L53" s="67"/>
      <c r="M53" s="67"/>
      <c r="N53" s="67"/>
      <c r="O53" s="83"/>
      <c r="P53" s="69"/>
      <c r="Q53" s="68"/>
      <c r="R53" s="68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9"/>
      <c r="AD53" s="69"/>
      <c r="AE53" s="67"/>
      <c r="AF53" s="67"/>
      <c r="AG53" s="67"/>
      <c r="AH53" s="67"/>
      <c r="AJ53" s="36">
        <v>14</v>
      </c>
      <c r="AK53" s="67"/>
      <c r="AL53" s="67"/>
      <c r="AM53" s="67"/>
      <c r="AN53" s="67"/>
      <c r="AO53" s="67"/>
      <c r="AP53" s="67"/>
      <c r="AQ53" s="67"/>
      <c r="AR53" s="67"/>
      <c r="AS53" s="65"/>
      <c r="AT53" s="71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3"/>
      <c r="BH53" s="73"/>
      <c r="BI53" s="72"/>
      <c r="BJ53" s="72"/>
      <c r="BK53" s="72"/>
      <c r="BL53" s="70"/>
      <c r="BM53" s="67"/>
      <c r="BN53" s="67"/>
      <c r="BO53" s="67"/>
      <c r="BP53" s="67"/>
      <c r="BQ53" s="7">
        <f t="shared" ref="BQ53" si="50">BS53+BT53+BU53+BZ53+BX53+CC53</f>
        <v>0</v>
      </c>
      <c r="BR53" s="61"/>
      <c r="BS53" s="38">
        <f>COUNT(E53:AH53)/2+COUNT(AK53:BP53)/2</f>
        <v>0</v>
      </c>
      <c r="BT53" s="39">
        <f>COUNTIF(E53:BP53,"OFF")/2</f>
        <v>0</v>
      </c>
      <c r="BU53" s="39">
        <f>COUNTIF(E53:BP53,"MC")/2</f>
        <v>0</v>
      </c>
      <c r="BV53" s="39">
        <f>COUNTIF(E53:BP53,"EL")/2</f>
        <v>0</v>
      </c>
      <c r="BW53" s="39">
        <f>COUNTIF(E53:BP53,"AL")/2</f>
        <v>0</v>
      </c>
      <c r="BX53" s="39">
        <f>COUNTIF(E53:BP53,"SUS")/2</f>
        <v>0</v>
      </c>
      <c r="BY53" s="39">
        <f>COUNTIF(E53:BP53,"FL")/2</f>
        <v>0</v>
      </c>
      <c r="BZ53" s="39">
        <f>COUNTIF(E53:BP53,"SICK")/2</f>
        <v>0</v>
      </c>
      <c r="CA53" s="39">
        <f>COUNTIF(E53:BP53,"HD")/2</f>
        <v>0</v>
      </c>
      <c r="CB53" s="39">
        <f>COUNTIF(E53:BP53,"AB")/2</f>
        <v>0</v>
      </c>
      <c r="CC53" s="39">
        <f>COUNTIF(E53:BP53,"NL")/2</f>
        <v>0</v>
      </c>
      <c r="CD53" s="39">
        <f>COUNTIF(E53:BP53,"SP")/2</f>
        <v>0</v>
      </c>
      <c r="CE53" s="40"/>
    </row>
  </sheetData>
  <mergeCells count="74">
    <mergeCell ref="E28:AF28"/>
    <mergeCell ref="E27:Z27"/>
    <mergeCell ref="BM2:BN2"/>
    <mergeCell ref="BO3:BP3"/>
    <mergeCell ref="BO2:BP2"/>
    <mergeCell ref="K3:L3"/>
    <mergeCell ref="M2:N2"/>
    <mergeCell ref="O2:P2"/>
    <mergeCell ref="Q2:R2"/>
    <mergeCell ref="K2:L2"/>
    <mergeCell ref="U3:V3"/>
    <mergeCell ref="M3:N3"/>
    <mergeCell ref="O3:P3"/>
    <mergeCell ref="Q3:R3"/>
    <mergeCell ref="AA2:AB2"/>
    <mergeCell ref="AC2:AD2"/>
    <mergeCell ref="S3:T3"/>
    <mergeCell ref="I2:J2"/>
    <mergeCell ref="E3:F3"/>
    <mergeCell ref="G3:H3"/>
    <mergeCell ref="I3:J3"/>
    <mergeCell ref="AE2:AF2"/>
    <mergeCell ref="A1:AH1"/>
    <mergeCell ref="E2:F2"/>
    <mergeCell ref="G2:H2"/>
    <mergeCell ref="S2:T2"/>
    <mergeCell ref="Y2:Z2"/>
    <mergeCell ref="W2:X2"/>
    <mergeCell ref="AG2:AH2"/>
    <mergeCell ref="AJ1:CE1"/>
    <mergeCell ref="AJ2:AJ4"/>
    <mergeCell ref="AO3:AP3"/>
    <mergeCell ref="AQ3:AR3"/>
    <mergeCell ref="AU2:AV2"/>
    <mergeCell ref="AK2:AL2"/>
    <mergeCell ref="BM3:BN3"/>
    <mergeCell ref="BC2:BD2"/>
    <mergeCell ref="BE2:BF2"/>
    <mergeCell ref="AM2:AN2"/>
    <mergeCell ref="AO2:AP2"/>
    <mergeCell ref="AQ2:AR2"/>
    <mergeCell ref="BA2:BB2"/>
    <mergeCell ref="BE3:BF3"/>
    <mergeCell ref="AS3:AT3"/>
    <mergeCell ref="AU3:AV3"/>
    <mergeCell ref="AW3:AX3"/>
    <mergeCell ref="AS2:AT2"/>
    <mergeCell ref="BA3:BB3"/>
    <mergeCell ref="AW2:AX2"/>
    <mergeCell ref="AY2:AZ2"/>
    <mergeCell ref="AY3:AZ3"/>
    <mergeCell ref="AA3:AB3"/>
    <mergeCell ref="AK3:AL3"/>
    <mergeCell ref="AC3:AD3"/>
    <mergeCell ref="W3:X3"/>
    <mergeCell ref="Y3:Z3"/>
    <mergeCell ref="AG3:AH3"/>
    <mergeCell ref="AE3:AF3"/>
    <mergeCell ref="AM28:BP28"/>
    <mergeCell ref="CH3:CR3"/>
    <mergeCell ref="A2:D3"/>
    <mergeCell ref="CH2:CQ2"/>
    <mergeCell ref="BG3:BH3"/>
    <mergeCell ref="BG2:BH2"/>
    <mergeCell ref="BR2:BR4"/>
    <mergeCell ref="BS2:CE2"/>
    <mergeCell ref="BK3:BL3"/>
    <mergeCell ref="BI3:BJ3"/>
    <mergeCell ref="BK2:BL2"/>
    <mergeCell ref="BI2:BJ2"/>
    <mergeCell ref="BQ2:BQ4"/>
    <mergeCell ref="BC3:BD3"/>
    <mergeCell ref="AM3:AN3"/>
    <mergeCell ref="U2:V2"/>
  </mergeCells>
  <phoneticPr fontId="7" type="noConversion"/>
  <conditionalFormatting sqref="B4">
    <cfRule type="duplicateValues" dxfId="1586" priority="12513"/>
  </conditionalFormatting>
  <conditionalFormatting sqref="B5">
    <cfRule type="duplicateValues" dxfId="1585" priority="12495"/>
  </conditionalFormatting>
  <conditionalFormatting sqref="B6:B7">
    <cfRule type="duplicateValues" dxfId="1584" priority="12501"/>
  </conditionalFormatting>
  <conditionalFormatting sqref="B8">
    <cfRule type="duplicateValues" dxfId="1583" priority="12500"/>
  </conditionalFormatting>
  <conditionalFormatting sqref="B10:B17">
    <cfRule type="duplicateValues" dxfId="1582" priority="14754"/>
  </conditionalFormatting>
  <conditionalFormatting sqref="B18">
    <cfRule type="duplicateValues" dxfId="1581" priority="12502"/>
    <cfRule type="duplicateValues" dxfId="1580" priority="12498"/>
  </conditionalFormatting>
  <conditionalFormatting sqref="B19">
    <cfRule type="duplicateValues" dxfId="1579" priority="12503"/>
  </conditionalFormatting>
  <conditionalFormatting sqref="B19:B20">
    <cfRule type="duplicateValues" dxfId="1578" priority="12496"/>
  </conditionalFormatting>
  <conditionalFormatting sqref="B53">
    <cfRule type="duplicateValues" dxfId="1577" priority="2436"/>
    <cfRule type="duplicateValues" dxfId="1576" priority="2437"/>
  </conditionalFormatting>
  <conditionalFormatting sqref="B5:D7">
    <cfRule type="containsText" dxfId="1575" priority="12494" operator="containsText" text="AB">
      <formula>NOT(ISERROR(SEARCH("AB",B5)))</formula>
    </cfRule>
  </conditionalFormatting>
  <conditionalFormatting sqref="B8:D8 B10:D17 B18:B20 C31:D31 B53:D53">
    <cfRule type="containsText" dxfId="1574" priority="12493" operator="containsText" text="ABST">
      <formula>NOT(ISERROR(SEARCH("ABST",B8)))</formula>
    </cfRule>
  </conditionalFormatting>
  <conditionalFormatting sqref="C27">
    <cfRule type="duplicateValues" dxfId="1573" priority="1204"/>
  </conditionalFormatting>
  <conditionalFormatting sqref="C28">
    <cfRule type="duplicateValues" dxfId="1572" priority="1203"/>
  </conditionalFormatting>
  <conditionalFormatting sqref="C18:D28">
    <cfRule type="containsText" dxfId="1571" priority="1202" operator="containsText" text="ABST">
      <formula>NOT(ISERROR(SEARCH("ABST",C18)))</formula>
    </cfRule>
  </conditionalFormatting>
  <conditionalFormatting sqref="C26:D26">
    <cfRule type="duplicateValues" dxfId="1570" priority="14823"/>
  </conditionalFormatting>
  <conditionalFormatting sqref="C31:D31 C5:D25 D27:D28">
    <cfRule type="duplicateValues" dxfId="1569" priority="14825"/>
  </conditionalFormatting>
  <conditionalFormatting sqref="C53:D53">
    <cfRule type="duplicateValues" dxfId="1568" priority="14829"/>
  </conditionalFormatting>
  <conditionalFormatting sqref="D28">
    <cfRule type="duplicateValues" dxfId="1567" priority="1201"/>
  </conditionalFormatting>
  <conditionalFormatting sqref="E31 AK31:AT31 AV31:BP31">
    <cfRule type="containsText" dxfId="1566" priority="11927" operator="containsText" text="AL">
      <formula>NOT(ISERROR(SEARCH("AL",E31)))</formula>
    </cfRule>
    <cfRule type="containsText" dxfId="1565" priority="11928" operator="containsText" text="SICK">
      <formula>NOT(ISERROR(SEARCH("SICK",E31)))</formula>
    </cfRule>
    <cfRule type="containsText" dxfId="1564" priority="11929" operator="containsText" text="NL">
      <formula>NOT(ISERROR(SEARCH("NL",E31)))</formula>
    </cfRule>
    <cfRule type="containsText" dxfId="1563" priority="11926" operator="containsText" text="AB">
      <formula>NOT(ISERROR(SEARCH("AB",E31)))</formula>
    </cfRule>
  </conditionalFormatting>
  <conditionalFormatting sqref="E10:F10">
    <cfRule type="containsText" dxfId="1562" priority="1966" operator="containsText" text="NL">
      <formula>NOT(ISERROR(SEARCH("NL",E10)))</formula>
    </cfRule>
    <cfRule type="containsText" dxfId="1561" priority="1965" operator="containsText" text="SP">
      <formula>NOT(ISERROR(SEARCH("SP",E10)))</formula>
    </cfRule>
    <cfRule type="containsText" dxfId="1560" priority="1970" operator="containsText" text="AB">
      <formula>NOT(ISERROR(SEARCH("AB",E10)))</formula>
    </cfRule>
    <cfRule type="containsText" dxfId="1559" priority="1972" operator="containsText" text="AL">
      <formula>NOT(ISERROR(SEARCH("AL",E10)))</formula>
    </cfRule>
    <cfRule type="containsText" dxfId="1558" priority="1971" operator="containsText" text="Sick">
      <formula>NOT(ISERROR(SEARCH("Sick",E10)))</formula>
    </cfRule>
    <cfRule type="containsText" dxfId="1557" priority="1974" operator="containsText" text="OFF">
      <formula>NOT(ISERROR(SEARCH("OFF",E10)))</formula>
    </cfRule>
    <cfRule type="containsText" dxfId="1556" priority="1969" operator="containsText" text="EL">
      <formula>NOT(ISERROR(SEARCH("EL",E10)))</formula>
    </cfRule>
    <cfRule type="containsText" dxfId="1555" priority="1968" operator="containsText" text="SUS">
      <formula>NOT(ISERROR(SEARCH("SUS",E10)))</formula>
    </cfRule>
    <cfRule type="containsText" dxfId="1554" priority="1967" operator="containsText" text="FL">
      <formula>NOT(ISERROR(SEARCH("FL",E10)))</formula>
    </cfRule>
    <cfRule type="containsText" dxfId="1553" priority="1973" operator="containsText" text="MC">
      <formula>NOT(ISERROR(SEARCH("MC",E10)))</formula>
    </cfRule>
  </conditionalFormatting>
  <conditionalFormatting sqref="E14:F16">
    <cfRule type="containsText" dxfId="1552" priority="1964" operator="containsText" text="OFF">
      <formula>NOT(ISERROR(SEARCH("OFF",E14)))</formula>
    </cfRule>
    <cfRule type="containsText" dxfId="1551" priority="1963" operator="containsText" text="MC">
      <formula>NOT(ISERROR(SEARCH("MC",E14)))</formula>
    </cfRule>
    <cfRule type="containsText" dxfId="1550" priority="1962" operator="containsText" text="AL">
      <formula>NOT(ISERROR(SEARCH("AL",E14)))</formula>
    </cfRule>
    <cfRule type="containsText" dxfId="1549" priority="1961" operator="containsText" text="Sick">
      <formula>NOT(ISERROR(SEARCH("Sick",E14)))</formula>
    </cfRule>
    <cfRule type="containsText" dxfId="1548" priority="1959" operator="containsText" text="EL">
      <formula>NOT(ISERROR(SEARCH("EL",E14)))</formula>
    </cfRule>
    <cfRule type="containsText" dxfId="1547" priority="1957" operator="containsText" text="FL">
      <formula>NOT(ISERROR(SEARCH("FL",E14)))</formula>
    </cfRule>
    <cfRule type="containsText" dxfId="1546" priority="1956" operator="containsText" text="NL">
      <formula>NOT(ISERROR(SEARCH("NL",E14)))</formula>
    </cfRule>
    <cfRule type="containsText" dxfId="1545" priority="1955" operator="containsText" text="SP">
      <formula>NOT(ISERROR(SEARCH("SP",E14)))</formula>
    </cfRule>
    <cfRule type="containsText" dxfId="1544" priority="1958" operator="containsText" text="SUS">
      <formula>NOT(ISERROR(SEARCH("SUS",E14)))</formula>
    </cfRule>
    <cfRule type="containsText" dxfId="1543" priority="1960" operator="containsText" text="AB">
      <formula>NOT(ISERROR(SEARCH("AB",E14)))</formula>
    </cfRule>
  </conditionalFormatting>
  <conditionalFormatting sqref="E25:F26 E27:E28">
    <cfRule type="containsText" dxfId="1542" priority="1562" operator="containsText" text="AL">
      <formula>NOT(ISERROR(SEARCH("AL",E25)))</formula>
    </cfRule>
    <cfRule type="containsText" dxfId="1541" priority="1563" operator="containsText" text="MC">
      <formula>NOT(ISERROR(SEARCH("MC",E25)))</formula>
    </cfRule>
    <cfRule type="containsText" dxfId="1540" priority="1564" operator="containsText" text="OFF">
      <formula>NOT(ISERROR(SEARCH("OFF",E25)))</formula>
    </cfRule>
    <cfRule type="containsText" dxfId="1539" priority="1561" operator="containsText" text="Sick">
      <formula>NOT(ISERROR(SEARCH("Sick",E25)))</formula>
    </cfRule>
    <cfRule type="containsText" dxfId="1538" priority="1560" operator="containsText" text="AB">
      <formula>NOT(ISERROR(SEARCH("AB",E25)))</formula>
    </cfRule>
    <cfRule type="containsText" dxfId="1537" priority="1555" operator="containsText" text="SP">
      <formula>NOT(ISERROR(SEARCH("SP",E25)))</formula>
    </cfRule>
    <cfRule type="containsText" dxfId="1536" priority="1559" operator="containsText" text="EL">
      <formula>NOT(ISERROR(SEARCH("EL",E25)))</formula>
    </cfRule>
    <cfRule type="containsText" dxfId="1535" priority="1558" operator="containsText" text="SUS">
      <formula>NOT(ISERROR(SEARCH("SUS",E25)))</formula>
    </cfRule>
    <cfRule type="containsText" dxfId="1534" priority="1557" operator="containsText" text="FL">
      <formula>NOT(ISERROR(SEARCH("FL",E25)))</formula>
    </cfRule>
    <cfRule type="containsText" dxfId="1533" priority="1556" operator="containsText" text="NL">
      <formula>NOT(ISERROR(SEARCH("NL",E25)))</formula>
    </cfRule>
  </conditionalFormatting>
  <conditionalFormatting sqref="E21:H21">
    <cfRule type="containsText" dxfId="1532" priority="1845" operator="containsText" text="SP">
      <formula>NOT(ISERROR(SEARCH("SP",E21)))</formula>
    </cfRule>
    <cfRule type="containsText" dxfId="1531" priority="1846" operator="containsText" text="NL">
      <formula>NOT(ISERROR(SEARCH("NL",E21)))</formula>
    </cfRule>
    <cfRule type="containsText" dxfId="1530" priority="1847" operator="containsText" text="FL">
      <formula>NOT(ISERROR(SEARCH("FL",E21)))</formula>
    </cfRule>
    <cfRule type="containsText" dxfId="1529" priority="1848" operator="containsText" text="SUS">
      <formula>NOT(ISERROR(SEARCH("SUS",E21)))</formula>
    </cfRule>
    <cfRule type="containsText" dxfId="1528" priority="1849" operator="containsText" text="EL">
      <formula>NOT(ISERROR(SEARCH("EL",E21)))</formula>
    </cfRule>
    <cfRule type="containsText" dxfId="1527" priority="1850" operator="containsText" text="AB">
      <formula>NOT(ISERROR(SEARCH("AB",E21)))</formula>
    </cfRule>
    <cfRule type="containsText" dxfId="1526" priority="1851" operator="containsText" text="Sick">
      <formula>NOT(ISERROR(SEARCH("Sick",E21)))</formula>
    </cfRule>
    <cfRule type="containsText" dxfId="1525" priority="1852" operator="containsText" text="AL">
      <formula>NOT(ISERROR(SEARCH("AL",E21)))</formula>
    </cfRule>
    <cfRule type="containsText" dxfId="1524" priority="1853" operator="containsText" text="MC">
      <formula>NOT(ISERROR(SEARCH("MC",E21)))</formula>
    </cfRule>
    <cfRule type="containsText" dxfId="1523" priority="1854" operator="containsText" text="OFF">
      <formula>NOT(ISERROR(SEARCH("OFF",E21)))</formula>
    </cfRule>
  </conditionalFormatting>
  <conditionalFormatting sqref="E8:R9">
    <cfRule type="containsText" dxfId="1522" priority="2045" operator="containsText" text="SP">
      <formula>NOT(ISERROR(SEARCH("SP",E8)))</formula>
    </cfRule>
    <cfRule type="containsText" dxfId="1521" priority="2054" operator="containsText" text="OFF">
      <formula>NOT(ISERROR(SEARCH("OFF",E8)))</formula>
    </cfRule>
    <cfRule type="containsText" dxfId="1520" priority="2053" operator="containsText" text="MC">
      <formula>NOT(ISERROR(SEARCH("MC",E8)))</formula>
    </cfRule>
    <cfRule type="containsText" dxfId="1519" priority="2052" operator="containsText" text="AL">
      <formula>NOT(ISERROR(SEARCH("AL",E8)))</formula>
    </cfRule>
    <cfRule type="containsText" dxfId="1518" priority="2051" operator="containsText" text="Sick">
      <formula>NOT(ISERROR(SEARCH("Sick",E8)))</formula>
    </cfRule>
    <cfRule type="containsText" dxfId="1517" priority="2050" operator="containsText" text="AB">
      <formula>NOT(ISERROR(SEARCH("AB",E8)))</formula>
    </cfRule>
    <cfRule type="containsText" dxfId="1516" priority="2049" operator="containsText" text="EL">
      <formula>NOT(ISERROR(SEARCH("EL",E8)))</formula>
    </cfRule>
    <cfRule type="containsText" dxfId="1515" priority="2048" operator="containsText" text="SUS">
      <formula>NOT(ISERROR(SEARCH("SUS",E8)))</formula>
    </cfRule>
    <cfRule type="containsText" dxfId="1514" priority="2047" operator="containsText" text="FL">
      <formula>NOT(ISERROR(SEARCH("FL",E8)))</formula>
    </cfRule>
    <cfRule type="containsText" dxfId="1513" priority="2046" operator="containsText" text="NL">
      <formula>NOT(ISERROR(SEARCH("NL",E8)))</formula>
    </cfRule>
  </conditionalFormatting>
  <conditionalFormatting sqref="E12:R12">
    <cfRule type="containsText" dxfId="1512" priority="2035" operator="containsText" text="SP">
      <formula>NOT(ISERROR(SEARCH("SP",E12)))</formula>
    </cfRule>
    <cfRule type="containsText" dxfId="1511" priority="2037" operator="containsText" text="FL">
      <formula>NOT(ISERROR(SEARCH("FL",E12)))</formula>
    </cfRule>
    <cfRule type="containsText" dxfId="1510" priority="2044" operator="containsText" text="OFF">
      <formula>NOT(ISERROR(SEARCH("OFF",E12)))</formula>
    </cfRule>
    <cfRule type="containsText" dxfId="1509" priority="2043" operator="containsText" text="MC">
      <formula>NOT(ISERROR(SEARCH("MC",E12)))</formula>
    </cfRule>
    <cfRule type="containsText" dxfId="1508" priority="2042" operator="containsText" text="AL">
      <formula>NOT(ISERROR(SEARCH("AL",E12)))</formula>
    </cfRule>
    <cfRule type="containsText" dxfId="1507" priority="2041" operator="containsText" text="Sick">
      <formula>NOT(ISERROR(SEARCH("Sick",E12)))</formula>
    </cfRule>
    <cfRule type="containsText" dxfId="1506" priority="2040" operator="containsText" text="AB">
      <formula>NOT(ISERROR(SEARCH("AB",E12)))</formula>
    </cfRule>
    <cfRule type="containsText" dxfId="1505" priority="2039" operator="containsText" text="EL">
      <formula>NOT(ISERROR(SEARCH("EL",E12)))</formula>
    </cfRule>
    <cfRule type="containsText" dxfId="1504" priority="2038" operator="containsText" text="SUS">
      <formula>NOT(ISERROR(SEARCH("SUS",E12)))</formula>
    </cfRule>
    <cfRule type="containsText" dxfId="1503" priority="2036" operator="containsText" text="NL">
      <formula>NOT(ISERROR(SEARCH("NL",E12)))</formula>
    </cfRule>
  </conditionalFormatting>
  <conditionalFormatting sqref="E18:AF18">
    <cfRule type="containsText" dxfId="1502" priority="1736" operator="containsText" text="NL">
      <formula>NOT(ISERROR(SEARCH("NL",E18)))</formula>
    </cfRule>
    <cfRule type="containsText" dxfId="1501" priority="1737" operator="containsText" text="FL">
      <formula>NOT(ISERROR(SEARCH("FL",E18)))</formula>
    </cfRule>
    <cfRule type="containsText" dxfId="1500" priority="1739" operator="containsText" text="EL">
      <formula>NOT(ISERROR(SEARCH("EL",E18)))</formula>
    </cfRule>
    <cfRule type="containsText" dxfId="1499" priority="1740" operator="containsText" text="AB">
      <formula>NOT(ISERROR(SEARCH("AB",E18)))</formula>
    </cfRule>
    <cfRule type="containsText" dxfId="1498" priority="1738" operator="containsText" text="SUS">
      <formula>NOT(ISERROR(SEARCH("SUS",E18)))</formula>
    </cfRule>
    <cfRule type="containsText" dxfId="1497" priority="1741" operator="containsText" text="Sick">
      <formula>NOT(ISERROR(SEARCH("Sick",E18)))</formula>
    </cfRule>
    <cfRule type="containsText" dxfId="1496" priority="1742" operator="containsText" text="AL">
      <formula>NOT(ISERROR(SEARCH("AL",E18)))</formula>
    </cfRule>
    <cfRule type="containsText" dxfId="1495" priority="1743" operator="containsText" text="MC">
      <formula>NOT(ISERROR(SEARCH("MC",E18)))</formula>
    </cfRule>
    <cfRule type="containsText" dxfId="1494" priority="1744" operator="containsText" text="OFF">
      <formula>NOT(ISERROR(SEARCH("OFF",E18)))</formula>
    </cfRule>
    <cfRule type="containsText" dxfId="1493" priority="1735" operator="containsText" text="SP">
      <formula>NOT(ISERROR(SEARCH("SP",E18)))</formula>
    </cfRule>
  </conditionalFormatting>
  <conditionalFormatting sqref="E4:AH4">
    <cfRule type="cellIs" dxfId="1492" priority="14830" operator="equal">
      <formula>"Sick"</formula>
    </cfRule>
    <cfRule type="cellIs" dxfId="1491" priority="14831" operator="equal">
      <formula>"AB"</formula>
    </cfRule>
    <cfRule type="cellIs" dxfId="1490" priority="14832" operator="equal">
      <formula>"OFF"</formula>
    </cfRule>
    <cfRule type="containsText" dxfId="1489" priority="14836" operator="containsText" text="HD">
      <formula>NOT(ISERROR(SEARCH("HD",#REF!)))</formula>
    </cfRule>
    <cfRule type="expression" priority="14833">
      <formula>AND(ISNUMBER($Z2), ISNUMBER($AA2))</formula>
    </cfRule>
    <cfRule type="dataBar" priority="148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{5239E42C-A990-4FB9-832E-3C6A5CD3AC83}</x14:id>
        </ext>
      </extLst>
    </cfRule>
    <cfRule type="containsText" dxfId="1488" priority="14835" operator="containsText" text="AB">
      <formula>NOT(ISERROR(SEARCH("AB",#REF!)))</formula>
    </cfRule>
    <cfRule type="containsText" dxfId="1487" priority="14837" operator="containsText" text="S">
      <formula>NOT(ISERROR(SEARCH("S",#REF!)))</formula>
    </cfRule>
  </conditionalFormatting>
  <conditionalFormatting sqref="E5:AH6">
    <cfRule type="containsText" dxfId="1486" priority="1554" operator="containsText" text="OFF">
      <formula>NOT(ISERROR(SEARCH("OFF",E5)))</formula>
    </cfRule>
    <cfRule type="containsText" dxfId="1485" priority="1553" operator="containsText" text="MC">
      <formula>NOT(ISERROR(SEARCH("MC",E5)))</formula>
    </cfRule>
    <cfRule type="containsText" dxfId="1484" priority="1552" operator="containsText" text="AL">
      <formula>NOT(ISERROR(SEARCH("AL",E5)))</formula>
    </cfRule>
    <cfRule type="containsText" dxfId="1483" priority="1551" operator="containsText" text="Sick">
      <formula>NOT(ISERROR(SEARCH("Sick",E5)))</formula>
    </cfRule>
    <cfRule type="containsText" dxfId="1482" priority="1549" operator="containsText" text="EL">
      <formula>NOT(ISERROR(SEARCH("EL",E5)))</formula>
    </cfRule>
    <cfRule type="containsText" dxfId="1481" priority="1550" operator="containsText" text="AB">
      <formula>NOT(ISERROR(SEARCH("AB",E5)))</formula>
    </cfRule>
    <cfRule type="containsText" dxfId="1480" priority="1545" operator="containsText" text="SP">
      <formula>NOT(ISERROR(SEARCH("SP",E5)))</formula>
    </cfRule>
    <cfRule type="containsText" dxfId="1479" priority="1546" operator="containsText" text="NL">
      <formula>NOT(ISERROR(SEARCH("NL",E5)))</formula>
    </cfRule>
    <cfRule type="containsText" dxfId="1478" priority="1547" operator="containsText" text="FL">
      <formula>NOT(ISERROR(SEARCH("FL",E5)))</formula>
    </cfRule>
    <cfRule type="containsText" dxfId="1477" priority="1548" operator="containsText" text="SUS">
      <formula>NOT(ISERROR(SEARCH("SUS",E5)))</formula>
    </cfRule>
  </conditionalFormatting>
  <conditionalFormatting sqref="E53:AH53">
    <cfRule type="containsText" dxfId="1476" priority="2425" operator="containsText" text="SICK">
      <formula>NOT(ISERROR(SEARCH("SICK",E53)))</formula>
    </cfRule>
    <cfRule type="containsText" dxfId="1475" priority="2424" operator="containsText" text="AB">
      <formula>NOT(ISERROR(SEARCH("AB",E53)))</formula>
    </cfRule>
    <cfRule type="containsText" dxfId="1474" priority="2421" stopIfTrue="1" operator="containsText" text="SICK">
      <formula>NOT(ISERROR(SEARCH("SICK",E53)))</formula>
    </cfRule>
  </conditionalFormatting>
  <conditionalFormatting sqref="F7">
    <cfRule type="containsText" dxfId="1473" priority="2015" operator="containsText" text="SP">
      <formula>NOT(ISERROR(SEARCH("SP",F7)))</formula>
    </cfRule>
    <cfRule type="containsText" dxfId="1472" priority="2016" operator="containsText" text="NL">
      <formula>NOT(ISERROR(SEARCH("NL",F7)))</formula>
    </cfRule>
    <cfRule type="containsText" dxfId="1471" priority="2017" operator="containsText" text="FL">
      <formula>NOT(ISERROR(SEARCH("FL",F7)))</formula>
    </cfRule>
    <cfRule type="containsText" dxfId="1470" priority="2023" operator="containsText" text="MC">
      <formula>NOT(ISERROR(SEARCH("MC",F7)))</formula>
    </cfRule>
    <cfRule type="containsText" dxfId="1469" priority="2018" operator="containsText" text="SUS">
      <formula>NOT(ISERROR(SEARCH("SUS",F7)))</formula>
    </cfRule>
    <cfRule type="containsText" dxfId="1468" priority="2019" operator="containsText" text="EL">
      <formula>NOT(ISERROR(SEARCH("EL",F7)))</formula>
    </cfRule>
    <cfRule type="containsText" dxfId="1467" priority="2020" operator="containsText" text="AB">
      <formula>NOT(ISERROR(SEARCH("AB",F7)))</formula>
    </cfRule>
    <cfRule type="containsText" dxfId="1466" priority="2024" operator="containsText" text="OFF">
      <formula>NOT(ISERROR(SEARCH("OFF",F7)))</formula>
    </cfRule>
    <cfRule type="containsText" dxfId="1465" priority="2021" operator="containsText" text="Sick">
      <formula>NOT(ISERROR(SEARCH("Sick",F7)))</formula>
    </cfRule>
    <cfRule type="containsText" dxfId="1464" priority="2022" operator="containsText" text="AL">
      <formula>NOT(ISERROR(SEARCH("AL",F7)))</formula>
    </cfRule>
  </conditionalFormatting>
  <conditionalFormatting sqref="F19">
    <cfRule type="containsText" dxfId="1463" priority="1902" operator="containsText" text="AL">
      <formula>NOT(ISERROR(SEARCH("AL",F19)))</formula>
    </cfRule>
    <cfRule type="containsText" dxfId="1462" priority="1901" operator="containsText" text="Sick">
      <formula>NOT(ISERROR(SEARCH("Sick",F19)))</formula>
    </cfRule>
    <cfRule type="containsText" dxfId="1461" priority="1900" operator="containsText" text="AB">
      <formula>NOT(ISERROR(SEARCH("AB",F19)))</formula>
    </cfRule>
    <cfRule type="containsText" dxfId="1460" priority="1898" operator="containsText" text="SUS">
      <formula>NOT(ISERROR(SEARCH("SUS",F19)))</formula>
    </cfRule>
    <cfRule type="containsText" dxfId="1459" priority="1897" operator="containsText" text="FL">
      <formula>NOT(ISERROR(SEARCH("FL",F19)))</formula>
    </cfRule>
    <cfRule type="containsText" dxfId="1458" priority="1896" operator="containsText" text="NL">
      <formula>NOT(ISERROR(SEARCH("NL",F19)))</formula>
    </cfRule>
    <cfRule type="containsText" dxfId="1457" priority="1895" operator="containsText" text="SP">
      <formula>NOT(ISERROR(SEARCH("SP",F19)))</formula>
    </cfRule>
    <cfRule type="containsText" dxfId="1456" priority="1899" operator="containsText" text="EL">
      <formula>NOT(ISERROR(SEARCH("EL",F19)))</formula>
    </cfRule>
    <cfRule type="containsText" dxfId="1455" priority="1904" operator="containsText" text="OFF">
      <formula>NOT(ISERROR(SEARCH("OFF",F19)))</formula>
    </cfRule>
    <cfRule type="containsText" dxfId="1454" priority="1903" operator="containsText" text="MC">
      <formula>NOT(ISERROR(SEARCH("MC",F19)))</formula>
    </cfRule>
  </conditionalFormatting>
  <conditionalFormatting sqref="H7">
    <cfRule type="containsText" dxfId="1453" priority="2000" operator="containsText" text="AB">
      <formula>NOT(ISERROR(SEARCH("AB",H7)))</formula>
    </cfRule>
    <cfRule type="containsText" dxfId="1452" priority="1998" operator="containsText" text="SUS">
      <formula>NOT(ISERROR(SEARCH("SUS",H7)))</formula>
    </cfRule>
    <cfRule type="containsText" dxfId="1451" priority="1999" operator="containsText" text="EL">
      <formula>NOT(ISERROR(SEARCH("EL",H7)))</formula>
    </cfRule>
    <cfRule type="containsText" dxfId="1450" priority="2004" operator="containsText" text="OFF">
      <formula>NOT(ISERROR(SEARCH("OFF",H7)))</formula>
    </cfRule>
    <cfRule type="containsText" dxfId="1449" priority="1995" operator="containsText" text="SP">
      <formula>NOT(ISERROR(SEARCH("SP",H7)))</formula>
    </cfRule>
    <cfRule type="containsText" dxfId="1448" priority="2003" operator="containsText" text="MC">
      <formula>NOT(ISERROR(SEARCH("MC",H7)))</formula>
    </cfRule>
    <cfRule type="containsText" dxfId="1447" priority="2002" operator="containsText" text="AL">
      <formula>NOT(ISERROR(SEARCH("AL",H7)))</formula>
    </cfRule>
    <cfRule type="containsText" dxfId="1446" priority="2001" operator="containsText" text="Sick">
      <formula>NOT(ISERROR(SEARCH("Sick",H7)))</formula>
    </cfRule>
    <cfRule type="containsText" dxfId="1445" priority="1996" operator="containsText" text="NL">
      <formula>NOT(ISERROR(SEARCH("NL",H7)))</formula>
    </cfRule>
    <cfRule type="containsText" dxfId="1444" priority="1997" operator="containsText" text="FL">
      <formula>NOT(ISERROR(SEARCH("FL",H7)))</formula>
    </cfRule>
  </conditionalFormatting>
  <conditionalFormatting sqref="H17">
    <cfRule type="containsText" dxfId="1443" priority="1942" operator="containsText" text="AL">
      <formula>NOT(ISERROR(SEARCH("AL",H17)))</formula>
    </cfRule>
    <cfRule type="containsText" dxfId="1442" priority="1939" operator="containsText" text="EL">
      <formula>NOT(ISERROR(SEARCH("EL",H17)))</formula>
    </cfRule>
    <cfRule type="containsText" dxfId="1441" priority="1938" operator="containsText" text="SUS">
      <formula>NOT(ISERROR(SEARCH("SUS",H17)))</formula>
    </cfRule>
    <cfRule type="containsText" dxfId="1440" priority="1937" operator="containsText" text="FL">
      <formula>NOT(ISERROR(SEARCH("FL",H17)))</formula>
    </cfRule>
    <cfRule type="containsText" dxfId="1439" priority="1944" operator="containsText" text="OFF">
      <formula>NOT(ISERROR(SEARCH("OFF",H17)))</formula>
    </cfRule>
    <cfRule type="containsText" dxfId="1438" priority="1940" operator="containsText" text="AB">
      <formula>NOT(ISERROR(SEARCH("AB",H17)))</formula>
    </cfRule>
    <cfRule type="containsText" dxfId="1437" priority="1943" operator="containsText" text="MC">
      <formula>NOT(ISERROR(SEARCH("MC",H17)))</formula>
    </cfRule>
    <cfRule type="containsText" dxfId="1436" priority="1936" operator="containsText" text="NL">
      <formula>NOT(ISERROR(SEARCH("NL",H17)))</formula>
    </cfRule>
    <cfRule type="containsText" dxfId="1435" priority="1941" operator="containsText" text="Sick">
      <formula>NOT(ISERROR(SEARCH("Sick",H17)))</formula>
    </cfRule>
    <cfRule type="containsText" dxfId="1434" priority="1935" operator="containsText" text="SP">
      <formula>NOT(ISERROR(SEARCH("SP",H17)))</formula>
    </cfRule>
  </conditionalFormatting>
  <conditionalFormatting sqref="H19">
    <cfRule type="containsText" dxfId="1433" priority="1924" operator="containsText" text="OFF">
      <formula>NOT(ISERROR(SEARCH("OFF",H19)))</formula>
    </cfRule>
    <cfRule type="containsText" dxfId="1432" priority="1923" operator="containsText" text="MC">
      <formula>NOT(ISERROR(SEARCH("MC",H19)))</formula>
    </cfRule>
    <cfRule type="containsText" dxfId="1431" priority="1922" operator="containsText" text="AL">
      <formula>NOT(ISERROR(SEARCH("AL",H19)))</formula>
    </cfRule>
    <cfRule type="containsText" dxfId="1430" priority="1921" operator="containsText" text="Sick">
      <formula>NOT(ISERROR(SEARCH("Sick",H19)))</formula>
    </cfRule>
    <cfRule type="containsText" dxfId="1429" priority="1920" operator="containsText" text="AB">
      <formula>NOT(ISERROR(SEARCH("AB",H19)))</formula>
    </cfRule>
    <cfRule type="containsText" dxfId="1428" priority="1919" operator="containsText" text="EL">
      <formula>NOT(ISERROR(SEARCH("EL",H19)))</formula>
    </cfRule>
    <cfRule type="containsText" dxfId="1427" priority="1918" operator="containsText" text="SUS">
      <formula>NOT(ISERROR(SEARCH("SUS",H19)))</formula>
    </cfRule>
    <cfRule type="containsText" dxfId="1426" priority="1916" operator="containsText" text="NL">
      <formula>NOT(ISERROR(SEARCH("NL",H19)))</formula>
    </cfRule>
    <cfRule type="containsText" dxfId="1425" priority="1915" operator="containsText" text="SP">
      <formula>NOT(ISERROR(SEARCH("SP",H19)))</formula>
    </cfRule>
    <cfRule type="containsText" dxfId="1424" priority="1917" operator="containsText" text="FL">
      <formula>NOT(ISERROR(SEARCH("FL",H19)))</formula>
    </cfRule>
  </conditionalFormatting>
  <conditionalFormatting sqref="H22">
    <cfRule type="containsText" dxfId="1423" priority="1837" operator="containsText" text="FL">
      <formula>NOT(ISERROR(SEARCH("FL",H22)))</formula>
    </cfRule>
    <cfRule type="containsText" dxfId="1422" priority="1838" operator="containsText" text="SUS">
      <formula>NOT(ISERROR(SEARCH("SUS",H22)))</formula>
    </cfRule>
    <cfRule type="containsText" dxfId="1421" priority="1841" operator="containsText" text="Sick">
      <formula>NOT(ISERROR(SEARCH("Sick",H22)))</formula>
    </cfRule>
    <cfRule type="containsText" dxfId="1420" priority="1840" operator="containsText" text="AB">
      <formula>NOT(ISERROR(SEARCH("AB",H22)))</formula>
    </cfRule>
    <cfRule type="containsText" dxfId="1419" priority="1835" operator="containsText" text="SP">
      <formula>NOT(ISERROR(SEARCH("SP",H22)))</formula>
    </cfRule>
    <cfRule type="containsText" dxfId="1418" priority="1842" operator="containsText" text="AL">
      <formula>NOT(ISERROR(SEARCH("AL",H22)))</formula>
    </cfRule>
    <cfRule type="containsText" dxfId="1417" priority="1843" operator="containsText" text="MC">
      <formula>NOT(ISERROR(SEARCH("MC",H22)))</formula>
    </cfRule>
    <cfRule type="containsText" dxfId="1416" priority="1844" operator="containsText" text="OFF">
      <formula>NOT(ISERROR(SEARCH("OFF",H22)))</formula>
    </cfRule>
    <cfRule type="containsText" dxfId="1415" priority="1839" operator="containsText" text="EL">
      <formula>NOT(ISERROR(SEARCH("EL",H22)))</formula>
    </cfRule>
    <cfRule type="containsText" dxfId="1414" priority="1836" operator="containsText" text="NL">
      <formula>NOT(ISERROR(SEARCH("NL",H22)))</formula>
    </cfRule>
  </conditionalFormatting>
  <conditionalFormatting sqref="J7">
    <cfRule type="containsText" dxfId="1413" priority="1984" operator="containsText" text="OFF">
      <formula>NOT(ISERROR(SEARCH("OFF",J7)))</formula>
    </cfRule>
    <cfRule type="containsText" dxfId="1412" priority="1983" operator="containsText" text="MC">
      <formula>NOT(ISERROR(SEARCH("MC",J7)))</formula>
    </cfRule>
    <cfRule type="containsText" dxfId="1411" priority="1982" operator="containsText" text="AL">
      <formula>NOT(ISERROR(SEARCH("AL",J7)))</formula>
    </cfRule>
    <cfRule type="containsText" dxfId="1410" priority="1981" operator="containsText" text="Sick">
      <formula>NOT(ISERROR(SEARCH("Sick",J7)))</formula>
    </cfRule>
    <cfRule type="containsText" dxfId="1409" priority="1980" operator="containsText" text="AB">
      <formula>NOT(ISERROR(SEARCH("AB",J7)))</formula>
    </cfRule>
    <cfRule type="containsText" dxfId="1408" priority="1979" operator="containsText" text="EL">
      <formula>NOT(ISERROR(SEARCH("EL",J7)))</formula>
    </cfRule>
    <cfRule type="containsText" dxfId="1407" priority="1978" operator="containsText" text="SUS">
      <formula>NOT(ISERROR(SEARCH("SUS",J7)))</formula>
    </cfRule>
    <cfRule type="containsText" dxfId="1406" priority="1977" operator="containsText" text="FL">
      <formula>NOT(ISERROR(SEARCH("FL",J7)))</formula>
    </cfRule>
    <cfRule type="containsText" dxfId="1405" priority="1975" operator="containsText" text="SP">
      <formula>NOT(ISERROR(SEARCH("SP",J7)))</formula>
    </cfRule>
    <cfRule type="containsText" dxfId="1404" priority="1976" operator="containsText" text="NL">
      <formula>NOT(ISERROR(SEARCH("NL",J7)))</formula>
    </cfRule>
  </conditionalFormatting>
  <conditionalFormatting sqref="J17">
    <cfRule type="containsText" dxfId="1403" priority="1954" operator="containsText" text="OFF">
      <formula>NOT(ISERROR(SEARCH("OFF",J17)))</formula>
    </cfRule>
    <cfRule type="containsText" dxfId="1402" priority="1953" operator="containsText" text="MC">
      <formula>NOT(ISERROR(SEARCH("MC",J17)))</formula>
    </cfRule>
    <cfRule type="containsText" dxfId="1401" priority="1952" operator="containsText" text="AL">
      <formula>NOT(ISERROR(SEARCH("AL",J17)))</formula>
    </cfRule>
    <cfRule type="containsText" dxfId="1400" priority="1951" operator="containsText" text="Sick">
      <formula>NOT(ISERROR(SEARCH("Sick",J17)))</formula>
    </cfRule>
    <cfRule type="containsText" dxfId="1399" priority="1949" operator="containsText" text="EL">
      <formula>NOT(ISERROR(SEARCH("EL",J17)))</formula>
    </cfRule>
    <cfRule type="containsText" dxfId="1398" priority="1948" operator="containsText" text="SUS">
      <formula>NOT(ISERROR(SEARCH("SUS",J17)))</formula>
    </cfRule>
    <cfRule type="containsText" dxfId="1397" priority="1947" operator="containsText" text="FL">
      <formula>NOT(ISERROR(SEARCH("FL",J17)))</formula>
    </cfRule>
    <cfRule type="containsText" dxfId="1396" priority="1946" operator="containsText" text="NL">
      <formula>NOT(ISERROR(SEARCH("NL",J17)))</formula>
    </cfRule>
    <cfRule type="containsText" dxfId="1395" priority="1945" operator="containsText" text="SP">
      <formula>NOT(ISERROR(SEARCH("SP",J17)))</formula>
    </cfRule>
    <cfRule type="containsText" dxfId="1394" priority="1950" operator="containsText" text="AB">
      <formula>NOT(ISERROR(SEARCH("AB",J17)))</formula>
    </cfRule>
  </conditionalFormatting>
  <conditionalFormatting sqref="J19">
    <cfRule type="containsText" dxfId="1393" priority="1888" operator="containsText" text="SUS">
      <formula>NOT(ISERROR(SEARCH("SUS",J19)))</formula>
    </cfRule>
    <cfRule type="containsText" dxfId="1392" priority="1893" operator="containsText" text="MC">
      <formula>NOT(ISERROR(SEARCH("MC",J19)))</formula>
    </cfRule>
    <cfRule type="containsText" dxfId="1391" priority="1892" operator="containsText" text="AL">
      <formula>NOT(ISERROR(SEARCH("AL",J19)))</formula>
    </cfRule>
    <cfRule type="containsText" dxfId="1390" priority="1891" operator="containsText" text="Sick">
      <formula>NOT(ISERROR(SEARCH("Sick",J19)))</formula>
    </cfRule>
    <cfRule type="containsText" dxfId="1389" priority="1890" operator="containsText" text="AB">
      <formula>NOT(ISERROR(SEARCH("AB",J19)))</formula>
    </cfRule>
    <cfRule type="containsText" dxfId="1388" priority="1889" operator="containsText" text="EL">
      <formula>NOT(ISERROR(SEARCH("EL",J19)))</formula>
    </cfRule>
    <cfRule type="containsText" dxfId="1387" priority="1887" operator="containsText" text="FL">
      <formula>NOT(ISERROR(SEARCH("FL",J19)))</formula>
    </cfRule>
    <cfRule type="containsText" dxfId="1386" priority="1886" operator="containsText" text="NL">
      <formula>NOT(ISERROR(SEARCH("NL",J19)))</formula>
    </cfRule>
    <cfRule type="containsText" dxfId="1385" priority="1885" operator="containsText" text="SP">
      <formula>NOT(ISERROR(SEARCH("SP",J19)))</formula>
    </cfRule>
    <cfRule type="containsText" dxfId="1384" priority="1894" operator="containsText" text="OFF">
      <formula>NOT(ISERROR(SEARCH("OFF",J19)))</formula>
    </cfRule>
  </conditionalFormatting>
  <conditionalFormatting sqref="K19:L20">
    <cfRule type="containsText" dxfId="1383" priority="1884" operator="containsText" text="OFF">
      <formula>NOT(ISERROR(SEARCH("OFF",K19)))</formula>
    </cfRule>
    <cfRule type="containsText" dxfId="1382" priority="1883" operator="containsText" text="MC">
      <formula>NOT(ISERROR(SEARCH("MC",K19)))</formula>
    </cfRule>
    <cfRule type="containsText" dxfId="1381" priority="1882" operator="containsText" text="AL">
      <formula>NOT(ISERROR(SEARCH("AL",K19)))</formula>
    </cfRule>
    <cfRule type="containsText" dxfId="1380" priority="1881" operator="containsText" text="Sick">
      <formula>NOT(ISERROR(SEARCH("Sick",K19)))</formula>
    </cfRule>
    <cfRule type="containsText" dxfId="1379" priority="1880" operator="containsText" text="AB">
      <formula>NOT(ISERROR(SEARCH("AB",K19)))</formula>
    </cfRule>
    <cfRule type="containsText" dxfId="1378" priority="1879" operator="containsText" text="EL">
      <formula>NOT(ISERROR(SEARCH("EL",K19)))</formula>
    </cfRule>
    <cfRule type="containsText" dxfId="1377" priority="1878" operator="containsText" text="SUS">
      <formula>NOT(ISERROR(SEARCH("SUS",K19)))</formula>
    </cfRule>
    <cfRule type="containsText" dxfId="1376" priority="1877" operator="containsText" text="FL">
      <formula>NOT(ISERROR(SEARCH("FL",K19)))</formula>
    </cfRule>
    <cfRule type="containsText" dxfId="1375" priority="1876" operator="containsText" text="NL">
      <formula>NOT(ISERROR(SEARCH("NL",K19)))</formula>
    </cfRule>
    <cfRule type="containsText" dxfId="1374" priority="1875" operator="containsText" text="SP">
      <formula>NOT(ISERROR(SEARCH("SP",K19)))</formula>
    </cfRule>
  </conditionalFormatting>
  <conditionalFormatting sqref="K22:L22">
    <cfRule type="containsText" dxfId="1373" priority="1834" operator="containsText" text="OFF">
      <formula>NOT(ISERROR(SEARCH("OFF",K22)))</formula>
    </cfRule>
    <cfRule type="containsText" dxfId="1372" priority="1828" operator="containsText" text="SUS">
      <formula>NOT(ISERROR(SEARCH("SUS",K22)))</formula>
    </cfRule>
    <cfRule type="containsText" dxfId="1371" priority="1829" operator="containsText" text="EL">
      <formula>NOT(ISERROR(SEARCH("EL",K22)))</formula>
    </cfRule>
    <cfRule type="containsText" dxfId="1370" priority="1831" operator="containsText" text="Sick">
      <formula>NOT(ISERROR(SEARCH("Sick",K22)))</formula>
    </cfRule>
    <cfRule type="containsText" dxfId="1369" priority="1832" operator="containsText" text="AL">
      <formula>NOT(ISERROR(SEARCH("AL",K22)))</formula>
    </cfRule>
    <cfRule type="containsText" dxfId="1368" priority="1833" operator="containsText" text="MC">
      <formula>NOT(ISERROR(SEARCH("MC",K22)))</formula>
    </cfRule>
    <cfRule type="containsText" dxfId="1367" priority="1827" operator="containsText" text="FL">
      <formula>NOT(ISERROR(SEARCH("FL",K22)))</formula>
    </cfRule>
    <cfRule type="containsText" dxfId="1366" priority="1830" operator="containsText" text="AB">
      <formula>NOT(ISERROR(SEARCH("AB",K22)))</formula>
    </cfRule>
    <cfRule type="containsText" dxfId="1365" priority="1825" operator="containsText" text="SP">
      <formula>NOT(ISERROR(SEARCH("SP",K22)))</formula>
    </cfRule>
    <cfRule type="containsText" dxfId="1364" priority="1826" operator="containsText" text="NL">
      <formula>NOT(ISERROR(SEARCH("NL",K22)))</formula>
    </cfRule>
  </conditionalFormatting>
  <conditionalFormatting sqref="K25:L26">
    <cfRule type="containsText" dxfId="1363" priority="1803" operator="containsText" text="MC">
      <formula>NOT(ISERROR(SEARCH("MC",K25)))</formula>
    </cfRule>
    <cfRule type="containsText" dxfId="1362" priority="1800" operator="containsText" text="AB">
      <formula>NOT(ISERROR(SEARCH("AB",K25)))</formula>
    </cfRule>
    <cfRule type="containsText" dxfId="1361" priority="1799" operator="containsText" text="EL">
      <formula>NOT(ISERROR(SEARCH("EL",K25)))</formula>
    </cfRule>
    <cfRule type="containsText" dxfId="1360" priority="1801" operator="containsText" text="Sick">
      <formula>NOT(ISERROR(SEARCH("Sick",K25)))</formula>
    </cfRule>
    <cfRule type="containsText" dxfId="1359" priority="1802" operator="containsText" text="AL">
      <formula>NOT(ISERROR(SEARCH("AL",K25)))</formula>
    </cfRule>
    <cfRule type="containsText" dxfId="1358" priority="1804" operator="containsText" text="OFF">
      <formula>NOT(ISERROR(SEARCH("OFF",K25)))</formula>
    </cfRule>
    <cfRule type="containsText" dxfId="1357" priority="1796" operator="containsText" text="NL">
      <formula>NOT(ISERROR(SEARCH("NL",K25)))</formula>
    </cfRule>
    <cfRule type="containsText" dxfId="1356" priority="1798" operator="containsText" text="SUS">
      <formula>NOT(ISERROR(SEARCH("SUS",K25)))</formula>
    </cfRule>
    <cfRule type="containsText" dxfId="1355" priority="1797" operator="containsText" text="FL">
      <formula>NOT(ISERROR(SEARCH("FL",K25)))</formula>
    </cfRule>
    <cfRule type="containsText" dxfId="1354" priority="1795" operator="containsText" text="SP">
      <formula>NOT(ISERROR(SEARCH("SP",K25)))</formula>
    </cfRule>
  </conditionalFormatting>
  <conditionalFormatting sqref="K24:N24">
    <cfRule type="containsText" dxfId="1353" priority="1806" operator="containsText" text="NL">
      <formula>NOT(ISERROR(SEARCH("NL",K24)))</formula>
    </cfRule>
    <cfRule type="containsText" dxfId="1352" priority="1807" operator="containsText" text="FL">
      <formula>NOT(ISERROR(SEARCH("FL",K24)))</formula>
    </cfRule>
    <cfRule type="containsText" dxfId="1351" priority="1809" operator="containsText" text="EL">
      <formula>NOT(ISERROR(SEARCH("EL",K24)))</formula>
    </cfRule>
    <cfRule type="containsText" dxfId="1350" priority="1810" operator="containsText" text="AB">
      <formula>NOT(ISERROR(SEARCH("AB",K24)))</formula>
    </cfRule>
    <cfRule type="containsText" dxfId="1349" priority="1811" operator="containsText" text="Sick">
      <formula>NOT(ISERROR(SEARCH("Sick",K24)))</formula>
    </cfRule>
    <cfRule type="containsText" dxfId="1348" priority="1812" operator="containsText" text="AL">
      <formula>NOT(ISERROR(SEARCH("AL",K24)))</formula>
    </cfRule>
    <cfRule type="containsText" dxfId="1347" priority="1813" operator="containsText" text="MC">
      <formula>NOT(ISERROR(SEARCH("MC",K24)))</formula>
    </cfRule>
    <cfRule type="containsText" dxfId="1346" priority="1808" operator="containsText" text="SUS">
      <formula>NOT(ISERROR(SEARCH("SUS",K24)))</formula>
    </cfRule>
    <cfRule type="containsText" dxfId="1345" priority="1805" operator="containsText" text="SP">
      <formula>NOT(ISERROR(SEARCH("SP",K24)))</formula>
    </cfRule>
    <cfRule type="containsText" dxfId="1344" priority="1814" operator="containsText" text="OFF">
      <formula>NOT(ISERROR(SEARCH("OFF",K24)))</formula>
    </cfRule>
  </conditionalFormatting>
  <conditionalFormatting sqref="L7">
    <cfRule type="containsText" dxfId="1343" priority="1986" operator="containsText" text="NL">
      <formula>NOT(ISERROR(SEARCH("NL",L7)))</formula>
    </cfRule>
    <cfRule type="containsText" dxfId="1342" priority="1985" operator="containsText" text="SP">
      <formula>NOT(ISERROR(SEARCH("SP",L7)))</formula>
    </cfRule>
    <cfRule type="containsText" dxfId="1341" priority="1989" operator="containsText" text="EL">
      <formula>NOT(ISERROR(SEARCH("EL",L7)))</formula>
    </cfRule>
    <cfRule type="containsText" dxfId="1340" priority="1990" operator="containsText" text="AB">
      <formula>NOT(ISERROR(SEARCH("AB",L7)))</formula>
    </cfRule>
    <cfRule type="containsText" dxfId="1339" priority="1993" operator="containsText" text="MC">
      <formula>NOT(ISERROR(SEARCH("MC",L7)))</formula>
    </cfRule>
    <cfRule type="containsText" dxfId="1338" priority="1988" operator="containsText" text="SUS">
      <formula>NOT(ISERROR(SEARCH("SUS",L7)))</formula>
    </cfRule>
    <cfRule type="containsText" dxfId="1337" priority="1994" operator="containsText" text="OFF">
      <formula>NOT(ISERROR(SEARCH("OFF",L7)))</formula>
    </cfRule>
    <cfRule type="containsText" dxfId="1336" priority="1987" operator="containsText" text="FL">
      <formula>NOT(ISERROR(SEARCH("FL",L7)))</formula>
    </cfRule>
    <cfRule type="containsText" dxfId="1335" priority="1992" operator="containsText" text="AL">
      <formula>NOT(ISERROR(SEARCH("AL",L7)))</formula>
    </cfRule>
    <cfRule type="containsText" dxfId="1334" priority="1991" operator="containsText" text="Sick">
      <formula>NOT(ISERROR(SEARCH("Sick",L7)))</formula>
    </cfRule>
  </conditionalFormatting>
  <conditionalFormatting sqref="L16">
    <cfRule type="containsText" dxfId="1333" priority="1930" operator="containsText" text="AB">
      <formula>NOT(ISERROR(SEARCH("AB",L16)))</formula>
    </cfRule>
    <cfRule type="containsText" dxfId="1332" priority="1933" operator="containsText" text="MC">
      <formula>NOT(ISERROR(SEARCH("MC",L16)))</formula>
    </cfRule>
    <cfRule type="containsText" dxfId="1331" priority="1934" operator="containsText" text="OFF">
      <formula>NOT(ISERROR(SEARCH("OFF",L16)))</formula>
    </cfRule>
    <cfRule type="containsText" dxfId="1330" priority="1931" operator="containsText" text="Sick">
      <formula>NOT(ISERROR(SEARCH("Sick",L16)))</formula>
    </cfRule>
    <cfRule type="containsText" dxfId="1329" priority="1929" operator="containsText" text="EL">
      <formula>NOT(ISERROR(SEARCH("EL",L16)))</formula>
    </cfRule>
    <cfRule type="containsText" dxfId="1328" priority="1928" operator="containsText" text="SUS">
      <formula>NOT(ISERROR(SEARCH("SUS",L16)))</formula>
    </cfRule>
    <cfRule type="containsText" dxfId="1327" priority="1927" operator="containsText" text="FL">
      <formula>NOT(ISERROR(SEARCH("FL",L16)))</formula>
    </cfRule>
    <cfRule type="containsText" dxfId="1326" priority="1926" operator="containsText" text="NL">
      <formula>NOT(ISERROR(SEARCH("NL",L16)))</formula>
    </cfRule>
    <cfRule type="containsText" dxfId="1325" priority="1925" operator="containsText" text="SP">
      <formula>NOT(ISERROR(SEARCH("SP",L16)))</formula>
    </cfRule>
    <cfRule type="containsText" dxfId="1324" priority="1932" operator="containsText" text="AL">
      <formula>NOT(ISERROR(SEARCH("AL",L16)))</formula>
    </cfRule>
  </conditionalFormatting>
  <conditionalFormatting sqref="N15">
    <cfRule type="containsText" dxfId="1323" priority="1775" operator="containsText" text="SP">
      <formula>NOT(ISERROR(SEARCH("SP",N15)))</formula>
    </cfRule>
    <cfRule type="containsText" dxfId="1322" priority="1776" operator="containsText" text="NL">
      <formula>NOT(ISERROR(SEARCH("NL",N15)))</formula>
    </cfRule>
    <cfRule type="containsText" dxfId="1321" priority="1777" operator="containsText" text="FL">
      <formula>NOT(ISERROR(SEARCH("FL",N15)))</formula>
    </cfRule>
    <cfRule type="containsText" dxfId="1320" priority="1778" operator="containsText" text="SUS">
      <formula>NOT(ISERROR(SEARCH("SUS",N15)))</formula>
    </cfRule>
    <cfRule type="containsText" dxfId="1319" priority="1779" operator="containsText" text="EL">
      <formula>NOT(ISERROR(SEARCH("EL",N15)))</formula>
    </cfRule>
    <cfRule type="containsText" dxfId="1318" priority="1780" operator="containsText" text="AB">
      <formula>NOT(ISERROR(SEARCH("AB",N15)))</formula>
    </cfRule>
    <cfRule type="containsText" dxfId="1317" priority="1781" operator="containsText" text="Sick">
      <formula>NOT(ISERROR(SEARCH("Sick",N15)))</formula>
    </cfRule>
    <cfRule type="containsText" dxfId="1316" priority="1782" operator="containsText" text="AL">
      <formula>NOT(ISERROR(SEARCH("AL",N15)))</formula>
    </cfRule>
    <cfRule type="containsText" dxfId="1315" priority="1783" operator="containsText" text="MC">
      <formula>NOT(ISERROR(SEARCH("MC",N15)))</formula>
    </cfRule>
    <cfRule type="containsText" dxfId="1314" priority="1784" operator="containsText" text="OFF">
      <formula>NOT(ISERROR(SEARCH("OFF",N15)))</formula>
    </cfRule>
  </conditionalFormatting>
  <conditionalFormatting sqref="N19:P19">
    <cfRule type="containsText" dxfId="1313" priority="1605" operator="containsText" text="SP">
      <formula>NOT(ISERROR(SEARCH("SP",N19)))</formula>
    </cfRule>
    <cfRule type="containsText" dxfId="1312" priority="1606" operator="containsText" text="NL">
      <formula>NOT(ISERROR(SEARCH("NL",N19)))</formula>
    </cfRule>
    <cfRule type="containsText" dxfId="1311" priority="1610" operator="containsText" text="AB">
      <formula>NOT(ISERROR(SEARCH("AB",N19)))</formula>
    </cfRule>
    <cfRule type="containsText" dxfId="1310" priority="1609" operator="containsText" text="EL">
      <formula>NOT(ISERROR(SEARCH("EL",N19)))</formula>
    </cfRule>
    <cfRule type="containsText" dxfId="1309" priority="1608" operator="containsText" text="SUS">
      <formula>NOT(ISERROR(SEARCH("SUS",N19)))</formula>
    </cfRule>
    <cfRule type="containsText" dxfId="1308" priority="1614" operator="containsText" text="OFF">
      <formula>NOT(ISERROR(SEARCH("OFF",N19)))</formula>
    </cfRule>
    <cfRule type="containsText" dxfId="1307" priority="1613" operator="containsText" text="MC">
      <formula>NOT(ISERROR(SEARCH("MC",N19)))</formula>
    </cfRule>
    <cfRule type="containsText" dxfId="1306" priority="1612" operator="containsText" text="AL">
      <formula>NOT(ISERROR(SEARCH("AL",N19)))</formula>
    </cfRule>
    <cfRule type="containsText" dxfId="1305" priority="1611" operator="containsText" text="Sick">
      <formula>NOT(ISERROR(SEARCH("Sick",N19)))</formula>
    </cfRule>
    <cfRule type="containsText" dxfId="1304" priority="1607" operator="containsText" text="FL">
      <formula>NOT(ISERROR(SEARCH("FL",N19)))</formula>
    </cfRule>
  </conditionalFormatting>
  <conditionalFormatting sqref="P16">
    <cfRule type="containsText" dxfId="1303" priority="1690" operator="containsText" text="AB">
      <formula>NOT(ISERROR(SEARCH("AB",P16)))</formula>
    </cfRule>
    <cfRule type="containsText" dxfId="1302" priority="1689" operator="containsText" text="EL">
      <formula>NOT(ISERROR(SEARCH("EL",P16)))</formula>
    </cfRule>
    <cfRule type="containsText" dxfId="1301" priority="1688" operator="containsText" text="SUS">
      <formula>NOT(ISERROR(SEARCH("SUS",P16)))</formula>
    </cfRule>
    <cfRule type="containsText" dxfId="1300" priority="1686" operator="containsText" text="NL">
      <formula>NOT(ISERROR(SEARCH("NL",P16)))</formula>
    </cfRule>
    <cfRule type="containsText" dxfId="1299" priority="1685" operator="containsText" text="SP">
      <formula>NOT(ISERROR(SEARCH("SP",P16)))</formula>
    </cfRule>
    <cfRule type="containsText" dxfId="1298" priority="1693" operator="containsText" text="MC">
      <formula>NOT(ISERROR(SEARCH("MC",P16)))</formula>
    </cfRule>
    <cfRule type="containsText" dxfId="1297" priority="1687" operator="containsText" text="FL">
      <formula>NOT(ISERROR(SEARCH("FL",P16)))</formula>
    </cfRule>
    <cfRule type="containsText" dxfId="1296" priority="1694" operator="containsText" text="OFF">
      <formula>NOT(ISERROR(SEARCH("OFF",P16)))</formula>
    </cfRule>
    <cfRule type="containsText" dxfId="1295" priority="1692" operator="containsText" text="AL">
      <formula>NOT(ISERROR(SEARCH("AL",P16)))</formula>
    </cfRule>
    <cfRule type="containsText" dxfId="1294" priority="1691" operator="containsText" text="Sick">
      <formula>NOT(ISERROR(SEARCH("Sick",P16)))</formula>
    </cfRule>
  </conditionalFormatting>
  <conditionalFormatting sqref="P22">
    <cfRule type="containsText" dxfId="1293" priority="1381" operator="containsText" text="Sick">
      <formula>NOT(ISERROR(SEARCH("Sick",P22)))</formula>
    </cfRule>
    <cfRule type="containsText" dxfId="1292" priority="1383" operator="containsText" text="MC">
      <formula>NOT(ISERROR(SEARCH("MC",P22)))</formula>
    </cfRule>
    <cfRule type="containsText" dxfId="1291" priority="1382" operator="containsText" text="AL">
      <formula>NOT(ISERROR(SEARCH("AL",P22)))</formula>
    </cfRule>
    <cfRule type="containsText" dxfId="1290" priority="1375" operator="containsText" text="SP">
      <formula>NOT(ISERROR(SEARCH("SP",P22)))</formula>
    </cfRule>
    <cfRule type="containsText" dxfId="1289" priority="1380" operator="containsText" text="AB">
      <formula>NOT(ISERROR(SEARCH("AB",P22)))</formula>
    </cfRule>
    <cfRule type="containsText" dxfId="1288" priority="1376" operator="containsText" text="NL">
      <formula>NOT(ISERROR(SEARCH("NL",P22)))</formula>
    </cfRule>
    <cfRule type="containsText" dxfId="1287" priority="1377" operator="containsText" text="FL">
      <formula>NOT(ISERROR(SEARCH("FL",P22)))</formula>
    </cfRule>
    <cfRule type="containsText" dxfId="1286" priority="1378" operator="containsText" text="SUS">
      <formula>NOT(ISERROR(SEARCH("SUS",P22)))</formula>
    </cfRule>
    <cfRule type="containsText" dxfId="1285" priority="1379" operator="containsText" text="EL">
      <formula>NOT(ISERROR(SEARCH("EL",P22)))</formula>
    </cfRule>
    <cfRule type="containsText" dxfId="1284" priority="1384" operator="containsText" text="OFF">
      <formula>NOT(ISERROR(SEARCH("OFF",P22)))</formula>
    </cfRule>
  </conditionalFormatting>
  <conditionalFormatting sqref="Q25:R26">
    <cfRule type="containsText" dxfId="1283" priority="1624" operator="containsText" text="OFF">
      <formula>NOT(ISERROR(SEARCH("OFF",Q25)))</formula>
    </cfRule>
    <cfRule type="containsText" dxfId="1282" priority="1623" operator="containsText" text="MC">
      <formula>NOT(ISERROR(SEARCH("MC",Q25)))</formula>
    </cfRule>
    <cfRule type="containsText" dxfId="1281" priority="1622" operator="containsText" text="AL">
      <formula>NOT(ISERROR(SEARCH("AL",Q25)))</formula>
    </cfRule>
    <cfRule type="containsText" dxfId="1280" priority="1621" operator="containsText" text="Sick">
      <formula>NOT(ISERROR(SEARCH("Sick",Q25)))</formula>
    </cfRule>
    <cfRule type="containsText" dxfId="1279" priority="1616" operator="containsText" text="NL">
      <formula>NOT(ISERROR(SEARCH("NL",Q25)))</formula>
    </cfRule>
    <cfRule type="containsText" dxfId="1278" priority="1617" operator="containsText" text="FL">
      <formula>NOT(ISERROR(SEARCH("FL",Q25)))</formula>
    </cfRule>
    <cfRule type="containsText" dxfId="1277" priority="1618" operator="containsText" text="SUS">
      <formula>NOT(ISERROR(SEARCH("SUS",Q25)))</formula>
    </cfRule>
    <cfRule type="containsText" dxfId="1276" priority="1615" operator="containsText" text="SP">
      <formula>NOT(ISERROR(SEARCH("SP",Q25)))</formula>
    </cfRule>
    <cfRule type="containsText" dxfId="1275" priority="1619" operator="containsText" text="EL">
      <formula>NOT(ISERROR(SEARCH("EL",Q25)))</formula>
    </cfRule>
    <cfRule type="containsText" dxfId="1274" priority="1620" operator="containsText" text="AB">
      <formula>NOT(ISERROR(SEARCH("AB",Q25)))</formula>
    </cfRule>
  </conditionalFormatting>
  <conditionalFormatting sqref="R17">
    <cfRule type="containsText" dxfId="1273" priority="1704" operator="containsText" text="OFF">
      <formula>NOT(ISERROR(SEARCH("OFF",R17)))</formula>
    </cfRule>
    <cfRule type="containsText" dxfId="1272" priority="1703" operator="containsText" text="MC">
      <formula>NOT(ISERROR(SEARCH("MC",R17)))</formula>
    </cfRule>
    <cfRule type="containsText" dxfId="1271" priority="1698" operator="containsText" text="SUS">
      <formula>NOT(ISERROR(SEARCH("SUS",R17)))</formula>
    </cfRule>
    <cfRule type="containsText" dxfId="1270" priority="1697" operator="containsText" text="FL">
      <formula>NOT(ISERROR(SEARCH("FL",R17)))</formula>
    </cfRule>
    <cfRule type="containsText" dxfId="1269" priority="1696" operator="containsText" text="NL">
      <formula>NOT(ISERROR(SEARCH("NL",R17)))</formula>
    </cfRule>
    <cfRule type="containsText" dxfId="1268" priority="1695" operator="containsText" text="SP">
      <formula>NOT(ISERROR(SEARCH("SP",R17)))</formula>
    </cfRule>
    <cfRule type="containsText" dxfId="1267" priority="1702" operator="containsText" text="AL">
      <formula>NOT(ISERROR(SEARCH("AL",R17)))</formula>
    </cfRule>
    <cfRule type="containsText" dxfId="1266" priority="1701" operator="containsText" text="Sick">
      <formula>NOT(ISERROR(SEARCH("Sick",R17)))</formula>
    </cfRule>
    <cfRule type="containsText" dxfId="1265" priority="1699" operator="containsText" text="EL">
      <formula>NOT(ISERROR(SEARCH("EL",R17)))</formula>
    </cfRule>
    <cfRule type="containsText" dxfId="1264" priority="1700" operator="containsText" text="AB">
      <formula>NOT(ISERROR(SEARCH("AB",R17)))</formula>
    </cfRule>
  </conditionalFormatting>
  <conditionalFormatting sqref="R19">
    <cfRule type="containsText" dxfId="1263" priority="1705" operator="containsText" text="SP">
      <formula>NOT(ISERROR(SEARCH("SP",R19)))</formula>
    </cfRule>
    <cfRule type="containsText" dxfId="1262" priority="1714" operator="containsText" text="OFF">
      <formula>NOT(ISERROR(SEARCH("OFF",R19)))</formula>
    </cfRule>
    <cfRule type="containsText" dxfId="1261" priority="1713" operator="containsText" text="MC">
      <formula>NOT(ISERROR(SEARCH("MC",R19)))</formula>
    </cfRule>
    <cfRule type="containsText" dxfId="1260" priority="1712" operator="containsText" text="AL">
      <formula>NOT(ISERROR(SEARCH("AL",R19)))</formula>
    </cfRule>
    <cfRule type="containsText" dxfId="1259" priority="1711" operator="containsText" text="Sick">
      <formula>NOT(ISERROR(SEARCH("Sick",R19)))</formula>
    </cfRule>
    <cfRule type="containsText" dxfId="1258" priority="1710" operator="containsText" text="AB">
      <formula>NOT(ISERROR(SEARCH("AB",R19)))</formula>
    </cfRule>
    <cfRule type="containsText" dxfId="1257" priority="1709" operator="containsText" text="EL">
      <formula>NOT(ISERROR(SEARCH("EL",R19)))</formula>
    </cfRule>
    <cfRule type="containsText" dxfId="1256" priority="1708" operator="containsText" text="SUS">
      <formula>NOT(ISERROR(SEARCH("SUS",R19)))</formula>
    </cfRule>
    <cfRule type="containsText" dxfId="1255" priority="1707" operator="containsText" text="FL">
      <formula>NOT(ISERROR(SEARCH("FL",R19)))</formula>
    </cfRule>
    <cfRule type="containsText" dxfId="1254" priority="1706" operator="containsText" text="NL">
      <formula>NOT(ISERROR(SEARCH("NL",R19)))</formula>
    </cfRule>
  </conditionalFormatting>
  <conditionalFormatting sqref="S8:T10">
    <cfRule type="containsText" dxfId="1253" priority="1762" operator="containsText" text="AL">
      <formula>NOT(ISERROR(SEARCH("AL",S8)))</formula>
    </cfRule>
    <cfRule type="containsText" dxfId="1252" priority="1758" operator="containsText" text="SUS">
      <formula>NOT(ISERROR(SEARCH("SUS",S8)))</formula>
    </cfRule>
    <cfRule type="containsText" dxfId="1251" priority="1756" operator="containsText" text="NL">
      <formula>NOT(ISERROR(SEARCH("NL",S8)))</formula>
    </cfRule>
    <cfRule type="containsText" dxfId="1250" priority="1763" operator="containsText" text="MC">
      <formula>NOT(ISERROR(SEARCH("MC",S8)))</formula>
    </cfRule>
    <cfRule type="containsText" dxfId="1249" priority="1761" operator="containsText" text="Sick">
      <formula>NOT(ISERROR(SEARCH("Sick",S8)))</formula>
    </cfRule>
    <cfRule type="containsText" dxfId="1248" priority="1760" operator="containsText" text="AB">
      <formula>NOT(ISERROR(SEARCH("AB",S8)))</formula>
    </cfRule>
    <cfRule type="containsText" dxfId="1247" priority="1755" operator="containsText" text="SP">
      <formula>NOT(ISERROR(SEARCH("SP",S8)))</formula>
    </cfRule>
    <cfRule type="containsText" dxfId="1246" priority="1759" operator="containsText" text="EL">
      <formula>NOT(ISERROR(SEARCH("EL",S8)))</formula>
    </cfRule>
    <cfRule type="containsText" dxfId="1245" priority="1757" operator="containsText" text="FL">
      <formula>NOT(ISERROR(SEARCH("FL",S8)))</formula>
    </cfRule>
    <cfRule type="containsText" dxfId="1244" priority="1764" operator="containsText" text="OFF">
      <formula>NOT(ISERROR(SEARCH("OFF",S8)))</formula>
    </cfRule>
  </conditionalFormatting>
  <conditionalFormatting sqref="S12:T13">
    <cfRule type="containsText" dxfId="1243" priority="1750" operator="containsText" text="AB">
      <formula>NOT(ISERROR(SEARCH("AB",S12)))</formula>
    </cfRule>
    <cfRule type="containsText" dxfId="1242" priority="1751" operator="containsText" text="Sick">
      <formula>NOT(ISERROR(SEARCH("Sick",S12)))</formula>
    </cfRule>
    <cfRule type="containsText" dxfId="1241" priority="1752" operator="containsText" text="AL">
      <formula>NOT(ISERROR(SEARCH("AL",S12)))</formula>
    </cfRule>
    <cfRule type="containsText" dxfId="1240" priority="1753" operator="containsText" text="MC">
      <formula>NOT(ISERROR(SEARCH("MC",S12)))</formula>
    </cfRule>
    <cfRule type="containsText" dxfId="1239" priority="1754" operator="containsText" text="OFF">
      <formula>NOT(ISERROR(SEARCH("OFF",S12)))</formula>
    </cfRule>
    <cfRule type="containsText" dxfId="1238" priority="1748" operator="containsText" text="SUS">
      <formula>NOT(ISERROR(SEARCH("SUS",S12)))</formula>
    </cfRule>
    <cfRule type="containsText" dxfId="1237" priority="1749" operator="containsText" text="EL">
      <formula>NOT(ISERROR(SEARCH("EL",S12)))</formula>
    </cfRule>
    <cfRule type="containsText" dxfId="1236" priority="1745" operator="containsText" text="SP">
      <formula>NOT(ISERROR(SEARCH("SP",S12)))</formula>
    </cfRule>
    <cfRule type="containsText" dxfId="1235" priority="1746" operator="containsText" text="NL">
      <formula>NOT(ISERROR(SEARCH("NL",S12)))</formula>
    </cfRule>
    <cfRule type="containsText" dxfId="1234" priority="1747" operator="containsText" text="FL">
      <formula>NOT(ISERROR(SEARCH("FL",S12)))</formula>
    </cfRule>
  </conditionalFormatting>
  <conditionalFormatting sqref="S19:T22">
    <cfRule type="containsText" dxfId="1233" priority="1730" operator="containsText" text="AB">
      <formula>NOT(ISERROR(SEARCH("AB",S19)))</formula>
    </cfRule>
    <cfRule type="containsText" dxfId="1232" priority="1728" operator="containsText" text="SUS">
      <formula>NOT(ISERROR(SEARCH("SUS",S19)))</formula>
    </cfRule>
    <cfRule type="containsText" dxfId="1231" priority="1727" operator="containsText" text="FL">
      <formula>NOT(ISERROR(SEARCH("FL",S19)))</formula>
    </cfRule>
    <cfRule type="containsText" dxfId="1230" priority="1734" operator="containsText" text="OFF">
      <formula>NOT(ISERROR(SEARCH("OFF",S19)))</formula>
    </cfRule>
    <cfRule type="containsText" dxfId="1229" priority="1726" operator="containsText" text="NL">
      <formula>NOT(ISERROR(SEARCH("NL",S19)))</formula>
    </cfRule>
    <cfRule type="containsText" dxfId="1228" priority="1725" operator="containsText" text="SP">
      <formula>NOT(ISERROR(SEARCH("SP",S19)))</formula>
    </cfRule>
    <cfRule type="containsText" dxfId="1227" priority="1732" operator="containsText" text="AL">
      <formula>NOT(ISERROR(SEARCH("AL",S19)))</formula>
    </cfRule>
    <cfRule type="containsText" dxfId="1226" priority="1733" operator="containsText" text="MC">
      <formula>NOT(ISERROR(SEARCH("MC",S19)))</formula>
    </cfRule>
    <cfRule type="containsText" dxfId="1225" priority="1729" operator="containsText" text="EL">
      <formula>NOT(ISERROR(SEARCH("EL",S19)))</formula>
    </cfRule>
    <cfRule type="containsText" dxfId="1224" priority="1731" operator="containsText" text="Sick">
      <formula>NOT(ISERROR(SEARCH("Sick",S19)))</formula>
    </cfRule>
  </conditionalFormatting>
  <conditionalFormatting sqref="T7">
    <cfRule type="containsText" dxfId="1223" priority="1594" operator="containsText" text="OFF">
      <formula>NOT(ISERROR(SEARCH("OFF",T7)))</formula>
    </cfRule>
    <cfRule type="containsText" dxfId="1222" priority="1593" operator="containsText" text="MC">
      <formula>NOT(ISERROR(SEARCH("MC",T7)))</formula>
    </cfRule>
    <cfRule type="containsText" dxfId="1221" priority="1592" operator="containsText" text="AL">
      <formula>NOT(ISERROR(SEARCH("AL",T7)))</formula>
    </cfRule>
    <cfRule type="containsText" dxfId="1220" priority="1591" operator="containsText" text="Sick">
      <formula>NOT(ISERROR(SEARCH("Sick",T7)))</formula>
    </cfRule>
    <cfRule type="containsText" dxfId="1219" priority="1590" operator="containsText" text="AB">
      <formula>NOT(ISERROR(SEARCH("AB",T7)))</formula>
    </cfRule>
    <cfRule type="containsText" dxfId="1218" priority="1588" operator="containsText" text="SUS">
      <formula>NOT(ISERROR(SEARCH("SUS",T7)))</formula>
    </cfRule>
    <cfRule type="containsText" dxfId="1217" priority="1587" operator="containsText" text="FL">
      <formula>NOT(ISERROR(SEARCH("FL",T7)))</formula>
    </cfRule>
    <cfRule type="containsText" dxfId="1216" priority="1586" operator="containsText" text="NL">
      <formula>NOT(ISERROR(SEARCH("NL",T7)))</formula>
    </cfRule>
    <cfRule type="containsText" dxfId="1215" priority="1585" operator="containsText" text="SP">
      <formula>NOT(ISERROR(SEARCH("SP",T7)))</formula>
    </cfRule>
    <cfRule type="containsText" dxfId="1214" priority="1589" operator="containsText" text="EL">
      <formula>NOT(ISERROR(SEARCH("EL",T7)))</formula>
    </cfRule>
  </conditionalFormatting>
  <conditionalFormatting sqref="T16:T17">
    <cfRule type="containsText" dxfId="1213" priority="1678" operator="containsText" text="SUS">
      <formula>NOT(ISERROR(SEARCH("SUS",T16)))</formula>
    </cfRule>
    <cfRule type="containsText" dxfId="1212" priority="1676" operator="containsText" text="NL">
      <formula>NOT(ISERROR(SEARCH("NL",T16)))</formula>
    </cfRule>
    <cfRule type="containsText" dxfId="1211" priority="1675" operator="containsText" text="SP">
      <formula>NOT(ISERROR(SEARCH("SP",T16)))</formula>
    </cfRule>
    <cfRule type="containsText" dxfId="1210" priority="1677" operator="containsText" text="FL">
      <formula>NOT(ISERROR(SEARCH("FL",T16)))</formula>
    </cfRule>
    <cfRule type="containsText" dxfId="1209" priority="1684" operator="containsText" text="OFF">
      <formula>NOT(ISERROR(SEARCH("OFF",T16)))</formula>
    </cfRule>
    <cfRule type="containsText" dxfId="1208" priority="1683" operator="containsText" text="MC">
      <formula>NOT(ISERROR(SEARCH("MC",T16)))</formula>
    </cfRule>
    <cfRule type="containsText" dxfId="1207" priority="1682" operator="containsText" text="AL">
      <formula>NOT(ISERROR(SEARCH("AL",T16)))</formula>
    </cfRule>
    <cfRule type="containsText" dxfId="1206" priority="1681" operator="containsText" text="Sick">
      <formula>NOT(ISERROR(SEARCH("Sick",T16)))</formula>
    </cfRule>
    <cfRule type="containsText" dxfId="1205" priority="1680" operator="containsText" text="AB">
      <formula>NOT(ISERROR(SEARCH("AB",T16)))</formula>
    </cfRule>
    <cfRule type="containsText" dxfId="1204" priority="1679" operator="containsText" text="EL">
      <formula>NOT(ISERROR(SEARCH("EL",T16)))</formula>
    </cfRule>
  </conditionalFormatting>
  <conditionalFormatting sqref="U8:AH9">
    <cfRule type="containsText" dxfId="1203" priority="1536" operator="containsText" text="NL">
      <formula>NOT(ISERROR(SEARCH("NL",U8)))</formula>
    </cfRule>
    <cfRule type="containsText" dxfId="1202" priority="1535" operator="containsText" text="SP">
      <formula>NOT(ISERROR(SEARCH("SP",U8)))</formula>
    </cfRule>
    <cfRule type="containsText" dxfId="1201" priority="1541" operator="containsText" text="Sick">
      <formula>NOT(ISERROR(SEARCH("Sick",U8)))</formula>
    </cfRule>
    <cfRule type="containsText" dxfId="1200" priority="1544" operator="containsText" text="OFF">
      <formula>NOT(ISERROR(SEARCH("OFF",U8)))</formula>
    </cfRule>
    <cfRule type="containsText" dxfId="1199" priority="1543" operator="containsText" text="MC">
      <formula>NOT(ISERROR(SEARCH("MC",U8)))</formula>
    </cfRule>
    <cfRule type="containsText" dxfId="1198" priority="1542" operator="containsText" text="AL">
      <formula>NOT(ISERROR(SEARCH("AL",U8)))</formula>
    </cfRule>
    <cfRule type="containsText" dxfId="1197" priority="1540" operator="containsText" text="AB">
      <formula>NOT(ISERROR(SEARCH("AB",U8)))</formula>
    </cfRule>
    <cfRule type="containsText" dxfId="1196" priority="1539" operator="containsText" text="EL">
      <formula>NOT(ISERROR(SEARCH("EL",U8)))</formula>
    </cfRule>
    <cfRule type="containsText" dxfId="1195" priority="1538" operator="containsText" text="SUS">
      <formula>NOT(ISERROR(SEARCH("SUS",U8)))</formula>
    </cfRule>
    <cfRule type="containsText" dxfId="1194" priority="1537" operator="containsText" text="FL">
      <formula>NOT(ISERROR(SEARCH("FL",U8)))</formula>
    </cfRule>
  </conditionalFormatting>
  <conditionalFormatting sqref="V7">
    <cfRule type="containsText" dxfId="1193" priority="1584" operator="containsText" text="OFF">
      <formula>NOT(ISERROR(SEARCH("OFF",V7)))</formula>
    </cfRule>
    <cfRule type="containsText" dxfId="1192" priority="1583" operator="containsText" text="MC">
      <formula>NOT(ISERROR(SEARCH("MC",V7)))</formula>
    </cfRule>
    <cfRule type="containsText" dxfId="1191" priority="1582" operator="containsText" text="AL">
      <formula>NOT(ISERROR(SEARCH("AL",V7)))</formula>
    </cfRule>
    <cfRule type="containsText" dxfId="1190" priority="1581" operator="containsText" text="Sick">
      <formula>NOT(ISERROR(SEARCH("Sick",V7)))</formula>
    </cfRule>
    <cfRule type="containsText" dxfId="1189" priority="1580" operator="containsText" text="AB">
      <formula>NOT(ISERROR(SEARCH("AB",V7)))</formula>
    </cfRule>
    <cfRule type="containsText" dxfId="1188" priority="1579" operator="containsText" text="EL">
      <formula>NOT(ISERROR(SEARCH("EL",V7)))</formula>
    </cfRule>
    <cfRule type="containsText" dxfId="1187" priority="1578" operator="containsText" text="SUS">
      <formula>NOT(ISERROR(SEARCH("SUS",V7)))</formula>
    </cfRule>
    <cfRule type="containsText" dxfId="1186" priority="1576" operator="containsText" text="NL">
      <formula>NOT(ISERROR(SEARCH("NL",V7)))</formula>
    </cfRule>
    <cfRule type="containsText" dxfId="1185" priority="1575" operator="containsText" text="SP">
      <formula>NOT(ISERROR(SEARCH("SP",V7)))</formula>
    </cfRule>
    <cfRule type="containsText" dxfId="1184" priority="1577" operator="containsText" text="FL">
      <formula>NOT(ISERROR(SEARCH("FL",V7)))</formula>
    </cfRule>
  </conditionalFormatting>
  <conditionalFormatting sqref="V16:V17">
    <cfRule type="containsText" dxfId="1183" priority="1666" operator="containsText" text="NL">
      <formula>NOT(ISERROR(SEARCH("NL",V16)))</formula>
    </cfRule>
    <cfRule type="containsText" dxfId="1182" priority="1668" operator="containsText" text="SUS">
      <formula>NOT(ISERROR(SEARCH("SUS",V16)))</formula>
    </cfRule>
    <cfRule type="containsText" dxfId="1181" priority="1665" operator="containsText" text="SP">
      <formula>NOT(ISERROR(SEARCH("SP",V16)))</formula>
    </cfRule>
    <cfRule type="containsText" dxfId="1180" priority="1667" operator="containsText" text="FL">
      <formula>NOT(ISERROR(SEARCH("FL",V16)))</formula>
    </cfRule>
    <cfRule type="containsText" dxfId="1179" priority="1674" operator="containsText" text="OFF">
      <formula>NOT(ISERROR(SEARCH("OFF",V16)))</formula>
    </cfRule>
    <cfRule type="containsText" dxfId="1178" priority="1673" operator="containsText" text="MC">
      <formula>NOT(ISERROR(SEARCH("MC",V16)))</formula>
    </cfRule>
    <cfRule type="containsText" dxfId="1177" priority="1672" operator="containsText" text="AL">
      <formula>NOT(ISERROR(SEARCH("AL",V16)))</formula>
    </cfRule>
    <cfRule type="containsText" dxfId="1176" priority="1671" operator="containsText" text="Sick">
      <formula>NOT(ISERROR(SEARCH("Sick",V16)))</formula>
    </cfRule>
    <cfRule type="containsText" dxfId="1175" priority="1670" operator="containsText" text="AB">
      <formula>NOT(ISERROR(SEARCH("AB",V16)))</formula>
    </cfRule>
    <cfRule type="containsText" dxfId="1174" priority="1669" operator="containsText" text="EL">
      <formula>NOT(ISERROR(SEARCH("EL",V16)))</formula>
    </cfRule>
  </conditionalFormatting>
  <conditionalFormatting sqref="V19">
    <cfRule type="containsText" dxfId="1173" priority="1637" operator="containsText" text="FL">
      <formula>NOT(ISERROR(SEARCH("FL",V19)))</formula>
    </cfRule>
    <cfRule type="containsText" dxfId="1172" priority="1636" operator="containsText" text="NL">
      <formula>NOT(ISERROR(SEARCH("NL",V19)))</formula>
    </cfRule>
    <cfRule type="containsText" dxfId="1171" priority="1635" operator="containsText" text="SP">
      <formula>NOT(ISERROR(SEARCH("SP",V19)))</formula>
    </cfRule>
    <cfRule type="containsText" dxfId="1170" priority="1644" operator="containsText" text="OFF">
      <formula>NOT(ISERROR(SEARCH("OFF",V19)))</formula>
    </cfRule>
    <cfRule type="containsText" dxfId="1169" priority="1643" operator="containsText" text="MC">
      <formula>NOT(ISERROR(SEARCH("MC",V19)))</formula>
    </cfRule>
    <cfRule type="containsText" dxfId="1168" priority="1642" operator="containsText" text="AL">
      <formula>NOT(ISERROR(SEARCH("AL",V19)))</formula>
    </cfRule>
    <cfRule type="containsText" dxfId="1167" priority="1641" operator="containsText" text="Sick">
      <formula>NOT(ISERROR(SEARCH("Sick",V19)))</formula>
    </cfRule>
    <cfRule type="containsText" dxfId="1166" priority="1640" operator="containsText" text="AB">
      <formula>NOT(ISERROR(SEARCH("AB",V19)))</formula>
    </cfRule>
    <cfRule type="containsText" dxfId="1165" priority="1639" operator="containsText" text="EL">
      <formula>NOT(ISERROR(SEARCH("EL",V19)))</formula>
    </cfRule>
    <cfRule type="containsText" dxfId="1164" priority="1638" operator="containsText" text="SUS">
      <formula>NOT(ISERROR(SEARCH("SUS",V19)))</formula>
    </cfRule>
  </conditionalFormatting>
  <conditionalFormatting sqref="V22">
    <cfRule type="containsText" dxfId="1163" priority="1659" operator="containsText" text="EL">
      <formula>NOT(ISERROR(SEARCH("EL",V22)))</formula>
    </cfRule>
    <cfRule type="containsText" dxfId="1162" priority="1658" operator="containsText" text="SUS">
      <formula>NOT(ISERROR(SEARCH("SUS",V22)))</formula>
    </cfRule>
    <cfRule type="containsText" dxfId="1161" priority="1663" operator="containsText" text="MC">
      <formula>NOT(ISERROR(SEARCH("MC",V22)))</formula>
    </cfRule>
    <cfRule type="containsText" dxfId="1160" priority="1655" operator="containsText" text="SP">
      <formula>NOT(ISERROR(SEARCH("SP",V22)))</formula>
    </cfRule>
    <cfRule type="containsText" dxfId="1159" priority="1657" operator="containsText" text="FL">
      <formula>NOT(ISERROR(SEARCH("FL",V22)))</formula>
    </cfRule>
    <cfRule type="containsText" dxfId="1158" priority="1656" operator="containsText" text="NL">
      <formula>NOT(ISERROR(SEARCH("NL",V22)))</formula>
    </cfRule>
    <cfRule type="containsText" dxfId="1157" priority="1664" operator="containsText" text="OFF">
      <formula>NOT(ISERROR(SEARCH("OFF",V22)))</formula>
    </cfRule>
    <cfRule type="containsText" dxfId="1156" priority="1662" operator="containsText" text="AL">
      <formula>NOT(ISERROR(SEARCH("AL",V22)))</formula>
    </cfRule>
    <cfRule type="containsText" dxfId="1155" priority="1661" operator="containsText" text="Sick">
      <formula>NOT(ISERROR(SEARCH("Sick",V22)))</formula>
    </cfRule>
    <cfRule type="containsText" dxfId="1154" priority="1660" operator="containsText" text="AB">
      <formula>NOT(ISERROR(SEARCH("AB",V22)))</formula>
    </cfRule>
  </conditionalFormatting>
  <conditionalFormatting sqref="W14:Z14">
    <cfRule type="containsText" dxfId="1153" priority="1525" operator="containsText" text="SP">
      <formula>NOT(ISERROR(SEARCH("SP",W14)))</formula>
    </cfRule>
    <cfRule type="containsText" dxfId="1152" priority="1529" operator="containsText" text="EL">
      <formula>NOT(ISERROR(SEARCH("EL",W14)))</formula>
    </cfRule>
    <cfRule type="containsText" dxfId="1151" priority="1528" operator="containsText" text="SUS">
      <formula>NOT(ISERROR(SEARCH("SUS",W14)))</formula>
    </cfRule>
    <cfRule type="containsText" dxfId="1150" priority="1527" operator="containsText" text="FL">
      <formula>NOT(ISERROR(SEARCH("FL",W14)))</formula>
    </cfRule>
    <cfRule type="containsText" dxfId="1149" priority="1534" operator="containsText" text="OFF">
      <formula>NOT(ISERROR(SEARCH("OFF",W14)))</formula>
    </cfRule>
    <cfRule type="containsText" dxfId="1148" priority="1533" operator="containsText" text="MC">
      <formula>NOT(ISERROR(SEARCH("MC",W14)))</formula>
    </cfRule>
    <cfRule type="containsText" dxfId="1147" priority="1532" operator="containsText" text="AL">
      <formula>NOT(ISERROR(SEARCH("AL",W14)))</formula>
    </cfRule>
    <cfRule type="containsText" dxfId="1146" priority="1531" operator="containsText" text="Sick">
      <formula>NOT(ISERROR(SEARCH("Sick",W14)))</formula>
    </cfRule>
    <cfRule type="containsText" dxfId="1145" priority="1530" operator="containsText" text="AB">
      <formula>NOT(ISERROR(SEARCH("AB",W14)))</formula>
    </cfRule>
    <cfRule type="containsText" dxfId="1144" priority="1526" operator="containsText" text="NL">
      <formula>NOT(ISERROR(SEARCH("NL",W14)))</formula>
    </cfRule>
  </conditionalFormatting>
  <conditionalFormatting sqref="W31:AH31">
    <cfRule type="containsText" dxfId="1143" priority="11581" operator="containsText" text="AB">
      <formula>NOT(ISERROR(SEARCH("AB",W31)))</formula>
    </cfRule>
    <cfRule type="containsText" dxfId="1142" priority="11582" operator="containsText" text="AL">
      <formula>NOT(ISERROR(SEARCH("AL",W31)))</formula>
    </cfRule>
    <cfRule type="containsText" dxfId="1141" priority="11583" operator="containsText" text="SICK">
      <formula>NOT(ISERROR(SEARCH("SICK",W31)))</formula>
    </cfRule>
    <cfRule type="containsText" dxfId="1140" priority="11584" operator="containsText" text="NL">
      <formula>NOT(ISERROR(SEARCH("NL",W31)))</formula>
    </cfRule>
  </conditionalFormatting>
  <conditionalFormatting sqref="X7">
    <cfRule type="containsText" dxfId="1139" priority="1574" operator="containsText" text="OFF">
      <formula>NOT(ISERROR(SEARCH("OFF",X7)))</formula>
    </cfRule>
    <cfRule type="containsText" dxfId="1138" priority="1572" operator="containsText" text="AL">
      <formula>NOT(ISERROR(SEARCH("AL",X7)))</formula>
    </cfRule>
    <cfRule type="containsText" dxfId="1137" priority="1571" operator="containsText" text="Sick">
      <formula>NOT(ISERROR(SEARCH("Sick",X7)))</formula>
    </cfRule>
    <cfRule type="containsText" dxfId="1136" priority="1573" operator="containsText" text="MC">
      <formula>NOT(ISERROR(SEARCH("MC",X7)))</formula>
    </cfRule>
    <cfRule type="containsText" dxfId="1135" priority="1570" operator="containsText" text="AB">
      <formula>NOT(ISERROR(SEARCH("AB",X7)))</formula>
    </cfRule>
    <cfRule type="containsText" dxfId="1134" priority="1565" operator="containsText" text="SP">
      <formula>NOT(ISERROR(SEARCH("SP",X7)))</formula>
    </cfRule>
    <cfRule type="containsText" dxfId="1133" priority="1566" operator="containsText" text="NL">
      <formula>NOT(ISERROR(SEARCH("NL",X7)))</formula>
    </cfRule>
    <cfRule type="containsText" dxfId="1132" priority="1567" operator="containsText" text="FL">
      <formula>NOT(ISERROR(SEARCH("FL",X7)))</formula>
    </cfRule>
    <cfRule type="containsText" dxfId="1131" priority="1568" operator="containsText" text="SUS">
      <formula>NOT(ISERROR(SEARCH("SUS",X7)))</formula>
    </cfRule>
    <cfRule type="containsText" dxfId="1130" priority="1569" operator="containsText" text="EL">
      <formula>NOT(ISERROR(SEARCH("EL",X7)))</formula>
    </cfRule>
  </conditionalFormatting>
  <conditionalFormatting sqref="X22">
    <cfRule type="containsText" dxfId="1129" priority="1648" operator="containsText" text="SUS">
      <formula>NOT(ISERROR(SEARCH("SUS",X22)))</formula>
    </cfRule>
    <cfRule type="containsText" dxfId="1128" priority="1647" operator="containsText" text="FL">
      <formula>NOT(ISERROR(SEARCH("FL",X22)))</formula>
    </cfRule>
    <cfRule type="containsText" dxfId="1127" priority="1652" operator="containsText" text="AL">
      <formula>NOT(ISERROR(SEARCH("AL",X22)))</formula>
    </cfRule>
    <cfRule type="containsText" dxfId="1126" priority="1654" operator="containsText" text="OFF">
      <formula>NOT(ISERROR(SEARCH("OFF",X22)))</formula>
    </cfRule>
    <cfRule type="containsText" dxfId="1125" priority="1651" operator="containsText" text="Sick">
      <formula>NOT(ISERROR(SEARCH("Sick",X22)))</formula>
    </cfRule>
    <cfRule type="containsText" dxfId="1124" priority="1645" operator="containsText" text="SP">
      <formula>NOT(ISERROR(SEARCH("SP",X22)))</formula>
    </cfRule>
    <cfRule type="containsText" dxfId="1123" priority="1646" operator="containsText" text="NL">
      <formula>NOT(ISERROR(SEARCH("NL",X22)))</formula>
    </cfRule>
    <cfRule type="containsText" dxfId="1122" priority="1653" operator="containsText" text="MC">
      <formula>NOT(ISERROR(SEARCH("MC",X22)))</formula>
    </cfRule>
    <cfRule type="containsText" dxfId="1121" priority="1650" operator="containsText" text="AB">
      <formula>NOT(ISERROR(SEARCH("AB",X22)))</formula>
    </cfRule>
    <cfRule type="containsText" dxfId="1120" priority="1649" operator="containsText" text="EL">
      <formula>NOT(ISERROR(SEARCH("EL",X22)))</formula>
    </cfRule>
  </conditionalFormatting>
  <conditionalFormatting sqref="X19:Z19">
    <cfRule type="containsText" dxfId="1119" priority="1504" operator="containsText" text="OFF">
      <formula>NOT(ISERROR(SEARCH("OFF",X19)))</formula>
    </cfRule>
    <cfRule type="containsText" dxfId="1118" priority="1502" operator="containsText" text="AL">
      <formula>NOT(ISERROR(SEARCH("AL",X19)))</formula>
    </cfRule>
    <cfRule type="containsText" dxfId="1117" priority="1495" operator="containsText" text="SP">
      <formula>NOT(ISERROR(SEARCH("SP",X19)))</formula>
    </cfRule>
    <cfRule type="containsText" dxfId="1116" priority="1496" operator="containsText" text="NL">
      <formula>NOT(ISERROR(SEARCH("NL",X19)))</formula>
    </cfRule>
    <cfRule type="containsText" dxfId="1115" priority="1497" operator="containsText" text="FL">
      <formula>NOT(ISERROR(SEARCH("FL",X19)))</formula>
    </cfRule>
    <cfRule type="containsText" dxfId="1114" priority="1498" operator="containsText" text="SUS">
      <formula>NOT(ISERROR(SEARCH("SUS",X19)))</formula>
    </cfRule>
    <cfRule type="containsText" dxfId="1113" priority="1499" operator="containsText" text="EL">
      <formula>NOT(ISERROR(SEARCH("EL",X19)))</formula>
    </cfRule>
    <cfRule type="containsText" dxfId="1112" priority="1500" operator="containsText" text="AB">
      <formula>NOT(ISERROR(SEARCH("AB",X19)))</formula>
    </cfRule>
    <cfRule type="containsText" dxfId="1111" priority="1503" operator="containsText" text="MC">
      <formula>NOT(ISERROR(SEARCH("MC",X19)))</formula>
    </cfRule>
    <cfRule type="containsText" dxfId="1110" priority="1501" operator="containsText" text="Sick">
      <formula>NOT(ISERROR(SEARCH("Sick",X19)))</formula>
    </cfRule>
  </conditionalFormatting>
  <conditionalFormatting sqref="Z7">
    <cfRule type="containsText" dxfId="1109" priority="1270" operator="containsText" text="AB">
      <formula>NOT(ISERROR(SEARCH("AB",Z7)))</formula>
    </cfRule>
    <cfRule type="containsText" dxfId="1108" priority="1269" operator="containsText" text="EL">
      <formula>NOT(ISERROR(SEARCH("EL",Z7)))</formula>
    </cfRule>
    <cfRule type="containsText" dxfId="1107" priority="1268" operator="containsText" text="SUS">
      <formula>NOT(ISERROR(SEARCH("SUS",Z7)))</formula>
    </cfRule>
    <cfRule type="containsText" dxfId="1106" priority="1267" operator="containsText" text="FL">
      <formula>NOT(ISERROR(SEARCH("FL",Z7)))</formula>
    </cfRule>
    <cfRule type="containsText" dxfId="1105" priority="1266" operator="containsText" text="NL">
      <formula>NOT(ISERROR(SEARCH("NL",Z7)))</formula>
    </cfRule>
    <cfRule type="containsText" dxfId="1104" priority="1265" operator="containsText" text="SP">
      <formula>NOT(ISERROR(SEARCH("SP",Z7)))</formula>
    </cfRule>
    <cfRule type="containsText" dxfId="1103" priority="1271" operator="containsText" text="Sick">
      <formula>NOT(ISERROR(SEARCH("Sick",Z7)))</formula>
    </cfRule>
    <cfRule type="containsText" dxfId="1102" priority="1274" operator="containsText" text="OFF">
      <formula>NOT(ISERROR(SEARCH("OFF",Z7)))</formula>
    </cfRule>
    <cfRule type="containsText" dxfId="1101" priority="1273" operator="containsText" text="MC">
      <formula>NOT(ISERROR(SEARCH("MC",Z7)))</formula>
    </cfRule>
    <cfRule type="containsText" dxfId="1100" priority="1272" operator="containsText" text="AL">
      <formula>NOT(ISERROR(SEARCH("AL",Z7)))</formula>
    </cfRule>
  </conditionalFormatting>
  <conditionalFormatting sqref="Z10">
    <cfRule type="containsText" dxfId="1099" priority="118" operator="containsText" text="AL">
      <formula>NOT(ISERROR(SEARCH("AL",Z10)))</formula>
    </cfRule>
    <cfRule type="containsText" dxfId="1098" priority="116" operator="containsText" text="AB">
      <formula>NOT(ISERROR(SEARCH("AB",Z10)))</formula>
    </cfRule>
    <cfRule type="containsText" dxfId="1097" priority="115" operator="containsText" text="EL">
      <formula>NOT(ISERROR(SEARCH("EL",Z10)))</formula>
    </cfRule>
    <cfRule type="containsText" dxfId="1096" priority="113" operator="containsText" text="FL">
      <formula>NOT(ISERROR(SEARCH("FL",Z10)))</formula>
    </cfRule>
    <cfRule type="containsText" dxfId="1095" priority="120" operator="containsText" text="OFF">
      <formula>NOT(ISERROR(SEARCH("OFF",Z10)))</formula>
    </cfRule>
    <cfRule type="containsText" dxfId="1094" priority="114" operator="containsText" text="SUS">
      <formula>NOT(ISERROR(SEARCH("SUS",Z10)))</formula>
    </cfRule>
    <cfRule type="containsText" dxfId="1093" priority="119" operator="containsText" text="MC">
      <formula>NOT(ISERROR(SEARCH("MC",Z10)))</formula>
    </cfRule>
    <cfRule type="containsText" dxfId="1092" priority="112" operator="containsText" text="NL">
      <formula>NOT(ISERROR(SEARCH("NL",Z10)))</formula>
    </cfRule>
    <cfRule type="containsText" dxfId="1091" priority="111" operator="containsText" text="SP">
      <formula>NOT(ISERROR(SEARCH("SP",Z10)))</formula>
    </cfRule>
    <cfRule type="containsText" dxfId="1090" priority="117" operator="containsText" text="Sick">
      <formula>NOT(ISERROR(SEARCH("Sick",Z10)))</formula>
    </cfRule>
  </conditionalFormatting>
  <conditionalFormatting sqref="Z12">
    <cfRule type="containsText" dxfId="1089" priority="891" operator="containsText" text="SP">
      <formula>NOT(ISERROR(SEARCH("SP",Z12)))</formula>
    </cfRule>
    <cfRule type="containsText" dxfId="1088" priority="899" operator="containsText" text="MC">
      <formula>NOT(ISERROR(SEARCH("MC",Z12)))</formula>
    </cfRule>
    <cfRule type="containsText" dxfId="1087" priority="892" operator="containsText" text="NL">
      <formula>NOT(ISERROR(SEARCH("NL",Z12)))</formula>
    </cfRule>
    <cfRule type="containsText" dxfId="1086" priority="894" operator="containsText" text="SUS">
      <formula>NOT(ISERROR(SEARCH("SUS",Z12)))</formula>
    </cfRule>
    <cfRule type="containsText" dxfId="1085" priority="900" operator="containsText" text="OFF">
      <formula>NOT(ISERROR(SEARCH("OFF",Z12)))</formula>
    </cfRule>
    <cfRule type="containsText" dxfId="1084" priority="898" operator="containsText" text="AL">
      <formula>NOT(ISERROR(SEARCH("AL",Z12)))</formula>
    </cfRule>
    <cfRule type="containsText" dxfId="1083" priority="897" operator="containsText" text="Sick">
      <formula>NOT(ISERROR(SEARCH("Sick",Z12)))</formula>
    </cfRule>
    <cfRule type="containsText" dxfId="1082" priority="896" operator="containsText" text="AB">
      <formula>NOT(ISERROR(SEARCH("AB",Z12)))</formula>
    </cfRule>
    <cfRule type="containsText" dxfId="1081" priority="895" operator="containsText" text="EL">
      <formula>NOT(ISERROR(SEARCH("EL",Z12)))</formula>
    </cfRule>
    <cfRule type="containsText" dxfId="1080" priority="893" operator="containsText" text="FL">
      <formula>NOT(ISERROR(SEARCH("FL",Z12)))</formula>
    </cfRule>
  </conditionalFormatting>
  <conditionalFormatting sqref="Z17">
    <cfRule type="containsText" dxfId="1079" priority="1476" operator="containsText" text="NL">
      <formula>NOT(ISERROR(SEARCH("NL",Z17)))</formula>
    </cfRule>
    <cfRule type="containsText" dxfId="1078" priority="1483" operator="containsText" text="MC">
      <formula>NOT(ISERROR(SEARCH("MC",Z17)))</formula>
    </cfRule>
    <cfRule type="containsText" dxfId="1077" priority="1477" operator="containsText" text="FL">
      <formula>NOT(ISERROR(SEARCH("FL",Z17)))</formula>
    </cfRule>
    <cfRule type="containsText" dxfId="1076" priority="1478" operator="containsText" text="SUS">
      <formula>NOT(ISERROR(SEARCH("SUS",Z17)))</formula>
    </cfRule>
    <cfRule type="containsText" dxfId="1075" priority="1479" operator="containsText" text="EL">
      <formula>NOT(ISERROR(SEARCH("EL",Z17)))</formula>
    </cfRule>
    <cfRule type="containsText" dxfId="1074" priority="1475" operator="containsText" text="SP">
      <formula>NOT(ISERROR(SEARCH("SP",Z17)))</formula>
    </cfRule>
    <cfRule type="containsText" dxfId="1073" priority="1481" operator="containsText" text="Sick">
      <formula>NOT(ISERROR(SEARCH("Sick",Z17)))</formula>
    </cfRule>
    <cfRule type="containsText" dxfId="1072" priority="1482" operator="containsText" text="AL">
      <formula>NOT(ISERROR(SEARCH("AL",Z17)))</formula>
    </cfRule>
    <cfRule type="containsText" dxfId="1071" priority="1484" operator="containsText" text="OFF">
      <formula>NOT(ISERROR(SEARCH("OFF",Z17)))</formula>
    </cfRule>
    <cfRule type="containsText" dxfId="1070" priority="1480" operator="containsText" text="AB">
      <formula>NOT(ISERROR(SEARCH("AB",Z17)))</formula>
    </cfRule>
  </conditionalFormatting>
  <conditionalFormatting sqref="Z22:AB22">
    <cfRule type="containsText" dxfId="1069" priority="1365" operator="containsText" text="SP">
      <formula>NOT(ISERROR(SEARCH("SP",Z22)))</formula>
    </cfRule>
    <cfRule type="containsText" dxfId="1068" priority="1373" operator="containsText" text="MC">
      <formula>NOT(ISERROR(SEARCH("MC",Z22)))</formula>
    </cfRule>
    <cfRule type="containsText" dxfId="1067" priority="1369" operator="containsText" text="EL">
      <formula>NOT(ISERROR(SEARCH("EL",Z22)))</formula>
    </cfRule>
    <cfRule type="containsText" dxfId="1066" priority="1374" operator="containsText" text="OFF">
      <formula>NOT(ISERROR(SEARCH("OFF",Z22)))</formula>
    </cfRule>
    <cfRule type="containsText" dxfId="1065" priority="1372" operator="containsText" text="AL">
      <formula>NOT(ISERROR(SEARCH("AL",Z22)))</formula>
    </cfRule>
    <cfRule type="containsText" dxfId="1064" priority="1371" operator="containsText" text="Sick">
      <formula>NOT(ISERROR(SEARCH("Sick",Z22)))</formula>
    </cfRule>
    <cfRule type="containsText" dxfId="1063" priority="1370" operator="containsText" text="AB">
      <formula>NOT(ISERROR(SEARCH("AB",Z22)))</formula>
    </cfRule>
    <cfRule type="containsText" dxfId="1062" priority="1368" operator="containsText" text="SUS">
      <formula>NOT(ISERROR(SEARCH("SUS",Z22)))</formula>
    </cfRule>
    <cfRule type="containsText" dxfId="1061" priority="1367" operator="containsText" text="FL">
      <formula>NOT(ISERROR(SEARCH("FL",Z22)))</formula>
    </cfRule>
    <cfRule type="containsText" dxfId="1060" priority="1366" operator="containsText" text="NL">
      <formula>NOT(ISERROR(SEARCH("NL",Z22)))</formula>
    </cfRule>
  </conditionalFormatting>
  <conditionalFormatting sqref="AA15:AB15">
    <cfRule type="containsText" dxfId="1059" priority="1492" operator="containsText" text="AL">
      <formula>NOT(ISERROR(SEARCH("AL",AA15)))</formula>
    </cfRule>
    <cfRule type="containsText" dxfId="1058" priority="1491" operator="containsText" text="Sick">
      <formula>NOT(ISERROR(SEARCH("Sick",AA15)))</formula>
    </cfRule>
    <cfRule type="containsText" dxfId="1057" priority="1490" operator="containsText" text="AB">
      <formula>NOT(ISERROR(SEARCH("AB",AA15)))</formula>
    </cfRule>
    <cfRule type="containsText" dxfId="1056" priority="1489" operator="containsText" text="EL">
      <formula>NOT(ISERROR(SEARCH("EL",AA15)))</formula>
    </cfRule>
    <cfRule type="containsText" dxfId="1055" priority="1485" operator="containsText" text="SP">
      <formula>NOT(ISERROR(SEARCH("SP",AA15)))</formula>
    </cfRule>
    <cfRule type="containsText" dxfId="1054" priority="1487" operator="containsText" text="FL">
      <formula>NOT(ISERROR(SEARCH("FL",AA15)))</formula>
    </cfRule>
    <cfRule type="containsText" dxfId="1053" priority="1488" operator="containsText" text="SUS">
      <formula>NOT(ISERROR(SEARCH("SUS",AA15)))</formula>
    </cfRule>
    <cfRule type="containsText" dxfId="1052" priority="1494" operator="containsText" text="OFF">
      <formula>NOT(ISERROR(SEARCH("OFF",AA15)))</formula>
    </cfRule>
    <cfRule type="containsText" dxfId="1051" priority="1493" operator="containsText" text="MC">
      <formula>NOT(ISERROR(SEARCH("MC",AA15)))</formula>
    </cfRule>
    <cfRule type="containsText" dxfId="1050" priority="1486" operator="containsText" text="NL">
      <formula>NOT(ISERROR(SEARCH("NL",AA15)))</formula>
    </cfRule>
  </conditionalFormatting>
  <conditionalFormatting sqref="AA31:AB31">
    <cfRule type="containsText" dxfId="1049" priority="11623" stopIfTrue="1" operator="containsText" text="SICK">
      <formula>NOT(ISERROR(SEARCH("SICK",AA31)))</formula>
    </cfRule>
    <cfRule type="containsText" dxfId="1048" priority="11622" stopIfTrue="1" operator="containsText" text="SP">
      <formula>NOT(ISERROR(SEARCH("SP",AA31)))</formula>
    </cfRule>
    <cfRule type="containsText" dxfId="1047" priority="11621" stopIfTrue="1" operator="containsText" text="AL">
      <formula>NOT(ISERROR(SEARCH("AL",AA31)))</formula>
    </cfRule>
  </conditionalFormatting>
  <conditionalFormatting sqref="AA16:AF16">
    <cfRule type="containsText" dxfId="1046" priority="1509" operator="containsText" text="EL">
      <formula>NOT(ISERROR(SEARCH("EL",AA16)))</formula>
    </cfRule>
    <cfRule type="containsText" dxfId="1045" priority="1510" operator="containsText" text="AB">
      <formula>NOT(ISERROR(SEARCH("AB",AA16)))</formula>
    </cfRule>
    <cfRule type="containsText" dxfId="1044" priority="1507" operator="containsText" text="FL">
      <formula>NOT(ISERROR(SEARCH("FL",AA16)))</formula>
    </cfRule>
    <cfRule type="containsText" dxfId="1043" priority="1511" operator="containsText" text="Sick">
      <formula>NOT(ISERROR(SEARCH("Sick",AA16)))</formula>
    </cfRule>
    <cfRule type="containsText" dxfId="1042" priority="1508" operator="containsText" text="SUS">
      <formula>NOT(ISERROR(SEARCH("SUS",AA16)))</formula>
    </cfRule>
    <cfRule type="containsText" dxfId="1041" priority="1506" operator="containsText" text="NL">
      <formula>NOT(ISERROR(SEARCH("NL",AA16)))</formula>
    </cfRule>
    <cfRule type="containsText" dxfId="1040" priority="1505" operator="containsText" text="SP">
      <formula>NOT(ISERROR(SEARCH("SP",AA16)))</formula>
    </cfRule>
    <cfRule type="containsText" dxfId="1039" priority="1512" operator="containsText" text="AL">
      <formula>NOT(ISERROR(SEARCH("AL",AA16)))</formula>
    </cfRule>
    <cfRule type="containsText" dxfId="1038" priority="1513" operator="containsText" text="MC">
      <formula>NOT(ISERROR(SEARCH("MC",AA16)))</formula>
    </cfRule>
    <cfRule type="containsText" dxfId="1037" priority="1514" operator="containsText" text="OFF">
      <formula>NOT(ISERROR(SEARCH("OFF",AA16)))</formula>
    </cfRule>
  </conditionalFormatting>
  <conditionalFormatting sqref="AB7">
    <cfRule type="containsText" dxfId="1036" priority="1278" operator="containsText" text="SUS">
      <formula>NOT(ISERROR(SEARCH("SUS",AB7)))</formula>
    </cfRule>
    <cfRule type="containsText" dxfId="1035" priority="1277" operator="containsText" text="FL">
      <formula>NOT(ISERROR(SEARCH("FL",AB7)))</formula>
    </cfRule>
    <cfRule type="containsText" dxfId="1034" priority="1276" operator="containsText" text="NL">
      <formula>NOT(ISERROR(SEARCH("NL",AB7)))</formula>
    </cfRule>
    <cfRule type="containsText" dxfId="1033" priority="1275" operator="containsText" text="SP">
      <formula>NOT(ISERROR(SEARCH("SP",AB7)))</formula>
    </cfRule>
    <cfRule type="containsText" dxfId="1032" priority="1284" operator="containsText" text="OFF">
      <formula>NOT(ISERROR(SEARCH("OFF",AB7)))</formula>
    </cfRule>
    <cfRule type="containsText" dxfId="1031" priority="1282" operator="containsText" text="AL">
      <formula>NOT(ISERROR(SEARCH("AL",AB7)))</formula>
    </cfRule>
    <cfRule type="containsText" dxfId="1030" priority="1281" operator="containsText" text="Sick">
      <formula>NOT(ISERROR(SEARCH("Sick",AB7)))</formula>
    </cfRule>
    <cfRule type="containsText" dxfId="1029" priority="1280" operator="containsText" text="AB">
      <formula>NOT(ISERROR(SEARCH("AB",AB7)))</formula>
    </cfRule>
    <cfRule type="containsText" dxfId="1028" priority="1283" operator="containsText" text="MC">
      <formula>NOT(ISERROR(SEARCH("MC",AB7)))</formula>
    </cfRule>
    <cfRule type="containsText" dxfId="1027" priority="1279" operator="containsText" text="EL">
      <formula>NOT(ISERROR(SEARCH("EL",AB7)))</formula>
    </cfRule>
  </conditionalFormatting>
  <conditionalFormatting sqref="AB10">
    <cfRule type="containsText" dxfId="1026" priority="106" operator="containsText" text="AB">
      <formula>NOT(ISERROR(SEARCH("AB",AB10)))</formula>
    </cfRule>
    <cfRule type="containsText" dxfId="1025" priority="101" operator="containsText" text="SP">
      <formula>NOT(ISERROR(SEARCH("SP",AB10)))</formula>
    </cfRule>
    <cfRule type="containsText" dxfId="1024" priority="105" operator="containsText" text="EL">
      <formula>NOT(ISERROR(SEARCH("EL",AB10)))</formula>
    </cfRule>
    <cfRule type="containsText" dxfId="1023" priority="104" operator="containsText" text="SUS">
      <formula>NOT(ISERROR(SEARCH("SUS",AB10)))</formula>
    </cfRule>
    <cfRule type="containsText" dxfId="1022" priority="103" operator="containsText" text="FL">
      <formula>NOT(ISERROR(SEARCH("FL",AB10)))</formula>
    </cfRule>
    <cfRule type="containsText" dxfId="1021" priority="107" operator="containsText" text="Sick">
      <formula>NOT(ISERROR(SEARCH("Sick",AB10)))</formula>
    </cfRule>
    <cfRule type="containsText" dxfId="1020" priority="110" operator="containsText" text="OFF">
      <formula>NOT(ISERROR(SEARCH("OFF",AB10)))</formula>
    </cfRule>
    <cfRule type="containsText" dxfId="1019" priority="108" operator="containsText" text="AL">
      <formula>NOT(ISERROR(SEARCH("AL",AB10)))</formula>
    </cfRule>
    <cfRule type="containsText" dxfId="1018" priority="109" operator="containsText" text="MC">
      <formula>NOT(ISERROR(SEARCH("MC",AB10)))</formula>
    </cfRule>
    <cfRule type="containsText" dxfId="1017" priority="102" operator="containsText" text="NL">
      <formula>NOT(ISERROR(SEARCH("NL",AB10)))</formula>
    </cfRule>
  </conditionalFormatting>
  <conditionalFormatting sqref="AB12">
    <cfRule type="containsText" dxfId="1016" priority="883" operator="containsText" text="FL">
      <formula>NOT(ISERROR(SEARCH("FL",AB12)))</formula>
    </cfRule>
    <cfRule type="containsText" dxfId="1015" priority="884" operator="containsText" text="SUS">
      <formula>NOT(ISERROR(SEARCH("SUS",AB12)))</formula>
    </cfRule>
    <cfRule type="containsText" dxfId="1014" priority="885" operator="containsText" text="EL">
      <formula>NOT(ISERROR(SEARCH("EL",AB12)))</formula>
    </cfRule>
    <cfRule type="containsText" dxfId="1013" priority="886" operator="containsText" text="AB">
      <formula>NOT(ISERROR(SEARCH("AB",AB12)))</formula>
    </cfRule>
    <cfRule type="containsText" dxfId="1012" priority="887" operator="containsText" text="Sick">
      <formula>NOT(ISERROR(SEARCH("Sick",AB12)))</formula>
    </cfRule>
    <cfRule type="containsText" dxfId="1011" priority="888" operator="containsText" text="AL">
      <formula>NOT(ISERROR(SEARCH("AL",AB12)))</formula>
    </cfRule>
    <cfRule type="containsText" dxfId="1010" priority="889" operator="containsText" text="MC">
      <formula>NOT(ISERROR(SEARCH("MC",AB12)))</formula>
    </cfRule>
    <cfRule type="containsText" dxfId="1009" priority="890" operator="containsText" text="OFF">
      <formula>NOT(ISERROR(SEARCH("OFF",AB12)))</formula>
    </cfRule>
    <cfRule type="containsText" dxfId="1008" priority="881" operator="containsText" text="SP">
      <formula>NOT(ISERROR(SEARCH("SP",AB12)))</formula>
    </cfRule>
    <cfRule type="containsText" dxfId="1007" priority="882" operator="containsText" text="NL">
      <formula>NOT(ISERROR(SEARCH("NL",AB12)))</formula>
    </cfRule>
  </conditionalFormatting>
  <conditionalFormatting sqref="AB17">
    <cfRule type="containsText" dxfId="1006" priority="1470" operator="containsText" text="AB">
      <formula>NOT(ISERROR(SEARCH("AB",AB17)))</formula>
    </cfRule>
    <cfRule type="containsText" dxfId="1005" priority="1471" operator="containsText" text="Sick">
      <formula>NOT(ISERROR(SEARCH("Sick",AB17)))</formula>
    </cfRule>
    <cfRule type="containsText" dxfId="1004" priority="1472" operator="containsText" text="AL">
      <formula>NOT(ISERROR(SEARCH("AL",AB17)))</formula>
    </cfRule>
    <cfRule type="containsText" dxfId="1003" priority="1473" operator="containsText" text="MC">
      <formula>NOT(ISERROR(SEARCH("MC",AB17)))</formula>
    </cfRule>
    <cfRule type="containsText" dxfId="1002" priority="1474" operator="containsText" text="OFF">
      <formula>NOT(ISERROR(SEARCH("OFF",AB17)))</formula>
    </cfRule>
    <cfRule type="containsText" dxfId="1001" priority="1466" operator="containsText" text="NL">
      <formula>NOT(ISERROR(SEARCH("NL",AB17)))</formula>
    </cfRule>
    <cfRule type="containsText" dxfId="1000" priority="1469" operator="containsText" text="EL">
      <formula>NOT(ISERROR(SEARCH("EL",AB17)))</formula>
    </cfRule>
    <cfRule type="containsText" dxfId="999" priority="1467" operator="containsText" text="FL">
      <formula>NOT(ISERROR(SEARCH("FL",AB17)))</formula>
    </cfRule>
    <cfRule type="containsText" dxfId="998" priority="1465" operator="containsText" text="SP">
      <formula>NOT(ISERROR(SEARCH("SP",AB17)))</formula>
    </cfRule>
    <cfRule type="containsText" dxfId="997" priority="1468" operator="containsText" text="SUS">
      <formula>NOT(ISERROR(SEARCH("SUS",AB17)))</formula>
    </cfRule>
  </conditionalFormatting>
  <conditionalFormatting sqref="AB19:AF19">
    <cfRule type="containsText" dxfId="996" priority="1298" operator="containsText" text="SUS">
      <formula>NOT(ISERROR(SEARCH("SUS",AB19)))</formula>
    </cfRule>
    <cfRule type="containsText" dxfId="995" priority="1304" operator="containsText" text="OFF">
      <formula>NOT(ISERROR(SEARCH("OFF",AB19)))</formula>
    </cfRule>
    <cfRule type="containsText" dxfId="994" priority="1303" operator="containsText" text="MC">
      <formula>NOT(ISERROR(SEARCH("MC",AB19)))</formula>
    </cfRule>
    <cfRule type="containsText" dxfId="993" priority="1302" operator="containsText" text="AL">
      <formula>NOT(ISERROR(SEARCH("AL",AB19)))</formula>
    </cfRule>
    <cfRule type="containsText" dxfId="992" priority="1301" operator="containsText" text="Sick">
      <formula>NOT(ISERROR(SEARCH("Sick",AB19)))</formula>
    </cfRule>
    <cfRule type="containsText" dxfId="991" priority="1300" operator="containsText" text="AB">
      <formula>NOT(ISERROR(SEARCH("AB",AB19)))</formula>
    </cfRule>
    <cfRule type="containsText" dxfId="990" priority="1299" operator="containsText" text="EL">
      <formula>NOT(ISERROR(SEARCH("EL",AB19)))</formula>
    </cfRule>
    <cfRule type="containsText" dxfId="989" priority="1297" operator="containsText" text="FL">
      <formula>NOT(ISERROR(SEARCH("FL",AB19)))</formula>
    </cfRule>
    <cfRule type="containsText" dxfId="988" priority="1296" operator="containsText" text="NL">
      <formula>NOT(ISERROR(SEARCH("NL",AB19)))</formula>
    </cfRule>
    <cfRule type="containsText" dxfId="987" priority="1295" operator="containsText" text="SP">
      <formula>NOT(ISERROR(SEARCH("SP",AB19)))</formula>
    </cfRule>
  </conditionalFormatting>
  <conditionalFormatting sqref="AD12">
    <cfRule type="containsText" dxfId="986" priority="871" operator="containsText" text="SP">
      <formula>NOT(ISERROR(SEARCH("SP",AD12)))</formula>
    </cfRule>
    <cfRule type="containsText" dxfId="985" priority="872" operator="containsText" text="NL">
      <formula>NOT(ISERROR(SEARCH("NL",AD12)))</formula>
    </cfRule>
    <cfRule type="containsText" dxfId="984" priority="873" operator="containsText" text="FL">
      <formula>NOT(ISERROR(SEARCH("FL",AD12)))</formula>
    </cfRule>
    <cfRule type="containsText" dxfId="983" priority="874" operator="containsText" text="SUS">
      <formula>NOT(ISERROR(SEARCH("SUS",AD12)))</formula>
    </cfRule>
    <cfRule type="containsText" dxfId="982" priority="875" operator="containsText" text="EL">
      <formula>NOT(ISERROR(SEARCH("EL",AD12)))</formula>
    </cfRule>
    <cfRule type="containsText" dxfId="981" priority="876" operator="containsText" text="AB">
      <formula>NOT(ISERROR(SEARCH("AB",AD12)))</formula>
    </cfRule>
    <cfRule type="containsText" dxfId="980" priority="877" operator="containsText" text="Sick">
      <formula>NOT(ISERROR(SEARCH("Sick",AD12)))</formula>
    </cfRule>
    <cfRule type="containsText" dxfId="979" priority="878" operator="containsText" text="AL">
      <formula>NOT(ISERROR(SEARCH("AL",AD12)))</formula>
    </cfRule>
    <cfRule type="containsText" dxfId="978" priority="879" operator="containsText" text="MC">
      <formula>NOT(ISERROR(SEARCH("MC",AD12)))</formula>
    </cfRule>
    <cfRule type="containsText" dxfId="977" priority="880" operator="containsText" text="OFF">
      <formula>NOT(ISERROR(SEARCH("OFF",AD12)))</formula>
    </cfRule>
  </conditionalFormatting>
  <conditionalFormatting sqref="AD17">
    <cfRule type="containsText" dxfId="976" priority="1455" operator="containsText" text="SP">
      <formula>NOT(ISERROR(SEARCH("SP",AD17)))</formula>
    </cfRule>
    <cfRule type="containsText" dxfId="975" priority="1464" operator="containsText" text="OFF">
      <formula>NOT(ISERROR(SEARCH("OFF",AD17)))</formula>
    </cfRule>
    <cfRule type="containsText" dxfId="974" priority="1456" operator="containsText" text="NL">
      <formula>NOT(ISERROR(SEARCH("NL",AD17)))</formula>
    </cfRule>
    <cfRule type="containsText" dxfId="973" priority="1463" operator="containsText" text="MC">
      <formula>NOT(ISERROR(SEARCH("MC",AD17)))</formula>
    </cfRule>
    <cfRule type="containsText" dxfId="972" priority="1462" operator="containsText" text="AL">
      <formula>NOT(ISERROR(SEARCH("AL",AD17)))</formula>
    </cfRule>
    <cfRule type="containsText" dxfId="971" priority="1461" operator="containsText" text="Sick">
      <formula>NOT(ISERROR(SEARCH("Sick",AD17)))</formula>
    </cfRule>
    <cfRule type="containsText" dxfId="970" priority="1460" operator="containsText" text="AB">
      <formula>NOT(ISERROR(SEARCH("AB",AD17)))</formula>
    </cfRule>
    <cfRule type="containsText" dxfId="969" priority="1459" operator="containsText" text="EL">
      <formula>NOT(ISERROR(SEARCH("EL",AD17)))</formula>
    </cfRule>
    <cfRule type="containsText" dxfId="968" priority="1458" operator="containsText" text="SUS">
      <formula>NOT(ISERROR(SEARCH("SUS",AD17)))</formula>
    </cfRule>
    <cfRule type="containsText" dxfId="967" priority="1457" operator="containsText" text="FL">
      <formula>NOT(ISERROR(SEARCH("FL",AD17)))</formula>
    </cfRule>
  </conditionalFormatting>
  <conditionalFormatting sqref="AD22">
    <cfRule type="containsText" dxfId="966" priority="1363" operator="containsText" text="MC">
      <formula>NOT(ISERROR(SEARCH("MC",AD22)))</formula>
    </cfRule>
    <cfRule type="containsText" dxfId="965" priority="1362" operator="containsText" text="AL">
      <formula>NOT(ISERROR(SEARCH("AL",AD22)))</formula>
    </cfRule>
    <cfRule type="containsText" dxfId="964" priority="1361" operator="containsText" text="Sick">
      <formula>NOT(ISERROR(SEARCH("Sick",AD22)))</formula>
    </cfRule>
    <cfRule type="containsText" dxfId="963" priority="1360" operator="containsText" text="AB">
      <formula>NOT(ISERROR(SEARCH("AB",AD22)))</formula>
    </cfRule>
    <cfRule type="containsText" dxfId="962" priority="1359" operator="containsText" text="EL">
      <formula>NOT(ISERROR(SEARCH("EL",AD22)))</formula>
    </cfRule>
    <cfRule type="containsText" dxfId="961" priority="1358" operator="containsText" text="SUS">
      <formula>NOT(ISERROR(SEARCH("SUS",AD22)))</formula>
    </cfRule>
    <cfRule type="containsText" dxfId="960" priority="1357" operator="containsText" text="FL">
      <formula>NOT(ISERROR(SEARCH("FL",AD22)))</formula>
    </cfRule>
    <cfRule type="containsText" dxfId="959" priority="1356" operator="containsText" text="NL">
      <formula>NOT(ISERROR(SEARCH("NL",AD22)))</formula>
    </cfRule>
    <cfRule type="containsText" dxfId="958" priority="1355" operator="containsText" text="SP">
      <formula>NOT(ISERROR(SEARCH("SP",AD22)))</formula>
    </cfRule>
    <cfRule type="containsText" dxfId="957" priority="1364" operator="containsText" text="OFF">
      <formula>NOT(ISERROR(SEARCH("OFF",AD22)))</formula>
    </cfRule>
  </conditionalFormatting>
  <conditionalFormatting sqref="AF7">
    <cfRule type="containsText" dxfId="956" priority="1290" operator="containsText" text="AB">
      <formula>NOT(ISERROR(SEARCH("AB",AF7)))</formula>
    </cfRule>
    <cfRule type="containsText" dxfId="955" priority="1294" operator="containsText" text="OFF">
      <formula>NOT(ISERROR(SEARCH("OFF",AF7)))</formula>
    </cfRule>
    <cfRule type="containsText" dxfId="954" priority="1293" operator="containsText" text="MC">
      <formula>NOT(ISERROR(SEARCH("MC",AF7)))</formula>
    </cfRule>
    <cfRule type="containsText" dxfId="953" priority="1292" operator="containsText" text="AL">
      <formula>NOT(ISERROR(SEARCH("AL",AF7)))</formula>
    </cfRule>
    <cfRule type="containsText" dxfId="952" priority="1291" operator="containsText" text="Sick">
      <formula>NOT(ISERROR(SEARCH("Sick",AF7)))</formula>
    </cfRule>
    <cfRule type="containsText" dxfId="951" priority="1286" operator="containsText" text="NL">
      <formula>NOT(ISERROR(SEARCH("NL",AF7)))</formula>
    </cfRule>
    <cfRule type="containsText" dxfId="950" priority="1289" operator="containsText" text="EL">
      <formula>NOT(ISERROR(SEARCH("EL",AF7)))</formula>
    </cfRule>
    <cfRule type="containsText" dxfId="949" priority="1285" operator="containsText" text="SP">
      <formula>NOT(ISERROR(SEARCH("SP",AF7)))</formula>
    </cfRule>
    <cfRule type="containsText" dxfId="948" priority="1288" operator="containsText" text="SUS">
      <formula>NOT(ISERROR(SEARCH("SUS",AF7)))</formula>
    </cfRule>
    <cfRule type="containsText" dxfId="947" priority="1287" operator="containsText" text="FL">
      <formula>NOT(ISERROR(SEARCH("FL",AF7)))</formula>
    </cfRule>
  </conditionalFormatting>
  <conditionalFormatting sqref="AF17">
    <cfRule type="containsText" dxfId="946" priority="1448" operator="containsText" text="SUS">
      <formula>NOT(ISERROR(SEARCH("SUS",AF17)))</formula>
    </cfRule>
    <cfRule type="containsText" dxfId="945" priority="1449" operator="containsText" text="EL">
      <formula>NOT(ISERROR(SEARCH("EL",AF17)))</formula>
    </cfRule>
    <cfRule type="containsText" dxfId="944" priority="1450" operator="containsText" text="AB">
      <formula>NOT(ISERROR(SEARCH("AB",AF17)))</formula>
    </cfRule>
    <cfRule type="containsText" dxfId="943" priority="1445" operator="containsText" text="SP">
      <formula>NOT(ISERROR(SEARCH("SP",AF17)))</formula>
    </cfRule>
    <cfRule type="containsText" dxfId="942" priority="1452" operator="containsText" text="AL">
      <formula>NOT(ISERROR(SEARCH("AL",AF17)))</formula>
    </cfRule>
    <cfRule type="containsText" dxfId="941" priority="1453" operator="containsText" text="MC">
      <formula>NOT(ISERROR(SEARCH("MC",AF17)))</formula>
    </cfRule>
    <cfRule type="containsText" dxfId="940" priority="1454" operator="containsText" text="OFF">
      <formula>NOT(ISERROR(SEARCH("OFF",AF17)))</formula>
    </cfRule>
    <cfRule type="containsText" dxfId="939" priority="1447" operator="containsText" text="FL">
      <formula>NOT(ISERROR(SEARCH("FL",AF17)))</formula>
    </cfRule>
    <cfRule type="containsText" dxfId="938" priority="1451" operator="containsText" text="Sick">
      <formula>NOT(ISERROR(SEARCH("Sick",AF17)))</formula>
    </cfRule>
    <cfRule type="containsText" dxfId="937" priority="1446" operator="containsText" text="NL">
      <formula>NOT(ISERROR(SEARCH("NL",AF17)))</formula>
    </cfRule>
  </conditionalFormatting>
  <conditionalFormatting sqref="AF10:AH10">
    <cfRule type="containsText" dxfId="936" priority="92" operator="containsText" text="NL">
      <formula>NOT(ISERROR(SEARCH("NL",AF10)))</formula>
    </cfRule>
    <cfRule type="containsText" dxfId="935" priority="96" operator="containsText" text="AB">
      <formula>NOT(ISERROR(SEARCH("AB",AF10)))</formula>
    </cfRule>
    <cfRule type="containsText" dxfId="934" priority="93" operator="containsText" text="FL">
      <formula>NOT(ISERROR(SEARCH("FL",AF10)))</formula>
    </cfRule>
    <cfRule type="containsText" dxfId="933" priority="94" operator="containsText" text="SUS">
      <formula>NOT(ISERROR(SEARCH("SUS",AF10)))</formula>
    </cfRule>
    <cfRule type="containsText" dxfId="932" priority="95" operator="containsText" text="EL">
      <formula>NOT(ISERROR(SEARCH("EL",AF10)))</formula>
    </cfRule>
    <cfRule type="containsText" dxfId="931" priority="97" operator="containsText" text="Sick">
      <formula>NOT(ISERROR(SEARCH("Sick",AF10)))</formula>
    </cfRule>
    <cfRule type="containsText" dxfId="930" priority="98" operator="containsText" text="AL">
      <formula>NOT(ISERROR(SEARCH("AL",AF10)))</formula>
    </cfRule>
    <cfRule type="containsText" dxfId="929" priority="99" operator="containsText" text="MC">
      <formula>NOT(ISERROR(SEARCH("MC",AF10)))</formula>
    </cfRule>
    <cfRule type="containsText" dxfId="928" priority="100" operator="containsText" text="OFF">
      <formula>NOT(ISERROR(SEARCH("OFF",AF10)))</formula>
    </cfRule>
    <cfRule type="containsText" dxfId="927" priority="91" operator="containsText" text="SP">
      <formula>NOT(ISERROR(SEARCH("SP",AF10)))</formula>
    </cfRule>
  </conditionalFormatting>
  <conditionalFormatting sqref="AF12:AH12">
    <cfRule type="containsText" dxfId="926" priority="863" operator="containsText" text="FL">
      <formula>NOT(ISERROR(SEARCH("FL",AF12)))</formula>
    </cfRule>
    <cfRule type="containsText" dxfId="925" priority="864" operator="containsText" text="SUS">
      <formula>NOT(ISERROR(SEARCH("SUS",AF12)))</formula>
    </cfRule>
    <cfRule type="containsText" dxfId="924" priority="865" operator="containsText" text="EL">
      <formula>NOT(ISERROR(SEARCH("EL",AF12)))</formula>
    </cfRule>
    <cfRule type="containsText" dxfId="923" priority="866" operator="containsText" text="AB">
      <formula>NOT(ISERROR(SEARCH("AB",AF12)))</formula>
    </cfRule>
    <cfRule type="containsText" dxfId="922" priority="867" operator="containsText" text="Sick">
      <formula>NOT(ISERROR(SEARCH("Sick",AF12)))</formula>
    </cfRule>
    <cfRule type="containsText" dxfId="921" priority="870" operator="containsText" text="OFF">
      <formula>NOT(ISERROR(SEARCH("OFF",AF12)))</formula>
    </cfRule>
    <cfRule type="containsText" dxfId="920" priority="868" operator="containsText" text="AL">
      <formula>NOT(ISERROR(SEARCH("AL",AF12)))</formula>
    </cfRule>
    <cfRule type="containsText" dxfId="919" priority="869" operator="containsText" text="MC">
      <formula>NOT(ISERROR(SEARCH("MC",AF12)))</formula>
    </cfRule>
    <cfRule type="containsText" dxfId="918" priority="862" operator="containsText" text="NL">
      <formula>NOT(ISERROR(SEARCH("NL",AF12)))</formula>
    </cfRule>
    <cfRule type="containsText" dxfId="917" priority="861" operator="containsText" text="SP">
      <formula>NOT(ISERROR(SEARCH("SP",AF12)))</formula>
    </cfRule>
  </conditionalFormatting>
  <conditionalFormatting sqref="AF22:AH22">
    <cfRule type="containsText" dxfId="916" priority="1214" operator="containsText" text="OFF">
      <formula>NOT(ISERROR(SEARCH("OFF",AF22)))</formula>
    </cfRule>
    <cfRule type="containsText" dxfId="915" priority="1213" operator="containsText" text="MC">
      <formula>NOT(ISERROR(SEARCH("MC",AF22)))</formula>
    </cfRule>
    <cfRule type="containsText" dxfId="914" priority="1212" operator="containsText" text="AL">
      <formula>NOT(ISERROR(SEARCH("AL",AF22)))</formula>
    </cfRule>
    <cfRule type="containsText" dxfId="913" priority="1211" operator="containsText" text="Sick">
      <formula>NOT(ISERROR(SEARCH("Sick",AF22)))</formula>
    </cfRule>
    <cfRule type="containsText" dxfId="912" priority="1210" operator="containsText" text="AB">
      <formula>NOT(ISERROR(SEARCH("AB",AF22)))</formula>
    </cfRule>
    <cfRule type="containsText" dxfId="911" priority="1209" operator="containsText" text="EL">
      <formula>NOT(ISERROR(SEARCH("EL",AF22)))</formula>
    </cfRule>
    <cfRule type="containsText" dxfId="910" priority="1208" operator="containsText" text="SUS">
      <formula>NOT(ISERROR(SEARCH("SUS",AF22)))</formula>
    </cfRule>
    <cfRule type="containsText" dxfId="909" priority="1205" operator="containsText" text="SP">
      <formula>NOT(ISERROR(SEARCH("SP",AF22)))</formula>
    </cfRule>
    <cfRule type="containsText" dxfId="908" priority="1206" operator="containsText" text="NL">
      <formula>NOT(ISERROR(SEARCH("NL",AF22)))</formula>
    </cfRule>
    <cfRule type="containsText" dxfId="907" priority="1207" operator="containsText" text="FL">
      <formula>NOT(ISERROR(SEARCH("FL",AF22)))</formula>
    </cfRule>
  </conditionalFormatting>
  <conditionalFormatting sqref="AG14:AH19">
    <cfRule type="containsText" dxfId="906" priority="1414" operator="containsText" text="OFF">
      <formula>NOT(ISERROR(SEARCH("OFF",AG14)))</formula>
    </cfRule>
    <cfRule type="containsText" dxfId="905" priority="1413" operator="containsText" text="MC">
      <formula>NOT(ISERROR(SEARCH("MC",AG14)))</formula>
    </cfRule>
    <cfRule type="containsText" dxfId="904" priority="1412" operator="containsText" text="AL">
      <formula>NOT(ISERROR(SEARCH("AL",AG14)))</formula>
    </cfRule>
    <cfRule type="containsText" dxfId="903" priority="1411" operator="containsText" text="Sick">
      <formula>NOT(ISERROR(SEARCH("Sick",AG14)))</formula>
    </cfRule>
    <cfRule type="containsText" dxfId="902" priority="1410" operator="containsText" text="AB">
      <formula>NOT(ISERROR(SEARCH("AB",AG14)))</formula>
    </cfRule>
    <cfRule type="containsText" dxfId="901" priority="1409" operator="containsText" text="EL">
      <formula>NOT(ISERROR(SEARCH("EL",AG14)))</formula>
    </cfRule>
    <cfRule type="containsText" dxfId="900" priority="1408" operator="containsText" text="SUS">
      <formula>NOT(ISERROR(SEARCH("SUS",AG14)))</formula>
    </cfRule>
    <cfRule type="containsText" dxfId="899" priority="1407" operator="containsText" text="FL">
      <formula>NOT(ISERROR(SEARCH("FL",AG14)))</formula>
    </cfRule>
    <cfRule type="containsText" dxfId="898" priority="1406" operator="containsText" text="NL">
      <formula>NOT(ISERROR(SEARCH("NL",AG14)))</formula>
    </cfRule>
    <cfRule type="containsText" dxfId="897" priority="1405" operator="containsText" text="SP">
      <formula>NOT(ISERROR(SEARCH("SP",AG14)))</formula>
    </cfRule>
  </conditionalFormatting>
  <conditionalFormatting sqref="AG24:AH26 AH27 AG28:AH28">
    <cfRule type="containsText" dxfId="896" priority="1247" operator="containsText" text="FL">
      <formula>NOT(ISERROR(SEARCH("FL",AG24)))</formula>
    </cfRule>
    <cfRule type="containsText" dxfId="895" priority="1248" operator="containsText" text="SUS">
      <formula>NOT(ISERROR(SEARCH("SUS",AG24)))</formula>
    </cfRule>
    <cfRule type="containsText" dxfId="894" priority="1249" operator="containsText" text="EL">
      <formula>NOT(ISERROR(SEARCH("EL",AG24)))</formula>
    </cfRule>
    <cfRule type="containsText" dxfId="893" priority="1250" operator="containsText" text="AB">
      <formula>NOT(ISERROR(SEARCH("AB",AG24)))</formula>
    </cfRule>
    <cfRule type="containsText" dxfId="892" priority="1252" operator="containsText" text="AL">
      <formula>NOT(ISERROR(SEARCH("AL",AG24)))</formula>
    </cfRule>
    <cfRule type="containsText" dxfId="891" priority="1254" operator="containsText" text="OFF">
      <formula>NOT(ISERROR(SEARCH("OFF",AG24)))</formula>
    </cfRule>
    <cfRule type="containsText" dxfId="890" priority="1253" operator="containsText" text="MC">
      <formula>NOT(ISERROR(SEARCH("MC",AG24)))</formula>
    </cfRule>
    <cfRule type="containsText" dxfId="889" priority="1251" operator="containsText" text="Sick">
      <formula>NOT(ISERROR(SEARCH("Sick",AG24)))</formula>
    </cfRule>
    <cfRule type="containsText" dxfId="888" priority="1245" operator="containsText" text="SP">
      <formula>NOT(ISERROR(SEARCH("SP",AG24)))</formula>
    </cfRule>
    <cfRule type="containsText" dxfId="887" priority="1246" operator="containsText" text="NL">
      <formula>NOT(ISERROR(SEARCH("NL",AG24)))</formula>
    </cfRule>
  </conditionalFormatting>
  <conditionalFormatting sqref="AH7">
    <cfRule type="containsText" dxfId="886" priority="1256" operator="containsText" text="NL">
      <formula>NOT(ISERROR(SEARCH("NL",AH7)))</formula>
    </cfRule>
    <cfRule type="containsText" dxfId="885" priority="1255" operator="containsText" text="SP">
      <formula>NOT(ISERROR(SEARCH("SP",AH7)))</formula>
    </cfRule>
    <cfRule type="containsText" dxfId="884" priority="1264" operator="containsText" text="OFF">
      <formula>NOT(ISERROR(SEARCH("OFF",AH7)))</formula>
    </cfRule>
    <cfRule type="containsText" dxfId="883" priority="1263" operator="containsText" text="MC">
      <formula>NOT(ISERROR(SEARCH("MC",AH7)))</formula>
    </cfRule>
    <cfRule type="containsText" dxfId="882" priority="1262" operator="containsText" text="AL">
      <formula>NOT(ISERROR(SEARCH("AL",AH7)))</formula>
    </cfRule>
    <cfRule type="containsText" dxfId="881" priority="1261" operator="containsText" text="Sick">
      <formula>NOT(ISERROR(SEARCH("Sick",AH7)))</formula>
    </cfRule>
    <cfRule type="containsText" dxfId="880" priority="1260" operator="containsText" text="AB">
      <formula>NOT(ISERROR(SEARCH("AB",AH7)))</formula>
    </cfRule>
    <cfRule type="containsText" dxfId="879" priority="1259" operator="containsText" text="EL">
      <formula>NOT(ISERROR(SEARCH("EL",AH7)))</formula>
    </cfRule>
    <cfRule type="containsText" dxfId="878" priority="1258" operator="containsText" text="SUS">
      <formula>NOT(ISERROR(SEARCH("SUS",AH7)))</formula>
    </cfRule>
    <cfRule type="containsText" dxfId="877" priority="1257" operator="containsText" text="FL">
      <formula>NOT(ISERROR(SEARCH("FL",AH7)))</formula>
    </cfRule>
  </conditionalFormatting>
  <conditionalFormatting sqref="AH11">
    <cfRule type="containsText" dxfId="876" priority="1224" operator="containsText" text="OFF">
      <formula>NOT(ISERROR(SEARCH("OFF",AH11)))</formula>
    </cfRule>
    <cfRule type="containsText" dxfId="875" priority="1223" operator="containsText" text="MC">
      <formula>NOT(ISERROR(SEARCH("MC",AH11)))</formula>
    </cfRule>
    <cfRule type="containsText" dxfId="874" priority="1222" operator="containsText" text="AL">
      <formula>NOT(ISERROR(SEARCH("AL",AH11)))</formula>
    </cfRule>
    <cfRule type="containsText" dxfId="873" priority="1219" operator="containsText" text="EL">
      <formula>NOT(ISERROR(SEARCH("EL",AH11)))</formula>
    </cfRule>
    <cfRule type="containsText" dxfId="872" priority="1218" operator="containsText" text="SUS">
      <formula>NOT(ISERROR(SEARCH("SUS",AH11)))</formula>
    </cfRule>
    <cfRule type="containsText" dxfId="871" priority="1217" operator="containsText" text="FL">
      <formula>NOT(ISERROR(SEARCH("FL",AH11)))</formula>
    </cfRule>
    <cfRule type="containsText" dxfId="870" priority="1216" operator="containsText" text="NL">
      <formula>NOT(ISERROR(SEARCH("NL",AH11)))</formula>
    </cfRule>
    <cfRule type="containsText" dxfId="869" priority="1215" operator="containsText" text="SP">
      <formula>NOT(ISERROR(SEARCH("SP",AH11)))</formula>
    </cfRule>
    <cfRule type="containsText" dxfId="868" priority="1221" operator="containsText" text="Sick">
      <formula>NOT(ISERROR(SEARCH("Sick",AH11)))</formula>
    </cfRule>
    <cfRule type="containsText" dxfId="867" priority="1220" operator="containsText" text="AB">
      <formula>NOT(ISERROR(SEARCH("AB",AH11)))</formula>
    </cfRule>
  </conditionalFormatting>
  <conditionalFormatting sqref="AH20">
    <cfRule type="containsText" dxfId="866" priority="1244" operator="containsText" text="OFF">
      <formula>NOT(ISERROR(SEARCH("OFF",AH20)))</formula>
    </cfRule>
    <cfRule type="containsText" dxfId="865" priority="1243" operator="containsText" text="MC">
      <formula>NOT(ISERROR(SEARCH("MC",AH20)))</formula>
    </cfRule>
    <cfRule type="containsText" dxfId="864" priority="1242" operator="containsText" text="AL">
      <formula>NOT(ISERROR(SEARCH("AL",AH20)))</formula>
    </cfRule>
    <cfRule type="containsText" dxfId="863" priority="1241" operator="containsText" text="Sick">
      <formula>NOT(ISERROR(SEARCH("Sick",AH20)))</formula>
    </cfRule>
    <cfRule type="containsText" dxfId="862" priority="1240" operator="containsText" text="AB">
      <formula>NOT(ISERROR(SEARCH("AB",AH20)))</formula>
    </cfRule>
    <cfRule type="containsText" dxfId="861" priority="1239" operator="containsText" text="EL">
      <formula>NOT(ISERROR(SEARCH("EL",AH20)))</formula>
    </cfRule>
    <cfRule type="containsText" dxfId="860" priority="1238" operator="containsText" text="SUS">
      <formula>NOT(ISERROR(SEARCH("SUS",AH20)))</formula>
    </cfRule>
    <cfRule type="containsText" dxfId="859" priority="1237" operator="containsText" text="FL">
      <formula>NOT(ISERROR(SEARCH("FL",AH20)))</formula>
    </cfRule>
    <cfRule type="containsText" dxfId="858" priority="1235" operator="containsText" text="SP">
      <formula>NOT(ISERROR(SEARCH("SP",AH20)))</formula>
    </cfRule>
    <cfRule type="containsText" dxfId="857" priority="1236" operator="containsText" text="NL">
      <formula>NOT(ISERROR(SEARCH("NL",AH20)))</formula>
    </cfRule>
  </conditionalFormatting>
  <conditionalFormatting sqref="AI5:AJ28 N7 U12:X12 AK12:AL12 M13 S24:T26">
    <cfRule type="containsText" dxfId="856" priority="2166" operator="containsText" text="NL">
      <formula>NOT(ISERROR(SEARCH("NL",M5)))</formula>
    </cfRule>
    <cfRule type="containsText" dxfId="855" priority="2173" operator="containsText" text="MC">
      <formula>NOT(ISERROR(SEARCH("MC",M5)))</formula>
    </cfRule>
    <cfRule type="containsText" dxfId="854" priority="2174" operator="containsText" text="OFF">
      <formula>NOT(ISERROR(SEARCH("OFF",M5)))</formula>
    </cfRule>
    <cfRule type="containsText" dxfId="853" priority="2167" operator="containsText" text="FL">
      <formula>NOT(ISERROR(SEARCH("FL",M5)))</formula>
    </cfRule>
    <cfRule type="containsText" dxfId="852" priority="2172" operator="containsText" text="AL">
      <formula>NOT(ISERROR(SEARCH("AL",M5)))</formula>
    </cfRule>
    <cfRule type="containsText" dxfId="851" priority="2169" operator="containsText" text="EL">
      <formula>NOT(ISERROR(SEARCH("EL",M5)))</formula>
    </cfRule>
    <cfRule type="containsText" dxfId="850" priority="2170" operator="containsText" text="AB">
      <formula>NOT(ISERROR(SEARCH("AB",M5)))</formula>
    </cfRule>
    <cfRule type="containsText" dxfId="849" priority="2171" operator="containsText" text="Sick">
      <formula>NOT(ISERROR(SEARCH("Sick",M5)))</formula>
    </cfRule>
    <cfRule type="containsText" dxfId="848" priority="2168" operator="containsText" text="SUS">
      <formula>NOT(ISERROR(SEARCH("SUS",M5)))</formula>
    </cfRule>
    <cfRule type="containsText" dxfId="847" priority="2165" operator="containsText" text="SP">
      <formula>NOT(ISERROR(SEARCH("SP",M5)))</formula>
    </cfRule>
  </conditionalFormatting>
  <conditionalFormatting sqref="AJ53">
    <cfRule type="containsText" dxfId="846" priority="2433" operator="containsText" text="AB">
      <formula>NOT(ISERROR(SEARCH("AB",AJ53)))</formula>
    </cfRule>
    <cfRule type="containsText" dxfId="845" priority="2432" operator="containsText" text="AL">
      <formula>NOT(ISERROR(SEARCH("AL",AJ53)))</formula>
    </cfRule>
    <cfRule type="containsText" priority="2431" operator="containsText" text="FL">
      <formula>NOT(ISERROR(SEARCH("FL",AJ53)))</formula>
    </cfRule>
    <cfRule type="containsText" dxfId="844" priority="2434" operator="containsText" text="SICK">
      <formula>NOT(ISERROR(SEARCH("SICK",AJ53)))</formula>
    </cfRule>
    <cfRule type="containsText" dxfId="843" priority="2430" stopIfTrue="1" operator="containsText" text="FL">
      <formula>NOT(ISERROR(SEARCH("FL",AJ53)))</formula>
    </cfRule>
  </conditionalFormatting>
  <conditionalFormatting sqref="AJ53:AT53">
    <cfRule type="containsText" dxfId="842" priority="2427" operator="containsText" text="SICK">
      <formula>NOT(ISERROR(SEARCH("SICK",AJ53)))</formula>
    </cfRule>
    <cfRule type="containsText" dxfId="841" priority="2426" operator="containsText" text="AB">
      <formula>NOT(ISERROR(SEARCH("AB",AJ53)))</formula>
    </cfRule>
  </conditionalFormatting>
  <conditionalFormatting sqref="AK4:AL4">
    <cfRule type="dataBar" priority="12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{6D63F4DB-2A84-4176-BA69-1F31123C92AF}</x14:id>
        </ext>
      </extLst>
    </cfRule>
  </conditionalFormatting>
  <conditionalFormatting sqref="AK17:AL17">
    <cfRule type="containsText" dxfId="840" priority="1179" operator="containsText" text="MC">
      <formula>NOT(ISERROR(SEARCH("MC",AK17)))</formula>
    </cfRule>
    <cfRule type="containsText" dxfId="839" priority="1178" operator="containsText" text="AL">
      <formula>NOT(ISERROR(SEARCH("AL",AK17)))</formula>
    </cfRule>
    <cfRule type="containsText" dxfId="838" priority="1177" operator="containsText" text="Sick">
      <formula>NOT(ISERROR(SEARCH("Sick",AK17)))</formula>
    </cfRule>
    <cfRule type="containsText" dxfId="837" priority="1176" operator="containsText" text="AB">
      <formula>NOT(ISERROR(SEARCH("AB",AK17)))</formula>
    </cfRule>
    <cfRule type="containsText" dxfId="836" priority="1175" operator="containsText" text="EL">
      <formula>NOT(ISERROR(SEARCH("EL",AK17)))</formula>
    </cfRule>
    <cfRule type="containsText" dxfId="835" priority="1174" operator="containsText" text="SUS">
      <formula>NOT(ISERROR(SEARCH("SUS",AK17)))</formula>
    </cfRule>
    <cfRule type="containsText" dxfId="834" priority="1173" operator="containsText" text="FL">
      <formula>NOT(ISERROR(SEARCH("FL",AK17)))</formula>
    </cfRule>
    <cfRule type="containsText" dxfId="833" priority="1172" operator="containsText" text="NL">
      <formula>NOT(ISERROR(SEARCH("NL",AK17)))</formula>
    </cfRule>
    <cfRule type="containsText" dxfId="832" priority="1171" operator="containsText" text="SP">
      <formula>NOT(ISERROR(SEARCH("SP",AK17)))</formula>
    </cfRule>
    <cfRule type="containsText" dxfId="831" priority="1180" operator="containsText" text="OFF">
      <formula>NOT(ISERROR(SEARCH("OFF",AK17)))</formula>
    </cfRule>
  </conditionalFormatting>
  <conditionalFormatting sqref="AK20:AL20">
    <cfRule type="containsText" dxfId="830" priority="1000" operator="containsText" text="OFF">
      <formula>NOT(ISERROR(SEARCH("OFF",AK20)))</formula>
    </cfRule>
    <cfRule type="containsText" dxfId="829" priority="999" operator="containsText" text="MC">
      <formula>NOT(ISERROR(SEARCH("MC",AK20)))</formula>
    </cfRule>
    <cfRule type="containsText" dxfId="828" priority="998" operator="containsText" text="AL">
      <formula>NOT(ISERROR(SEARCH("AL",AK20)))</formula>
    </cfRule>
    <cfRule type="containsText" dxfId="827" priority="997" operator="containsText" text="Sick">
      <formula>NOT(ISERROR(SEARCH("Sick",AK20)))</formula>
    </cfRule>
    <cfRule type="containsText" dxfId="826" priority="996" operator="containsText" text="AB">
      <formula>NOT(ISERROR(SEARCH("AB",AK20)))</formula>
    </cfRule>
    <cfRule type="containsText" dxfId="825" priority="995" operator="containsText" text="EL">
      <formula>NOT(ISERROR(SEARCH("EL",AK20)))</formula>
    </cfRule>
    <cfRule type="containsText" dxfId="824" priority="994" operator="containsText" text="SUS">
      <formula>NOT(ISERROR(SEARCH("SUS",AK20)))</formula>
    </cfRule>
    <cfRule type="containsText" dxfId="823" priority="993" operator="containsText" text="FL">
      <formula>NOT(ISERROR(SEARCH("FL",AK20)))</formula>
    </cfRule>
    <cfRule type="containsText" dxfId="822" priority="992" operator="containsText" text="NL">
      <formula>NOT(ISERROR(SEARCH("NL",AK20)))</formula>
    </cfRule>
    <cfRule type="containsText" dxfId="821" priority="991" operator="containsText" text="SP">
      <formula>NOT(ISERROR(SEARCH("SP",AK20)))</formula>
    </cfRule>
  </conditionalFormatting>
  <conditionalFormatting sqref="AK18:BF18">
    <cfRule type="containsText" dxfId="820" priority="740" operator="containsText" text="OFF">
      <formula>NOT(ISERROR(SEARCH("OFF",AK18)))</formula>
    </cfRule>
    <cfRule type="containsText" dxfId="819" priority="738" operator="containsText" text="AL">
      <formula>NOT(ISERROR(SEARCH("AL",AK18)))</formula>
    </cfRule>
    <cfRule type="containsText" dxfId="818" priority="737" operator="containsText" text="Sick">
      <formula>NOT(ISERROR(SEARCH("Sick",AK18)))</formula>
    </cfRule>
    <cfRule type="containsText" dxfId="817" priority="736" operator="containsText" text="AB">
      <formula>NOT(ISERROR(SEARCH("AB",AK18)))</formula>
    </cfRule>
    <cfRule type="containsText" dxfId="816" priority="735" operator="containsText" text="EL">
      <formula>NOT(ISERROR(SEARCH("EL",AK18)))</formula>
    </cfRule>
    <cfRule type="containsText" dxfId="815" priority="734" operator="containsText" text="SUS">
      <formula>NOT(ISERROR(SEARCH("SUS",AK18)))</formula>
    </cfRule>
    <cfRule type="containsText" dxfId="814" priority="733" operator="containsText" text="FL">
      <formula>NOT(ISERROR(SEARCH("FL",AK18)))</formula>
    </cfRule>
    <cfRule type="containsText" dxfId="813" priority="732" operator="containsText" text="NL">
      <formula>NOT(ISERROR(SEARCH("NL",AK18)))</formula>
    </cfRule>
    <cfRule type="containsText" dxfId="812" priority="739" operator="containsText" text="MC">
      <formula>NOT(ISERROR(SEARCH("MC",AK18)))</formula>
    </cfRule>
    <cfRule type="containsText" dxfId="811" priority="731" operator="containsText" text="SP">
      <formula>NOT(ISERROR(SEARCH("SP",AK18)))</formula>
    </cfRule>
  </conditionalFormatting>
  <conditionalFormatting sqref="AK5:BJ6">
    <cfRule type="containsText" dxfId="810" priority="808" operator="containsText" text="AL">
      <formula>NOT(ISERROR(SEARCH("AL",AK5)))</formula>
    </cfRule>
    <cfRule type="containsText" dxfId="809" priority="807" operator="containsText" text="Sick">
      <formula>NOT(ISERROR(SEARCH("Sick",AK5)))</formula>
    </cfRule>
    <cfRule type="containsText" dxfId="808" priority="806" operator="containsText" text="AB">
      <formula>NOT(ISERROR(SEARCH("AB",AK5)))</formula>
    </cfRule>
    <cfRule type="containsText" dxfId="807" priority="805" operator="containsText" text="EL">
      <formula>NOT(ISERROR(SEARCH("EL",AK5)))</formula>
    </cfRule>
    <cfRule type="containsText" dxfId="806" priority="804" operator="containsText" text="SUS">
      <formula>NOT(ISERROR(SEARCH("SUS",AK5)))</formula>
    </cfRule>
    <cfRule type="containsText" dxfId="805" priority="803" operator="containsText" text="FL">
      <formula>NOT(ISERROR(SEARCH("FL",AK5)))</formula>
    </cfRule>
    <cfRule type="containsText" dxfId="804" priority="802" operator="containsText" text="NL">
      <formula>NOT(ISERROR(SEARCH("NL",AK5)))</formula>
    </cfRule>
    <cfRule type="containsText" dxfId="803" priority="801" operator="containsText" text="SP">
      <formula>NOT(ISERROR(SEARCH("SP",AK5)))</formula>
    </cfRule>
    <cfRule type="containsText" dxfId="802" priority="810" operator="containsText" text="OFF">
      <formula>NOT(ISERROR(SEARCH("OFF",AK5)))</formula>
    </cfRule>
    <cfRule type="containsText" dxfId="801" priority="809" operator="containsText" text="MC">
      <formula>NOT(ISERROR(SEARCH("MC",AK5)))</formula>
    </cfRule>
  </conditionalFormatting>
  <conditionalFormatting sqref="AK8:BJ9">
    <cfRule type="containsText" dxfId="800" priority="692" operator="containsText" text="NL">
      <formula>NOT(ISERROR(SEARCH("NL",AK8)))</formula>
    </cfRule>
    <cfRule type="containsText" dxfId="799" priority="691" operator="containsText" text="SP">
      <formula>NOT(ISERROR(SEARCH("SP",AK8)))</formula>
    </cfRule>
    <cfRule type="containsText" dxfId="798" priority="699" operator="containsText" text="MC">
      <formula>NOT(ISERROR(SEARCH("MC",AK8)))</formula>
    </cfRule>
    <cfRule type="containsText" dxfId="797" priority="700" operator="containsText" text="OFF">
      <formula>NOT(ISERROR(SEARCH("OFF",AK8)))</formula>
    </cfRule>
    <cfRule type="containsText" dxfId="796" priority="698" operator="containsText" text="AL">
      <formula>NOT(ISERROR(SEARCH("AL",AK8)))</formula>
    </cfRule>
    <cfRule type="containsText" dxfId="795" priority="693" operator="containsText" text="FL">
      <formula>NOT(ISERROR(SEARCH("FL",AK8)))</formula>
    </cfRule>
    <cfRule type="containsText" dxfId="794" priority="694" operator="containsText" text="SUS">
      <formula>NOT(ISERROR(SEARCH("SUS",AK8)))</formula>
    </cfRule>
    <cfRule type="containsText" dxfId="793" priority="695" operator="containsText" text="EL">
      <formula>NOT(ISERROR(SEARCH("EL",AK8)))</formula>
    </cfRule>
    <cfRule type="containsText" dxfId="792" priority="696" operator="containsText" text="AB">
      <formula>NOT(ISERROR(SEARCH("AB",AK8)))</formula>
    </cfRule>
    <cfRule type="containsText" dxfId="791" priority="697" operator="containsText" text="Sick">
      <formula>NOT(ISERROR(SEARCH("Sick",AK8)))</formula>
    </cfRule>
  </conditionalFormatting>
  <conditionalFormatting sqref="AK4:BP4">
    <cfRule type="cellIs" dxfId="790" priority="12473" operator="equal">
      <formula>"AB"</formula>
    </cfRule>
    <cfRule type="expression" priority="12470">
      <formula>AND(ISNUMBER($Z2), ISNUMBER($AA2))</formula>
    </cfRule>
    <cfRule type="containsText" dxfId="789" priority="12477" operator="containsText" text="S">
      <formula>NOT(ISERROR(SEARCH("S",#REF!)))</formula>
    </cfRule>
    <cfRule type="containsText" dxfId="788" priority="12476" operator="containsText" text="HD">
      <formula>NOT(ISERROR(SEARCH("HD",#REF!)))</formula>
    </cfRule>
    <cfRule type="containsText" dxfId="787" priority="12475" operator="containsText" text="AB">
      <formula>NOT(ISERROR(SEARCH("AB",#REF!)))</formula>
    </cfRule>
    <cfRule type="cellIs" dxfId="786" priority="12474" operator="equal">
      <formula>"OFF"</formula>
    </cfRule>
    <cfRule type="cellIs" dxfId="785" priority="12472" operator="equal">
      <formula>"Sick"</formula>
    </cfRule>
  </conditionalFormatting>
  <conditionalFormatting sqref="AL19">
    <cfRule type="containsText" dxfId="784" priority="1052" operator="containsText" text="NL">
      <formula>NOT(ISERROR(SEARCH("NL",AL19)))</formula>
    </cfRule>
    <cfRule type="containsText" dxfId="783" priority="1051" operator="containsText" text="SP">
      <formula>NOT(ISERROR(SEARCH("SP",AL19)))</formula>
    </cfRule>
    <cfRule type="containsText" dxfId="782" priority="1059" operator="containsText" text="MC">
      <formula>NOT(ISERROR(SEARCH("MC",AL19)))</formula>
    </cfRule>
    <cfRule type="containsText" dxfId="781" priority="1060" operator="containsText" text="OFF">
      <formula>NOT(ISERROR(SEARCH("OFF",AL19)))</formula>
    </cfRule>
    <cfRule type="containsText" dxfId="780" priority="1057" operator="containsText" text="Sick">
      <formula>NOT(ISERROR(SEARCH("Sick",AL19)))</formula>
    </cfRule>
    <cfRule type="containsText" dxfId="779" priority="1056" operator="containsText" text="AB">
      <formula>NOT(ISERROR(SEARCH("AB",AL19)))</formula>
    </cfRule>
    <cfRule type="containsText" dxfId="778" priority="1055" operator="containsText" text="EL">
      <formula>NOT(ISERROR(SEARCH("EL",AL19)))</formula>
    </cfRule>
    <cfRule type="containsText" dxfId="777" priority="1054" operator="containsText" text="SUS">
      <formula>NOT(ISERROR(SEARCH("SUS",AL19)))</formula>
    </cfRule>
    <cfRule type="containsText" dxfId="776" priority="1053" operator="containsText" text="FL">
      <formula>NOT(ISERROR(SEARCH("FL",AL19)))</formula>
    </cfRule>
    <cfRule type="containsText" dxfId="775" priority="1058" operator="containsText" text="AL">
      <formula>NOT(ISERROR(SEARCH("AL",AL19)))</formula>
    </cfRule>
  </conditionalFormatting>
  <conditionalFormatting sqref="AL22">
    <cfRule type="containsText" dxfId="774" priority="982" operator="containsText" text="NL">
      <formula>NOT(ISERROR(SEARCH("NL",AL22)))</formula>
    </cfRule>
    <cfRule type="containsText" dxfId="773" priority="987" operator="containsText" text="Sick">
      <formula>NOT(ISERROR(SEARCH("Sick",AL22)))</formula>
    </cfRule>
    <cfRule type="containsText" dxfId="772" priority="988" operator="containsText" text="AL">
      <formula>NOT(ISERROR(SEARCH("AL",AL22)))</formula>
    </cfRule>
    <cfRule type="containsText" dxfId="771" priority="989" operator="containsText" text="MC">
      <formula>NOT(ISERROR(SEARCH("MC",AL22)))</formula>
    </cfRule>
    <cfRule type="containsText" dxfId="770" priority="984" operator="containsText" text="SUS">
      <formula>NOT(ISERROR(SEARCH("SUS",AL22)))</formula>
    </cfRule>
    <cfRule type="containsText" dxfId="769" priority="985" operator="containsText" text="EL">
      <formula>NOT(ISERROR(SEARCH("EL",AL22)))</formula>
    </cfRule>
    <cfRule type="containsText" dxfId="768" priority="986" operator="containsText" text="AB">
      <formula>NOT(ISERROR(SEARCH("AB",AL22)))</formula>
    </cfRule>
    <cfRule type="containsText" dxfId="767" priority="981" operator="containsText" text="SP">
      <formula>NOT(ISERROR(SEARCH("SP",AL22)))</formula>
    </cfRule>
    <cfRule type="containsText" dxfId="766" priority="983" operator="containsText" text="FL">
      <formula>NOT(ISERROR(SEARCH("FL",AL22)))</formula>
    </cfRule>
    <cfRule type="containsText" dxfId="765" priority="990" operator="containsText" text="OFF">
      <formula>NOT(ISERROR(SEARCH("OFF",AL22)))</formula>
    </cfRule>
  </conditionalFormatting>
  <conditionalFormatting sqref="AM4:AN4">
    <cfRule type="dataBar" priority="124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{1DEE2E95-95D7-4817-9D43-5F7067415350}</x14:id>
        </ext>
      </extLst>
    </cfRule>
  </conditionalFormatting>
  <conditionalFormatting sqref="AN17">
    <cfRule type="containsText" dxfId="764" priority="1161" operator="containsText" text="SP">
      <formula>NOT(ISERROR(SEARCH("SP",AN17)))</formula>
    </cfRule>
    <cfRule type="containsText" dxfId="763" priority="1169" operator="containsText" text="MC">
      <formula>NOT(ISERROR(SEARCH("MC",AN17)))</formula>
    </cfRule>
    <cfRule type="containsText" dxfId="762" priority="1170" operator="containsText" text="OFF">
      <formula>NOT(ISERROR(SEARCH("OFF",AN17)))</formula>
    </cfRule>
    <cfRule type="containsText" dxfId="761" priority="1168" operator="containsText" text="AL">
      <formula>NOT(ISERROR(SEARCH("AL",AN17)))</formula>
    </cfRule>
    <cfRule type="containsText" dxfId="760" priority="1167" operator="containsText" text="Sick">
      <formula>NOT(ISERROR(SEARCH("Sick",AN17)))</formula>
    </cfRule>
    <cfRule type="containsText" dxfId="759" priority="1166" operator="containsText" text="AB">
      <formula>NOT(ISERROR(SEARCH("AB",AN17)))</formula>
    </cfRule>
    <cfRule type="containsText" dxfId="758" priority="1165" operator="containsText" text="EL">
      <formula>NOT(ISERROR(SEARCH("EL",AN17)))</formula>
    </cfRule>
    <cfRule type="containsText" dxfId="757" priority="1164" operator="containsText" text="SUS">
      <formula>NOT(ISERROR(SEARCH("SUS",AN17)))</formula>
    </cfRule>
    <cfRule type="containsText" dxfId="756" priority="1163" operator="containsText" text="FL">
      <formula>NOT(ISERROR(SEARCH("FL",AN17)))</formula>
    </cfRule>
    <cfRule type="containsText" dxfId="755" priority="1162" operator="containsText" text="NL">
      <formula>NOT(ISERROR(SEARCH("NL",AN17)))</formula>
    </cfRule>
  </conditionalFormatting>
  <conditionalFormatting sqref="AN19">
    <cfRule type="containsText" dxfId="754" priority="1041" operator="containsText" text="SP">
      <formula>NOT(ISERROR(SEARCH("SP",AN19)))</formula>
    </cfRule>
    <cfRule type="containsText" dxfId="753" priority="1042" operator="containsText" text="NL">
      <formula>NOT(ISERROR(SEARCH("NL",AN19)))</formula>
    </cfRule>
    <cfRule type="containsText" dxfId="752" priority="1046" operator="containsText" text="AB">
      <formula>NOT(ISERROR(SEARCH("AB",AN19)))</formula>
    </cfRule>
    <cfRule type="containsText" dxfId="751" priority="1047" operator="containsText" text="Sick">
      <formula>NOT(ISERROR(SEARCH("Sick",AN19)))</formula>
    </cfRule>
    <cfRule type="containsText" dxfId="750" priority="1048" operator="containsText" text="AL">
      <formula>NOT(ISERROR(SEARCH("AL",AN19)))</formula>
    </cfRule>
    <cfRule type="containsText" dxfId="749" priority="1049" operator="containsText" text="MC">
      <formula>NOT(ISERROR(SEARCH("MC",AN19)))</formula>
    </cfRule>
    <cfRule type="containsText" dxfId="748" priority="1050" operator="containsText" text="OFF">
      <formula>NOT(ISERROR(SEARCH("OFF",AN19)))</formula>
    </cfRule>
    <cfRule type="containsText" dxfId="747" priority="1043" operator="containsText" text="FL">
      <formula>NOT(ISERROR(SEARCH("FL",AN19)))</formula>
    </cfRule>
    <cfRule type="containsText" dxfId="746" priority="1045" operator="containsText" text="EL">
      <formula>NOT(ISERROR(SEARCH("EL",AN19)))</formula>
    </cfRule>
    <cfRule type="containsText" dxfId="745" priority="1044" operator="containsText" text="SUS">
      <formula>NOT(ISERROR(SEARCH("SUS",AN19)))</formula>
    </cfRule>
  </conditionalFormatting>
  <conditionalFormatting sqref="AN22:AN23">
    <cfRule type="containsText" dxfId="744" priority="937" operator="containsText" text="Sick">
      <formula>NOT(ISERROR(SEARCH("Sick",AN22)))</formula>
    </cfRule>
    <cfRule type="containsText" dxfId="743" priority="938" operator="containsText" text="AL">
      <formula>NOT(ISERROR(SEARCH("AL",AN22)))</formula>
    </cfRule>
    <cfRule type="containsText" dxfId="742" priority="939" operator="containsText" text="MC">
      <formula>NOT(ISERROR(SEARCH("MC",AN22)))</formula>
    </cfRule>
    <cfRule type="containsText" dxfId="741" priority="940" operator="containsText" text="OFF">
      <formula>NOT(ISERROR(SEARCH("OFF",AN22)))</formula>
    </cfRule>
    <cfRule type="containsText" dxfId="740" priority="931" operator="containsText" text="SP">
      <formula>NOT(ISERROR(SEARCH("SP",AN22)))</formula>
    </cfRule>
    <cfRule type="containsText" dxfId="739" priority="932" operator="containsText" text="NL">
      <formula>NOT(ISERROR(SEARCH("NL",AN22)))</formula>
    </cfRule>
    <cfRule type="containsText" dxfId="738" priority="933" operator="containsText" text="FL">
      <formula>NOT(ISERROR(SEARCH("FL",AN22)))</formula>
    </cfRule>
    <cfRule type="containsText" dxfId="737" priority="934" operator="containsText" text="SUS">
      <formula>NOT(ISERROR(SEARCH("SUS",AN22)))</formula>
    </cfRule>
    <cfRule type="containsText" dxfId="736" priority="935" operator="containsText" text="EL">
      <formula>NOT(ISERROR(SEARCH("EL",AN22)))</formula>
    </cfRule>
    <cfRule type="containsText" dxfId="735" priority="936" operator="containsText" text="AB">
      <formula>NOT(ISERROR(SEARCH("AB",AN22)))</formula>
    </cfRule>
  </conditionalFormatting>
  <conditionalFormatting sqref="AN7:AP7">
    <cfRule type="containsText" dxfId="734" priority="1140" operator="containsText" text="OFF">
      <formula>NOT(ISERROR(SEARCH("OFF",AN7)))</formula>
    </cfRule>
    <cfRule type="containsText" dxfId="733" priority="1136" operator="containsText" text="AB">
      <formula>NOT(ISERROR(SEARCH("AB",AN7)))</formula>
    </cfRule>
    <cfRule type="containsText" dxfId="732" priority="1135" operator="containsText" text="EL">
      <formula>NOT(ISERROR(SEARCH("EL",AN7)))</formula>
    </cfRule>
    <cfRule type="containsText" dxfId="731" priority="1134" operator="containsText" text="SUS">
      <formula>NOT(ISERROR(SEARCH("SUS",AN7)))</formula>
    </cfRule>
    <cfRule type="containsText" dxfId="730" priority="1133" operator="containsText" text="FL">
      <formula>NOT(ISERROR(SEARCH("FL",AN7)))</formula>
    </cfRule>
    <cfRule type="containsText" dxfId="729" priority="1132" operator="containsText" text="NL">
      <formula>NOT(ISERROR(SEARCH("NL",AN7)))</formula>
    </cfRule>
    <cfRule type="containsText" dxfId="728" priority="1131" operator="containsText" text="SP">
      <formula>NOT(ISERROR(SEARCH("SP",AN7)))</formula>
    </cfRule>
    <cfRule type="containsText" dxfId="727" priority="1139" operator="containsText" text="MC">
      <formula>NOT(ISERROR(SEARCH("MC",AN7)))</formula>
    </cfRule>
    <cfRule type="containsText" dxfId="726" priority="1137" operator="containsText" text="Sick">
      <formula>NOT(ISERROR(SEARCH("Sick",AN7)))</formula>
    </cfRule>
    <cfRule type="containsText" dxfId="725" priority="1138" operator="containsText" text="AL">
      <formula>NOT(ISERROR(SEARCH("AL",AN7)))</formula>
    </cfRule>
  </conditionalFormatting>
  <conditionalFormatting sqref="AN12:AP12">
    <cfRule type="containsText" dxfId="724" priority="832" operator="containsText" text="NL">
      <formula>NOT(ISERROR(SEARCH("NL",AN12)))</formula>
    </cfRule>
    <cfRule type="containsText" dxfId="723" priority="833" operator="containsText" text="FL">
      <formula>NOT(ISERROR(SEARCH("FL",AN12)))</formula>
    </cfRule>
    <cfRule type="containsText" dxfId="722" priority="834" operator="containsText" text="SUS">
      <formula>NOT(ISERROR(SEARCH("SUS",AN12)))</formula>
    </cfRule>
    <cfRule type="containsText" dxfId="721" priority="835" operator="containsText" text="EL">
      <formula>NOT(ISERROR(SEARCH("EL",AN12)))</formula>
    </cfRule>
    <cfRule type="containsText" dxfId="720" priority="836" operator="containsText" text="AB">
      <formula>NOT(ISERROR(SEARCH("AB",AN12)))</formula>
    </cfRule>
    <cfRule type="containsText" dxfId="719" priority="837" operator="containsText" text="Sick">
      <formula>NOT(ISERROR(SEARCH("Sick",AN12)))</formula>
    </cfRule>
    <cfRule type="containsText" dxfId="718" priority="840" operator="containsText" text="OFF">
      <formula>NOT(ISERROR(SEARCH("OFF",AN12)))</formula>
    </cfRule>
    <cfRule type="containsText" dxfId="717" priority="831" operator="containsText" text="SP">
      <formula>NOT(ISERROR(SEARCH("SP",AN12)))</formula>
    </cfRule>
    <cfRule type="containsText" dxfId="716" priority="839" operator="containsText" text="MC">
      <formula>NOT(ISERROR(SEARCH("MC",AN12)))</formula>
    </cfRule>
    <cfRule type="containsText" dxfId="715" priority="838" operator="containsText" text="AL">
      <formula>NOT(ISERROR(SEARCH("AL",AN12)))</formula>
    </cfRule>
  </conditionalFormatting>
  <conditionalFormatting sqref="AO4:AP4">
    <cfRule type="dataBar" priority="12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{E58797D3-2A86-4195-A6FD-0094D016F6D2}</x14:id>
        </ext>
      </extLst>
    </cfRule>
  </conditionalFormatting>
  <conditionalFormatting sqref="AP19">
    <cfRule type="containsText" dxfId="714" priority="1040" operator="containsText" text="OFF">
      <formula>NOT(ISERROR(SEARCH("OFF",AP19)))</formula>
    </cfRule>
    <cfRule type="containsText" dxfId="713" priority="1038" operator="containsText" text="AL">
      <formula>NOT(ISERROR(SEARCH("AL",AP19)))</formula>
    </cfRule>
    <cfRule type="containsText" dxfId="712" priority="1037" operator="containsText" text="Sick">
      <formula>NOT(ISERROR(SEARCH("Sick",AP19)))</formula>
    </cfRule>
    <cfRule type="containsText" dxfId="711" priority="1036" operator="containsText" text="AB">
      <formula>NOT(ISERROR(SEARCH("AB",AP19)))</formula>
    </cfRule>
    <cfRule type="containsText" dxfId="710" priority="1035" operator="containsText" text="EL">
      <formula>NOT(ISERROR(SEARCH("EL",AP19)))</formula>
    </cfRule>
    <cfRule type="containsText" dxfId="709" priority="1034" operator="containsText" text="SUS">
      <formula>NOT(ISERROR(SEARCH("SUS",AP19)))</formula>
    </cfRule>
    <cfRule type="containsText" dxfId="708" priority="1033" operator="containsText" text="FL">
      <formula>NOT(ISERROR(SEARCH("FL",AP19)))</formula>
    </cfRule>
    <cfRule type="containsText" dxfId="707" priority="1032" operator="containsText" text="NL">
      <formula>NOT(ISERROR(SEARCH("NL",AP19)))</formula>
    </cfRule>
    <cfRule type="containsText" dxfId="706" priority="1031" operator="containsText" text="SP">
      <formula>NOT(ISERROR(SEARCH("SP",AP19)))</formula>
    </cfRule>
    <cfRule type="containsText" dxfId="705" priority="1039" operator="containsText" text="MC">
      <formula>NOT(ISERROR(SEARCH("MC",AP19)))</formula>
    </cfRule>
  </conditionalFormatting>
  <conditionalFormatting sqref="AP22">
    <cfRule type="containsText" dxfId="704" priority="964" operator="containsText" text="SUS">
      <formula>NOT(ISERROR(SEARCH("SUS",AP22)))</formula>
    </cfRule>
    <cfRule type="containsText" dxfId="703" priority="963" operator="containsText" text="FL">
      <formula>NOT(ISERROR(SEARCH("FL",AP22)))</formula>
    </cfRule>
    <cfRule type="containsText" dxfId="702" priority="962" operator="containsText" text="NL">
      <formula>NOT(ISERROR(SEARCH("NL",AP22)))</formula>
    </cfRule>
    <cfRule type="containsText" dxfId="701" priority="961" operator="containsText" text="SP">
      <formula>NOT(ISERROR(SEARCH("SP",AP22)))</formula>
    </cfRule>
    <cfRule type="containsText" dxfId="700" priority="966" operator="containsText" text="AB">
      <formula>NOT(ISERROR(SEARCH("AB",AP22)))</formula>
    </cfRule>
    <cfRule type="containsText" dxfId="699" priority="969" operator="containsText" text="MC">
      <formula>NOT(ISERROR(SEARCH("MC",AP22)))</formula>
    </cfRule>
    <cfRule type="containsText" dxfId="698" priority="970" operator="containsText" text="OFF">
      <formula>NOT(ISERROR(SEARCH("OFF",AP22)))</formula>
    </cfRule>
    <cfRule type="containsText" dxfId="697" priority="967" operator="containsText" text="Sick">
      <formula>NOT(ISERROR(SEARCH("Sick",AP22)))</formula>
    </cfRule>
    <cfRule type="containsText" dxfId="696" priority="968" operator="containsText" text="AL">
      <formula>NOT(ISERROR(SEARCH("AL",AP22)))</formula>
    </cfRule>
    <cfRule type="containsText" dxfId="695" priority="965" operator="containsText" text="EL">
      <formula>NOT(ISERROR(SEARCH("EL",AP22)))</formula>
    </cfRule>
  </conditionalFormatting>
  <conditionalFormatting sqref="AQ4:AR4">
    <cfRule type="dataBar" priority="12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{8260E6E5-BD28-4085-8022-04E6B4FBD105}</x14:id>
        </ext>
      </extLst>
    </cfRule>
  </conditionalFormatting>
  <conditionalFormatting sqref="AR7">
    <cfRule type="containsText" dxfId="694" priority="1121" operator="containsText" text="SP">
      <formula>NOT(ISERROR(SEARCH("SP",AR7)))</formula>
    </cfRule>
    <cfRule type="containsText" dxfId="693" priority="1130" operator="containsText" text="OFF">
      <formula>NOT(ISERROR(SEARCH("OFF",AR7)))</formula>
    </cfRule>
    <cfRule type="containsText" dxfId="692" priority="1129" operator="containsText" text="MC">
      <formula>NOT(ISERROR(SEARCH("MC",AR7)))</formula>
    </cfRule>
    <cfRule type="containsText" dxfId="691" priority="1128" operator="containsText" text="AL">
      <formula>NOT(ISERROR(SEARCH("AL",AR7)))</formula>
    </cfRule>
    <cfRule type="containsText" dxfId="690" priority="1127" operator="containsText" text="Sick">
      <formula>NOT(ISERROR(SEARCH("Sick",AR7)))</formula>
    </cfRule>
    <cfRule type="containsText" dxfId="689" priority="1126" operator="containsText" text="AB">
      <formula>NOT(ISERROR(SEARCH("AB",AR7)))</formula>
    </cfRule>
    <cfRule type="containsText" dxfId="688" priority="1125" operator="containsText" text="EL">
      <formula>NOT(ISERROR(SEARCH("EL",AR7)))</formula>
    </cfRule>
    <cfRule type="containsText" dxfId="687" priority="1123" operator="containsText" text="FL">
      <formula>NOT(ISERROR(SEARCH("FL",AR7)))</formula>
    </cfRule>
    <cfRule type="containsText" dxfId="686" priority="1122" operator="containsText" text="NL">
      <formula>NOT(ISERROR(SEARCH("NL",AR7)))</formula>
    </cfRule>
    <cfRule type="containsText" dxfId="685" priority="1124" operator="containsText" text="SUS">
      <formula>NOT(ISERROR(SEARCH("SUS",AR7)))</formula>
    </cfRule>
  </conditionalFormatting>
  <conditionalFormatting sqref="AR10">
    <cfRule type="containsText" dxfId="684" priority="1101" operator="containsText" text="SP">
      <formula>NOT(ISERROR(SEARCH("SP",AR10)))</formula>
    </cfRule>
    <cfRule type="containsText" dxfId="683" priority="1102" operator="containsText" text="NL">
      <formula>NOT(ISERROR(SEARCH("NL",AR10)))</formula>
    </cfRule>
    <cfRule type="containsText" dxfId="682" priority="1103" operator="containsText" text="FL">
      <formula>NOT(ISERROR(SEARCH("FL",AR10)))</formula>
    </cfRule>
    <cfRule type="containsText" dxfId="681" priority="1104" operator="containsText" text="SUS">
      <formula>NOT(ISERROR(SEARCH("SUS",AR10)))</formula>
    </cfRule>
    <cfRule type="containsText" dxfId="680" priority="1105" operator="containsText" text="EL">
      <formula>NOT(ISERROR(SEARCH("EL",AR10)))</formula>
    </cfRule>
    <cfRule type="containsText" dxfId="679" priority="1106" operator="containsText" text="AB">
      <formula>NOT(ISERROR(SEARCH("AB",AR10)))</formula>
    </cfRule>
    <cfRule type="containsText" dxfId="678" priority="1107" operator="containsText" text="Sick">
      <formula>NOT(ISERROR(SEARCH("Sick",AR10)))</formula>
    </cfRule>
    <cfRule type="containsText" dxfId="677" priority="1108" operator="containsText" text="AL">
      <formula>NOT(ISERROR(SEARCH("AL",AR10)))</formula>
    </cfRule>
    <cfRule type="containsText" dxfId="676" priority="1109" operator="containsText" text="MC">
      <formula>NOT(ISERROR(SEARCH("MC",AR10)))</formula>
    </cfRule>
    <cfRule type="containsText" dxfId="675" priority="1110" operator="containsText" text="OFF">
      <formula>NOT(ISERROR(SEARCH("OFF",AR10)))</formula>
    </cfRule>
  </conditionalFormatting>
  <conditionalFormatting sqref="AR12">
    <cfRule type="containsText" dxfId="674" priority="825" operator="containsText" text="EL">
      <formula>NOT(ISERROR(SEARCH("EL",AR12)))</formula>
    </cfRule>
    <cfRule type="containsText" dxfId="673" priority="830" operator="containsText" text="OFF">
      <formula>NOT(ISERROR(SEARCH("OFF",AR12)))</formula>
    </cfRule>
    <cfRule type="containsText" dxfId="672" priority="829" operator="containsText" text="MC">
      <formula>NOT(ISERROR(SEARCH("MC",AR12)))</formula>
    </cfRule>
    <cfRule type="containsText" dxfId="671" priority="828" operator="containsText" text="AL">
      <formula>NOT(ISERROR(SEARCH("AL",AR12)))</formula>
    </cfRule>
    <cfRule type="containsText" dxfId="670" priority="827" operator="containsText" text="Sick">
      <formula>NOT(ISERROR(SEARCH("Sick",AR12)))</formula>
    </cfRule>
    <cfRule type="containsText" dxfId="669" priority="826" operator="containsText" text="AB">
      <formula>NOT(ISERROR(SEARCH("AB",AR12)))</formula>
    </cfRule>
    <cfRule type="containsText" dxfId="668" priority="824" operator="containsText" text="SUS">
      <formula>NOT(ISERROR(SEARCH("SUS",AR12)))</formula>
    </cfRule>
    <cfRule type="containsText" dxfId="667" priority="823" operator="containsText" text="FL">
      <formula>NOT(ISERROR(SEARCH("FL",AR12)))</formula>
    </cfRule>
    <cfRule type="containsText" dxfId="666" priority="822" operator="containsText" text="NL">
      <formula>NOT(ISERROR(SEARCH("NL",AR12)))</formula>
    </cfRule>
    <cfRule type="containsText" dxfId="665" priority="821" operator="containsText" text="SP">
      <formula>NOT(ISERROR(SEARCH("SP",AR12)))</formula>
    </cfRule>
  </conditionalFormatting>
  <conditionalFormatting sqref="AR17">
    <cfRule type="containsText" dxfId="664" priority="1156" operator="containsText" text="AB">
      <formula>NOT(ISERROR(SEARCH("AB",AR17)))</formula>
    </cfRule>
    <cfRule type="containsText" dxfId="663" priority="1155" operator="containsText" text="EL">
      <formula>NOT(ISERROR(SEARCH("EL",AR17)))</formula>
    </cfRule>
    <cfRule type="containsText" dxfId="662" priority="1151" operator="containsText" text="SP">
      <formula>NOT(ISERROR(SEARCH("SP",AR17)))</formula>
    </cfRule>
    <cfRule type="containsText" dxfId="661" priority="1152" operator="containsText" text="NL">
      <formula>NOT(ISERROR(SEARCH("NL",AR17)))</formula>
    </cfRule>
    <cfRule type="containsText" dxfId="660" priority="1153" operator="containsText" text="FL">
      <formula>NOT(ISERROR(SEARCH("FL",AR17)))</formula>
    </cfRule>
    <cfRule type="containsText" dxfId="659" priority="1154" operator="containsText" text="SUS">
      <formula>NOT(ISERROR(SEARCH("SUS",AR17)))</formula>
    </cfRule>
    <cfRule type="containsText" dxfId="658" priority="1160" operator="containsText" text="OFF">
      <formula>NOT(ISERROR(SEARCH("OFF",AR17)))</formula>
    </cfRule>
    <cfRule type="containsText" dxfId="657" priority="1157" operator="containsText" text="Sick">
      <formula>NOT(ISERROR(SEARCH("Sick",AR17)))</formula>
    </cfRule>
    <cfRule type="containsText" dxfId="656" priority="1159" operator="containsText" text="MC">
      <formula>NOT(ISERROR(SEARCH("MC",AR17)))</formula>
    </cfRule>
    <cfRule type="containsText" dxfId="655" priority="1158" operator="containsText" text="AL">
      <formula>NOT(ISERROR(SEARCH("AL",AR17)))</formula>
    </cfRule>
  </conditionalFormatting>
  <conditionalFormatting sqref="AR22:AR23">
    <cfRule type="containsText" dxfId="654" priority="902" operator="containsText" text="NL">
      <formula>NOT(ISERROR(SEARCH("NL",AR22)))</formula>
    </cfRule>
    <cfRule type="containsText" dxfId="653" priority="901" operator="containsText" text="SP">
      <formula>NOT(ISERROR(SEARCH("SP",AR22)))</formula>
    </cfRule>
    <cfRule type="containsText" dxfId="652" priority="908" operator="containsText" text="AL">
      <formula>NOT(ISERROR(SEARCH("AL",AR22)))</formula>
    </cfRule>
    <cfRule type="containsText" dxfId="651" priority="907" operator="containsText" text="Sick">
      <formula>NOT(ISERROR(SEARCH("Sick",AR22)))</formula>
    </cfRule>
    <cfRule type="containsText" dxfId="650" priority="904" operator="containsText" text="SUS">
      <formula>NOT(ISERROR(SEARCH("SUS",AR22)))</formula>
    </cfRule>
    <cfRule type="containsText" dxfId="649" priority="906" operator="containsText" text="AB">
      <formula>NOT(ISERROR(SEARCH("AB",AR22)))</formula>
    </cfRule>
    <cfRule type="containsText" dxfId="648" priority="905" operator="containsText" text="EL">
      <formula>NOT(ISERROR(SEARCH("EL",AR22)))</formula>
    </cfRule>
    <cfRule type="containsText" dxfId="647" priority="903" operator="containsText" text="FL">
      <formula>NOT(ISERROR(SEARCH("FL",AR22)))</formula>
    </cfRule>
    <cfRule type="containsText" dxfId="646" priority="909" operator="containsText" text="MC">
      <formula>NOT(ISERROR(SEARCH("MC",AR22)))</formula>
    </cfRule>
    <cfRule type="containsText" dxfId="645" priority="910" operator="containsText" text="OFF">
      <formula>NOT(ISERROR(SEARCH("OFF",AR22)))</formula>
    </cfRule>
  </conditionalFormatting>
  <conditionalFormatting sqref="AR19:AT19">
    <cfRule type="containsText" dxfId="644" priority="1014" operator="containsText" text="SUS">
      <formula>NOT(ISERROR(SEARCH("SUS",AR19)))</formula>
    </cfRule>
    <cfRule type="containsText" dxfId="643" priority="1012" operator="containsText" text="NL">
      <formula>NOT(ISERROR(SEARCH("NL",AR19)))</formula>
    </cfRule>
    <cfRule type="containsText" dxfId="642" priority="1011" operator="containsText" text="SP">
      <formula>NOT(ISERROR(SEARCH("SP",AR19)))</formula>
    </cfRule>
    <cfRule type="containsText" dxfId="641" priority="1019" operator="containsText" text="MC">
      <formula>NOT(ISERROR(SEARCH("MC",AR19)))</formula>
    </cfRule>
    <cfRule type="containsText" dxfId="640" priority="1013" operator="containsText" text="FL">
      <formula>NOT(ISERROR(SEARCH("FL",AR19)))</formula>
    </cfRule>
    <cfRule type="containsText" dxfId="639" priority="1015" operator="containsText" text="EL">
      <formula>NOT(ISERROR(SEARCH("EL",AR19)))</formula>
    </cfRule>
    <cfRule type="containsText" dxfId="638" priority="1016" operator="containsText" text="AB">
      <formula>NOT(ISERROR(SEARCH("AB",AR19)))</formula>
    </cfRule>
    <cfRule type="containsText" dxfId="637" priority="1017" operator="containsText" text="Sick">
      <formula>NOT(ISERROR(SEARCH("Sick",AR19)))</formula>
    </cfRule>
    <cfRule type="containsText" dxfId="636" priority="1018" operator="containsText" text="AL">
      <formula>NOT(ISERROR(SEARCH("AL",AR19)))</formula>
    </cfRule>
    <cfRule type="containsText" dxfId="635" priority="1020" operator="containsText" text="OFF">
      <formula>NOT(ISERROR(SEARCH("OFF",AR19)))</formula>
    </cfRule>
  </conditionalFormatting>
  <conditionalFormatting sqref="AS4:AT4">
    <cfRule type="dataBar" priority="12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{E3F6B5F3-5936-4733-A5D2-38B68623B0E7}</x14:id>
        </ext>
      </extLst>
    </cfRule>
  </conditionalFormatting>
  <conditionalFormatting sqref="AS16:AT16">
    <cfRule type="containsText" dxfId="634" priority="1081" operator="containsText" text="SP">
      <formula>NOT(ISERROR(SEARCH("SP",AS16)))</formula>
    </cfRule>
    <cfRule type="containsText" dxfId="633" priority="1082" operator="containsText" text="NL">
      <formula>NOT(ISERROR(SEARCH("NL",AS16)))</formula>
    </cfRule>
    <cfRule type="containsText" dxfId="632" priority="1083" operator="containsText" text="FL">
      <formula>NOT(ISERROR(SEARCH("FL",AS16)))</formula>
    </cfRule>
    <cfRule type="containsText" dxfId="631" priority="1084" operator="containsText" text="SUS">
      <formula>NOT(ISERROR(SEARCH("SUS",AS16)))</formula>
    </cfRule>
    <cfRule type="containsText" dxfId="630" priority="1085" operator="containsText" text="EL">
      <formula>NOT(ISERROR(SEARCH("EL",AS16)))</formula>
    </cfRule>
    <cfRule type="containsText" dxfId="629" priority="1086" operator="containsText" text="AB">
      <formula>NOT(ISERROR(SEARCH("AB",AS16)))</formula>
    </cfRule>
    <cfRule type="containsText" dxfId="628" priority="1087" operator="containsText" text="Sick">
      <formula>NOT(ISERROR(SEARCH("Sick",AS16)))</formula>
    </cfRule>
    <cfRule type="containsText" dxfId="627" priority="1088" operator="containsText" text="AL">
      <formula>NOT(ISERROR(SEARCH("AL",AS16)))</formula>
    </cfRule>
    <cfRule type="containsText" dxfId="626" priority="1089" operator="containsText" text="MC">
      <formula>NOT(ISERROR(SEARCH("MC",AS16)))</formula>
    </cfRule>
    <cfRule type="containsText" dxfId="625" priority="1090" operator="containsText" text="OFF">
      <formula>NOT(ISERROR(SEARCH("OFF",AS16)))</formula>
    </cfRule>
  </conditionalFormatting>
  <conditionalFormatting sqref="AT7">
    <cfRule type="containsText" dxfId="624" priority="1116" operator="containsText" text="AB">
      <formula>NOT(ISERROR(SEARCH("AB",AT7)))</formula>
    </cfRule>
    <cfRule type="containsText" dxfId="623" priority="1111" operator="containsText" text="SP">
      <formula>NOT(ISERROR(SEARCH("SP",AT7)))</formula>
    </cfRule>
    <cfRule type="containsText" dxfId="622" priority="1112" operator="containsText" text="NL">
      <formula>NOT(ISERROR(SEARCH("NL",AT7)))</formula>
    </cfRule>
    <cfRule type="containsText" dxfId="621" priority="1113" operator="containsText" text="FL">
      <formula>NOT(ISERROR(SEARCH("FL",AT7)))</formula>
    </cfRule>
    <cfRule type="containsText" dxfId="620" priority="1114" operator="containsText" text="SUS">
      <formula>NOT(ISERROR(SEARCH("SUS",AT7)))</formula>
    </cfRule>
    <cfRule type="containsText" dxfId="619" priority="1115" operator="containsText" text="EL">
      <formula>NOT(ISERROR(SEARCH("EL",AT7)))</formula>
    </cfRule>
    <cfRule type="containsText" dxfId="618" priority="1120" operator="containsText" text="OFF">
      <formula>NOT(ISERROR(SEARCH("OFF",AT7)))</formula>
    </cfRule>
    <cfRule type="containsText" dxfId="617" priority="1119" operator="containsText" text="MC">
      <formula>NOT(ISERROR(SEARCH("MC",AT7)))</formula>
    </cfRule>
    <cfRule type="containsText" dxfId="616" priority="1118" operator="containsText" text="AL">
      <formula>NOT(ISERROR(SEARCH("AL",AT7)))</formula>
    </cfRule>
    <cfRule type="containsText" dxfId="615" priority="1117" operator="containsText" text="Sick">
      <formula>NOT(ISERROR(SEARCH("Sick",AT7)))</formula>
    </cfRule>
  </conditionalFormatting>
  <conditionalFormatting sqref="AT12">
    <cfRule type="containsText" dxfId="614" priority="817" operator="containsText" text="Sick">
      <formula>NOT(ISERROR(SEARCH("Sick",AT12)))</formula>
    </cfRule>
    <cfRule type="containsText" dxfId="613" priority="811" operator="containsText" text="SP">
      <formula>NOT(ISERROR(SEARCH("SP",AT12)))</formula>
    </cfRule>
    <cfRule type="containsText" dxfId="612" priority="818" operator="containsText" text="AL">
      <formula>NOT(ISERROR(SEARCH("AL",AT12)))</formula>
    </cfRule>
    <cfRule type="containsText" dxfId="611" priority="819" operator="containsText" text="MC">
      <formula>NOT(ISERROR(SEARCH("MC",AT12)))</formula>
    </cfRule>
    <cfRule type="containsText" dxfId="610" priority="820" operator="containsText" text="OFF">
      <formula>NOT(ISERROR(SEARCH("OFF",AT12)))</formula>
    </cfRule>
    <cfRule type="containsText" dxfId="609" priority="812" operator="containsText" text="NL">
      <formula>NOT(ISERROR(SEARCH("NL",AT12)))</formula>
    </cfRule>
    <cfRule type="containsText" dxfId="608" priority="814" operator="containsText" text="SUS">
      <formula>NOT(ISERROR(SEARCH("SUS",AT12)))</formula>
    </cfRule>
    <cfRule type="containsText" dxfId="607" priority="813" operator="containsText" text="FL">
      <formula>NOT(ISERROR(SEARCH("FL",AT12)))</formula>
    </cfRule>
    <cfRule type="containsText" dxfId="606" priority="815" operator="containsText" text="EL">
      <formula>NOT(ISERROR(SEARCH("EL",AT12)))</formula>
    </cfRule>
    <cfRule type="containsText" dxfId="605" priority="816" operator="containsText" text="AB">
      <formula>NOT(ISERROR(SEARCH("AB",AT12)))</formula>
    </cfRule>
  </conditionalFormatting>
  <conditionalFormatting sqref="AT22:AT23">
    <cfRule type="containsText" dxfId="604" priority="925" operator="containsText" text="EL">
      <formula>NOT(ISERROR(SEARCH("EL",AT22)))</formula>
    </cfRule>
    <cfRule type="containsText" dxfId="603" priority="921" operator="containsText" text="SP">
      <formula>NOT(ISERROR(SEARCH("SP",AT22)))</formula>
    </cfRule>
    <cfRule type="containsText" dxfId="602" priority="930" operator="containsText" text="OFF">
      <formula>NOT(ISERROR(SEARCH("OFF",AT22)))</formula>
    </cfRule>
    <cfRule type="containsText" dxfId="601" priority="929" operator="containsText" text="MC">
      <formula>NOT(ISERROR(SEARCH("MC",AT22)))</formula>
    </cfRule>
    <cfRule type="containsText" dxfId="600" priority="928" operator="containsText" text="AL">
      <formula>NOT(ISERROR(SEARCH("AL",AT22)))</formula>
    </cfRule>
    <cfRule type="containsText" dxfId="599" priority="927" operator="containsText" text="Sick">
      <formula>NOT(ISERROR(SEARCH("Sick",AT22)))</formula>
    </cfRule>
    <cfRule type="containsText" dxfId="598" priority="926" operator="containsText" text="AB">
      <formula>NOT(ISERROR(SEARCH("AB",AT22)))</formula>
    </cfRule>
    <cfRule type="containsText" dxfId="597" priority="924" operator="containsText" text="SUS">
      <formula>NOT(ISERROR(SEARCH("SUS",AT22)))</formula>
    </cfRule>
    <cfRule type="containsText" dxfId="596" priority="923" operator="containsText" text="FL">
      <formula>NOT(ISERROR(SEARCH("FL",AT22)))</formula>
    </cfRule>
    <cfRule type="containsText" dxfId="595" priority="922" operator="containsText" text="NL">
      <formula>NOT(ISERROR(SEARCH("NL",AT22)))</formula>
    </cfRule>
  </conditionalFormatting>
  <conditionalFormatting sqref="AT17:BP17">
    <cfRule type="containsText" dxfId="594" priority="1143" operator="containsText" text="FL">
      <formula>NOT(ISERROR(SEARCH("FL",AT17)))</formula>
    </cfRule>
    <cfRule type="containsText" dxfId="593" priority="1149" operator="containsText" text="MC">
      <formula>NOT(ISERROR(SEARCH("MC",AT17)))</formula>
    </cfRule>
    <cfRule type="containsText" dxfId="592" priority="1150" operator="containsText" text="OFF">
      <formula>NOT(ISERROR(SEARCH("OFF",AT17)))</formula>
    </cfRule>
    <cfRule type="containsText" dxfId="591" priority="1148" operator="containsText" text="AL">
      <formula>NOT(ISERROR(SEARCH("AL",AT17)))</formula>
    </cfRule>
    <cfRule type="containsText" dxfId="590" priority="1147" operator="containsText" text="Sick">
      <formula>NOT(ISERROR(SEARCH("Sick",AT17)))</formula>
    </cfRule>
    <cfRule type="containsText" dxfId="589" priority="1146" operator="containsText" text="AB">
      <formula>NOT(ISERROR(SEARCH("AB",AT17)))</formula>
    </cfRule>
    <cfRule type="containsText" dxfId="588" priority="1145" operator="containsText" text="EL">
      <formula>NOT(ISERROR(SEARCH("EL",AT17)))</formula>
    </cfRule>
    <cfRule type="containsText" dxfId="587" priority="1144" operator="containsText" text="SUS">
      <formula>NOT(ISERROR(SEARCH("SUS",AT17)))</formula>
    </cfRule>
    <cfRule type="containsText" dxfId="586" priority="1142" operator="containsText" text="NL">
      <formula>NOT(ISERROR(SEARCH("NL",AT17)))</formula>
    </cfRule>
    <cfRule type="containsText" dxfId="585" priority="1141" operator="containsText" text="SP">
      <formula>NOT(ISERROR(SEARCH("SP",AT17)))</formula>
    </cfRule>
  </conditionalFormatting>
  <conditionalFormatting sqref="AU4:AV4">
    <cfRule type="dataBar" priority="124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{C0AAB12F-FE43-4F10-896C-80D7B0ED7A97}</x14:id>
        </ext>
      </extLst>
    </cfRule>
  </conditionalFormatting>
  <conditionalFormatting sqref="AV7">
    <cfRule type="containsText" dxfId="584" priority="792" operator="containsText" text="NL">
      <formula>NOT(ISERROR(SEARCH("NL",AV7)))</formula>
    </cfRule>
    <cfRule type="containsText" dxfId="583" priority="794" operator="containsText" text="SUS">
      <formula>NOT(ISERROR(SEARCH("SUS",AV7)))</formula>
    </cfRule>
    <cfRule type="containsText" dxfId="582" priority="793" operator="containsText" text="FL">
      <formula>NOT(ISERROR(SEARCH("FL",AV7)))</formula>
    </cfRule>
    <cfRule type="containsText" dxfId="581" priority="791" operator="containsText" text="SP">
      <formula>NOT(ISERROR(SEARCH("SP",AV7)))</formula>
    </cfRule>
    <cfRule type="containsText" dxfId="580" priority="800" operator="containsText" text="OFF">
      <formula>NOT(ISERROR(SEARCH("OFF",AV7)))</formula>
    </cfRule>
    <cfRule type="containsText" dxfId="579" priority="796" operator="containsText" text="AB">
      <formula>NOT(ISERROR(SEARCH("AB",AV7)))</formula>
    </cfRule>
    <cfRule type="containsText" dxfId="578" priority="799" operator="containsText" text="MC">
      <formula>NOT(ISERROR(SEARCH("MC",AV7)))</formula>
    </cfRule>
    <cfRule type="containsText" dxfId="577" priority="798" operator="containsText" text="AL">
      <formula>NOT(ISERROR(SEARCH("AL",AV7)))</formula>
    </cfRule>
    <cfRule type="containsText" dxfId="576" priority="797" operator="containsText" text="Sick">
      <formula>NOT(ISERROR(SEARCH("Sick",AV7)))</formula>
    </cfRule>
    <cfRule type="containsText" dxfId="575" priority="795" operator="containsText" text="EL">
      <formula>NOT(ISERROR(SEARCH("EL",AV7)))</formula>
    </cfRule>
  </conditionalFormatting>
  <conditionalFormatting sqref="AV12">
    <cfRule type="containsText" dxfId="574" priority="251" operator="containsText" text="SP">
      <formula>NOT(ISERROR(SEARCH("SP",AV12)))</formula>
    </cfRule>
    <cfRule type="containsText" dxfId="573" priority="257" operator="containsText" text="Sick">
      <formula>NOT(ISERROR(SEARCH("Sick",AV12)))</formula>
    </cfRule>
    <cfRule type="containsText" dxfId="572" priority="258" operator="containsText" text="AL">
      <formula>NOT(ISERROR(SEARCH("AL",AV12)))</formula>
    </cfRule>
    <cfRule type="containsText" dxfId="571" priority="259" operator="containsText" text="MC">
      <formula>NOT(ISERROR(SEARCH("MC",AV12)))</formula>
    </cfRule>
    <cfRule type="containsText" dxfId="570" priority="260" operator="containsText" text="OFF">
      <formula>NOT(ISERROR(SEARCH("OFF",AV12)))</formula>
    </cfRule>
    <cfRule type="containsText" dxfId="569" priority="255" operator="containsText" text="EL">
      <formula>NOT(ISERROR(SEARCH("EL",AV12)))</formula>
    </cfRule>
    <cfRule type="containsText" dxfId="568" priority="253" operator="containsText" text="FL">
      <formula>NOT(ISERROR(SEARCH("FL",AV12)))</formula>
    </cfRule>
    <cfRule type="containsText" dxfId="567" priority="252" operator="containsText" text="NL">
      <formula>NOT(ISERROR(SEARCH("NL",AV12)))</formula>
    </cfRule>
    <cfRule type="containsText" dxfId="566" priority="254" operator="containsText" text="SUS">
      <formula>NOT(ISERROR(SEARCH("SUS",AV12)))</formula>
    </cfRule>
    <cfRule type="containsText" dxfId="565" priority="256" operator="containsText" text="AB">
      <formula>NOT(ISERROR(SEARCH("AB",AV12)))</formula>
    </cfRule>
  </conditionalFormatting>
  <conditionalFormatting sqref="AV19">
    <cfRule type="containsText" dxfId="564" priority="663" operator="containsText" text="FL">
      <formula>NOT(ISERROR(SEARCH("FL",AV19)))</formula>
    </cfRule>
    <cfRule type="containsText" dxfId="563" priority="662" operator="containsText" text="NL">
      <formula>NOT(ISERROR(SEARCH("NL",AV19)))</formula>
    </cfRule>
    <cfRule type="containsText" dxfId="562" priority="661" operator="containsText" text="SP">
      <formula>NOT(ISERROR(SEARCH("SP",AV19)))</formula>
    </cfRule>
    <cfRule type="containsText" dxfId="561" priority="669" operator="containsText" text="MC">
      <formula>NOT(ISERROR(SEARCH("MC",AV19)))</formula>
    </cfRule>
    <cfRule type="containsText" dxfId="560" priority="670" operator="containsText" text="OFF">
      <formula>NOT(ISERROR(SEARCH("OFF",AV19)))</formula>
    </cfRule>
    <cfRule type="containsText" dxfId="559" priority="666" operator="containsText" text="AB">
      <formula>NOT(ISERROR(SEARCH("AB",AV19)))</formula>
    </cfRule>
    <cfRule type="containsText" dxfId="558" priority="665" operator="containsText" text="EL">
      <formula>NOT(ISERROR(SEARCH("EL",AV19)))</formula>
    </cfRule>
    <cfRule type="containsText" dxfId="557" priority="668" operator="containsText" text="AL">
      <formula>NOT(ISERROR(SEARCH("AL",AV19)))</formula>
    </cfRule>
    <cfRule type="containsText" dxfId="556" priority="664" operator="containsText" text="SUS">
      <formula>NOT(ISERROR(SEARCH("SUS",AV19)))</formula>
    </cfRule>
    <cfRule type="containsText" dxfId="555" priority="667" operator="containsText" text="Sick">
      <formula>NOT(ISERROR(SEARCH("Sick",AV19)))</formula>
    </cfRule>
  </conditionalFormatting>
  <conditionalFormatting sqref="AV21:AV22">
    <cfRule type="containsText" dxfId="554" priority="676" operator="containsText" text="AB">
      <formula>NOT(ISERROR(SEARCH("AB",AV21)))</formula>
    </cfRule>
    <cfRule type="containsText" dxfId="553" priority="680" operator="containsText" text="OFF">
      <formula>NOT(ISERROR(SEARCH("OFF",AV21)))</formula>
    </cfRule>
    <cfRule type="containsText" dxfId="552" priority="679" operator="containsText" text="MC">
      <formula>NOT(ISERROR(SEARCH("MC",AV21)))</formula>
    </cfRule>
    <cfRule type="containsText" dxfId="551" priority="678" operator="containsText" text="AL">
      <formula>NOT(ISERROR(SEARCH("AL",AV21)))</formula>
    </cfRule>
    <cfRule type="containsText" dxfId="550" priority="677" operator="containsText" text="Sick">
      <formula>NOT(ISERROR(SEARCH("Sick",AV21)))</formula>
    </cfRule>
    <cfRule type="containsText" dxfId="549" priority="675" operator="containsText" text="EL">
      <formula>NOT(ISERROR(SEARCH("EL",AV21)))</formula>
    </cfRule>
    <cfRule type="containsText" dxfId="548" priority="674" operator="containsText" text="SUS">
      <formula>NOT(ISERROR(SEARCH("SUS",AV21)))</formula>
    </cfRule>
    <cfRule type="containsText" dxfId="547" priority="673" operator="containsText" text="FL">
      <formula>NOT(ISERROR(SEARCH("FL",AV21)))</formula>
    </cfRule>
    <cfRule type="containsText" dxfId="546" priority="672" operator="containsText" text="NL">
      <formula>NOT(ISERROR(SEARCH("NL",AV21)))</formula>
    </cfRule>
    <cfRule type="containsText" dxfId="545" priority="671" operator="containsText" text="SP">
      <formula>NOT(ISERROR(SEARCH("SP",AV21)))</formula>
    </cfRule>
  </conditionalFormatting>
  <conditionalFormatting sqref="AV26">
    <cfRule type="containsText" dxfId="544" priority="602" operator="containsText" text="NL">
      <formula>NOT(ISERROR(SEARCH("NL",AV26)))</formula>
    </cfRule>
    <cfRule type="containsText" dxfId="543" priority="603" operator="containsText" text="FL">
      <formula>NOT(ISERROR(SEARCH("FL",AV26)))</formula>
    </cfRule>
    <cfRule type="containsText" dxfId="542" priority="604" operator="containsText" text="SUS">
      <formula>NOT(ISERROR(SEARCH("SUS",AV26)))</formula>
    </cfRule>
    <cfRule type="containsText" dxfId="541" priority="605" operator="containsText" text="EL">
      <formula>NOT(ISERROR(SEARCH("EL",AV26)))</formula>
    </cfRule>
    <cfRule type="containsText" dxfId="540" priority="606" operator="containsText" text="AB">
      <formula>NOT(ISERROR(SEARCH("AB",AV26)))</formula>
    </cfRule>
    <cfRule type="containsText" dxfId="539" priority="607" operator="containsText" text="Sick">
      <formula>NOT(ISERROR(SEARCH("Sick",AV26)))</formula>
    </cfRule>
    <cfRule type="containsText" dxfId="538" priority="608" operator="containsText" text="AL">
      <formula>NOT(ISERROR(SEARCH("AL",AV26)))</formula>
    </cfRule>
    <cfRule type="containsText" dxfId="537" priority="609" operator="containsText" text="MC">
      <formula>NOT(ISERROR(SEARCH("MC",AV26)))</formula>
    </cfRule>
    <cfRule type="containsText" dxfId="536" priority="610" operator="containsText" text="OFF">
      <formula>NOT(ISERROR(SEARCH("OFF",AV26)))</formula>
    </cfRule>
    <cfRule type="containsText" dxfId="535" priority="601" operator="containsText" text="SP">
      <formula>NOT(ISERROR(SEARCH("SP",AV26)))</formula>
    </cfRule>
  </conditionalFormatting>
  <conditionalFormatting sqref="AW4:AX4">
    <cfRule type="dataBar" priority="124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{676084F8-BB6E-4808-A9C4-805D79F8740B}</x14:id>
        </ext>
      </extLst>
    </cfRule>
  </conditionalFormatting>
  <conditionalFormatting sqref="AW12:AX13">
    <cfRule type="containsText" dxfId="534" priority="242" operator="containsText" text="NL">
      <formula>NOT(ISERROR(SEARCH("NL",AW12)))</formula>
    </cfRule>
    <cfRule type="containsText" dxfId="533" priority="243" operator="containsText" text="FL">
      <formula>NOT(ISERROR(SEARCH("FL",AW12)))</formula>
    </cfRule>
    <cfRule type="containsText" dxfId="532" priority="244" operator="containsText" text="SUS">
      <formula>NOT(ISERROR(SEARCH("SUS",AW12)))</formula>
    </cfRule>
    <cfRule type="containsText" dxfId="531" priority="248" operator="containsText" text="AL">
      <formula>NOT(ISERROR(SEARCH("AL",AW12)))</formula>
    </cfRule>
    <cfRule type="containsText" dxfId="530" priority="250" operator="containsText" text="OFF">
      <formula>NOT(ISERROR(SEARCH("OFF",AW12)))</formula>
    </cfRule>
    <cfRule type="containsText" dxfId="529" priority="249" operator="containsText" text="MC">
      <formula>NOT(ISERROR(SEARCH("MC",AW12)))</formula>
    </cfRule>
    <cfRule type="containsText" dxfId="528" priority="241" operator="containsText" text="SP">
      <formula>NOT(ISERROR(SEARCH("SP",AW12)))</formula>
    </cfRule>
    <cfRule type="containsText" dxfId="527" priority="247" operator="containsText" text="Sick">
      <formula>NOT(ISERROR(SEARCH("Sick",AW12)))</formula>
    </cfRule>
    <cfRule type="containsText" dxfId="526" priority="246" operator="containsText" text="AB">
      <formula>NOT(ISERROR(SEARCH("AB",AW12)))</formula>
    </cfRule>
    <cfRule type="containsText" dxfId="525" priority="245" operator="containsText" text="EL">
      <formula>NOT(ISERROR(SEARCH("EL",AW12)))</formula>
    </cfRule>
  </conditionalFormatting>
  <conditionalFormatting sqref="AW19:AX22">
    <cfRule type="containsText" dxfId="524" priority="728" operator="containsText" text="AL">
      <formula>NOT(ISERROR(SEARCH("AL",AW19)))</formula>
    </cfRule>
    <cfRule type="containsText" dxfId="523" priority="729" operator="containsText" text="MC">
      <formula>NOT(ISERROR(SEARCH("MC",AW19)))</formula>
    </cfRule>
    <cfRule type="containsText" dxfId="522" priority="730" operator="containsText" text="OFF">
      <formula>NOT(ISERROR(SEARCH("OFF",AW19)))</formula>
    </cfRule>
    <cfRule type="containsText" dxfId="521" priority="727" operator="containsText" text="Sick">
      <formula>NOT(ISERROR(SEARCH("Sick",AW19)))</formula>
    </cfRule>
    <cfRule type="containsText" dxfId="520" priority="721" operator="containsText" text="SP">
      <formula>NOT(ISERROR(SEARCH("SP",AW19)))</formula>
    </cfRule>
    <cfRule type="containsText" dxfId="519" priority="722" operator="containsText" text="NL">
      <formula>NOT(ISERROR(SEARCH("NL",AW19)))</formula>
    </cfRule>
    <cfRule type="containsText" dxfId="518" priority="723" operator="containsText" text="FL">
      <formula>NOT(ISERROR(SEARCH("FL",AW19)))</formula>
    </cfRule>
    <cfRule type="containsText" dxfId="517" priority="724" operator="containsText" text="SUS">
      <formula>NOT(ISERROR(SEARCH("SUS",AW19)))</formula>
    </cfRule>
    <cfRule type="containsText" dxfId="516" priority="725" operator="containsText" text="EL">
      <formula>NOT(ISERROR(SEARCH("EL",AW19)))</formula>
    </cfRule>
    <cfRule type="containsText" dxfId="515" priority="726" operator="containsText" text="AB">
      <formula>NOT(ISERROR(SEARCH("AB",AW19)))</formula>
    </cfRule>
  </conditionalFormatting>
  <conditionalFormatting sqref="AW27:AX27">
    <cfRule type="containsText" dxfId="514" priority="706" operator="containsText" text="AB">
      <formula>NOT(ISERROR(SEARCH("AB",AW27)))</formula>
    </cfRule>
    <cfRule type="containsText" dxfId="513" priority="707" operator="containsText" text="Sick">
      <formula>NOT(ISERROR(SEARCH("Sick",AW27)))</formula>
    </cfRule>
    <cfRule type="containsText" dxfId="512" priority="709" operator="containsText" text="MC">
      <formula>NOT(ISERROR(SEARCH("MC",AW27)))</formula>
    </cfRule>
    <cfRule type="containsText" dxfId="511" priority="710" operator="containsText" text="OFF">
      <formula>NOT(ISERROR(SEARCH("OFF",AW27)))</formula>
    </cfRule>
    <cfRule type="containsText" dxfId="510" priority="708" operator="containsText" text="AL">
      <formula>NOT(ISERROR(SEARCH("AL",AW27)))</formula>
    </cfRule>
    <cfRule type="containsText" dxfId="509" priority="703" operator="containsText" text="FL">
      <formula>NOT(ISERROR(SEARCH("FL",AW27)))</formula>
    </cfRule>
    <cfRule type="containsText" dxfId="508" priority="704" operator="containsText" text="SUS">
      <formula>NOT(ISERROR(SEARCH("SUS",AW27)))</formula>
    </cfRule>
    <cfRule type="containsText" dxfId="507" priority="701" operator="containsText" text="SP">
      <formula>NOT(ISERROR(SEARCH("SP",AW27)))</formula>
    </cfRule>
    <cfRule type="containsText" dxfId="506" priority="702" operator="containsText" text="NL">
      <formula>NOT(ISERROR(SEARCH("NL",AW27)))</formula>
    </cfRule>
    <cfRule type="containsText" dxfId="505" priority="705" operator="containsText" text="EL">
      <formula>NOT(ISERROR(SEARCH("EL",AW27)))</formula>
    </cfRule>
  </conditionalFormatting>
  <conditionalFormatting sqref="AW24:AZ24">
    <cfRule type="containsText" dxfId="504" priority="555" operator="containsText" text="EL">
      <formula>NOT(ISERROR(SEARCH("EL",AW24)))</formula>
    </cfRule>
    <cfRule type="containsText" dxfId="503" priority="551" operator="containsText" text="SP">
      <formula>NOT(ISERROR(SEARCH("SP",AW24)))</formula>
    </cfRule>
    <cfRule type="containsText" dxfId="502" priority="554" operator="containsText" text="SUS">
      <formula>NOT(ISERROR(SEARCH("SUS",AW24)))</formula>
    </cfRule>
    <cfRule type="containsText" dxfId="501" priority="553" operator="containsText" text="FL">
      <formula>NOT(ISERROR(SEARCH("FL",AW24)))</formula>
    </cfRule>
    <cfRule type="containsText" dxfId="500" priority="552" operator="containsText" text="NL">
      <formula>NOT(ISERROR(SEARCH("NL",AW24)))</formula>
    </cfRule>
    <cfRule type="containsText" dxfId="499" priority="560" operator="containsText" text="OFF">
      <formula>NOT(ISERROR(SEARCH("OFF",AW24)))</formula>
    </cfRule>
    <cfRule type="containsText" dxfId="498" priority="557" operator="containsText" text="Sick">
      <formula>NOT(ISERROR(SEARCH("Sick",AW24)))</formula>
    </cfRule>
    <cfRule type="containsText" dxfId="497" priority="559" operator="containsText" text="MC">
      <formula>NOT(ISERROR(SEARCH("MC",AW24)))</formula>
    </cfRule>
    <cfRule type="containsText" dxfId="496" priority="558" operator="containsText" text="AL">
      <formula>NOT(ISERROR(SEARCH("AL",AW24)))</formula>
    </cfRule>
    <cfRule type="containsText" dxfId="495" priority="556" operator="containsText" text="AB">
      <formula>NOT(ISERROR(SEARCH("AB",AW24)))</formula>
    </cfRule>
  </conditionalFormatting>
  <conditionalFormatting sqref="AX7">
    <cfRule type="containsText" dxfId="494" priority="783" operator="containsText" text="FL">
      <formula>NOT(ISERROR(SEARCH("FL",AX7)))</formula>
    </cfRule>
    <cfRule type="containsText" dxfId="493" priority="784" operator="containsText" text="SUS">
      <formula>NOT(ISERROR(SEARCH("SUS",AX7)))</formula>
    </cfRule>
    <cfRule type="containsText" dxfId="492" priority="786" operator="containsText" text="AB">
      <formula>NOT(ISERROR(SEARCH("AB",AX7)))</formula>
    </cfRule>
    <cfRule type="containsText" dxfId="491" priority="787" operator="containsText" text="Sick">
      <formula>NOT(ISERROR(SEARCH("Sick",AX7)))</formula>
    </cfRule>
    <cfRule type="containsText" dxfId="490" priority="788" operator="containsText" text="AL">
      <formula>NOT(ISERROR(SEARCH("AL",AX7)))</formula>
    </cfRule>
    <cfRule type="containsText" dxfId="489" priority="789" operator="containsText" text="MC">
      <formula>NOT(ISERROR(SEARCH("MC",AX7)))</formula>
    </cfRule>
    <cfRule type="containsText" dxfId="488" priority="790" operator="containsText" text="OFF">
      <formula>NOT(ISERROR(SEARCH("OFF",AX7)))</formula>
    </cfRule>
    <cfRule type="containsText" dxfId="487" priority="785" operator="containsText" text="EL">
      <formula>NOT(ISERROR(SEARCH("EL",AX7)))</formula>
    </cfRule>
    <cfRule type="containsText" dxfId="486" priority="781" operator="containsText" text="SP">
      <formula>NOT(ISERROR(SEARCH("SP",AX7)))</formula>
    </cfRule>
    <cfRule type="containsText" dxfId="485" priority="782" operator="containsText" text="NL">
      <formula>NOT(ISERROR(SEARCH("NL",AX7)))</formula>
    </cfRule>
  </conditionalFormatting>
  <conditionalFormatting sqref="AX16">
    <cfRule type="containsText" dxfId="484" priority="306" operator="containsText" text="AB">
      <formula>NOT(ISERROR(SEARCH("AB",AX16)))</formula>
    </cfRule>
    <cfRule type="containsText" dxfId="483" priority="307" operator="containsText" text="Sick">
      <formula>NOT(ISERROR(SEARCH("Sick",AX16)))</formula>
    </cfRule>
    <cfRule type="containsText" dxfId="482" priority="308" operator="containsText" text="AL">
      <formula>NOT(ISERROR(SEARCH("AL",AX16)))</formula>
    </cfRule>
    <cfRule type="containsText" dxfId="481" priority="309" operator="containsText" text="MC">
      <formula>NOT(ISERROR(SEARCH("MC",AX16)))</formula>
    </cfRule>
    <cfRule type="containsText" dxfId="480" priority="301" operator="containsText" text="SP">
      <formula>NOT(ISERROR(SEARCH("SP",AX16)))</formula>
    </cfRule>
    <cfRule type="containsText" dxfId="479" priority="302" operator="containsText" text="NL">
      <formula>NOT(ISERROR(SEARCH("NL",AX16)))</formula>
    </cfRule>
    <cfRule type="containsText" dxfId="478" priority="303" operator="containsText" text="FL">
      <formula>NOT(ISERROR(SEARCH("FL",AX16)))</formula>
    </cfRule>
    <cfRule type="containsText" dxfId="477" priority="305" operator="containsText" text="EL">
      <formula>NOT(ISERROR(SEARCH("EL",AX16)))</formula>
    </cfRule>
    <cfRule type="containsText" dxfId="476" priority="310" operator="containsText" text="OFF">
      <formula>NOT(ISERROR(SEARCH("OFF",AX16)))</formula>
    </cfRule>
    <cfRule type="containsText" dxfId="475" priority="304" operator="containsText" text="SUS">
      <formula>NOT(ISERROR(SEARCH("SUS",AX16)))</formula>
    </cfRule>
  </conditionalFormatting>
  <conditionalFormatting sqref="AY4:AZ4">
    <cfRule type="dataBar" priority="12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{18A82118-9CAA-4B92-A71A-8D02BC2C2A4B}</x14:id>
        </ext>
      </extLst>
    </cfRule>
  </conditionalFormatting>
  <conditionalFormatting sqref="AZ7">
    <cfRule type="containsText" dxfId="474" priority="778" operator="containsText" text="AL">
      <formula>NOT(ISERROR(SEARCH("AL",AZ7)))</formula>
    </cfRule>
    <cfRule type="containsText" dxfId="473" priority="777" operator="containsText" text="Sick">
      <formula>NOT(ISERROR(SEARCH("Sick",AZ7)))</formula>
    </cfRule>
    <cfRule type="containsText" dxfId="472" priority="776" operator="containsText" text="AB">
      <formula>NOT(ISERROR(SEARCH("AB",AZ7)))</formula>
    </cfRule>
    <cfRule type="containsText" dxfId="471" priority="775" operator="containsText" text="EL">
      <formula>NOT(ISERROR(SEARCH("EL",AZ7)))</formula>
    </cfRule>
    <cfRule type="containsText" dxfId="470" priority="774" operator="containsText" text="SUS">
      <formula>NOT(ISERROR(SEARCH("SUS",AZ7)))</formula>
    </cfRule>
    <cfRule type="containsText" dxfId="469" priority="773" operator="containsText" text="FL">
      <formula>NOT(ISERROR(SEARCH("FL",AZ7)))</formula>
    </cfRule>
    <cfRule type="containsText" dxfId="468" priority="772" operator="containsText" text="NL">
      <formula>NOT(ISERROR(SEARCH("NL",AZ7)))</formula>
    </cfRule>
    <cfRule type="containsText" dxfId="467" priority="771" operator="containsText" text="SP">
      <formula>NOT(ISERROR(SEARCH("SP",AZ7)))</formula>
    </cfRule>
    <cfRule type="containsText" dxfId="466" priority="779" operator="containsText" text="MC">
      <formula>NOT(ISERROR(SEARCH("MC",AZ7)))</formula>
    </cfRule>
    <cfRule type="containsText" dxfId="465" priority="780" operator="containsText" text="OFF">
      <formula>NOT(ISERROR(SEARCH("OFF",AZ7)))</formula>
    </cfRule>
  </conditionalFormatting>
  <conditionalFormatting sqref="AZ12">
    <cfRule type="containsText" dxfId="464" priority="235" operator="containsText" text="EL">
      <formula>NOT(ISERROR(SEARCH("EL",AZ12)))</formula>
    </cfRule>
    <cfRule type="containsText" dxfId="463" priority="240" operator="containsText" text="OFF">
      <formula>NOT(ISERROR(SEARCH("OFF",AZ12)))</formula>
    </cfRule>
    <cfRule type="containsText" dxfId="462" priority="236" operator="containsText" text="AB">
      <formula>NOT(ISERROR(SEARCH("AB",AZ12)))</formula>
    </cfRule>
    <cfRule type="containsText" dxfId="461" priority="237" operator="containsText" text="Sick">
      <formula>NOT(ISERROR(SEARCH("Sick",AZ12)))</formula>
    </cfRule>
    <cfRule type="containsText" dxfId="460" priority="238" operator="containsText" text="AL">
      <formula>NOT(ISERROR(SEARCH("AL",AZ12)))</formula>
    </cfRule>
    <cfRule type="containsText" dxfId="459" priority="231" operator="containsText" text="SP">
      <formula>NOT(ISERROR(SEARCH("SP",AZ12)))</formula>
    </cfRule>
    <cfRule type="containsText" dxfId="458" priority="239" operator="containsText" text="MC">
      <formula>NOT(ISERROR(SEARCH("MC",AZ12)))</formula>
    </cfRule>
    <cfRule type="containsText" dxfId="457" priority="234" operator="containsText" text="SUS">
      <formula>NOT(ISERROR(SEARCH("SUS",AZ12)))</formula>
    </cfRule>
    <cfRule type="containsText" dxfId="456" priority="233" operator="containsText" text="FL">
      <formula>NOT(ISERROR(SEARCH("FL",AZ12)))</formula>
    </cfRule>
    <cfRule type="containsText" dxfId="455" priority="232" operator="containsText" text="NL">
      <formula>NOT(ISERROR(SEARCH("NL",AZ12)))</formula>
    </cfRule>
  </conditionalFormatting>
  <conditionalFormatting sqref="AZ19">
    <cfRule type="containsText" dxfId="454" priority="658" operator="containsText" text="AL">
      <formula>NOT(ISERROR(SEARCH("AL",AZ19)))</formula>
    </cfRule>
    <cfRule type="containsText" dxfId="453" priority="657" operator="containsText" text="Sick">
      <formula>NOT(ISERROR(SEARCH("Sick",AZ19)))</formula>
    </cfRule>
    <cfRule type="containsText" dxfId="452" priority="655" operator="containsText" text="EL">
      <formula>NOT(ISERROR(SEARCH("EL",AZ19)))</formula>
    </cfRule>
    <cfRule type="containsText" dxfId="451" priority="654" operator="containsText" text="SUS">
      <formula>NOT(ISERROR(SEARCH("SUS",AZ19)))</formula>
    </cfRule>
    <cfRule type="containsText" dxfId="450" priority="652" operator="containsText" text="NL">
      <formula>NOT(ISERROR(SEARCH("NL",AZ19)))</formula>
    </cfRule>
    <cfRule type="containsText" dxfId="449" priority="653" operator="containsText" text="FL">
      <formula>NOT(ISERROR(SEARCH("FL",AZ19)))</formula>
    </cfRule>
    <cfRule type="containsText" dxfId="448" priority="651" operator="containsText" text="SP">
      <formula>NOT(ISERROR(SEARCH("SP",AZ19)))</formula>
    </cfRule>
    <cfRule type="containsText" dxfId="447" priority="660" operator="containsText" text="OFF">
      <formula>NOT(ISERROR(SEARCH("OFF",AZ19)))</formula>
    </cfRule>
    <cfRule type="containsText" dxfId="446" priority="656" operator="containsText" text="AB">
      <formula>NOT(ISERROR(SEARCH("AB",AZ19)))</formula>
    </cfRule>
    <cfRule type="containsText" dxfId="445" priority="659" operator="containsText" text="MC">
      <formula>NOT(ISERROR(SEARCH("MC",AZ19)))</formula>
    </cfRule>
  </conditionalFormatting>
  <conditionalFormatting sqref="AZ22:AZ23">
    <cfRule type="containsText" dxfId="444" priority="622" operator="containsText" text="NL">
      <formula>NOT(ISERROR(SEARCH("NL",AZ22)))</formula>
    </cfRule>
    <cfRule type="containsText" dxfId="443" priority="623" operator="containsText" text="FL">
      <formula>NOT(ISERROR(SEARCH("FL",AZ22)))</formula>
    </cfRule>
    <cfRule type="containsText" dxfId="442" priority="624" operator="containsText" text="SUS">
      <formula>NOT(ISERROR(SEARCH("SUS",AZ22)))</formula>
    </cfRule>
    <cfRule type="containsText" dxfId="441" priority="626" operator="containsText" text="AB">
      <formula>NOT(ISERROR(SEARCH("AB",AZ22)))</formula>
    </cfRule>
    <cfRule type="containsText" dxfId="440" priority="627" operator="containsText" text="Sick">
      <formula>NOT(ISERROR(SEARCH("Sick",AZ22)))</formula>
    </cfRule>
    <cfRule type="containsText" dxfId="439" priority="628" operator="containsText" text="AL">
      <formula>NOT(ISERROR(SEARCH("AL",AZ22)))</formula>
    </cfRule>
    <cfRule type="containsText" dxfId="438" priority="629" operator="containsText" text="MC">
      <formula>NOT(ISERROR(SEARCH("MC",AZ22)))</formula>
    </cfRule>
    <cfRule type="containsText" dxfId="437" priority="625" operator="containsText" text="EL">
      <formula>NOT(ISERROR(SEARCH("EL",AZ22)))</formula>
    </cfRule>
    <cfRule type="containsText" dxfId="436" priority="630" operator="containsText" text="OFF">
      <formula>NOT(ISERROR(SEARCH("OFF",AZ22)))</formula>
    </cfRule>
    <cfRule type="containsText" dxfId="435" priority="621" operator="containsText" text="SP">
      <formula>NOT(ISERROR(SEARCH("SP",AZ22)))</formula>
    </cfRule>
  </conditionalFormatting>
  <conditionalFormatting sqref="BA4:BB4">
    <cfRule type="dataBar" priority="12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{F06A211D-83EF-48EB-8E3E-F5071C1034C2}</x14:id>
        </ext>
      </extLst>
    </cfRule>
  </conditionalFormatting>
  <conditionalFormatting sqref="BA31:BP31">
    <cfRule type="containsText" dxfId="434" priority="12468" stopIfTrue="1" operator="containsText" text="SICK">
      <formula>NOT(ISERROR(SEARCH("SICK",BA31)))</formula>
    </cfRule>
    <cfRule type="containsText" dxfId="433" priority="12467" stopIfTrue="1" operator="containsText" text="SP">
      <formula>NOT(ISERROR(SEARCH("SP",BA31)))</formula>
    </cfRule>
    <cfRule type="containsText" dxfId="432" priority="12466" stopIfTrue="1" operator="containsText" text="AL">
      <formula>NOT(ISERROR(SEARCH("AL",BA31)))</formula>
    </cfRule>
  </conditionalFormatting>
  <conditionalFormatting sqref="BB7">
    <cfRule type="containsText" dxfId="431" priority="765" operator="containsText" text="EL">
      <formula>NOT(ISERROR(SEARCH("EL",BB7)))</formula>
    </cfRule>
    <cfRule type="containsText" dxfId="430" priority="768" operator="containsText" text="AL">
      <formula>NOT(ISERROR(SEARCH("AL",BB7)))</formula>
    </cfRule>
    <cfRule type="containsText" dxfId="429" priority="767" operator="containsText" text="Sick">
      <formula>NOT(ISERROR(SEARCH("Sick",BB7)))</formula>
    </cfRule>
    <cfRule type="containsText" dxfId="428" priority="769" operator="containsText" text="MC">
      <formula>NOT(ISERROR(SEARCH("MC",BB7)))</formula>
    </cfRule>
    <cfRule type="containsText" dxfId="427" priority="761" operator="containsText" text="SP">
      <formula>NOT(ISERROR(SEARCH("SP",BB7)))</formula>
    </cfRule>
    <cfRule type="containsText" dxfId="426" priority="766" operator="containsText" text="AB">
      <formula>NOT(ISERROR(SEARCH("AB",BB7)))</formula>
    </cfRule>
    <cfRule type="containsText" dxfId="425" priority="770" operator="containsText" text="OFF">
      <formula>NOT(ISERROR(SEARCH("OFF",BB7)))</formula>
    </cfRule>
    <cfRule type="containsText" dxfId="424" priority="762" operator="containsText" text="NL">
      <formula>NOT(ISERROR(SEARCH("NL",BB7)))</formula>
    </cfRule>
    <cfRule type="containsText" dxfId="423" priority="763" operator="containsText" text="FL">
      <formula>NOT(ISERROR(SEARCH("FL",BB7)))</formula>
    </cfRule>
    <cfRule type="containsText" dxfId="422" priority="764" operator="containsText" text="SUS">
      <formula>NOT(ISERROR(SEARCH("SUS",BB7)))</formula>
    </cfRule>
  </conditionalFormatting>
  <conditionalFormatting sqref="BB12">
    <cfRule type="containsText" dxfId="421" priority="222" operator="containsText" text="NL">
      <formula>NOT(ISERROR(SEARCH("NL",BB12)))</formula>
    </cfRule>
    <cfRule type="containsText" dxfId="420" priority="223" operator="containsText" text="FL">
      <formula>NOT(ISERROR(SEARCH("FL",BB12)))</formula>
    </cfRule>
    <cfRule type="containsText" dxfId="419" priority="225" operator="containsText" text="EL">
      <formula>NOT(ISERROR(SEARCH("EL",BB12)))</formula>
    </cfRule>
    <cfRule type="containsText" dxfId="418" priority="224" operator="containsText" text="SUS">
      <formula>NOT(ISERROR(SEARCH("SUS",BB12)))</formula>
    </cfRule>
    <cfRule type="containsText" dxfId="417" priority="230" operator="containsText" text="OFF">
      <formula>NOT(ISERROR(SEARCH("OFF",BB12)))</formula>
    </cfRule>
    <cfRule type="containsText" dxfId="416" priority="227" operator="containsText" text="Sick">
      <formula>NOT(ISERROR(SEARCH("Sick",BB12)))</formula>
    </cfRule>
    <cfRule type="containsText" dxfId="415" priority="221" operator="containsText" text="SP">
      <formula>NOT(ISERROR(SEARCH("SP",BB12)))</formula>
    </cfRule>
    <cfRule type="containsText" dxfId="414" priority="226" operator="containsText" text="AB">
      <formula>NOT(ISERROR(SEARCH("AB",BB12)))</formula>
    </cfRule>
    <cfRule type="containsText" dxfId="413" priority="229" operator="containsText" text="MC">
      <formula>NOT(ISERROR(SEARCH("MC",BB12)))</formula>
    </cfRule>
    <cfRule type="containsText" dxfId="412" priority="228" operator="containsText" text="AL">
      <formula>NOT(ISERROR(SEARCH("AL",BB12)))</formula>
    </cfRule>
  </conditionalFormatting>
  <conditionalFormatting sqref="BB19">
    <cfRule type="containsText" dxfId="411" priority="643" operator="containsText" text="FL">
      <formula>NOT(ISERROR(SEARCH("FL",BB19)))</formula>
    </cfRule>
    <cfRule type="containsText" dxfId="410" priority="642" operator="containsText" text="NL">
      <formula>NOT(ISERROR(SEARCH("NL",BB19)))</formula>
    </cfRule>
    <cfRule type="containsText" dxfId="409" priority="641" operator="containsText" text="SP">
      <formula>NOT(ISERROR(SEARCH("SP",BB19)))</formula>
    </cfRule>
    <cfRule type="containsText" dxfId="408" priority="647" operator="containsText" text="Sick">
      <formula>NOT(ISERROR(SEARCH("Sick",BB19)))</formula>
    </cfRule>
    <cfRule type="containsText" dxfId="407" priority="648" operator="containsText" text="AL">
      <formula>NOT(ISERROR(SEARCH("AL",BB19)))</formula>
    </cfRule>
    <cfRule type="containsText" dxfId="406" priority="649" operator="containsText" text="MC">
      <formula>NOT(ISERROR(SEARCH("MC",BB19)))</formula>
    </cfRule>
    <cfRule type="containsText" dxfId="405" priority="650" operator="containsText" text="OFF">
      <formula>NOT(ISERROR(SEARCH("OFF",BB19)))</formula>
    </cfRule>
    <cfRule type="containsText" dxfId="404" priority="646" operator="containsText" text="AB">
      <formula>NOT(ISERROR(SEARCH("AB",BB19)))</formula>
    </cfRule>
    <cfRule type="containsText" dxfId="403" priority="644" operator="containsText" text="SUS">
      <formula>NOT(ISERROR(SEARCH("SUS",BB19)))</formula>
    </cfRule>
    <cfRule type="containsText" dxfId="402" priority="645" operator="containsText" text="EL">
      <formula>NOT(ISERROR(SEARCH("EL",BB19)))</formula>
    </cfRule>
  </conditionalFormatting>
  <conditionalFormatting sqref="BB25">
    <cfRule type="containsText" dxfId="401" priority="595" operator="containsText" text="EL">
      <formula>NOT(ISERROR(SEARCH("EL",BB25)))</formula>
    </cfRule>
    <cfRule type="containsText" dxfId="400" priority="593" operator="containsText" text="FL">
      <formula>NOT(ISERROR(SEARCH("FL",BB25)))</formula>
    </cfRule>
    <cfRule type="containsText" dxfId="399" priority="594" operator="containsText" text="SUS">
      <formula>NOT(ISERROR(SEARCH("SUS",BB25)))</formula>
    </cfRule>
    <cfRule type="containsText" dxfId="398" priority="591" operator="containsText" text="SP">
      <formula>NOT(ISERROR(SEARCH("SP",BB25)))</formula>
    </cfRule>
    <cfRule type="containsText" dxfId="397" priority="592" operator="containsText" text="NL">
      <formula>NOT(ISERROR(SEARCH("NL",BB25)))</formula>
    </cfRule>
    <cfRule type="containsText" dxfId="396" priority="600" operator="containsText" text="OFF">
      <formula>NOT(ISERROR(SEARCH("OFF",BB25)))</formula>
    </cfRule>
    <cfRule type="containsText" dxfId="395" priority="599" operator="containsText" text="MC">
      <formula>NOT(ISERROR(SEARCH("MC",BB25)))</formula>
    </cfRule>
    <cfRule type="containsText" dxfId="394" priority="598" operator="containsText" text="AL">
      <formula>NOT(ISERROR(SEARCH("AL",BB25)))</formula>
    </cfRule>
    <cfRule type="containsText" dxfId="393" priority="597" operator="containsText" text="Sick">
      <formula>NOT(ISERROR(SEARCH("Sick",BB25)))</formula>
    </cfRule>
    <cfRule type="containsText" dxfId="392" priority="596" operator="containsText" text="AB">
      <formula>NOT(ISERROR(SEARCH("AB",BB25)))</formula>
    </cfRule>
  </conditionalFormatting>
  <conditionalFormatting sqref="BB22:BF22">
    <cfRule type="containsText" dxfId="391" priority="580" operator="containsText" text="OFF">
      <formula>NOT(ISERROR(SEARCH("OFF",BB22)))</formula>
    </cfRule>
    <cfRule type="containsText" dxfId="390" priority="579" operator="containsText" text="MC">
      <formula>NOT(ISERROR(SEARCH("MC",BB22)))</formula>
    </cfRule>
    <cfRule type="containsText" dxfId="389" priority="578" operator="containsText" text="AL">
      <formula>NOT(ISERROR(SEARCH("AL",BB22)))</formula>
    </cfRule>
    <cfRule type="containsText" dxfId="388" priority="577" operator="containsText" text="Sick">
      <formula>NOT(ISERROR(SEARCH("Sick",BB22)))</formula>
    </cfRule>
    <cfRule type="containsText" dxfId="387" priority="575" operator="containsText" text="EL">
      <formula>NOT(ISERROR(SEARCH("EL",BB22)))</formula>
    </cfRule>
    <cfRule type="containsText" dxfId="386" priority="574" operator="containsText" text="SUS">
      <formula>NOT(ISERROR(SEARCH("SUS",BB22)))</formula>
    </cfRule>
    <cfRule type="containsText" dxfId="385" priority="576" operator="containsText" text="AB">
      <formula>NOT(ISERROR(SEARCH("AB",BB22)))</formula>
    </cfRule>
    <cfRule type="containsText" dxfId="384" priority="573" operator="containsText" text="FL">
      <formula>NOT(ISERROR(SEARCH("FL",BB22)))</formula>
    </cfRule>
    <cfRule type="containsText" dxfId="383" priority="572" operator="containsText" text="NL">
      <formula>NOT(ISERROR(SEARCH("NL",BB22)))</formula>
    </cfRule>
    <cfRule type="containsText" dxfId="382" priority="571" operator="containsText" text="SP">
      <formula>NOT(ISERROR(SEARCH("SP",BB22)))</formula>
    </cfRule>
  </conditionalFormatting>
  <conditionalFormatting sqref="BC4:BD4">
    <cfRule type="dataBar" priority="124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{B5883476-EC16-4F79-A91B-A59F2189912D}</x14:id>
        </ext>
      </extLst>
    </cfRule>
  </conditionalFormatting>
  <conditionalFormatting sqref="BD7">
    <cfRule type="containsText" dxfId="381" priority="755" operator="containsText" text="EL">
      <formula>NOT(ISERROR(SEARCH("EL",BD7)))</formula>
    </cfRule>
    <cfRule type="containsText" dxfId="380" priority="756" operator="containsText" text="AB">
      <formula>NOT(ISERROR(SEARCH("AB",BD7)))</formula>
    </cfRule>
    <cfRule type="containsText" dxfId="379" priority="757" operator="containsText" text="Sick">
      <formula>NOT(ISERROR(SEARCH("Sick",BD7)))</formula>
    </cfRule>
    <cfRule type="containsText" dxfId="378" priority="758" operator="containsText" text="AL">
      <formula>NOT(ISERROR(SEARCH("AL",BD7)))</formula>
    </cfRule>
    <cfRule type="containsText" dxfId="377" priority="760" operator="containsText" text="OFF">
      <formula>NOT(ISERROR(SEARCH("OFF",BD7)))</formula>
    </cfRule>
    <cfRule type="containsText" dxfId="376" priority="751" operator="containsText" text="SP">
      <formula>NOT(ISERROR(SEARCH("SP",BD7)))</formula>
    </cfRule>
    <cfRule type="containsText" dxfId="375" priority="759" operator="containsText" text="MC">
      <formula>NOT(ISERROR(SEARCH("MC",BD7)))</formula>
    </cfRule>
    <cfRule type="containsText" dxfId="374" priority="752" operator="containsText" text="NL">
      <formula>NOT(ISERROR(SEARCH("NL",BD7)))</formula>
    </cfRule>
    <cfRule type="containsText" dxfId="373" priority="753" operator="containsText" text="FL">
      <formula>NOT(ISERROR(SEARCH("FL",BD7)))</formula>
    </cfRule>
    <cfRule type="containsText" dxfId="372" priority="754" operator="containsText" text="SUS">
      <formula>NOT(ISERROR(SEARCH("SUS",BD7)))</formula>
    </cfRule>
  </conditionalFormatting>
  <conditionalFormatting sqref="BD12">
    <cfRule type="containsText" dxfId="371" priority="212" operator="containsText" text="NL">
      <formula>NOT(ISERROR(SEARCH("NL",BD12)))</formula>
    </cfRule>
    <cfRule type="containsText" dxfId="370" priority="214" operator="containsText" text="SUS">
      <formula>NOT(ISERROR(SEARCH("SUS",BD12)))</formula>
    </cfRule>
    <cfRule type="containsText" dxfId="369" priority="220" operator="containsText" text="OFF">
      <formula>NOT(ISERROR(SEARCH("OFF",BD12)))</formula>
    </cfRule>
    <cfRule type="containsText" dxfId="368" priority="216" operator="containsText" text="AB">
      <formula>NOT(ISERROR(SEARCH("AB",BD12)))</formula>
    </cfRule>
    <cfRule type="containsText" dxfId="367" priority="219" operator="containsText" text="MC">
      <formula>NOT(ISERROR(SEARCH("MC",BD12)))</formula>
    </cfRule>
    <cfRule type="containsText" dxfId="366" priority="215" operator="containsText" text="EL">
      <formula>NOT(ISERROR(SEARCH("EL",BD12)))</formula>
    </cfRule>
    <cfRule type="containsText" dxfId="365" priority="211" operator="containsText" text="SP">
      <formula>NOT(ISERROR(SEARCH("SP",BD12)))</formula>
    </cfRule>
    <cfRule type="containsText" dxfId="364" priority="217" operator="containsText" text="Sick">
      <formula>NOT(ISERROR(SEARCH("Sick",BD12)))</formula>
    </cfRule>
    <cfRule type="containsText" dxfId="363" priority="218" operator="containsText" text="AL">
      <formula>NOT(ISERROR(SEARCH("AL",BD12)))</formula>
    </cfRule>
    <cfRule type="containsText" dxfId="362" priority="213" operator="containsText" text="FL">
      <formula>NOT(ISERROR(SEARCH("FL",BD12)))</formula>
    </cfRule>
  </conditionalFormatting>
  <conditionalFormatting sqref="BD19">
    <cfRule type="containsText" dxfId="361" priority="639" operator="containsText" text="MC">
      <formula>NOT(ISERROR(SEARCH("MC",BD19)))</formula>
    </cfRule>
    <cfRule type="containsText" dxfId="360" priority="638" operator="containsText" text="AL">
      <formula>NOT(ISERROR(SEARCH("AL",BD19)))</formula>
    </cfRule>
    <cfRule type="containsText" dxfId="359" priority="637" operator="containsText" text="Sick">
      <formula>NOT(ISERROR(SEARCH("Sick",BD19)))</formula>
    </cfRule>
    <cfRule type="containsText" dxfId="358" priority="636" operator="containsText" text="AB">
      <formula>NOT(ISERROR(SEARCH("AB",BD19)))</formula>
    </cfRule>
    <cfRule type="containsText" dxfId="357" priority="635" operator="containsText" text="EL">
      <formula>NOT(ISERROR(SEARCH("EL",BD19)))</formula>
    </cfRule>
    <cfRule type="containsText" dxfId="356" priority="634" operator="containsText" text="SUS">
      <formula>NOT(ISERROR(SEARCH("SUS",BD19)))</formula>
    </cfRule>
    <cfRule type="containsText" dxfId="355" priority="633" operator="containsText" text="FL">
      <formula>NOT(ISERROR(SEARCH("FL",BD19)))</formula>
    </cfRule>
    <cfRule type="containsText" dxfId="354" priority="640" operator="containsText" text="OFF">
      <formula>NOT(ISERROR(SEARCH("OFF",BD19)))</formula>
    </cfRule>
    <cfRule type="containsText" dxfId="353" priority="631" operator="containsText" text="SP">
      <formula>NOT(ISERROR(SEARCH("SP",BD19)))</formula>
    </cfRule>
    <cfRule type="containsText" dxfId="352" priority="632" operator="containsText" text="NL">
      <formula>NOT(ISERROR(SEARCH("NL",BD19)))</formula>
    </cfRule>
  </conditionalFormatting>
  <conditionalFormatting sqref="BD23">
    <cfRule type="containsText" dxfId="351" priority="589" operator="containsText" text="MC">
      <formula>NOT(ISERROR(SEARCH("MC",BD23)))</formula>
    </cfRule>
    <cfRule type="containsText" dxfId="350" priority="584" operator="containsText" text="SUS">
      <formula>NOT(ISERROR(SEARCH("SUS",BD23)))</formula>
    </cfRule>
    <cfRule type="containsText" dxfId="349" priority="583" operator="containsText" text="FL">
      <formula>NOT(ISERROR(SEARCH("FL",BD23)))</formula>
    </cfRule>
    <cfRule type="containsText" dxfId="348" priority="590" operator="containsText" text="OFF">
      <formula>NOT(ISERROR(SEARCH("OFF",BD23)))</formula>
    </cfRule>
    <cfRule type="containsText" dxfId="347" priority="582" operator="containsText" text="NL">
      <formula>NOT(ISERROR(SEARCH("NL",BD23)))</formula>
    </cfRule>
    <cfRule type="containsText" dxfId="346" priority="581" operator="containsText" text="SP">
      <formula>NOT(ISERROR(SEARCH("SP",BD23)))</formula>
    </cfRule>
    <cfRule type="containsText" dxfId="345" priority="587" operator="containsText" text="Sick">
      <formula>NOT(ISERROR(SEARCH("Sick",BD23)))</formula>
    </cfRule>
    <cfRule type="containsText" dxfId="344" priority="586" operator="containsText" text="AB">
      <formula>NOT(ISERROR(SEARCH("AB",BD23)))</formula>
    </cfRule>
    <cfRule type="containsText" dxfId="343" priority="588" operator="containsText" text="AL">
      <formula>NOT(ISERROR(SEARCH("AL",BD23)))</formula>
    </cfRule>
    <cfRule type="containsText" dxfId="342" priority="585" operator="containsText" text="EL">
      <formula>NOT(ISERROR(SEARCH("EL",BD23)))</formula>
    </cfRule>
  </conditionalFormatting>
  <conditionalFormatting sqref="BE11">
    <cfRule type="containsText" dxfId="341" priority="548" operator="containsText" text="AL">
      <formula>NOT(ISERROR(SEARCH("AL",BE11)))</formula>
    </cfRule>
    <cfRule type="containsText" dxfId="340" priority="549" operator="containsText" text="MC">
      <formula>NOT(ISERROR(SEARCH("MC",BE11)))</formula>
    </cfRule>
    <cfRule type="containsText" dxfId="339" priority="550" operator="containsText" text="OFF">
      <formula>NOT(ISERROR(SEARCH("OFF",BE11)))</formula>
    </cfRule>
    <cfRule type="containsText" dxfId="338" priority="541" operator="containsText" text="SP">
      <formula>NOT(ISERROR(SEARCH("SP",BE11)))</formula>
    </cfRule>
    <cfRule type="containsText" dxfId="337" priority="545" operator="containsText" text="EL">
      <formula>NOT(ISERROR(SEARCH("EL",BE11)))</formula>
    </cfRule>
    <cfRule type="containsText" dxfId="336" priority="546" operator="containsText" text="AB">
      <formula>NOT(ISERROR(SEARCH("AB",BE11)))</formula>
    </cfRule>
    <cfRule type="containsText" dxfId="335" priority="544" operator="containsText" text="SUS">
      <formula>NOT(ISERROR(SEARCH("SUS",BE11)))</formula>
    </cfRule>
    <cfRule type="containsText" dxfId="334" priority="543" operator="containsText" text="FL">
      <formula>NOT(ISERROR(SEARCH("FL",BE11)))</formula>
    </cfRule>
    <cfRule type="containsText" dxfId="333" priority="542" operator="containsText" text="NL">
      <formula>NOT(ISERROR(SEARCH("NL",BE11)))</formula>
    </cfRule>
    <cfRule type="containsText" dxfId="332" priority="547" operator="containsText" text="Sick">
      <formula>NOT(ISERROR(SEARCH("Sick",BE11)))</formula>
    </cfRule>
  </conditionalFormatting>
  <conditionalFormatting sqref="BE4:BF4">
    <cfRule type="dataBar" priority="124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{0AFF2630-7AB1-47C1-82A0-74BACF86AC98}</x14:id>
        </ext>
      </extLst>
    </cfRule>
  </conditionalFormatting>
  <conditionalFormatting sqref="BE25:BF25">
    <cfRule type="containsText" dxfId="331" priority="148" operator="containsText" text="AL">
      <formula>NOT(ISERROR(SEARCH("AL",BE25)))</formula>
    </cfRule>
    <cfRule type="containsText" dxfId="330" priority="149" operator="containsText" text="MC">
      <formula>NOT(ISERROR(SEARCH("MC",BE25)))</formula>
    </cfRule>
    <cfRule type="containsText" dxfId="329" priority="150" operator="containsText" text="OFF">
      <formula>NOT(ISERROR(SEARCH("OFF",BE25)))</formula>
    </cfRule>
    <cfRule type="containsText" dxfId="328" priority="141" operator="containsText" text="SP">
      <formula>NOT(ISERROR(SEARCH("SP",BE25)))</formula>
    </cfRule>
    <cfRule type="containsText" dxfId="327" priority="142" operator="containsText" text="NL">
      <formula>NOT(ISERROR(SEARCH("NL",BE25)))</formula>
    </cfRule>
    <cfRule type="containsText" dxfId="326" priority="143" operator="containsText" text="FL">
      <formula>NOT(ISERROR(SEARCH("FL",BE25)))</formula>
    </cfRule>
    <cfRule type="containsText" dxfId="325" priority="144" operator="containsText" text="SUS">
      <formula>NOT(ISERROR(SEARCH("SUS",BE25)))</formula>
    </cfRule>
    <cfRule type="containsText" dxfId="324" priority="145" operator="containsText" text="EL">
      <formula>NOT(ISERROR(SEARCH("EL",BE25)))</formula>
    </cfRule>
    <cfRule type="containsText" dxfId="323" priority="146" operator="containsText" text="AB">
      <formula>NOT(ISERROR(SEARCH("AB",BE25)))</formula>
    </cfRule>
    <cfRule type="containsText" dxfId="322" priority="147" operator="containsText" text="Sick">
      <formula>NOT(ISERROR(SEARCH("Sick",BE25)))</formula>
    </cfRule>
  </conditionalFormatting>
  <conditionalFormatting sqref="BF12">
    <cfRule type="containsText" dxfId="321" priority="205" operator="containsText" text="EL">
      <formula>NOT(ISERROR(SEARCH("EL",BF12)))</formula>
    </cfRule>
    <cfRule type="containsText" dxfId="320" priority="204" operator="containsText" text="SUS">
      <formula>NOT(ISERROR(SEARCH("SUS",BF12)))</formula>
    </cfRule>
    <cfRule type="containsText" dxfId="319" priority="203" operator="containsText" text="FL">
      <formula>NOT(ISERROR(SEARCH("FL",BF12)))</formula>
    </cfRule>
    <cfRule type="containsText" dxfId="318" priority="202" operator="containsText" text="NL">
      <formula>NOT(ISERROR(SEARCH("NL",BF12)))</formula>
    </cfRule>
    <cfRule type="containsText" dxfId="317" priority="201" operator="containsText" text="SP">
      <formula>NOT(ISERROR(SEARCH("SP",BF12)))</formula>
    </cfRule>
    <cfRule type="containsText" dxfId="316" priority="208" operator="containsText" text="AL">
      <formula>NOT(ISERROR(SEARCH("AL",BF12)))</formula>
    </cfRule>
    <cfRule type="containsText" dxfId="315" priority="209" operator="containsText" text="MC">
      <formula>NOT(ISERROR(SEARCH("MC",BF12)))</formula>
    </cfRule>
    <cfRule type="containsText" dxfId="314" priority="210" operator="containsText" text="OFF">
      <formula>NOT(ISERROR(SEARCH("OFF",BF12)))</formula>
    </cfRule>
    <cfRule type="containsText" dxfId="313" priority="206" operator="containsText" text="AB">
      <formula>NOT(ISERROR(SEARCH("AB",BF12)))</formula>
    </cfRule>
    <cfRule type="containsText" dxfId="312" priority="207" operator="containsText" text="Sick">
      <formula>NOT(ISERROR(SEARCH("Sick",BF12)))</formula>
    </cfRule>
  </conditionalFormatting>
  <conditionalFormatting sqref="BF19">
    <cfRule type="containsText" dxfId="311" priority="73" operator="containsText" text="FL">
      <formula>NOT(ISERROR(SEARCH("FL",BF19)))</formula>
    </cfRule>
    <cfRule type="containsText" dxfId="310" priority="74" operator="containsText" text="SUS">
      <formula>NOT(ISERROR(SEARCH("SUS",BF19)))</formula>
    </cfRule>
    <cfRule type="containsText" dxfId="309" priority="72" operator="containsText" text="NL">
      <formula>NOT(ISERROR(SEARCH("NL",BF19)))</formula>
    </cfRule>
    <cfRule type="containsText" dxfId="308" priority="71" operator="containsText" text="SP">
      <formula>NOT(ISERROR(SEARCH("SP",BF19)))</formula>
    </cfRule>
    <cfRule type="containsText" dxfId="307" priority="80" operator="containsText" text="OFF">
      <formula>NOT(ISERROR(SEARCH("OFF",BF19)))</formula>
    </cfRule>
    <cfRule type="containsText" dxfId="306" priority="79" operator="containsText" text="MC">
      <formula>NOT(ISERROR(SEARCH("MC",BF19)))</formula>
    </cfRule>
    <cfRule type="containsText" dxfId="305" priority="78" operator="containsText" text="AL">
      <formula>NOT(ISERROR(SEARCH("AL",BF19)))</formula>
    </cfRule>
    <cfRule type="containsText" dxfId="304" priority="77" operator="containsText" text="Sick">
      <formula>NOT(ISERROR(SEARCH("Sick",BF19)))</formula>
    </cfRule>
    <cfRule type="containsText" dxfId="303" priority="76" operator="containsText" text="AB">
      <formula>NOT(ISERROR(SEARCH("AB",BF19)))</formula>
    </cfRule>
    <cfRule type="containsText" dxfId="302" priority="75" operator="containsText" text="EL">
      <formula>NOT(ISERROR(SEARCH("EL",BF19)))</formula>
    </cfRule>
  </conditionalFormatting>
  <conditionalFormatting sqref="BF24">
    <cfRule type="containsText" dxfId="301" priority="270" operator="containsText" text="OFF">
      <formula>NOT(ISERROR(SEARCH("OFF",BF24)))</formula>
    </cfRule>
    <cfRule type="containsText" dxfId="300" priority="268" operator="containsText" text="AL">
      <formula>NOT(ISERROR(SEARCH("AL",BF24)))</formula>
    </cfRule>
    <cfRule type="containsText" dxfId="299" priority="264" operator="containsText" text="SUS">
      <formula>NOT(ISERROR(SEARCH("SUS",BF24)))</formula>
    </cfRule>
    <cfRule type="containsText" dxfId="298" priority="267" operator="containsText" text="Sick">
      <formula>NOT(ISERROR(SEARCH("Sick",BF24)))</formula>
    </cfRule>
    <cfRule type="containsText" dxfId="297" priority="269" operator="containsText" text="MC">
      <formula>NOT(ISERROR(SEARCH("MC",BF24)))</formula>
    </cfRule>
    <cfRule type="containsText" dxfId="296" priority="265" operator="containsText" text="EL">
      <formula>NOT(ISERROR(SEARCH("EL",BF24)))</formula>
    </cfRule>
    <cfRule type="containsText" dxfId="295" priority="266" operator="containsText" text="AB">
      <formula>NOT(ISERROR(SEARCH("AB",BF24)))</formula>
    </cfRule>
    <cfRule type="containsText" dxfId="294" priority="263" operator="containsText" text="FL">
      <formula>NOT(ISERROR(SEARCH("FL",BF24)))</formula>
    </cfRule>
    <cfRule type="containsText" dxfId="293" priority="262" operator="containsText" text="NL">
      <formula>NOT(ISERROR(SEARCH("NL",BF24)))</formula>
    </cfRule>
    <cfRule type="containsText" dxfId="292" priority="261" operator="containsText" text="SP">
      <formula>NOT(ISERROR(SEARCH("SP",BF24)))</formula>
    </cfRule>
  </conditionalFormatting>
  <conditionalFormatting sqref="BG5:BH16">
    <cfRule type="containsText" dxfId="291" priority="455" operator="containsText" text="EL">
      <formula>NOT(ISERROR(SEARCH("EL",BG5)))</formula>
    </cfRule>
    <cfRule type="containsText" dxfId="290" priority="459" operator="containsText" text="MC">
      <formula>NOT(ISERROR(SEARCH("MC",BG5)))</formula>
    </cfRule>
    <cfRule type="containsText" dxfId="289" priority="458" operator="containsText" text="AL">
      <formula>NOT(ISERROR(SEARCH("AL",BG5)))</formula>
    </cfRule>
    <cfRule type="containsText" dxfId="288" priority="460" operator="containsText" text="OFF">
      <formula>NOT(ISERROR(SEARCH("OFF",BG5)))</formula>
    </cfRule>
    <cfRule type="containsText" dxfId="287" priority="457" operator="containsText" text="Sick">
      <formula>NOT(ISERROR(SEARCH("Sick",BG5)))</formula>
    </cfRule>
    <cfRule type="containsText" dxfId="286" priority="456" operator="containsText" text="AB">
      <formula>NOT(ISERROR(SEARCH("AB",BG5)))</formula>
    </cfRule>
    <cfRule type="containsText" dxfId="285" priority="452" operator="containsText" text="NL">
      <formula>NOT(ISERROR(SEARCH("NL",BG5)))</formula>
    </cfRule>
    <cfRule type="containsText" dxfId="284" priority="451" operator="containsText" text="SP">
      <formula>NOT(ISERROR(SEARCH("SP",BG5)))</formula>
    </cfRule>
    <cfRule type="containsText" dxfId="283" priority="453" operator="containsText" text="FL">
      <formula>NOT(ISERROR(SEARCH("FL",BG5)))</formula>
    </cfRule>
    <cfRule type="containsText" dxfId="282" priority="454" operator="containsText" text="SUS">
      <formula>NOT(ISERROR(SEARCH("SUS",BG5)))</formula>
    </cfRule>
  </conditionalFormatting>
  <conditionalFormatting sqref="BG18:BH27">
    <cfRule type="containsText" dxfId="281" priority="295" operator="containsText" text="EL">
      <formula>NOT(ISERROR(SEARCH("EL",BG18)))</formula>
    </cfRule>
    <cfRule type="containsText" dxfId="280" priority="299" operator="containsText" text="MC">
      <formula>NOT(ISERROR(SEARCH("MC",BG18)))</formula>
    </cfRule>
    <cfRule type="containsText" dxfId="279" priority="296" operator="containsText" text="AB">
      <formula>NOT(ISERROR(SEARCH("AB",BG18)))</formula>
    </cfRule>
    <cfRule type="containsText" dxfId="278" priority="297" operator="containsText" text="Sick">
      <formula>NOT(ISERROR(SEARCH("Sick",BG18)))</formula>
    </cfRule>
    <cfRule type="containsText" dxfId="277" priority="298" operator="containsText" text="AL">
      <formula>NOT(ISERROR(SEARCH("AL",BG18)))</formula>
    </cfRule>
    <cfRule type="containsText" dxfId="276" priority="300" operator="containsText" text="OFF">
      <formula>NOT(ISERROR(SEARCH("OFF",BG18)))</formula>
    </cfRule>
    <cfRule type="containsText" dxfId="275" priority="291" operator="containsText" text="SP">
      <formula>NOT(ISERROR(SEARCH("SP",BG18)))</formula>
    </cfRule>
    <cfRule type="containsText" dxfId="274" priority="292" operator="containsText" text="NL">
      <formula>NOT(ISERROR(SEARCH("NL",BG18)))</formula>
    </cfRule>
    <cfRule type="containsText" dxfId="273" priority="293" operator="containsText" text="FL">
      <formula>NOT(ISERROR(SEARCH("FL",BG18)))</formula>
    </cfRule>
    <cfRule type="containsText" dxfId="272" priority="294" operator="containsText" text="SUS">
      <formula>NOT(ISERROR(SEARCH("SUS",BG18)))</formula>
    </cfRule>
  </conditionalFormatting>
  <conditionalFormatting sqref="BG4:BP4">
    <cfRule type="dataBar" priority="14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{22553D2D-F165-4A6E-9CD6-5A7C28AFC73C}</x14:id>
        </ext>
      </extLst>
    </cfRule>
  </conditionalFormatting>
  <conditionalFormatting sqref="BI25:BJ25">
    <cfRule type="containsText" dxfId="271" priority="131" operator="containsText" text="SP">
      <formula>NOT(ISERROR(SEARCH("SP",BI25)))</formula>
    </cfRule>
    <cfRule type="containsText" dxfId="270" priority="139" operator="containsText" text="MC">
      <formula>NOT(ISERROR(SEARCH("MC",BI25)))</formula>
    </cfRule>
    <cfRule type="containsText" dxfId="269" priority="140" operator="containsText" text="OFF">
      <formula>NOT(ISERROR(SEARCH("OFF",BI25)))</formula>
    </cfRule>
    <cfRule type="containsText" dxfId="268" priority="132" operator="containsText" text="NL">
      <formula>NOT(ISERROR(SEARCH("NL",BI25)))</formula>
    </cfRule>
    <cfRule type="containsText" dxfId="267" priority="133" operator="containsText" text="FL">
      <formula>NOT(ISERROR(SEARCH("FL",BI25)))</formula>
    </cfRule>
    <cfRule type="containsText" dxfId="266" priority="134" operator="containsText" text="SUS">
      <formula>NOT(ISERROR(SEARCH("SUS",BI25)))</formula>
    </cfRule>
    <cfRule type="containsText" dxfId="265" priority="135" operator="containsText" text="EL">
      <formula>NOT(ISERROR(SEARCH("EL",BI25)))</formula>
    </cfRule>
    <cfRule type="containsText" dxfId="264" priority="136" operator="containsText" text="AB">
      <formula>NOT(ISERROR(SEARCH("AB",BI25)))</formula>
    </cfRule>
    <cfRule type="containsText" dxfId="263" priority="137" operator="containsText" text="Sick">
      <formula>NOT(ISERROR(SEARCH("Sick",BI25)))</formula>
    </cfRule>
    <cfRule type="containsText" dxfId="262" priority="138" operator="containsText" text="AL">
      <formula>NOT(ISERROR(SEARCH("AL",BI25)))</formula>
    </cfRule>
  </conditionalFormatting>
  <conditionalFormatting sqref="BI12:BL12">
    <cfRule type="containsText" dxfId="261" priority="199" operator="containsText" text="MC">
      <formula>NOT(ISERROR(SEARCH("MC",BI12)))</formula>
    </cfRule>
    <cfRule type="containsText" dxfId="260" priority="197" operator="containsText" text="Sick">
      <formula>NOT(ISERROR(SEARCH("Sick",BI12)))</formula>
    </cfRule>
    <cfRule type="containsText" dxfId="259" priority="196" operator="containsText" text="AB">
      <formula>NOT(ISERROR(SEARCH("AB",BI12)))</formula>
    </cfRule>
    <cfRule type="containsText" dxfId="258" priority="195" operator="containsText" text="EL">
      <formula>NOT(ISERROR(SEARCH("EL",BI12)))</formula>
    </cfRule>
    <cfRule type="containsText" dxfId="257" priority="194" operator="containsText" text="SUS">
      <formula>NOT(ISERROR(SEARCH("SUS",BI12)))</formula>
    </cfRule>
    <cfRule type="containsText" dxfId="256" priority="198" operator="containsText" text="AL">
      <formula>NOT(ISERROR(SEARCH("AL",BI12)))</formula>
    </cfRule>
    <cfRule type="containsText" dxfId="255" priority="191" operator="containsText" text="SP">
      <formula>NOT(ISERROR(SEARCH("SP",BI12)))</formula>
    </cfRule>
    <cfRule type="containsText" dxfId="254" priority="192" operator="containsText" text="NL">
      <formula>NOT(ISERROR(SEARCH("NL",BI12)))</formula>
    </cfRule>
    <cfRule type="containsText" dxfId="253" priority="193" operator="containsText" text="FL">
      <formula>NOT(ISERROR(SEARCH("FL",BI12)))</formula>
    </cfRule>
    <cfRule type="containsText" dxfId="252" priority="200" operator="containsText" text="OFF">
      <formula>NOT(ISERROR(SEARCH("OFF",BI12)))</formula>
    </cfRule>
  </conditionalFormatting>
  <conditionalFormatting sqref="BI18:BP18">
    <cfRule type="containsText" dxfId="251" priority="153" operator="containsText" text="FL">
      <formula>NOT(ISERROR(SEARCH("FL",BI18)))</formula>
    </cfRule>
    <cfRule type="containsText" dxfId="250" priority="160" operator="containsText" text="OFF">
      <formula>NOT(ISERROR(SEARCH("OFF",BI18)))</formula>
    </cfRule>
    <cfRule type="containsText" dxfId="249" priority="159" operator="containsText" text="MC">
      <formula>NOT(ISERROR(SEARCH("MC",BI18)))</formula>
    </cfRule>
    <cfRule type="containsText" dxfId="248" priority="158" operator="containsText" text="AL">
      <formula>NOT(ISERROR(SEARCH("AL",BI18)))</formula>
    </cfRule>
    <cfRule type="containsText" dxfId="247" priority="157" operator="containsText" text="Sick">
      <formula>NOT(ISERROR(SEARCH("Sick",BI18)))</formula>
    </cfRule>
    <cfRule type="containsText" dxfId="246" priority="156" operator="containsText" text="AB">
      <formula>NOT(ISERROR(SEARCH("AB",BI18)))</formula>
    </cfRule>
    <cfRule type="containsText" dxfId="245" priority="155" operator="containsText" text="EL">
      <formula>NOT(ISERROR(SEARCH("EL",BI18)))</formula>
    </cfRule>
    <cfRule type="containsText" dxfId="244" priority="154" operator="containsText" text="SUS">
      <formula>NOT(ISERROR(SEARCH("SUS",BI18)))</formula>
    </cfRule>
    <cfRule type="containsText" dxfId="243" priority="152" operator="containsText" text="NL">
      <formula>NOT(ISERROR(SEARCH("NL",BI18)))</formula>
    </cfRule>
    <cfRule type="containsText" dxfId="242" priority="151" operator="containsText" text="SP">
      <formula>NOT(ISERROR(SEARCH("SP",BI18)))</formula>
    </cfRule>
  </conditionalFormatting>
  <conditionalFormatting sqref="BI23:BP23">
    <cfRule type="containsText" dxfId="241" priority="281" operator="containsText" text="SP">
      <formula>NOT(ISERROR(SEARCH("SP",BI23)))</formula>
    </cfRule>
    <cfRule type="containsText" dxfId="240" priority="287" operator="containsText" text="Sick">
      <formula>NOT(ISERROR(SEARCH("Sick",BI23)))</formula>
    </cfRule>
    <cfRule type="containsText" dxfId="239" priority="286" operator="containsText" text="AB">
      <formula>NOT(ISERROR(SEARCH("AB",BI23)))</formula>
    </cfRule>
    <cfRule type="containsText" dxfId="238" priority="285" operator="containsText" text="EL">
      <formula>NOT(ISERROR(SEARCH("EL",BI23)))</formula>
    </cfRule>
    <cfRule type="containsText" dxfId="237" priority="284" operator="containsText" text="SUS">
      <formula>NOT(ISERROR(SEARCH("SUS",BI23)))</formula>
    </cfRule>
    <cfRule type="containsText" dxfId="236" priority="282" operator="containsText" text="NL">
      <formula>NOT(ISERROR(SEARCH("NL",BI23)))</formula>
    </cfRule>
    <cfRule type="containsText" dxfId="235" priority="288" operator="containsText" text="AL">
      <formula>NOT(ISERROR(SEARCH("AL",BI23)))</formula>
    </cfRule>
    <cfRule type="containsText" dxfId="234" priority="283" operator="containsText" text="FL">
      <formula>NOT(ISERROR(SEARCH("FL",BI23)))</formula>
    </cfRule>
    <cfRule type="containsText" dxfId="233" priority="290" operator="containsText" text="OFF">
      <formula>NOT(ISERROR(SEARCH("OFF",BI23)))</formula>
    </cfRule>
    <cfRule type="containsText" dxfId="232" priority="289" operator="containsText" text="MC">
      <formula>NOT(ISERROR(SEARCH("MC",BI23)))</formula>
    </cfRule>
  </conditionalFormatting>
  <conditionalFormatting sqref="BJ7">
    <cfRule type="containsText" dxfId="231" priority="317" operator="containsText" text="Sick">
      <formula>NOT(ISERROR(SEARCH("Sick",BJ7)))</formula>
    </cfRule>
    <cfRule type="containsText" dxfId="230" priority="318" operator="containsText" text="AL">
      <formula>NOT(ISERROR(SEARCH("AL",BJ7)))</formula>
    </cfRule>
    <cfRule type="containsText" dxfId="229" priority="312" operator="containsText" text="NL">
      <formula>NOT(ISERROR(SEARCH("NL",BJ7)))</formula>
    </cfRule>
    <cfRule type="containsText" dxfId="228" priority="319" operator="containsText" text="MC">
      <formula>NOT(ISERROR(SEARCH("MC",BJ7)))</formula>
    </cfRule>
    <cfRule type="containsText" dxfId="227" priority="320" operator="containsText" text="OFF">
      <formula>NOT(ISERROR(SEARCH("OFF",BJ7)))</formula>
    </cfRule>
    <cfRule type="containsText" dxfId="226" priority="313" operator="containsText" text="FL">
      <formula>NOT(ISERROR(SEARCH("FL",BJ7)))</formula>
    </cfRule>
    <cfRule type="containsText" dxfId="225" priority="311" operator="containsText" text="SP">
      <formula>NOT(ISERROR(SEARCH("SP",BJ7)))</formula>
    </cfRule>
    <cfRule type="containsText" dxfId="224" priority="314" operator="containsText" text="SUS">
      <formula>NOT(ISERROR(SEARCH("SUS",BJ7)))</formula>
    </cfRule>
    <cfRule type="containsText" dxfId="223" priority="316" operator="containsText" text="AB">
      <formula>NOT(ISERROR(SEARCH("AB",BJ7)))</formula>
    </cfRule>
    <cfRule type="containsText" dxfId="222" priority="315" operator="containsText" text="EL">
      <formula>NOT(ISERROR(SEARCH("EL",BJ7)))</formula>
    </cfRule>
  </conditionalFormatting>
  <conditionalFormatting sqref="BJ13">
    <cfRule type="containsText" dxfId="221" priority="332" operator="containsText" text="NL">
      <formula>NOT(ISERROR(SEARCH("NL",BJ13)))</formula>
    </cfRule>
    <cfRule type="containsText" dxfId="220" priority="340" operator="containsText" text="OFF">
      <formula>NOT(ISERROR(SEARCH("OFF",BJ13)))</formula>
    </cfRule>
    <cfRule type="containsText" dxfId="219" priority="339" operator="containsText" text="MC">
      <formula>NOT(ISERROR(SEARCH("MC",BJ13)))</formula>
    </cfRule>
    <cfRule type="containsText" dxfId="218" priority="338" operator="containsText" text="AL">
      <formula>NOT(ISERROR(SEARCH("AL",BJ13)))</formula>
    </cfRule>
    <cfRule type="containsText" dxfId="217" priority="337" operator="containsText" text="Sick">
      <formula>NOT(ISERROR(SEARCH("Sick",BJ13)))</formula>
    </cfRule>
    <cfRule type="containsText" dxfId="216" priority="336" operator="containsText" text="AB">
      <formula>NOT(ISERROR(SEARCH("AB",BJ13)))</formula>
    </cfRule>
    <cfRule type="containsText" dxfId="215" priority="335" operator="containsText" text="EL">
      <formula>NOT(ISERROR(SEARCH("EL",BJ13)))</formula>
    </cfRule>
    <cfRule type="containsText" dxfId="214" priority="334" operator="containsText" text="SUS">
      <formula>NOT(ISERROR(SEARCH("SUS",BJ13)))</formula>
    </cfRule>
    <cfRule type="containsText" dxfId="213" priority="333" operator="containsText" text="FL">
      <formula>NOT(ISERROR(SEARCH("FL",BJ13)))</formula>
    </cfRule>
    <cfRule type="containsText" dxfId="212" priority="331" operator="containsText" text="SP">
      <formula>NOT(ISERROR(SEARCH("SP",BJ13)))</formula>
    </cfRule>
  </conditionalFormatting>
  <conditionalFormatting sqref="BJ19">
    <cfRule type="containsText" dxfId="211" priority="344" operator="containsText" text="SUS">
      <formula>NOT(ISERROR(SEARCH("SUS",BJ19)))</formula>
    </cfRule>
    <cfRule type="containsText" dxfId="210" priority="341" operator="containsText" text="SP">
      <formula>NOT(ISERROR(SEARCH("SP",BJ19)))</formula>
    </cfRule>
    <cfRule type="containsText" dxfId="209" priority="349" operator="containsText" text="MC">
      <formula>NOT(ISERROR(SEARCH("MC",BJ19)))</formula>
    </cfRule>
    <cfRule type="containsText" dxfId="208" priority="348" operator="containsText" text="AL">
      <formula>NOT(ISERROR(SEARCH("AL",BJ19)))</formula>
    </cfRule>
    <cfRule type="containsText" dxfId="207" priority="347" operator="containsText" text="Sick">
      <formula>NOT(ISERROR(SEARCH("Sick",BJ19)))</formula>
    </cfRule>
    <cfRule type="containsText" dxfId="206" priority="350" operator="containsText" text="OFF">
      <formula>NOT(ISERROR(SEARCH("OFF",BJ19)))</formula>
    </cfRule>
    <cfRule type="containsText" dxfId="205" priority="346" operator="containsText" text="AB">
      <formula>NOT(ISERROR(SEARCH("AB",BJ19)))</formula>
    </cfRule>
    <cfRule type="containsText" dxfId="204" priority="345" operator="containsText" text="EL">
      <formula>NOT(ISERROR(SEARCH("EL",BJ19)))</formula>
    </cfRule>
    <cfRule type="containsText" dxfId="203" priority="343" operator="containsText" text="FL">
      <formula>NOT(ISERROR(SEARCH("FL",BJ19)))</formula>
    </cfRule>
    <cfRule type="containsText" dxfId="202" priority="342" operator="containsText" text="NL">
      <formula>NOT(ISERROR(SEARCH("NL",BJ19)))</formula>
    </cfRule>
  </conditionalFormatting>
  <conditionalFormatting sqref="BJ21">
    <cfRule type="containsText" dxfId="201" priority="358" operator="containsText" text="AL">
      <formula>NOT(ISERROR(SEARCH("AL",BJ21)))</formula>
    </cfRule>
    <cfRule type="containsText" dxfId="200" priority="357" operator="containsText" text="Sick">
      <formula>NOT(ISERROR(SEARCH("Sick",BJ21)))</formula>
    </cfRule>
    <cfRule type="containsText" dxfId="199" priority="356" operator="containsText" text="AB">
      <formula>NOT(ISERROR(SEARCH("AB",BJ21)))</formula>
    </cfRule>
    <cfRule type="containsText" dxfId="198" priority="355" operator="containsText" text="EL">
      <formula>NOT(ISERROR(SEARCH("EL",BJ21)))</formula>
    </cfRule>
    <cfRule type="containsText" dxfId="197" priority="354" operator="containsText" text="SUS">
      <formula>NOT(ISERROR(SEARCH("SUS",BJ21)))</formula>
    </cfRule>
    <cfRule type="containsText" dxfId="196" priority="353" operator="containsText" text="FL">
      <formula>NOT(ISERROR(SEARCH("FL",BJ21)))</formula>
    </cfRule>
    <cfRule type="containsText" dxfId="195" priority="351" operator="containsText" text="SP">
      <formula>NOT(ISERROR(SEARCH("SP",BJ21)))</formula>
    </cfRule>
    <cfRule type="containsText" dxfId="194" priority="352" operator="containsText" text="NL">
      <formula>NOT(ISERROR(SEARCH("NL",BJ21)))</formula>
    </cfRule>
    <cfRule type="containsText" dxfId="193" priority="359" operator="containsText" text="MC">
      <formula>NOT(ISERROR(SEARCH("MC",BJ21)))</formula>
    </cfRule>
    <cfRule type="containsText" dxfId="192" priority="360" operator="containsText" text="OFF">
      <formula>NOT(ISERROR(SEARCH("OFF",BJ21)))</formula>
    </cfRule>
  </conditionalFormatting>
  <conditionalFormatting sqref="BJ24">
    <cfRule type="containsText" dxfId="191" priority="370" operator="containsText" text="OFF">
      <formula>NOT(ISERROR(SEARCH("OFF",BJ24)))</formula>
    </cfRule>
    <cfRule type="containsText" dxfId="190" priority="361" operator="containsText" text="SP">
      <formula>NOT(ISERROR(SEARCH("SP",BJ24)))</formula>
    </cfRule>
    <cfRule type="containsText" dxfId="189" priority="362" operator="containsText" text="NL">
      <formula>NOT(ISERROR(SEARCH("NL",BJ24)))</formula>
    </cfRule>
    <cfRule type="containsText" dxfId="188" priority="363" operator="containsText" text="FL">
      <formula>NOT(ISERROR(SEARCH("FL",BJ24)))</formula>
    </cfRule>
    <cfRule type="containsText" dxfId="187" priority="364" operator="containsText" text="SUS">
      <formula>NOT(ISERROR(SEARCH("SUS",BJ24)))</formula>
    </cfRule>
    <cfRule type="containsText" dxfId="186" priority="365" operator="containsText" text="EL">
      <formula>NOT(ISERROR(SEARCH("EL",BJ24)))</formula>
    </cfRule>
    <cfRule type="containsText" dxfId="185" priority="366" operator="containsText" text="AB">
      <formula>NOT(ISERROR(SEARCH("AB",BJ24)))</formula>
    </cfRule>
    <cfRule type="containsText" dxfId="184" priority="367" operator="containsText" text="Sick">
      <formula>NOT(ISERROR(SEARCH("Sick",BJ24)))</formula>
    </cfRule>
    <cfRule type="containsText" dxfId="183" priority="368" operator="containsText" text="AL">
      <formula>NOT(ISERROR(SEARCH("AL",BJ24)))</formula>
    </cfRule>
    <cfRule type="containsText" dxfId="182" priority="369" operator="containsText" text="MC">
      <formula>NOT(ISERROR(SEARCH("MC",BJ24)))</formula>
    </cfRule>
  </conditionalFormatting>
  <conditionalFormatting sqref="BK14:BL16">
    <cfRule type="containsText" dxfId="181" priority="434" operator="containsText" text="SUS">
      <formula>NOT(ISERROR(SEARCH("SUS",BK14)))</formula>
    </cfRule>
    <cfRule type="containsText" dxfId="180" priority="435" operator="containsText" text="EL">
      <formula>NOT(ISERROR(SEARCH("EL",BK14)))</formula>
    </cfRule>
    <cfRule type="containsText" dxfId="179" priority="436" operator="containsText" text="AB">
      <formula>NOT(ISERROR(SEARCH("AB",BK14)))</formula>
    </cfRule>
    <cfRule type="containsText" dxfId="178" priority="438" operator="containsText" text="AL">
      <formula>NOT(ISERROR(SEARCH("AL",BK14)))</formula>
    </cfRule>
    <cfRule type="containsText" dxfId="177" priority="439" operator="containsText" text="MC">
      <formula>NOT(ISERROR(SEARCH("MC",BK14)))</formula>
    </cfRule>
    <cfRule type="containsText" dxfId="176" priority="440" operator="containsText" text="OFF">
      <formula>NOT(ISERROR(SEARCH("OFF",BK14)))</formula>
    </cfRule>
    <cfRule type="containsText" dxfId="175" priority="431" operator="containsText" text="SP">
      <formula>NOT(ISERROR(SEARCH("SP",BK14)))</formula>
    </cfRule>
    <cfRule type="containsText" dxfId="174" priority="437" operator="containsText" text="Sick">
      <formula>NOT(ISERROR(SEARCH("Sick",BK14)))</formula>
    </cfRule>
    <cfRule type="containsText" dxfId="173" priority="433" operator="containsText" text="FL">
      <formula>NOT(ISERROR(SEARCH("FL",BK14)))</formula>
    </cfRule>
    <cfRule type="containsText" dxfId="172" priority="432" operator="containsText" text="NL">
      <formula>NOT(ISERROR(SEARCH("NL",BK14)))</formula>
    </cfRule>
  </conditionalFormatting>
  <conditionalFormatting sqref="BK24:BL25">
    <cfRule type="containsText" dxfId="171" priority="414" operator="containsText" text="SUS">
      <formula>NOT(ISERROR(SEARCH("SUS",BK24)))</formula>
    </cfRule>
    <cfRule type="containsText" dxfId="170" priority="415" operator="containsText" text="EL">
      <formula>NOT(ISERROR(SEARCH("EL",BK24)))</formula>
    </cfRule>
    <cfRule type="containsText" dxfId="169" priority="416" operator="containsText" text="AB">
      <formula>NOT(ISERROR(SEARCH("AB",BK24)))</formula>
    </cfRule>
    <cfRule type="containsText" dxfId="168" priority="413" operator="containsText" text="FL">
      <formula>NOT(ISERROR(SEARCH("FL",BK24)))</formula>
    </cfRule>
    <cfRule type="containsText" dxfId="167" priority="412" operator="containsText" text="NL">
      <formula>NOT(ISERROR(SEARCH("NL",BK24)))</formula>
    </cfRule>
    <cfRule type="containsText" dxfId="166" priority="411" operator="containsText" text="SP">
      <formula>NOT(ISERROR(SEARCH("SP",BK24)))</formula>
    </cfRule>
    <cfRule type="containsText" dxfId="165" priority="420" operator="containsText" text="OFF">
      <formula>NOT(ISERROR(SEARCH("OFF",BK24)))</formula>
    </cfRule>
    <cfRule type="containsText" dxfId="164" priority="419" operator="containsText" text="MC">
      <formula>NOT(ISERROR(SEARCH("MC",BK24)))</formula>
    </cfRule>
    <cfRule type="containsText" dxfId="163" priority="418" operator="containsText" text="AL">
      <formula>NOT(ISERROR(SEARCH("AL",BK24)))</formula>
    </cfRule>
    <cfRule type="containsText" dxfId="162" priority="417" operator="containsText" text="Sick">
      <formula>NOT(ISERROR(SEARCH("Sick",BK24)))</formula>
    </cfRule>
  </conditionalFormatting>
  <conditionalFormatting sqref="BK27:BL27">
    <cfRule type="containsText" dxfId="161" priority="405" operator="containsText" text="EL">
      <formula>NOT(ISERROR(SEARCH("EL",BK27)))</formula>
    </cfRule>
    <cfRule type="containsText" dxfId="160" priority="406" operator="containsText" text="AB">
      <formula>NOT(ISERROR(SEARCH("AB",BK27)))</formula>
    </cfRule>
    <cfRule type="containsText" dxfId="159" priority="407" operator="containsText" text="Sick">
      <formula>NOT(ISERROR(SEARCH("Sick",BK27)))</formula>
    </cfRule>
    <cfRule type="containsText" dxfId="158" priority="408" operator="containsText" text="AL">
      <formula>NOT(ISERROR(SEARCH("AL",BK27)))</formula>
    </cfRule>
    <cfRule type="containsText" dxfId="157" priority="409" operator="containsText" text="MC">
      <formula>NOT(ISERROR(SEARCH("MC",BK27)))</formula>
    </cfRule>
    <cfRule type="containsText" dxfId="156" priority="410" operator="containsText" text="OFF">
      <formula>NOT(ISERROR(SEARCH("OFF",BK27)))</formula>
    </cfRule>
    <cfRule type="containsText" dxfId="155" priority="401" operator="containsText" text="SP">
      <formula>NOT(ISERROR(SEARCH("SP",BK27)))</formula>
    </cfRule>
    <cfRule type="containsText" dxfId="154" priority="402" operator="containsText" text="NL">
      <formula>NOT(ISERROR(SEARCH("NL",BK27)))</formula>
    </cfRule>
    <cfRule type="containsText" dxfId="153" priority="403" operator="containsText" text="FL">
      <formula>NOT(ISERROR(SEARCH("FL",BK27)))</formula>
    </cfRule>
    <cfRule type="containsText" dxfId="152" priority="404" operator="containsText" text="SUS">
      <formula>NOT(ISERROR(SEARCH("SUS",BK27)))</formula>
    </cfRule>
  </conditionalFormatting>
  <conditionalFormatting sqref="BK5:BP6">
    <cfRule type="containsText" dxfId="151" priority="180" operator="containsText" text="OFF">
      <formula>NOT(ISERROR(SEARCH("OFF",BK5)))</formula>
    </cfRule>
    <cfRule type="containsText" dxfId="150" priority="177" operator="containsText" text="Sick">
      <formula>NOT(ISERROR(SEARCH("Sick",BK5)))</formula>
    </cfRule>
    <cfRule type="containsText" dxfId="149" priority="176" operator="containsText" text="AB">
      <formula>NOT(ISERROR(SEARCH("AB",BK5)))</formula>
    </cfRule>
    <cfRule type="containsText" dxfId="148" priority="175" operator="containsText" text="EL">
      <formula>NOT(ISERROR(SEARCH("EL",BK5)))</formula>
    </cfRule>
    <cfRule type="containsText" dxfId="147" priority="174" operator="containsText" text="SUS">
      <formula>NOT(ISERROR(SEARCH("SUS",BK5)))</formula>
    </cfRule>
    <cfRule type="containsText" dxfId="146" priority="173" operator="containsText" text="FL">
      <formula>NOT(ISERROR(SEARCH("FL",BK5)))</formula>
    </cfRule>
    <cfRule type="containsText" dxfId="145" priority="172" operator="containsText" text="NL">
      <formula>NOT(ISERROR(SEARCH("NL",BK5)))</formula>
    </cfRule>
    <cfRule type="containsText" dxfId="144" priority="171" operator="containsText" text="SP">
      <formula>NOT(ISERROR(SEARCH("SP",BK5)))</formula>
    </cfRule>
    <cfRule type="containsText" dxfId="143" priority="178" operator="containsText" text="AL">
      <formula>NOT(ISERROR(SEARCH("AL",BK5)))</formula>
    </cfRule>
    <cfRule type="containsText" dxfId="142" priority="179" operator="containsText" text="MC">
      <formula>NOT(ISERROR(SEARCH("MC",BK5)))</formula>
    </cfRule>
  </conditionalFormatting>
  <conditionalFormatting sqref="BK8:BP9">
    <cfRule type="containsText" dxfId="141" priority="170" operator="containsText" text="OFF">
      <formula>NOT(ISERROR(SEARCH("OFF",BK8)))</formula>
    </cfRule>
    <cfRule type="containsText" dxfId="140" priority="168" operator="containsText" text="AL">
      <formula>NOT(ISERROR(SEARCH("AL",BK8)))</formula>
    </cfRule>
    <cfRule type="containsText" dxfId="139" priority="163" operator="containsText" text="FL">
      <formula>NOT(ISERROR(SEARCH("FL",BK8)))</formula>
    </cfRule>
    <cfRule type="containsText" dxfId="138" priority="164" operator="containsText" text="SUS">
      <formula>NOT(ISERROR(SEARCH("SUS",BK8)))</formula>
    </cfRule>
    <cfRule type="containsText" dxfId="137" priority="165" operator="containsText" text="EL">
      <formula>NOT(ISERROR(SEARCH("EL",BK8)))</formula>
    </cfRule>
    <cfRule type="containsText" dxfId="136" priority="161" operator="containsText" text="SP">
      <formula>NOT(ISERROR(SEARCH("SP",BK8)))</formula>
    </cfRule>
    <cfRule type="containsText" dxfId="135" priority="162" operator="containsText" text="NL">
      <formula>NOT(ISERROR(SEARCH("NL",BK8)))</formula>
    </cfRule>
    <cfRule type="containsText" dxfId="134" priority="167" operator="containsText" text="Sick">
      <formula>NOT(ISERROR(SEARCH("Sick",BK8)))</formula>
    </cfRule>
    <cfRule type="containsText" dxfId="133" priority="169" operator="containsText" text="MC">
      <formula>NOT(ISERROR(SEARCH("MC",BK8)))</formula>
    </cfRule>
    <cfRule type="containsText" dxfId="132" priority="166" operator="containsText" text="AB">
      <formula>NOT(ISERROR(SEARCH("AB",BK8)))</formula>
    </cfRule>
  </conditionalFormatting>
  <conditionalFormatting sqref="BL7">
    <cfRule type="containsText" dxfId="131" priority="327" operator="containsText" text="Sick">
      <formula>NOT(ISERROR(SEARCH("Sick",BL7)))</formula>
    </cfRule>
    <cfRule type="containsText" dxfId="130" priority="326" operator="containsText" text="AB">
      <formula>NOT(ISERROR(SEARCH("AB",BL7)))</formula>
    </cfRule>
    <cfRule type="containsText" dxfId="129" priority="325" operator="containsText" text="EL">
      <formula>NOT(ISERROR(SEARCH("EL",BL7)))</formula>
    </cfRule>
    <cfRule type="containsText" dxfId="128" priority="323" operator="containsText" text="FL">
      <formula>NOT(ISERROR(SEARCH("FL",BL7)))</formula>
    </cfRule>
    <cfRule type="containsText" dxfId="127" priority="322" operator="containsText" text="NL">
      <formula>NOT(ISERROR(SEARCH("NL",BL7)))</formula>
    </cfRule>
    <cfRule type="containsText" dxfId="126" priority="321" operator="containsText" text="SP">
      <formula>NOT(ISERROR(SEARCH("SP",BL7)))</formula>
    </cfRule>
    <cfRule type="containsText" dxfId="125" priority="324" operator="containsText" text="SUS">
      <formula>NOT(ISERROR(SEARCH("SUS",BL7)))</formula>
    </cfRule>
    <cfRule type="containsText" dxfId="124" priority="330" operator="containsText" text="OFF">
      <formula>NOT(ISERROR(SEARCH("OFF",BL7)))</formula>
    </cfRule>
    <cfRule type="containsText" dxfId="123" priority="329" operator="containsText" text="MC">
      <formula>NOT(ISERROR(SEARCH("MC",BL7)))</formula>
    </cfRule>
    <cfRule type="containsText" dxfId="122" priority="328" operator="containsText" text="AL">
      <formula>NOT(ISERROR(SEARCH("AL",BL7)))</formula>
    </cfRule>
  </conditionalFormatting>
  <conditionalFormatting sqref="BL19">
    <cfRule type="containsText" dxfId="121" priority="380" operator="containsText" text="OFF">
      <formula>NOT(ISERROR(SEARCH("OFF",BL19)))</formula>
    </cfRule>
    <cfRule type="containsText" dxfId="120" priority="379" operator="containsText" text="MC">
      <formula>NOT(ISERROR(SEARCH("MC",BL19)))</formula>
    </cfRule>
    <cfRule type="containsText" dxfId="119" priority="371" operator="containsText" text="SP">
      <formula>NOT(ISERROR(SEARCH("SP",BL19)))</formula>
    </cfRule>
    <cfRule type="containsText" dxfId="118" priority="378" operator="containsText" text="AL">
      <formula>NOT(ISERROR(SEARCH("AL",BL19)))</formula>
    </cfRule>
    <cfRule type="containsText" dxfId="117" priority="377" operator="containsText" text="Sick">
      <formula>NOT(ISERROR(SEARCH("Sick",BL19)))</formula>
    </cfRule>
    <cfRule type="containsText" dxfId="116" priority="376" operator="containsText" text="AB">
      <formula>NOT(ISERROR(SEARCH("AB",BL19)))</formula>
    </cfRule>
    <cfRule type="containsText" dxfId="115" priority="375" operator="containsText" text="EL">
      <formula>NOT(ISERROR(SEARCH("EL",BL19)))</formula>
    </cfRule>
    <cfRule type="containsText" dxfId="114" priority="374" operator="containsText" text="SUS">
      <formula>NOT(ISERROR(SEARCH("SUS",BL19)))</formula>
    </cfRule>
    <cfRule type="containsText" dxfId="113" priority="373" operator="containsText" text="FL">
      <formula>NOT(ISERROR(SEARCH("FL",BL19)))</formula>
    </cfRule>
    <cfRule type="containsText" dxfId="112" priority="372" operator="containsText" text="NL">
      <formula>NOT(ISERROR(SEARCH("NL",BL19)))</formula>
    </cfRule>
  </conditionalFormatting>
  <conditionalFormatting sqref="BL21:BL22">
    <cfRule type="containsText" dxfId="111" priority="389" operator="containsText" text="MC">
      <formula>NOT(ISERROR(SEARCH("MC",BL21)))</formula>
    </cfRule>
    <cfRule type="containsText" dxfId="110" priority="388" operator="containsText" text="AL">
      <formula>NOT(ISERROR(SEARCH("AL",BL21)))</formula>
    </cfRule>
    <cfRule type="containsText" dxfId="109" priority="387" operator="containsText" text="Sick">
      <formula>NOT(ISERROR(SEARCH("Sick",BL21)))</formula>
    </cfRule>
    <cfRule type="containsText" dxfId="108" priority="386" operator="containsText" text="AB">
      <formula>NOT(ISERROR(SEARCH("AB",BL21)))</formula>
    </cfRule>
    <cfRule type="containsText" dxfId="107" priority="385" operator="containsText" text="EL">
      <formula>NOT(ISERROR(SEARCH("EL",BL21)))</formula>
    </cfRule>
    <cfRule type="containsText" dxfId="106" priority="384" operator="containsText" text="SUS">
      <formula>NOT(ISERROR(SEARCH("SUS",BL21)))</formula>
    </cfRule>
    <cfRule type="containsText" dxfId="105" priority="383" operator="containsText" text="FL">
      <formula>NOT(ISERROR(SEARCH("FL",BL21)))</formula>
    </cfRule>
    <cfRule type="containsText" dxfId="104" priority="382" operator="containsText" text="NL">
      <formula>NOT(ISERROR(SEARCH("NL",BL21)))</formula>
    </cfRule>
    <cfRule type="containsText" dxfId="103" priority="381" operator="containsText" text="SP">
      <formula>NOT(ISERROR(SEARCH("SP",BL21)))</formula>
    </cfRule>
    <cfRule type="containsText" dxfId="102" priority="390" operator="containsText" text="OFF">
      <formula>NOT(ISERROR(SEARCH("OFF",BL21)))</formula>
    </cfRule>
  </conditionalFormatting>
  <conditionalFormatting sqref="BL53:BP53">
    <cfRule type="containsText" dxfId="101" priority="2422" operator="containsText" text="AB">
      <formula>NOT(ISERROR(SEARCH("AB",BL53)))</formula>
    </cfRule>
    <cfRule type="containsText" dxfId="100" priority="2423" operator="containsText" text="SICK">
      <formula>NOT(ISERROR(SEARCH("SICK",BL53)))</formula>
    </cfRule>
  </conditionalFormatting>
  <conditionalFormatting sqref="BM21:BN21">
    <cfRule type="containsText" dxfId="99" priority="23" operator="containsText" text="FL">
      <formula>NOT(ISERROR(SEARCH("FL",BM21)))</formula>
    </cfRule>
    <cfRule type="containsText" dxfId="98" priority="22" operator="containsText" text="NL">
      <formula>NOT(ISERROR(SEARCH("NL",BM21)))</formula>
    </cfRule>
    <cfRule type="containsText" dxfId="97" priority="21" operator="containsText" text="SP">
      <formula>NOT(ISERROR(SEARCH("SP",BM21)))</formula>
    </cfRule>
    <cfRule type="containsText" dxfId="96" priority="24" operator="containsText" text="SUS">
      <formula>NOT(ISERROR(SEARCH("SUS",BM21)))</formula>
    </cfRule>
    <cfRule type="containsText" dxfId="95" priority="25" operator="containsText" text="EL">
      <formula>NOT(ISERROR(SEARCH("EL",BM21)))</formula>
    </cfRule>
    <cfRule type="containsText" dxfId="94" priority="26" operator="containsText" text="AB">
      <formula>NOT(ISERROR(SEARCH("AB",BM21)))</formula>
    </cfRule>
    <cfRule type="containsText" dxfId="93" priority="27" operator="containsText" text="Sick">
      <formula>NOT(ISERROR(SEARCH("Sick",BM21)))</formula>
    </cfRule>
    <cfRule type="containsText" dxfId="92" priority="29" operator="containsText" text="MC">
      <formula>NOT(ISERROR(SEARCH("MC",BM21)))</formula>
    </cfRule>
    <cfRule type="containsText" dxfId="91" priority="30" operator="containsText" text="OFF">
      <formula>NOT(ISERROR(SEARCH("OFF",BM21)))</formula>
    </cfRule>
    <cfRule type="containsText" dxfId="90" priority="28" operator="containsText" text="AL">
      <formula>NOT(ISERROR(SEARCH("AL",BM21)))</formula>
    </cfRule>
  </conditionalFormatting>
  <conditionalFormatting sqref="BM25:BP25">
    <cfRule type="containsText" dxfId="89" priority="1" operator="containsText" text="SP">
      <formula>NOT(ISERROR(SEARCH("SP",BM25)))</formula>
    </cfRule>
    <cfRule type="containsText" dxfId="88" priority="10" operator="containsText" text="OFF">
      <formula>NOT(ISERROR(SEARCH("OFF",BM25)))</formula>
    </cfRule>
    <cfRule type="containsText" dxfId="87" priority="9" operator="containsText" text="MC">
      <formula>NOT(ISERROR(SEARCH("MC",BM25)))</formula>
    </cfRule>
    <cfRule type="containsText" dxfId="86" priority="7" operator="containsText" text="Sick">
      <formula>NOT(ISERROR(SEARCH("Sick",BM25)))</formula>
    </cfRule>
    <cfRule type="containsText" dxfId="85" priority="6" operator="containsText" text="AB">
      <formula>NOT(ISERROR(SEARCH("AB",BM25)))</formula>
    </cfRule>
    <cfRule type="containsText" dxfId="84" priority="5" operator="containsText" text="EL">
      <formula>NOT(ISERROR(SEARCH("EL",BM25)))</formula>
    </cfRule>
    <cfRule type="containsText" dxfId="83" priority="4" operator="containsText" text="SUS">
      <formula>NOT(ISERROR(SEARCH("SUS",BM25)))</formula>
    </cfRule>
    <cfRule type="containsText" dxfId="82" priority="3" operator="containsText" text="FL">
      <formula>NOT(ISERROR(SEARCH("FL",BM25)))</formula>
    </cfRule>
    <cfRule type="containsText" dxfId="81" priority="2" operator="containsText" text="NL">
      <formula>NOT(ISERROR(SEARCH("NL",BM25)))</formula>
    </cfRule>
    <cfRule type="containsText" dxfId="80" priority="8" operator="containsText" text="AL">
      <formula>NOT(ISERROR(SEARCH("AL",BM25)))</formula>
    </cfRule>
  </conditionalFormatting>
  <conditionalFormatting sqref="BN19">
    <cfRule type="containsText" dxfId="79" priority="61" operator="containsText" text="SP">
      <formula>NOT(ISERROR(SEARCH("SP",BN19)))</formula>
    </cfRule>
    <cfRule type="containsText" dxfId="78" priority="62" operator="containsText" text="NL">
      <formula>NOT(ISERROR(SEARCH("NL",BN19)))</formula>
    </cfRule>
    <cfRule type="containsText" dxfId="77" priority="68" operator="containsText" text="AL">
      <formula>NOT(ISERROR(SEARCH("AL",BN19)))</formula>
    </cfRule>
    <cfRule type="containsText" dxfId="76" priority="70" operator="containsText" text="OFF">
      <formula>NOT(ISERROR(SEARCH("OFF",BN19)))</formula>
    </cfRule>
    <cfRule type="containsText" dxfId="75" priority="69" operator="containsText" text="MC">
      <formula>NOT(ISERROR(SEARCH("MC",BN19)))</formula>
    </cfRule>
    <cfRule type="containsText" dxfId="74" priority="67" operator="containsText" text="Sick">
      <formula>NOT(ISERROR(SEARCH("Sick",BN19)))</formula>
    </cfRule>
    <cfRule type="containsText" dxfId="73" priority="66" operator="containsText" text="AB">
      <formula>NOT(ISERROR(SEARCH("AB",BN19)))</formula>
    </cfRule>
    <cfRule type="containsText" dxfId="72" priority="65" operator="containsText" text="EL">
      <formula>NOT(ISERROR(SEARCH("EL",BN19)))</formula>
    </cfRule>
    <cfRule type="containsText" dxfId="71" priority="64" operator="containsText" text="SUS">
      <formula>NOT(ISERROR(SEARCH("SUS",BN19)))</formula>
    </cfRule>
    <cfRule type="containsText" dxfId="70" priority="63" operator="containsText" text="FL">
      <formula>NOT(ISERROR(SEARCH("FL",BN19)))</formula>
    </cfRule>
  </conditionalFormatting>
  <conditionalFormatting sqref="BN22">
    <cfRule type="containsText" dxfId="69" priority="42" operator="containsText" text="NL">
      <formula>NOT(ISERROR(SEARCH("NL",BN22)))</formula>
    </cfRule>
    <cfRule type="containsText" dxfId="68" priority="43" operator="containsText" text="FL">
      <formula>NOT(ISERROR(SEARCH("FL",BN22)))</formula>
    </cfRule>
    <cfRule type="containsText" dxfId="67" priority="44" operator="containsText" text="SUS">
      <formula>NOT(ISERROR(SEARCH("SUS",BN22)))</formula>
    </cfRule>
    <cfRule type="containsText" dxfId="66" priority="45" operator="containsText" text="EL">
      <formula>NOT(ISERROR(SEARCH("EL",BN22)))</formula>
    </cfRule>
    <cfRule type="containsText" dxfId="65" priority="46" operator="containsText" text="AB">
      <formula>NOT(ISERROR(SEARCH("AB",BN22)))</formula>
    </cfRule>
    <cfRule type="containsText" dxfId="64" priority="47" operator="containsText" text="Sick">
      <formula>NOT(ISERROR(SEARCH("Sick",BN22)))</formula>
    </cfRule>
    <cfRule type="containsText" dxfId="63" priority="48" operator="containsText" text="AL">
      <formula>NOT(ISERROR(SEARCH("AL",BN22)))</formula>
    </cfRule>
    <cfRule type="containsText" dxfId="62" priority="49" operator="containsText" text="MC">
      <formula>NOT(ISERROR(SEARCH("MC",BN22)))</formula>
    </cfRule>
    <cfRule type="containsText" dxfId="61" priority="50" operator="containsText" text="OFF">
      <formula>NOT(ISERROR(SEARCH("OFF",BN22)))</formula>
    </cfRule>
    <cfRule type="containsText" dxfId="60" priority="41" operator="containsText" text="SP">
      <formula>NOT(ISERROR(SEARCH("SP",BN22)))</formula>
    </cfRule>
  </conditionalFormatting>
  <conditionalFormatting sqref="BN26">
    <cfRule type="containsText" dxfId="59" priority="12" operator="containsText" text="NL">
      <formula>NOT(ISERROR(SEARCH("NL",BN26)))</formula>
    </cfRule>
    <cfRule type="containsText" dxfId="58" priority="13" operator="containsText" text="FL">
      <formula>NOT(ISERROR(SEARCH("FL",BN26)))</formula>
    </cfRule>
    <cfRule type="containsText" dxfId="57" priority="15" operator="containsText" text="EL">
      <formula>NOT(ISERROR(SEARCH("EL",BN26)))</formula>
    </cfRule>
    <cfRule type="containsText" dxfId="56" priority="16" operator="containsText" text="AB">
      <formula>NOT(ISERROR(SEARCH("AB",BN26)))</formula>
    </cfRule>
    <cfRule type="containsText" dxfId="55" priority="11" operator="containsText" text="SP">
      <formula>NOT(ISERROR(SEARCH("SP",BN26)))</formula>
    </cfRule>
    <cfRule type="containsText" dxfId="54" priority="17" operator="containsText" text="Sick">
      <formula>NOT(ISERROR(SEARCH("Sick",BN26)))</formula>
    </cfRule>
    <cfRule type="containsText" dxfId="53" priority="18" operator="containsText" text="AL">
      <formula>NOT(ISERROR(SEARCH("AL",BN26)))</formula>
    </cfRule>
    <cfRule type="containsText" dxfId="52" priority="19" operator="containsText" text="MC">
      <formula>NOT(ISERROR(SEARCH("MC",BN26)))</formula>
    </cfRule>
    <cfRule type="containsText" dxfId="51" priority="20" operator="containsText" text="OFF">
      <formula>NOT(ISERROR(SEARCH("OFF",BN26)))</formula>
    </cfRule>
    <cfRule type="containsText" dxfId="50" priority="14" operator="containsText" text="SUS">
      <formula>NOT(ISERROR(SEARCH("SUS",BN26)))</formula>
    </cfRule>
  </conditionalFormatting>
  <conditionalFormatting sqref="BN12:BP12">
    <cfRule type="containsText" dxfId="49" priority="82" operator="containsText" text="NL">
      <formula>NOT(ISERROR(SEARCH("NL",BN12)))</formula>
    </cfRule>
    <cfRule type="containsText" dxfId="48" priority="90" operator="containsText" text="OFF">
      <formula>NOT(ISERROR(SEARCH("OFF",BN12)))</formula>
    </cfRule>
    <cfRule type="containsText" dxfId="47" priority="89" operator="containsText" text="MC">
      <formula>NOT(ISERROR(SEARCH("MC",BN12)))</formula>
    </cfRule>
    <cfRule type="containsText" dxfId="46" priority="88" operator="containsText" text="AL">
      <formula>NOT(ISERROR(SEARCH("AL",BN12)))</formula>
    </cfRule>
    <cfRule type="containsText" dxfId="45" priority="87" operator="containsText" text="Sick">
      <formula>NOT(ISERROR(SEARCH("Sick",BN12)))</formula>
    </cfRule>
    <cfRule type="containsText" dxfId="44" priority="86" operator="containsText" text="AB">
      <formula>NOT(ISERROR(SEARCH("AB",BN12)))</formula>
    </cfRule>
    <cfRule type="containsText" dxfId="43" priority="85" operator="containsText" text="EL">
      <formula>NOT(ISERROR(SEARCH("EL",BN12)))</formula>
    </cfRule>
    <cfRule type="containsText" dxfId="42" priority="84" operator="containsText" text="SUS">
      <formula>NOT(ISERROR(SEARCH("SUS",BN12)))</formula>
    </cfRule>
    <cfRule type="containsText" dxfId="41" priority="81" operator="containsText" text="SP">
      <formula>NOT(ISERROR(SEARCH("SP",BN12)))</formula>
    </cfRule>
    <cfRule type="containsText" dxfId="40" priority="83" operator="containsText" text="FL">
      <formula>NOT(ISERROR(SEARCH("FL",BN12)))</formula>
    </cfRule>
  </conditionalFormatting>
  <conditionalFormatting sqref="BP19">
    <cfRule type="containsText" dxfId="39" priority="51" operator="containsText" text="SP">
      <formula>NOT(ISERROR(SEARCH("SP",BP19)))</formula>
    </cfRule>
    <cfRule type="containsText" dxfId="38" priority="52" operator="containsText" text="NL">
      <formula>NOT(ISERROR(SEARCH("NL",BP19)))</formula>
    </cfRule>
    <cfRule type="containsText" dxfId="37" priority="53" operator="containsText" text="FL">
      <formula>NOT(ISERROR(SEARCH("FL",BP19)))</formula>
    </cfRule>
    <cfRule type="containsText" dxfId="36" priority="54" operator="containsText" text="SUS">
      <formula>NOT(ISERROR(SEARCH("SUS",BP19)))</formula>
    </cfRule>
    <cfRule type="containsText" dxfId="35" priority="55" operator="containsText" text="EL">
      <formula>NOT(ISERROR(SEARCH("EL",BP19)))</formula>
    </cfRule>
    <cfRule type="containsText" dxfId="34" priority="56" operator="containsText" text="AB">
      <formula>NOT(ISERROR(SEARCH("AB",BP19)))</formula>
    </cfRule>
    <cfRule type="containsText" dxfId="33" priority="57" operator="containsText" text="Sick">
      <formula>NOT(ISERROR(SEARCH("Sick",BP19)))</formula>
    </cfRule>
    <cfRule type="containsText" dxfId="32" priority="58" operator="containsText" text="AL">
      <formula>NOT(ISERROR(SEARCH("AL",BP19)))</formula>
    </cfRule>
    <cfRule type="containsText" dxfId="31" priority="59" operator="containsText" text="MC">
      <formula>NOT(ISERROR(SEARCH("MC",BP19)))</formula>
    </cfRule>
    <cfRule type="containsText" dxfId="30" priority="60" operator="containsText" text="OFF">
      <formula>NOT(ISERROR(SEARCH("OFF",BP19)))</formula>
    </cfRule>
  </conditionalFormatting>
  <conditionalFormatting sqref="BP22">
    <cfRule type="containsText" dxfId="29" priority="31" operator="containsText" text="SP">
      <formula>NOT(ISERROR(SEARCH("SP",BP22)))</formula>
    </cfRule>
    <cfRule type="containsText" dxfId="28" priority="32" operator="containsText" text="NL">
      <formula>NOT(ISERROR(SEARCH("NL",BP22)))</formula>
    </cfRule>
    <cfRule type="containsText" dxfId="27" priority="33" operator="containsText" text="FL">
      <formula>NOT(ISERROR(SEARCH("FL",BP22)))</formula>
    </cfRule>
    <cfRule type="containsText" dxfId="26" priority="34" operator="containsText" text="SUS">
      <formula>NOT(ISERROR(SEARCH("SUS",BP22)))</formula>
    </cfRule>
    <cfRule type="containsText" dxfId="25" priority="35" operator="containsText" text="EL">
      <formula>NOT(ISERROR(SEARCH("EL",BP22)))</formula>
    </cfRule>
    <cfRule type="containsText" dxfId="24" priority="36" operator="containsText" text="AB">
      <formula>NOT(ISERROR(SEARCH("AB",BP22)))</formula>
    </cfRule>
    <cfRule type="containsText" dxfId="23" priority="37" operator="containsText" text="Sick">
      <formula>NOT(ISERROR(SEARCH("Sick",BP22)))</formula>
    </cfRule>
    <cfRule type="containsText" dxfId="22" priority="38" operator="containsText" text="AL">
      <formula>NOT(ISERROR(SEARCH("AL",BP22)))</formula>
    </cfRule>
    <cfRule type="containsText" dxfId="21" priority="39" operator="containsText" text="MC">
      <formula>NOT(ISERROR(SEARCH("MC",BP22)))</formula>
    </cfRule>
    <cfRule type="containsText" dxfId="20" priority="40" operator="containsText" text="OFF">
      <formula>NOT(ISERROR(SEARCH("OFF",BP22)))</formula>
    </cfRule>
  </conditionalFormatting>
  <conditionalFormatting sqref="BT4:BZ4">
    <cfRule type="containsText" dxfId="19" priority="2065" operator="containsText" text="SP">
      <formula>NOT(ISERROR(SEARCH("SP",BT4)))</formula>
    </cfRule>
    <cfRule type="containsText" dxfId="18" priority="2066" operator="containsText" text="NL">
      <formula>NOT(ISERROR(SEARCH("NL",BT4)))</formula>
    </cfRule>
    <cfRule type="containsText" dxfId="17" priority="2067" operator="containsText" text="FL">
      <formula>NOT(ISERROR(SEARCH("FL",BT4)))</formula>
    </cfRule>
    <cfRule type="containsText" dxfId="16" priority="2068" operator="containsText" text="SUS">
      <formula>NOT(ISERROR(SEARCH("SUS",BT4)))</formula>
    </cfRule>
    <cfRule type="containsText" dxfId="15" priority="2069" operator="containsText" text="EL">
      <formula>NOT(ISERROR(SEARCH("EL",BT4)))</formula>
    </cfRule>
    <cfRule type="containsText" dxfId="14" priority="2070" operator="containsText" text="AB">
      <formula>NOT(ISERROR(SEARCH("AB",BT4)))</formula>
    </cfRule>
    <cfRule type="containsText" dxfId="13" priority="2071" operator="containsText" text="Sick">
      <formula>NOT(ISERROR(SEARCH("Sick",BT4)))</formula>
    </cfRule>
    <cfRule type="containsText" dxfId="12" priority="2072" operator="containsText" text="AL">
      <formula>NOT(ISERROR(SEARCH("AL",BT4)))</formula>
    </cfRule>
    <cfRule type="containsText" dxfId="11" priority="2073" operator="containsText" text="MC">
      <formula>NOT(ISERROR(SEARCH("MC",BT4)))</formula>
    </cfRule>
    <cfRule type="containsText" dxfId="10" priority="2074" operator="containsText" text="OFF">
      <formula>NOT(ISERROR(SEARCH("OFF",BT4)))</formula>
    </cfRule>
  </conditionalFormatting>
  <conditionalFormatting sqref="CB4:CD4">
    <cfRule type="containsText" dxfId="9" priority="2085" operator="containsText" text="SP">
      <formula>NOT(ISERROR(SEARCH("SP",CB4)))</formula>
    </cfRule>
    <cfRule type="containsText" dxfId="8" priority="2086" operator="containsText" text="NL">
      <formula>NOT(ISERROR(SEARCH("NL",CB4)))</formula>
    </cfRule>
    <cfRule type="containsText" dxfId="7" priority="2087" operator="containsText" text="FL">
      <formula>NOT(ISERROR(SEARCH("FL",CB4)))</formula>
    </cfRule>
    <cfRule type="containsText" dxfId="6" priority="2094" operator="containsText" text="OFF">
      <formula>NOT(ISERROR(SEARCH("OFF",CB4)))</formula>
    </cfRule>
    <cfRule type="containsText" dxfId="5" priority="2089" operator="containsText" text="EL">
      <formula>NOT(ISERROR(SEARCH("EL",CB4)))</formula>
    </cfRule>
    <cfRule type="containsText" dxfId="4" priority="2090" operator="containsText" text="AB">
      <formula>NOT(ISERROR(SEARCH("AB",CB4)))</formula>
    </cfRule>
    <cfRule type="containsText" dxfId="3" priority="2091" operator="containsText" text="Sick">
      <formula>NOT(ISERROR(SEARCH("Sick",CB4)))</formula>
    </cfRule>
    <cfRule type="containsText" dxfId="2" priority="2092" operator="containsText" text="AL">
      <formula>NOT(ISERROR(SEARCH("AL",CB4)))</formula>
    </cfRule>
    <cfRule type="containsText" dxfId="1" priority="2093" operator="containsText" text="MC">
      <formula>NOT(ISERROR(SEARCH("MC",CB4)))</formula>
    </cfRule>
    <cfRule type="containsText" dxfId="0" priority="2088" operator="containsText" text="SUS">
      <formula>NOT(ISERROR(SEARCH("SUS",CB4)))</formula>
    </cfRule>
  </conditionalFormatting>
  <pageMargins left="0.7" right="0.7" top="0.75" bottom="0.75" header="0.3" footer="0.3"/>
  <pageSetup paperSize="9" scale="21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39E42C-A990-4FB9-832E-3C6A5CD3AC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E4:AH4</xm:sqref>
        </x14:conditionalFormatting>
        <x14:conditionalFormatting xmlns:xm="http://schemas.microsoft.com/office/excel/2006/main">
          <x14:cfRule type="dataBar" id="{6D63F4DB-2A84-4176-BA69-1F31123C92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AK4:AL4</xm:sqref>
        </x14:conditionalFormatting>
        <x14:conditionalFormatting xmlns:xm="http://schemas.microsoft.com/office/excel/2006/main">
          <x14:cfRule type="dataBar" id="{1DEE2E95-95D7-4817-9D43-5F70674153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AM4:AN4</xm:sqref>
        </x14:conditionalFormatting>
        <x14:conditionalFormatting xmlns:xm="http://schemas.microsoft.com/office/excel/2006/main">
          <x14:cfRule type="dataBar" id="{E58797D3-2A86-4195-A6FD-0094D016F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AO4:AP4</xm:sqref>
        </x14:conditionalFormatting>
        <x14:conditionalFormatting xmlns:xm="http://schemas.microsoft.com/office/excel/2006/main">
          <x14:cfRule type="dataBar" id="{8260E6E5-BD28-4085-8022-04E6B4FBD1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AQ4:AR4</xm:sqref>
        </x14:conditionalFormatting>
        <x14:conditionalFormatting xmlns:xm="http://schemas.microsoft.com/office/excel/2006/main">
          <x14:cfRule type="dataBar" id="{E3F6B5F3-5936-4733-A5D2-38B68623B0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AS4:AT4</xm:sqref>
        </x14:conditionalFormatting>
        <x14:conditionalFormatting xmlns:xm="http://schemas.microsoft.com/office/excel/2006/main">
          <x14:cfRule type="dataBar" id="{C0AAB12F-FE43-4F10-896C-80D7B0ED7A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AU4:AV4</xm:sqref>
        </x14:conditionalFormatting>
        <x14:conditionalFormatting xmlns:xm="http://schemas.microsoft.com/office/excel/2006/main">
          <x14:cfRule type="dataBar" id="{676084F8-BB6E-4808-A9C4-805D79F874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AW4:AX4</xm:sqref>
        </x14:conditionalFormatting>
        <x14:conditionalFormatting xmlns:xm="http://schemas.microsoft.com/office/excel/2006/main">
          <x14:cfRule type="dataBar" id="{18A82118-9CAA-4B92-A71A-8D02BC2C2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AY4:AZ4</xm:sqref>
        </x14:conditionalFormatting>
        <x14:conditionalFormatting xmlns:xm="http://schemas.microsoft.com/office/excel/2006/main">
          <x14:cfRule type="dataBar" id="{F06A211D-83EF-48EB-8E3E-F5071C1034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BA4:BB4</xm:sqref>
        </x14:conditionalFormatting>
        <x14:conditionalFormatting xmlns:xm="http://schemas.microsoft.com/office/excel/2006/main">
          <x14:cfRule type="dataBar" id="{B5883476-EC16-4F79-A91B-A59F218991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BC4:BD4</xm:sqref>
        </x14:conditionalFormatting>
        <x14:conditionalFormatting xmlns:xm="http://schemas.microsoft.com/office/excel/2006/main">
          <x14:cfRule type="dataBar" id="{0AFF2630-7AB1-47C1-82A0-74BACF86AC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BE4:BF4</xm:sqref>
        </x14:conditionalFormatting>
        <x14:conditionalFormatting xmlns:xm="http://schemas.microsoft.com/office/excel/2006/main">
          <x14:cfRule type="dataBar" id="{22553D2D-F165-4A6E-9CD6-5A7C28AFC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BG4:BP4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2026-04-16T07:14:12Z</cp:lastPrinted>
  <dcterms:created xsi:type="dcterms:W3CDTF">2025-11-01T09:49:58Z</dcterms:created>
  <dcterms:modified xsi:type="dcterms:W3CDTF">2026-10-30T09:25:38Z</dcterms:modified>
</cp:coreProperties>
</file>