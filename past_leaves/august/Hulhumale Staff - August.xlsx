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august\"/>
    </mc:Choice>
  </mc:AlternateContent>
  <xr:revisionPtr revIDLastSave="0" documentId="13_ncr:1_{D4330C2C-58C9-4955-9886-14A2A0F323D3}" xr6:coauthVersionLast="47" xr6:coauthVersionMax="47" xr10:uidLastSave="{00000000-0000-0000-0000-000000000000}"/>
  <bookViews>
    <workbookView xWindow="-120" yWindow="-120" windowWidth="29040" windowHeight="15840" activeTab="1" xr2:uid="{F40E51D0-06DA-454F-A274-231ADDE8369D}"/>
  </bookViews>
  <sheets>
    <sheet name="MASTER" sheetId="7" r:id="rId1"/>
    <sheet name="Kabir Hossain" sheetId="5" r:id="rId2"/>
    <sheet name="MD Mukul Ali" sheetId="6" r:id="rId3"/>
    <sheet name="Sheet2" sheetId="8" r:id="rId4"/>
    <sheet name="Nadim" sheetId="9" r:id="rId5"/>
  </sheets>
  <externalReferences>
    <externalReference r:id="rId6"/>
  </externalReferences>
  <definedNames>
    <definedName name="_xlnm._FilterDatabase" localSheetId="1" hidden="1">'Kabir Hossain'!#REF!</definedName>
    <definedName name="_xlnm._FilterDatabase" localSheetId="0" hidden="1">MASTER!$CH$4:$CR$4</definedName>
    <definedName name="_xlnm._FilterDatabase" localSheetId="2" hidden="1">'MD Mukul Ali'!#REF!</definedName>
    <definedName name="_xlnm._FilterDatabase" localSheetId="4" hidden="1">Nadim!#REF!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5" i="9" l="1"/>
  <c r="AH5" i="9"/>
  <c r="AG5" i="9"/>
  <c r="AF5" i="9"/>
  <c r="AE5" i="9"/>
  <c r="AD5" i="9"/>
  <c r="AC5" i="9"/>
  <c r="AB5" i="9"/>
  <c r="AA5" i="9"/>
  <c r="Z5" i="9"/>
  <c r="Y5" i="9"/>
  <c r="X5" i="9"/>
  <c r="W5" i="9"/>
  <c r="CD22" i="7"/>
  <c r="CC22" i="7"/>
  <c r="CB22" i="7"/>
  <c r="CA22" i="7"/>
  <c r="BZ22" i="7"/>
  <c r="BY22" i="7"/>
  <c r="BX22" i="7"/>
  <c r="BW22" i="7"/>
  <c r="BV22" i="7"/>
  <c r="BU22" i="7"/>
  <c r="BT22" i="7"/>
  <c r="BS22" i="7"/>
  <c r="CB55" i="7"/>
  <c r="BS20" i="7"/>
  <c r="BS21" i="7"/>
  <c r="BS23" i="7"/>
  <c r="BS24" i="7"/>
  <c r="BS25" i="7"/>
  <c r="BS26" i="7"/>
  <c r="BS27" i="7"/>
  <c r="BS28" i="7"/>
  <c r="BS29" i="7"/>
  <c r="BS30" i="7"/>
  <c r="BS31" i="7"/>
  <c r="BS32" i="7"/>
  <c r="BS33" i="7"/>
  <c r="BS34" i="7"/>
  <c r="BS35" i="7"/>
  <c r="BS36" i="7"/>
  <c r="BS37" i="7"/>
  <c r="BS55" i="7"/>
  <c r="BS19" i="7"/>
  <c r="BS6" i="7"/>
  <c r="BS7" i="7"/>
  <c r="BS8" i="7"/>
  <c r="BS9" i="7"/>
  <c r="BS10" i="7"/>
  <c r="BS11" i="7"/>
  <c r="BS12" i="7"/>
  <c r="BS13" i="7"/>
  <c r="BS5" i="7"/>
  <c r="U5" i="9" l="1"/>
  <c r="BQ22" i="7"/>
  <c r="BT13" i="7"/>
  <c r="BU13" i="7"/>
  <c r="BV13" i="7"/>
  <c r="BW13" i="7"/>
  <c r="BX13" i="7"/>
  <c r="BY13" i="7"/>
  <c r="BZ13" i="7"/>
  <c r="CA13" i="7"/>
  <c r="CB13" i="7"/>
  <c r="CC13" i="7"/>
  <c r="CD13" i="7"/>
  <c r="BT37" i="7"/>
  <c r="BU37" i="7"/>
  <c r="BV37" i="7"/>
  <c r="BW37" i="7"/>
  <c r="BX37" i="7"/>
  <c r="BY37" i="7"/>
  <c r="BZ37" i="7"/>
  <c r="CA37" i="7"/>
  <c r="CB37" i="7"/>
  <c r="CC37" i="7"/>
  <c r="CD37" i="7"/>
  <c r="BT55" i="7"/>
  <c r="BU55" i="7"/>
  <c r="BV55" i="7"/>
  <c r="BW55" i="7"/>
  <c r="BX55" i="7"/>
  <c r="BY55" i="7"/>
  <c r="BZ55" i="7"/>
  <c r="CA55" i="7"/>
  <c r="CC55" i="7"/>
  <c r="CD55" i="7"/>
  <c r="CR37" i="7"/>
  <c r="CR55" i="7"/>
  <c r="CR60" i="7"/>
  <c r="CD60" i="7"/>
  <c r="CC60" i="7"/>
  <c r="CB60" i="7"/>
  <c r="CA60" i="7"/>
  <c r="BZ60" i="7"/>
  <c r="BY60" i="7"/>
  <c r="BX60" i="7"/>
  <c r="BW60" i="7"/>
  <c r="BV60" i="7"/>
  <c r="BU60" i="7"/>
  <c r="BT60" i="7"/>
  <c r="BS60" i="7"/>
  <c r="CR59" i="7"/>
  <c r="CD59" i="7"/>
  <c r="CC59" i="7"/>
  <c r="CB59" i="7"/>
  <c r="CA59" i="7"/>
  <c r="BZ59" i="7"/>
  <c r="BY59" i="7"/>
  <c r="BX59" i="7"/>
  <c r="BW59" i="7"/>
  <c r="BV59" i="7"/>
  <c r="BU59" i="7"/>
  <c r="BT59" i="7"/>
  <c r="BS59" i="7"/>
  <c r="CR58" i="7"/>
  <c r="CD58" i="7"/>
  <c r="CC58" i="7"/>
  <c r="CB58" i="7"/>
  <c r="CA58" i="7"/>
  <c r="BZ58" i="7"/>
  <c r="BY58" i="7"/>
  <c r="BX58" i="7"/>
  <c r="BW58" i="7"/>
  <c r="BV58" i="7"/>
  <c r="BU58" i="7"/>
  <c r="BT58" i="7"/>
  <c r="BS58" i="7"/>
  <c r="CR57" i="7"/>
  <c r="CD57" i="7"/>
  <c r="CC57" i="7"/>
  <c r="CB57" i="7"/>
  <c r="CA57" i="7"/>
  <c r="BZ57" i="7"/>
  <c r="BY57" i="7"/>
  <c r="BX57" i="7"/>
  <c r="BW57" i="7"/>
  <c r="BV57" i="7"/>
  <c r="BU57" i="7"/>
  <c r="BT57" i="7"/>
  <c r="BS57" i="7"/>
  <c r="CR36" i="7"/>
  <c r="CD36" i="7"/>
  <c r="CC36" i="7"/>
  <c r="CB36" i="7"/>
  <c r="CA36" i="7"/>
  <c r="BZ36" i="7"/>
  <c r="BY36" i="7"/>
  <c r="BX36" i="7"/>
  <c r="BW36" i="7"/>
  <c r="BV36" i="7"/>
  <c r="BU36" i="7"/>
  <c r="BT36" i="7"/>
  <c r="CR35" i="7"/>
  <c r="CD35" i="7"/>
  <c r="CC35" i="7"/>
  <c r="CB35" i="7"/>
  <c r="CA35" i="7"/>
  <c r="BZ35" i="7"/>
  <c r="BY35" i="7"/>
  <c r="BX35" i="7"/>
  <c r="BW35" i="7"/>
  <c r="BV35" i="7"/>
  <c r="BU35" i="7"/>
  <c r="BT35" i="7"/>
  <c r="CR34" i="7"/>
  <c r="CD34" i="7"/>
  <c r="CC34" i="7"/>
  <c r="CB34" i="7"/>
  <c r="CA34" i="7"/>
  <c r="BZ34" i="7"/>
  <c r="BY34" i="7"/>
  <c r="BX34" i="7"/>
  <c r="BW34" i="7"/>
  <c r="BV34" i="7"/>
  <c r="BU34" i="7"/>
  <c r="BT34" i="7"/>
  <c r="CR33" i="7"/>
  <c r="CD33" i="7"/>
  <c r="CC33" i="7"/>
  <c r="CB33" i="7"/>
  <c r="CA33" i="7"/>
  <c r="BZ33" i="7"/>
  <c r="BY33" i="7"/>
  <c r="BX33" i="7"/>
  <c r="BW33" i="7"/>
  <c r="BV33" i="7"/>
  <c r="BU33" i="7"/>
  <c r="BT33" i="7"/>
  <c r="CR32" i="7"/>
  <c r="CD32" i="7"/>
  <c r="CC32" i="7"/>
  <c r="CB32" i="7"/>
  <c r="CA32" i="7"/>
  <c r="BZ32" i="7"/>
  <c r="BY32" i="7"/>
  <c r="BX32" i="7"/>
  <c r="BW32" i="7"/>
  <c r="BV32" i="7"/>
  <c r="BU32" i="7"/>
  <c r="BT32" i="7"/>
  <c r="CR31" i="7"/>
  <c r="CD31" i="7"/>
  <c r="CC31" i="7"/>
  <c r="CB31" i="7"/>
  <c r="CA31" i="7"/>
  <c r="BZ31" i="7"/>
  <c r="BY31" i="7"/>
  <c r="BX31" i="7"/>
  <c r="BW31" i="7"/>
  <c r="BV31" i="7"/>
  <c r="BU31" i="7"/>
  <c r="BT31" i="7"/>
  <c r="CR30" i="7"/>
  <c r="CD30" i="7"/>
  <c r="CC30" i="7"/>
  <c r="CB30" i="7"/>
  <c r="CA30" i="7"/>
  <c r="BZ30" i="7"/>
  <c r="BY30" i="7"/>
  <c r="BX30" i="7"/>
  <c r="BW30" i="7"/>
  <c r="BV30" i="7"/>
  <c r="BU30" i="7"/>
  <c r="BT30" i="7"/>
  <c r="CR29" i="7"/>
  <c r="CD29" i="7"/>
  <c r="CC29" i="7"/>
  <c r="CB29" i="7"/>
  <c r="CA29" i="7"/>
  <c r="BZ29" i="7"/>
  <c r="BY29" i="7"/>
  <c r="BX29" i="7"/>
  <c r="BW29" i="7"/>
  <c r="BV29" i="7"/>
  <c r="BU29" i="7"/>
  <c r="BT29" i="7"/>
  <c r="CR28" i="7"/>
  <c r="CD28" i="7"/>
  <c r="CC28" i="7"/>
  <c r="CB28" i="7"/>
  <c r="CA28" i="7"/>
  <c r="BZ28" i="7"/>
  <c r="BY28" i="7"/>
  <c r="BX28" i="7"/>
  <c r="BW28" i="7"/>
  <c r="BV28" i="7"/>
  <c r="BU28" i="7"/>
  <c r="BT28" i="7"/>
  <c r="CR27" i="7"/>
  <c r="CD27" i="7"/>
  <c r="CC27" i="7"/>
  <c r="CB27" i="7"/>
  <c r="CA27" i="7"/>
  <c r="BZ27" i="7"/>
  <c r="BY27" i="7"/>
  <c r="BX27" i="7"/>
  <c r="BW27" i="7"/>
  <c r="BV27" i="7"/>
  <c r="BU27" i="7"/>
  <c r="BT27" i="7"/>
  <c r="CR26" i="7"/>
  <c r="CD26" i="7"/>
  <c r="CC26" i="7"/>
  <c r="CB26" i="7"/>
  <c r="CA26" i="7"/>
  <c r="BZ26" i="7"/>
  <c r="BY26" i="7"/>
  <c r="BX26" i="7"/>
  <c r="BW26" i="7"/>
  <c r="BV26" i="7"/>
  <c r="BU26" i="7"/>
  <c r="BT26" i="7"/>
  <c r="CR25" i="7"/>
  <c r="CD25" i="7"/>
  <c r="CC25" i="7"/>
  <c r="CB25" i="7"/>
  <c r="CA25" i="7"/>
  <c r="BZ25" i="7"/>
  <c r="BY25" i="7"/>
  <c r="BX25" i="7"/>
  <c r="BW25" i="7"/>
  <c r="BV25" i="7"/>
  <c r="BU25" i="7"/>
  <c r="BT25" i="7"/>
  <c r="CR24" i="7"/>
  <c r="CD24" i="7"/>
  <c r="CC24" i="7"/>
  <c r="CB24" i="7"/>
  <c r="CA24" i="7"/>
  <c r="BZ24" i="7"/>
  <c r="BY24" i="7"/>
  <c r="BX24" i="7"/>
  <c r="BW24" i="7"/>
  <c r="BV24" i="7"/>
  <c r="BU24" i="7"/>
  <c r="BT24" i="7"/>
  <c r="CR23" i="7"/>
  <c r="CD23" i="7"/>
  <c r="CC23" i="7"/>
  <c r="CB23" i="7"/>
  <c r="CA23" i="7"/>
  <c r="BZ23" i="7"/>
  <c r="BY23" i="7"/>
  <c r="BX23" i="7"/>
  <c r="BW23" i="7"/>
  <c r="BV23" i="7"/>
  <c r="BU23" i="7"/>
  <c r="BT23" i="7"/>
  <c r="CR21" i="7"/>
  <c r="CD21" i="7"/>
  <c r="CC21" i="7"/>
  <c r="CB21" i="7"/>
  <c r="CA21" i="7"/>
  <c r="BZ21" i="7"/>
  <c r="BY21" i="7"/>
  <c r="BX21" i="7"/>
  <c r="BW21" i="7"/>
  <c r="BV21" i="7"/>
  <c r="BU21" i="7"/>
  <c r="BT21" i="7"/>
  <c r="CR20" i="7"/>
  <c r="CD20" i="7"/>
  <c r="CC20" i="7"/>
  <c r="CB20" i="7"/>
  <c r="CA20" i="7"/>
  <c r="BZ20" i="7"/>
  <c r="BY20" i="7"/>
  <c r="BX20" i="7"/>
  <c r="BW20" i="7"/>
  <c r="BV20" i="7"/>
  <c r="BU20" i="7"/>
  <c r="BT20" i="7"/>
  <c r="CR19" i="7"/>
  <c r="CD19" i="7"/>
  <c r="CC19" i="7"/>
  <c r="CB19" i="7"/>
  <c r="CA19" i="7"/>
  <c r="BZ19" i="7"/>
  <c r="BY19" i="7"/>
  <c r="BX19" i="7"/>
  <c r="BW19" i="7"/>
  <c r="BV19" i="7"/>
  <c r="BU19" i="7"/>
  <c r="BT19" i="7"/>
  <c r="CR12" i="7"/>
  <c r="CD12" i="7"/>
  <c r="CC12" i="7"/>
  <c r="CB12" i="7"/>
  <c r="CA12" i="7"/>
  <c r="BZ12" i="7"/>
  <c r="BY12" i="7"/>
  <c r="BX12" i="7"/>
  <c r="BW12" i="7"/>
  <c r="BV12" i="7"/>
  <c r="BU12" i="7"/>
  <c r="BT12" i="7"/>
  <c r="CR11" i="7"/>
  <c r="BT11" i="7"/>
  <c r="B11" i="7"/>
  <c r="CD11" i="7" s="1"/>
  <c r="CR10" i="7"/>
  <c r="BT10" i="7"/>
  <c r="B10" i="7"/>
  <c r="CC10" i="7" s="1"/>
  <c r="CR9" i="7"/>
  <c r="CD9" i="7"/>
  <c r="CC9" i="7"/>
  <c r="CB9" i="7"/>
  <c r="CA9" i="7"/>
  <c r="BZ9" i="7"/>
  <c r="BY9" i="7"/>
  <c r="BX9" i="7"/>
  <c r="BW9" i="7"/>
  <c r="BV9" i="7"/>
  <c r="BU9" i="7"/>
  <c r="BT9" i="7"/>
  <c r="CR8" i="7"/>
  <c r="CD8" i="7"/>
  <c r="CC8" i="7"/>
  <c r="CB8" i="7"/>
  <c r="CA8" i="7"/>
  <c r="BZ8" i="7"/>
  <c r="BY8" i="7"/>
  <c r="BX8" i="7"/>
  <c r="BW8" i="7"/>
  <c r="BV8" i="7"/>
  <c r="BU8" i="7"/>
  <c r="BT8" i="7"/>
  <c r="CR7" i="7"/>
  <c r="CD7" i="7"/>
  <c r="CC7" i="7"/>
  <c r="CB7" i="7"/>
  <c r="CA7" i="7"/>
  <c r="BZ7" i="7"/>
  <c r="BY7" i="7"/>
  <c r="BX7" i="7"/>
  <c r="BW7" i="7"/>
  <c r="BV7" i="7"/>
  <c r="BU7" i="7"/>
  <c r="BT7" i="7"/>
  <c r="CR6" i="7"/>
  <c r="CD6" i="7"/>
  <c r="CC6" i="7"/>
  <c r="CB6" i="7"/>
  <c r="CA6" i="7"/>
  <c r="BZ6" i="7"/>
  <c r="BY6" i="7"/>
  <c r="BX6" i="7"/>
  <c r="BW6" i="7"/>
  <c r="BV6" i="7"/>
  <c r="BU6" i="7"/>
  <c r="BT6" i="7"/>
  <c r="CR5" i="7"/>
  <c r="CD5" i="7"/>
  <c r="CC5" i="7"/>
  <c r="CB5" i="7"/>
  <c r="CA5" i="7"/>
  <c r="BZ5" i="7"/>
  <c r="BY5" i="7"/>
  <c r="BX5" i="7"/>
  <c r="BW5" i="7"/>
  <c r="BV5" i="7"/>
  <c r="BU5" i="7"/>
  <c r="BT5" i="7"/>
  <c r="BF29" i="6"/>
  <c r="AL29" i="6"/>
  <c r="AH29" i="6"/>
  <c r="AG29" i="6"/>
  <c r="B29" i="6"/>
  <c r="AQ29" i="6" s="1"/>
  <c r="BF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E28" i="6" s="1"/>
  <c r="BF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E27" i="6" s="1"/>
  <c r="BF5" i="6"/>
  <c r="AR5" i="6"/>
  <c r="AQ5" i="6"/>
  <c r="AP5" i="6"/>
  <c r="AO5" i="6"/>
  <c r="AN5" i="6"/>
  <c r="AM5" i="6"/>
  <c r="AL5" i="6"/>
  <c r="AK5" i="6"/>
  <c r="AJ5" i="6"/>
  <c r="AI5" i="6"/>
  <c r="AH5" i="6"/>
  <c r="AG5" i="6"/>
  <c r="AE5" i="6" s="1"/>
  <c r="CD10" i="7" l="1"/>
  <c r="CB11" i="7"/>
  <c r="BQ13" i="7"/>
  <c r="BQ37" i="7"/>
  <c r="BV10" i="7"/>
  <c r="BQ55" i="7"/>
  <c r="BQ27" i="7"/>
  <c r="BQ23" i="7"/>
  <c r="BQ12" i="7"/>
  <c r="BX10" i="7"/>
  <c r="BQ57" i="7"/>
  <c r="CA10" i="7"/>
  <c r="BQ33" i="7"/>
  <c r="BZ10" i="7"/>
  <c r="BW11" i="7"/>
  <c r="BQ21" i="7"/>
  <c r="BQ26" i="7"/>
  <c r="BQ30" i="7"/>
  <c r="BQ34" i="7"/>
  <c r="BQ58" i="7"/>
  <c r="BX11" i="7"/>
  <c r="BQ20" i="7"/>
  <c r="BQ25" i="7"/>
  <c r="BQ29" i="7"/>
  <c r="BQ31" i="7"/>
  <c r="BQ35" i="7"/>
  <c r="BQ59" i="7"/>
  <c r="BW10" i="7"/>
  <c r="CB10" i="7"/>
  <c r="CA11" i="7"/>
  <c r="BQ19" i="7"/>
  <c r="BQ24" i="7"/>
  <c r="BQ28" i="7"/>
  <c r="BQ32" i="7"/>
  <c r="BQ36" i="7"/>
  <c r="BQ60" i="7"/>
  <c r="BQ5" i="7"/>
  <c r="BQ9" i="7"/>
  <c r="BQ8" i="7"/>
  <c r="BQ7" i="7"/>
  <c r="BQ6" i="7"/>
  <c r="CC11" i="7"/>
  <c r="BU11" i="7"/>
  <c r="BY11" i="7"/>
  <c r="BU10" i="7"/>
  <c r="BY10" i="7"/>
  <c r="BV11" i="7"/>
  <c r="BZ11" i="7"/>
  <c r="AR29" i="6"/>
  <c r="AJ29" i="6"/>
  <c r="AO29" i="6"/>
  <c r="AK29" i="6"/>
  <c r="AP29" i="6"/>
  <c r="AN29" i="6"/>
  <c r="AI29" i="6"/>
  <c r="AM29" i="6"/>
  <c r="BF29" i="5"/>
  <c r="AH29" i="5"/>
  <c r="AG29" i="5"/>
  <c r="B29" i="5"/>
  <c r="AO29" i="5" s="1"/>
  <c r="BF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BF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BF5" i="5"/>
  <c r="AR5" i="5"/>
  <c r="AQ5" i="5"/>
  <c r="AP5" i="5"/>
  <c r="AO5" i="5"/>
  <c r="AN5" i="5"/>
  <c r="AM5" i="5"/>
  <c r="AL5" i="5"/>
  <c r="AK5" i="5"/>
  <c r="AJ5" i="5"/>
  <c r="AI5" i="5"/>
  <c r="AH5" i="5"/>
  <c r="AG5" i="5"/>
  <c r="BQ11" i="7" l="1"/>
  <c r="BQ10" i="7"/>
  <c r="AE29" i="6"/>
  <c r="AL29" i="5"/>
  <c r="AE28" i="5"/>
  <c r="AE27" i="5"/>
  <c r="AP29" i="5"/>
  <c r="AE5" i="5"/>
  <c r="AI29" i="5"/>
  <c r="AM29" i="5"/>
  <c r="AQ29" i="5"/>
  <c r="AJ29" i="5"/>
  <c r="AN29" i="5"/>
  <c r="AR29" i="5"/>
  <c r="AK29" i="5"/>
  <c r="AE29" i="5" l="1"/>
</calcChain>
</file>

<file path=xl/sharedStrings.xml><?xml version="1.0" encoding="utf-8"?>
<sst xmlns="http://schemas.openxmlformats.org/spreadsheetml/2006/main" count="1214" uniqueCount="141">
  <si>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</si>
  <si>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</si>
  <si>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</si>
  <si>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</si>
  <si>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</si>
  <si>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</si>
  <si>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</si>
  <si>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</si>
  <si>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</si>
  <si>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</si>
  <si>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</si>
  <si>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</si>
  <si>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</si>
  <si>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</si>
  <si>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</si>
  <si>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</si>
  <si>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</si>
  <si>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</si>
  <si>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</si>
  <si>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</si>
  <si>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</si>
  <si>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</si>
  <si>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</si>
  <si>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</si>
  <si>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</si>
  <si>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</si>
  <si>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</si>
  <si>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MD Al Amin</t>
  </si>
  <si>
    <t>Akter Hossain</t>
  </si>
  <si>
    <t>MD Rasel</t>
  </si>
  <si>
    <t>Mohamed Rameez Kariapper</t>
  </si>
  <si>
    <t>Rathnasiri Perera Egodage</t>
  </si>
  <si>
    <t>James Chinnappan</t>
  </si>
  <si>
    <t>FOREIGN JUNIOR STAFFS</t>
  </si>
  <si>
    <t>MAD0246</t>
  </si>
  <si>
    <t>Sharif Uddin</t>
  </si>
  <si>
    <t>MAD0454</t>
  </si>
  <si>
    <t>Mohamed Hidayathulla Abdeen</t>
  </si>
  <si>
    <t>MAD0556</t>
  </si>
  <si>
    <t>MAD0598</t>
  </si>
  <si>
    <t>MD Jihad Hossain</t>
  </si>
  <si>
    <t>MAD0600</t>
  </si>
  <si>
    <t>Kabir Hossain</t>
  </si>
  <si>
    <t>MAD0605</t>
  </si>
  <si>
    <t>MD Zahir Mia</t>
  </si>
  <si>
    <t>MAD0607</t>
  </si>
  <si>
    <t>MAD0627</t>
  </si>
  <si>
    <t>Manirul Laskar</t>
  </si>
  <si>
    <t>MAD0658</t>
  </si>
  <si>
    <t>Javed Alam</t>
  </si>
  <si>
    <t>MAD0671</t>
  </si>
  <si>
    <t>Najare Alam Ansari</t>
  </si>
  <si>
    <t>MAD0685</t>
  </si>
  <si>
    <t>MAD0207</t>
  </si>
  <si>
    <t>Abdul Hafiz</t>
  </si>
  <si>
    <t>MAD0691</t>
  </si>
  <si>
    <t>Sahadat Hossen</t>
  </si>
  <si>
    <t>MAD0692</t>
  </si>
  <si>
    <t>MD Aman Miea</t>
  </si>
  <si>
    <t>MAD0712</t>
  </si>
  <si>
    <t>MD Rumon Ali</t>
  </si>
  <si>
    <t>MAD0722</t>
  </si>
  <si>
    <t>Saddam Hossen</t>
  </si>
  <si>
    <t>Prepared By:</t>
  </si>
  <si>
    <t>Checked By: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</si>
  <si>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</si>
  <si>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</si>
  <si>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</si>
  <si>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</si>
  <si>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</si>
  <si>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</si>
  <si>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</si>
  <si>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</si>
  <si>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</si>
  <si>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</si>
  <si>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</si>
  <si>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</si>
  <si>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</si>
  <si>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</si>
  <si>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</si>
  <si>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</si>
  <si>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</si>
  <si>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</si>
  <si>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 xml:space="preserve"> </t>
  </si>
  <si>
    <t>Pls don’t Remove below data</t>
  </si>
  <si>
    <t>Total</t>
  </si>
  <si>
    <t>MDA0196</t>
  </si>
  <si>
    <t>MAD0745</t>
  </si>
  <si>
    <t>MAD0744</t>
  </si>
  <si>
    <t>Alamgir Hosain</t>
  </si>
  <si>
    <t>Saddam Hossian</t>
  </si>
  <si>
    <t>MAD0760</t>
  </si>
  <si>
    <t>MD Tarikul Islam tarik</t>
  </si>
  <si>
    <t>MAD0761</t>
  </si>
  <si>
    <t>MD Soriful Islam</t>
  </si>
  <si>
    <t>MAD0657</t>
  </si>
  <si>
    <t>Firoj Pawariya</t>
  </si>
  <si>
    <t>MAD0244</t>
  </si>
  <si>
    <t>SICK</t>
  </si>
  <si>
    <t>MAD0766</t>
  </si>
  <si>
    <t>MD Nahid Mia</t>
  </si>
  <si>
    <t xml:space="preserve">Used Leave Totals (Running Year, up to end of this month - JUNE  2026) </t>
  </si>
  <si>
    <t>Grapeson Edward</t>
  </si>
  <si>
    <t>MD Mukul Ali</t>
  </si>
  <si>
    <t>Md Abdus Samad</t>
  </si>
  <si>
    <t>MAD0655</t>
  </si>
  <si>
    <t>Arulmani Kumaresan</t>
  </si>
  <si>
    <t>MAD0226</t>
  </si>
  <si>
    <t xml:space="preserve">Note:    </t>
  </si>
  <si>
    <t>OT</t>
  </si>
  <si>
    <t>Overtime: 36h30m =393 Rf (26th june - 13 july) 2026</t>
  </si>
  <si>
    <t>Salary and Allowance Settlement for July 2026 - Hulhumale Junior Foreign Staff</t>
  </si>
  <si>
    <t>Overtime: 72h = 720 Rf (26th june - 13 july) 2026</t>
  </si>
  <si>
    <t>Please  pay food allowance for 13 days( 1st -13th) July 2026</t>
  </si>
  <si>
    <t>MAD0772</t>
  </si>
  <si>
    <t>Tarek Ahmed</t>
  </si>
  <si>
    <t>Attendance for AUGUST 2026 - Hulhumale Senior Foreign  Staff</t>
  </si>
  <si>
    <t>Attendance for  AUGUST 2026 - Hulhumale Junior Foreign Staff</t>
  </si>
  <si>
    <t>MAD0457</t>
  </si>
  <si>
    <t>MD Manir Hossain</t>
  </si>
  <si>
    <t>MAD0204</t>
  </si>
  <si>
    <t>Grapeson E</t>
  </si>
  <si>
    <t xml:space="preserve">	Kabir Hossain</t>
  </si>
  <si>
    <t>Md Mukul Ali</t>
  </si>
  <si>
    <t xml:space="preserve"> Firoj Pawariya</t>
  </si>
  <si>
    <t xml:space="preserve"> Najare Alam Ansari</t>
  </si>
  <si>
    <t xml:space="preserve"> MD ABDUS SAMAD</t>
  </si>
  <si>
    <t>Late Coming</t>
  </si>
  <si>
    <t>MD Nadim Mahmud</t>
  </si>
  <si>
    <t>D.O.J : 23.08.22</t>
  </si>
  <si>
    <t>MAD0781</t>
  </si>
  <si>
    <t>Joined on 24th August 2026</t>
  </si>
  <si>
    <t>1 Friday added from july</t>
  </si>
  <si>
    <t>1 Friday added from July</t>
  </si>
  <si>
    <t>1 Friday paid extra in july</t>
  </si>
  <si>
    <t>Lila Ibrahim</t>
  </si>
  <si>
    <t>D.O.J - 13th Aug 2026</t>
  </si>
  <si>
    <t>MAD0774</t>
  </si>
  <si>
    <t>MD Rakib Mia</t>
  </si>
  <si>
    <t>Food Allowance for 8 days    ( 24th -29th Aug /2nd - 3rd Sept)2026</t>
  </si>
  <si>
    <t>Settlement for MD Nadim Mahmud - Aug / Sep 2026 - Hulhumale Junior Foreign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</si>
</sst>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&quot;$&quot;#,##0.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Segoe UI"/>
      <family val="2"/>
      <charset val="1"/>
    </font>
    <font>
      <sz val="11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b/>
      <sz val="12"/>
      <color theme="1"/>
      <name val="Arial Black"/>
      <family val="2"/>
    </font>
    <font>
      <b/>
      <sz val="11"/>
      <color theme="1"/>
      <name val="Segoe UI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Segoe UI"/>
      <family val="2"/>
    </font>
    <font>
      <sz val="8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9.9"/>
      <color rgb="FF1E293B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  <font>
      <sz val="12"/>
      <color theme="1"/>
      <name val="Segoe UI"/>
      <family val="2"/>
    </font>
    <font>
      <sz val="12"/>
      <name val="Calibri"/>
      <family val="2"/>
      <scheme val="minor"/>
    </font>
    <font>
      <sz val="9"/>
      <name val="Segoe U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9"/>
      <name val="Arial"/>
      <family val="2"/>
    </font>
    <font>
      <sz val="9.9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1"/>
      </left>
      <right/>
      <top style="thin">
        <color indexed="61"/>
      </top>
      <bottom style="thin">
        <color indexed="61"/>
      </bottom>
      <diagonal/>
    </border>
  </borders>
  <cellStyleXfs count="2">
    <xf numFmtId="0" fontId="0" fillId="0" borderId="0"/>
    <xf numFmtId="0" fontId="11" fillId="0" borderId="0"/>
  </cellStyleXfs>
  <cellXfs count="216">
    <xf numFmtId="0" fontId="0" fillId="0" borderId="0" xfId="0"/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4" fillId="7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8" fillId="8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0" fillId="0" borderId="0" xfId="0" applyFont="1"/>
    <xf numFmtId="164" fontId="18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24" fillId="0" borderId="0" xfId="0" applyFont="1"/>
    <xf numFmtId="0" fontId="25" fillId="10" borderId="0" xfId="0" applyFont="1" applyFill="1" applyAlignment="1">
      <alignment vertical="center"/>
    </xf>
    <xf numFmtId="0" fontId="25" fillId="1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5" fillId="11" borderId="0" xfId="0" applyFont="1" applyFill="1" applyAlignment="1">
      <alignment vertical="center"/>
    </xf>
    <xf numFmtId="0" fontId="25" fillId="11" borderId="0" xfId="0" applyFont="1" applyFill="1" applyAlignment="1">
      <alignment horizontal="left" vertical="center"/>
    </xf>
    <xf numFmtId="0" fontId="21" fillId="11" borderId="0" xfId="0" applyFont="1" applyFill="1"/>
    <xf numFmtId="0" fontId="26" fillId="0" borderId="0" xfId="0" applyFont="1" applyAlignment="1">
      <alignment vertical="center"/>
    </xf>
    <xf numFmtId="49" fontId="25" fillId="11" borderId="0" xfId="0" applyNumberFormat="1" applyFont="1" applyFill="1" applyAlignment="1">
      <alignment vertical="center"/>
    </xf>
    <xf numFmtId="49" fontId="25" fillId="11" borderId="0" xfId="0" applyNumberFormat="1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0" fillId="0" borderId="3" xfId="1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1" fontId="8" fillId="8" borderId="4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2" fillId="13" borderId="7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20" fontId="29" fillId="4" borderId="2" xfId="0" applyNumberFormat="1" applyFont="1" applyFill="1" applyBorder="1" applyAlignment="1">
      <alignment horizontal="center" vertical="center" wrapText="1"/>
    </xf>
    <xf numFmtId="0" fontId="31" fillId="4" borderId="9" xfId="0" applyFont="1" applyFill="1" applyBorder="1" applyAlignment="1">
      <alignment horizontal="center" vertical="center" wrapText="1"/>
    </xf>
    <xf numFmtId="0" fontId="31" fillId="4" borderId="10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left" vertical="top" wrapText="1"/>
    </xf>
    <xf numFmtId="1" fontId="29" fillId="4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20" fontId="33" fillId="4" borderId="2" xfId="0" applyNumberFormat="1" applyFont="1" applyFill="1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 wrapText="1"/>
    </xf>
    <xf numFmtId="0" fontId="34" fillId="12" borderId="2" xfId="0" applyFont="1" applyFill="1" applyBorder="1" applyAlignment="1">
      <alignment horizontal="center" vertical="center" wrapText="1"/>
    </xf>
    <xf numFmtId="20" fontId="34" fillId="12" borderId="2" xfId="0" applyNumberFormat="1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0" fontId="34" fillId="4" borderId="2" xfId="0" applyNumberFormat="1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 wrapText="1"/>
    </xf>
    <xf numFmtId="20" fontId="30" fillId="4" borderId="2" xfId="0" applyNumberFormat="1" applyFont="1" applyFill="1" applyBorder="1" applyAlignment="1">
      <alignment horizontal="center" vertical="center" wrapText="1"/>
    </xf>
    <xf numFmtId="0" fontId="29" fillId="4" borderId="0" xfId="0" applyFont="1" applyFill="1" applyAlignment="1">
      <alignment horizontal="center" vertical="center" wrapText="1"/>
    </xf>
    <xf numFmtId="15" fontId="7" fillId="3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5" fontId="7" fillId="4" borderId="0" xfId="0" applyNumberFormat="1" applyFont="1" applyFill="1" applyAlignment="1">
      <alignment horizontal="center" vertical="center"/>
    </xf>
    <xf numFmtId="20" fontId="29" fillId="4" borderId="0" xfId="0" applyNumberFormat="1" applyFont="1" applyFill="1" applyAlignment="1">
      <alignment horizontal="center" vertical="center" wrapText="1"/>
    </xf>
    <xf numFmtId="0" fontId="10" fillId="0" borderId="2" xfId="1" applyFont="1" applyBorder="1" applyAlignment="1">
      <alignment horizontal="left" vertical="center" wrapText="1"/>
    </xf>
    <xf numFmtId="15" fontId="0" fillId="0" borderId="2" xfId="0" applyNumberFormat="1" applyBorder="1" applyAlignment="1">
      <alignment horizontal="center" vertical="center"/>
    </xf>
    <xf numFmtId="0" fontId="37" fillId="0" borderId="2" xfId="0" applyFont="1" applyBorder="1" applyAlignment="1">
      <alignment horizontal="left" vertical="center" wrapText="1"/>
    </xf>
    <xf numFmtId="15" fontId="1" fillId="3" borderId="2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38" fillId="0" borderId="2" xfId="0" applyNumberFormat="1" applyFont="1" applyBorder="1" applyAlignment="1">
      <alignment horizontal="center" vertical="center"/>
    </xf>
    <xf numFmtId="0" fontId="38" fillId="4" borderId="3" xfId="0" applyFont="1" applyFill="1" applyBorder="1" applyAlignment="1">
      <alignment horizontal="left" vertical="center" wrapText="1"/>
    </xf>
    <xf numFmtId="0" fontId="39" fillId="4" borderId="2" xfId="0" applyFont="1" applyFill="1" applyBorder="1" applyAlignment="1">
      <alignment horizontal="center" vertical="center"/>
    </xf>
    <xf numFmtId="20" fontId="29" fillId="4" borderId="4" xfId="0" applyNumberFormat="1" applyFont="1" applyFill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/>
    </xf>
    <xf numFmtId="0" fontId="18" fillId="9" borderId="0" xfId="0" applyFont="1" applyFill="1" applyAlignment="1">
      <alignment vertical="center"/>
    </xf>
    <xf numFmtId="0" fontId="0" fillId="9" borderId="0" xfId="0" applyFill="1"/>
    <xf numFmtId="164" fontId="33" fillId="4" borderId="2" xfId="0" applyNumberFormat="1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5" fontId="0" fillId="16" borderId="2" xfId="0" applyNumberFormat="1" applyFill="1" applyBorder="1" applyAlignment="1">
      <alignment horizontal="center" vertical="center"/>
    </xf>
    <xf numFmtId="165" fontId="0" fillId="15" borderId="2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1" applyFont="1" applyBorder="1" applyAlignment="1">
      <alignment horizontal="left" vertical="center" wrapText="1"/>
    </xf>
    <xf numFmtId="15" fontId="0" fillId="0" borderId="12" xfId="0" applyNumberFormat="1" applyBorder="1" applyAlignment="1">
      <alignment horizontal="center" vertical="center"/>
    </xf>
    <xf numFmtId="1" fontId="8" fillId="8" borderId="5" xfId="0" applyNumberFormat="1" applyFont="1" applyFill="1" applyBorder="1" applyAlignment="1">
      <alignment horizontal="center" vertical="center"/>
    </xf>
    <xf numFmtId="1" fontId="29" fillId="4" borderId="5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2" xfId="0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1" applyFont="1" applyAlignment="1">
      <alignment horizontal="left" vertical="center" wrapText="1"/>
    </xf>
    <xf numFmtId="15" fontId="0" fillId="0" borderId="0" xfId="0" applyNumberFormat="1" applyAlignment="1">
      <alignment horizontal="center" vertical="center"/>
    </xf>
    <xf numFmtId="0" fontId="33" fillId="4" borderId="0" xfId="0" applyFont="1" applyFill="1" applyAlignment="1">
      <alignment horizontal="center" vertical="center" wrapText="1"/>
    </xf>
    <xf numFmtId="20" fontId="30" fillId="4" borderId="0" xfId="0" applyNumberFormat="1" applyFont="1" applyFill="1" applyAlignment="1">
      <alignment horizontal="center" vertical="center" wrapText="1"/>
    </xf>
    <xf numFmtId="20" fontId="33" fillId="4" borderId="0" xfId="0" applyNumberFormat="1" applyFont="1" applyFill="1" applyAlignment="1">
      <alignment horizontal="center" vertical="center" wrapText="1"/>
    </xf>
    <xf numFmtId="20" fontId="34" fillId="4" borderId="0" xfId="0" applyNumberFormat="1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1" fontId="29" fillId="4" borderId="0" xfId="0" applyNumberFormat="1" applyFont="1" applyFill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164" fontId="33" fillId="4" borderId="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left" vertical="center" wrapText="1"/>
    </xf>
    <xf numFmtId="164" fontId="0" fillId="0" borderId="2" xfId="0" quotePrefix="1" applyNumberFormat="1" applyBorder="1" applyAlignment="1">
      <alignment horizontal="center" vertical="center"/>
    </xf>
    <xf numFmtId="0" fontId="37" fillId="0" borderId="3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left" vertical="top" wrapText="1"/>
    </xf>
    <xf numFmtId="164" fontId="0" fillId="0" borderId="2" xfId="0" applyNumberFormat="1" applyBorder="1"/>
    <xf numFmtId="0" fontId="0" fillId="0" borderId="3" xfId="0" applyBorder="1" applyAlignment="1">
      <alignment horizontal="left" vertical="center"/>
    </xf>
    <xf numFmtId="0" fontId="37" fillId="0" borderId="14" xfId="0" applyFont="1" applyBorder="1" applyAlignment="1">
      <alignment horizontal="left" vertical="top" wrapText="1"/>
    </xf>
    <xf numFmtId="164" fontId="0" fillId="16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0" fontId="19" fillId="13" borderId="2" xfId="0" applyFont="1" applyFill="1" applyBorder="1" applyAlignment="1">
      <alignment horizontal="center" vertical="center"/>
    </xf>
    <xf numFmtId="0" fontId="19" fillId="13" borderId="4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20" fontId="41" fillId="4" borderId="2" xfId="0" applyNumberFormat="1" applyFont="1" applyFill="1" applyBorder="1" applyAlignment="1">
      <alignment horizontal="center" vertical="center" wrapText="1"/>
    </xf>
    <xf numFmtId="164" fontId="0" fillId="19" borderId="2" xfId="0" applyNumberFormat="1" applyFill="1" applyBorder="1" applyAlignment="1">
      <alignment horizontal="center" vertical="center"/>
    </xf>
    <xf numFmtId="164" fontId="29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4" fontId="0" fillId="18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1" fontId="12" fillId="8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vertical="center"/>
    </xf>
    <xf numFmtId="164" fontId="0" fillId="0" borderId="2" xfId="0" applyNumberFormat="1" applyBorder="1" applyAlignment="1">
      <alignment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10" fillId="9" borderId="2" xfId="1" applyFont="1" applyFill="1" applyBorder="1" applyAlignment="1">
      <alignment horizontal="left" vertical="center" wrapText="1"/>
    </xf>
    <xf numFmtId="15" fontId="0" fillId="9" borderId="2" xfId="0" applyNumberFormat="1" applyFill="1" applyBorder="1" applyAlignment="1">
      <alignment horizontal="center" vertical="center"/>
    </xf>
    <xf numFmtId="20" fontId="29" fillId="9" borderId="0" xfId="0" applyNumberFormat="1" applyFont="1" applyFill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/>
    </xf>
    <xf numFmtId="164" fontId="0" fillId="9" borderId="2" xfId="0" applyNumberFormat="1" applyFill="1" applyBorder="1"/>
    <xf numFmtId="20" fontId="41" fillId="9" borderId="2" xfId="0" applyNumberFormat="1" applyFont="1" applyFill="1" applyBorder="1" applyAlignment="1">
      <alignment horizontal="center" vertical="center" wrapText="1"/>
    </xf>
    <xf numFmtId="1" fontId="8" fillId="9" borderId="2" xfId="0" applyNumberFormat="1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1" fontId="6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20" fontId="29" fillId="4" borderId="1" xfId="0" applyNumberFormat="1" applyFont="1" applyFill="1" applyBorder="1" applyAlignment="1">
      <alignment horizontal="center" vertical="center" wrapText="1"/>
    </xf>
    <xf numFmtId="15" fontId="7" fillId="3" borderId="2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  <xf numFmtId="0" fontId="28" fillId="9" borderId="0" xfId="0" applyFont="1" applyFill="1" applyAlignment="1">
      <alignment horizontal="center" vertical="center"/>
    </xf>
    <xf numFmtId="164" fontId="0" fillId="18" borderId="2" xfId="0" applyNumberForma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5" fontId="9" fillId="3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0" fillId="17" borderId="5" xfId="0" applyFont="1" applyFill="1" applyBorder="1" applyAlignment="1">
      <alignment horizontal="center" vertical="center"/>
    </xf>
    <xf numFmtId="0" fontId="40" fillId="17" borderId="13" xfId="0" applyFont="1" applyFill="1" applyBorder="1" applyAlignment="1">
      <alignment horizontal="center" vertical="center"/>
    </xf>
    <xf numFmtId="0" fontId="40" fillId="17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39DB161-B07E-461D-8D78-25E91806D304}"/>
  </cellStyles>
  <dxfs count="406"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R&amp;Admin\0.%20ATTENDANCE\2025\10%20October%202025\Sep%20%202025%20-_Hulhumale%20Foreig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lhumale Staffs_ Sep 2025"/>
      <sheetName val="Food (1-15 Sep"/>
      <sheetName val="Food (16-30 Sep)"/>
    </sheetNames>
    <sheetDataSet>
      <sheetData sheetId="0">
        <row r="6">
          <cell r="B6" t="str">
            <v>MAD0226</v>
          </cell>
        </row>
        <row r="8">
          <cell r="B8" t="str">
            <v>MAD0457</v>
          </cell>
        </row>
        <row r="9">
          <cell r="B9" t="str">
            <v>MAD0569</v>
          </cell>
        </row>
        <row r="11">
          <cell r="B11" t="str">
            <v>MAD0699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4267A-56DC-463F-92C7-7C9A7DB70A5A}" name="Table22" displayName="Table22" ref="CH4:CR11" totalsRowShown="0" headerRowDxfId="405" dataDxfId="403" headerRowBorderDxfId="404" tableBorderDxfId="402" totalsRowBorderDxfId="401">
  <autoFilter ref="CH4:CR11" xr:uid="{60D4C0FB-DDA6-4DA1-9FFC-F74164136AFC}"/>
  <tableColumns count="11">
    <tableColumn id="1" xr3:uid="{377D7A40-7B06-4A92-A1DC-DEAF1C9AB59E}" name="MC" dataDxfId="400"/>
    <tableColumn id="2" xr3:uid="{0C68EF4E-1D9C-4587-AF19-CD6417A18FB8}" name="EL" dataDxfId="399"/>
    <tableColumn id="3" xr3:uid="{B9C5D40E-AF8F-4B04-9AF2-1BD6D6058FDE}" name="AL" dataDxfId="398"/>
    <tableColumn id="4" xr3:uid="{E3576F87-268D-48FA-9E8C-1FB0D184A472}" name="SUS" dataDxfId="397"/>
    <tableColumn id="5" xr3:uid="{01FB102F-C550-467D-8F86-9A7970A3B06D}" name="FL" dataDxfId="396"/>
    <tableColumn id="6" xr3:uid="{26217668-4148-4C10-BBFC-1D7BB10B6E9C}" name="S" dataDxfId="395"/>
    <tableColumn id="7" xr3:uid="{82F5F653-0A0A-405B-96F3-B54BE3F86F8C}" name="HD" dataDxfId="394"/>
    <tableColumn id="8" xr3:uid="{F5F1D75F-DBAE-45F0-9EC2-4D630A0928EF}" name="AB" dataDxfId="393"/>
    <tableColumn id="9" xr3:uid="{367EB2A3-32A1-41E1-AEC1-D65C7D47B369}" name="NL" dataDxfId="392"/>
    <tableColumn id="10" xr3:uid="{1B9C670C-757D-4C00-A55B-A4923A16BBC8}" name="SP" dataDxfId="391"/>
    <tableColumn id="11" xr3:uid="{8DD3196B-CA6F-427E-A214-05EFE3D29A8D}" name="Total" dataDxfId="390">
      <calculatedColumnFormula>SUM(CH5:CQ5)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AB58-3D38-4108-BA91-F5FE9830ADA9}">
  <sheetPr>
    <pageSetUpPr fitToPage="1"/>
  </sheetPr>
  <dimension ref="A1:CR60"/>
  <sheetViews>
    <sheetView zoomScale="90" zoomScaleNormal="90" workbookViewId="0">
      <pane xSplit="4" ySplit="4" topLeftCell="AS14" activePane="bottomRight" state="frozen"/>
      <selection pane="topRight" activeCell="E1" sqref="E1"/>
      <selection pane="bottomLeft" activeCell="A5" sqref="A5"/>
      <selection pane="bottomRight" activeCell="C22" sqref="C22"/>
    </sheetView>
  </sheetViews>
  <sheetFormatPr defaultRowHeight="15" x14ac:dyDescent="0.25"/>
  <cols>
    <col min="1" max="1" width="5.5703125" customWidth="1"/>
    <col min="2" max="2" width="10.85546875" style="18" customWidth="1"/>
    <col min="3" max="3" width="29.140625" customWidth="1"/>
    <col min="4" max="4" width="13.7109375" hidden="1" customWidth="1"/>
    <col min="5" max="34" width="6.42578125" customWidth="1"/>
    <col min="35" max="35" width="3.7109375" customWidth="1"/>
    <col min="36" max="36" width="5.5703125" customWidth="1"/>
    <col min="37" max="68" width="6.42578125" customWidth="1"/>
    <col min="69" max="69" width="5" customWidth="1"/>
    <col min="70" max="82" width="5.140625" customWidth="1"/>
    <col min="83" max="83" width="21.140625" customWidth="1"/>
    <col min="86" max="96" width="5.28515625" customWidth="1"/>
  </cols>
  <sheetData>
    <row r="1" spans="1:96" ht="24" customHeight="1" x14ac:dyDescent="0.25">
      <c r="A1" s="203" t="s">
        <v>116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94"/>
      <c r="AJ1" s="203" t="s">
        <v>116</v>
      </c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96" ht="18.75" x14ac:dyDescent="0.25">
      <c r="A2" s="209" t="s">
        <v>0</v>
      </c>
      <c r="B2" s="209"/>
      <c r="C2" s="209"/>
      <c r="D2" s="69"/>
      <c r="E2" s="206" t="s">
        <v>4</v>
      </c>
      <c r="F2" s="206"/>
      <c r="G2" s="206" t="s">
        <v>5</v>
      </c>
      <c r="H2" s="206"/>
      <c r="I2" s="206" t="s">
        <v>6</v>
      </c>
      <c r="J2" s="206"/>
      <c r="K2" s="206" t="s">
        <v>7</v>
      </c>
      <c r="L2" s="206"/>
      <c r="M2" s="206" t="s">
        <v>1</v>
      </c>
      <c r="N2" s="206"/>
      <c r="O2" s="206" t="s">
        <v>2</v>
      </c>
      <c r="P2" s="206"/>
      <c r="Q2" s="206" t="s">
        <v>3</v>
      </c>
      <c r="R2" s="206"/>
      <c r="S2" s="206" t="s">
        <v>4</v>
      </c>
      <c r="T2" s="206"/>
      <c r="U2" s="206" t="s">
        <v>5</v>
      </c>
      <c r="V2" s="206"/>
      <c r="W2" s="206" t="s">
        <v>6</v>
      </c>
      <c r="X2" s="206"/>
      <c r="Y2" s="206" t="s">
        <v>7</v>
      </c>
      <c r="Z2" s="206"/>
      <c r="AA2" s="206" t="s">
        <v>1</v>
      </c>
      <c r="AB2" s="206"/>
      <c r="AC2" s="206" t="s">
        <v>2</v>
      </c>
      <c r="AD2" s="206"/>
      <c r="AE2" s="206" t="s">
        <v>3</v>
      </c>
      <c r="AF2" s="206"/>
      <c r="AG2" s="206" t="s">
        <v>4</v>
      </c>
      <c r="AH2" s="206"/>
      <c r="AI2" s="95"/>
      <c r="AJ2" s="10"/>
      <c r="AK2" s="206" t="s">
        <v>5</v>
      </c>
      <c r="AL2" s="206"/>
      <c r="AM2" s="206" t="s">
        <v>6</v>
      </c>
      <c r="AN2" s="206"/>
      <c r="AO2" s="206" t="s">
        <v>7</v>
      </c>
      <c r="AP2" s="206"/>
      <c r="AQ2" s="206" t="s">
        <v>1</v>
      </c>
      <c r="AR2" s="206"/>
      <c r="AS2" s="206" t="s">
        <v>2</v>
      </c>
      <c r="AT2" s="206"/>
      <c r="AU2" s="206" t="s">
        <v>3</v>
      </c>
      <c r="AV2" s="206"/>
      <c r="AW2" s="206" t="s">
        <v>4</v>
      </c>
      <c r="AX2" s="206"/>
      <c r="AY2" s="206" t="s">
        <v>5</v>
      </c>
      <c r="AZ2" s="206"/>
      <c r="BA2" s="206" t="s">
        <v>6</v>
      </c>
      <c r="BB2" s="206"/>
      <c r="BC2" s="206" t="s">
        <v>7</v>
      </c>
      <c r="BD2" s="206"/>
      <c r="BE2" s="206" t="s">
        <v>1</v>
      </c>
      <c r="BF2" s="206"/>
      <c r="BG2" s="206" t="s">
        <v>2</v>
      </c>
      <c r="BH2" s="206"/>
      <c r="BI2" s="206" t="s">
        <v>3</v>
      </c>
      <c r="BJ2" s="206"/>
      <c r="BK2" s="206" t="s">
        <v>4</v>
      </c>
      <c r="BL2" s="206"/>
      <c r="BM2" s="206" t="s">
        <v>5</v>
      </c>
      <c r="BN2" s="206"/>
      <c r="BO2" s="206" t="s">
        <v>6</v>
      </c>
      <c r="BP2" s="206"/>
      <c r="BQ2" s="197" t="s">
        <v>8</v>
      </c>
      <c r="BR2" s="197" t="s">
        <v>9</v>
      </c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H2" s="198" t="s">
        <v>84</v>
      </c>
      <c r="CI2" s="198"/>
      <c r="CJ2" s="198"/>
      <c r="CK2" s="198"/>
      <c r="CL2" s="198"/>
      <c r="CM2" s="198"/>
      <c r="CN2" s="198"/>
      <c r="CO2" s="198"/>
      <c r="CP2" s="198"/>
      <c r="CQ2" s="198"/>
      <c r="CR2" s="17"/>
    </row>
    <row r="3" spans="1:96" ht="18.75" x14ac:dyDescent="0.25">
      <c r="A3" s="209"/>
      <c r="B3" s="209"/>
      <c r="C3" s="209"/>
      <c r="D3" s="69"/>
      <c r="E3" s="192">
        <v>46235</v>
      </c>
      <c r="F3" s="192"/>
      <c r="G3" s="192">
        <v>46236</v>
      </c>
      <c r="H3" s="192"/>
      <c r="I3" s="192">
        <v>46237</v>
      </c>
      <c r="J3" s="192"/>
      <c r="K3" s="192">
        <v>46238</v>
      </c>
      <c r="L3" s="192"/>
      <c r="M3" s="192">
        <v>46239</v>
      </c>
      <c r="N3" s="192"/>
      <c r="O3" s="192">
        <v>46240</v>
      </c>
      <c r="P3" s="192"/>
      <c r="Q3" s="192">
        <v>46241</v>
      </c>
      <c r="R3" s="192"/>
      <c r="S3" s="192">
        <v>46242</v>
      </c>
      <c r="T3" s="192"/>
      <c r="U3" s="192">
        <v>46243</v>
      </c>
      <c r="V3" s="192"/>
      <c r="W3" s="192">
        <v>46244</v>
      </c>
      <c r="X3" s="192"/>
      <c r="Y3" s="192">
        <v>46245</v>
      </c>
      <c r="Z3" s="192"/>
      <c r="AA3" s="192">
        <v>46246</v>
      </c>
      <c r="AB3" s="192"/>
      <c r="AC3" s="192">
        <v>46247</v>
      </c>
      <c r="AD3" s="192"/>
      <c r="AE3" s="192">
        <v>46248</v>
      </c>
      <c r="AF3" s="192"/>
      <c r="AG3" s="192">
        <v>46249</v>
      </c>
      <c r="AH3" s="192"/>
      <c r="AI3" s="96"/>
      <c r="AJ3" s="92"/>
      <c r="AK3" s="192">
        <v>46250</v>
      </c>
      <c r="AL3" s="192"/>
      <c r="AM3" s="192">
        <v>46251</v>
      </c>
      <c r="AN3" s="192"/>
      <c r="AO3" s="192">
        <v>46252</v>
      </c>
      <c r="AP3" s="192"/>
      <c r="AQ3" s="192">
        <v>46253</v>
      </c>
      <c r="AR3" s="192"/>
      <c r="AS3" s="192">
        <v>46254</v>
      </c>
      <c r="AT3" s="192"/>
      <c r="AU3" s="192">
        <v>46255</v>
      </c>
      <c r="AV3" s="192"/>
      <c r="AW3" s="192">
        <v>46256</v>
      </c>
      <c r="AX3" s="192"/>
      <c r="AY3" s="192">
        <v>46257</v>
      </c>
      <c r="AZ3" s="192"/>
      <c r="BA3" s="192">
        <v>46258</v>
      </c>
      <c r="BB3" s="192"/>
      <c r="BC3" s="192">
        <v>46259</v>
      </c>
      <c r="BD3" s="192"/>
      <c r="BE3" s="192">
        <v>46260</v>
      </c>
      <c r="BF3" s="192"/>
      <c r="BG3" s="192">
        <v>46261</v>
      </c>
      <c r="BH3" s="192"/>
      <c r="BI3" s="192">
        <v>46262</v>
      </c>
      <c r="BJ3" s="192"/>
      <c r="BK3" s="192">
        <v>46263</v>
      </c>
      <c r="BL3" s="192"/>
      <c r="BM3" s="192">
        <v>46264</v>
      </c>
      <c r="BN3" s="192"/>
      <c r="BO3" s="192">
        <v>46265</v>
      </c>
      <c r="BP3" s="192"/>
      <c r="BQ3" s="197"/>
      <c r="BR3" s="197"/>
      <c r="BS3" s="1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  <c r="CH3" s="53" t="s">
        <v>101</v>
      </c>
      <c r="CI3" s="53"/>
      <c r="CJ3" s="53"/>
      <c r="CK3" s="53"/>
      <c r="CL3" s="53"/>
      <c r="CM3" s="53"/>
      <c r="CN3" s="53"/>
      <c r="CO3" s="53"/>
      <c r="CP3" s="53"/>
      <c r="CQ3" s="53"/>
      <c r="CR3" s="17"/>
    </row>
    <row r="4" spans="1:96" ht="18.75" customHeight="1" x14ac:dyDescent="0.25">
      <c r="A4" s="4" t="s">
        <v>10</v>
      </c>
      <c r="B4" s="4" t="s">
        <v>11</v>
      </c>
      <c r="C4" s="4" t="s">
        <v>12</v>
      </c>
      <c r="D4" s="4"/>
      <c r="E4" s="50" t="s">
        <v>13</v>
      </c>
      <c r="F4" s="50" t="s">
        <v>14</v>
      </c>
      <c r="G4" s="50" t="s">
        <v>13</v>
      </c>
      <c r="H4" s="50" t="s">
        <v>14</v>
      </c>
      <c r="I4" s="50" t="s">
        <v>13</v>
      </c>
      <c r="J4" s="50" t="s">
        <v>14</v>
      </c>
      <c r="K4" s="50" t="s">
        <v>13</v>
      </c>
      <c r="L4" s="50" t="s">
        <v>14</v>
      </c>
      <c r="M4" s="50" t="s">
        <v>13</v>
      </c>
      <c r="N4" s="50" t="s">
        <v>14</v>
      </c>
      <c r="O4" s="10" t="s">
        <v>13</v>
      </c>
      <c r="P4" s="10" t="s">
        <v>14</v>
      </c>
      <c r="Q4" s="10" t="s">
        <v>13</v>
      </c>
      <c r="R4" s="10" t="s">
        <v>14</v>
      </c>
      <c r="S4" s="10" t="s">
        <v>13</v>
      </c>
      <c r="T4" s="10" t="s">
        <v>14</v>
      </c>
      <c r="U4" s="10" t="s">
        <v>13</v>
      </c>
      <c r="V4" s="10" t="s">
        <v>14</v>
      </c>
      <c r="W4" s="10" t="s">
        <v>13</v>
      </c>
      <c r="X4" s="10" t="s">
        <v>14</v>
      </c>
      <c r="Y4" s="10" t="s">
        <v>13</v>
      </c>
      <c r="Z4" s="10" t="s">
        <v>14</v>
      </c>
      <c r="AA4" s="10" t="s">
        <v>13</v>
      </c>
      <c r="AB4" s="10" t="s">
        <v>14</v>
      </c>
      <c r="AC4" s="10" t="s">
        <v>13</v>
      </c>
      <c r="AD4" s="10" t="s">
        <v>14</v>
      </c>
      <c r="AE4" s="10" t="s">
        <v>13</v>
      </c>
      <c r="AF4" s="10" t="s">
        <v>14</v>
      </c>
      <c r="AG4" s="10" t="s">
        <v>13</v>
      </c>
      <c r="AH4" s="10" t="s">
        <v>14</v>
      </c>
      <c r="AI4" s="95"/>
      <c r="AJ4" s="10"/>
      <c r="AK4" s="50" t="s">
        <v>13</v>
      </c>
      <c r="AL4" s="50" t="s">
        <v>14</v>
      </c>
      <c r="AM4" s="50" t="s">
        <v>13</v>
      </c>
      <c r="AN4" s="50" t="s">
        <v>14</v>
      </c>
      <c r="AO4" s="50" t="s">
        <v>13</v>
      </c>
      <c r="AP4" s="50" t="s">
        <v>14</v>
      </c>
      <c r="AQ4" s="50" t="s">
        <v>13</v>
      </c>
      <c r="AR4" s="50" t="s">
        <v>14</v>
      </c>
      <c r="AS4" s="50" t="s">
        <v>13</v>
      </c>
      <c r="AT4" s="50" t="s">
        <v>14</v>
      </c>
      <c r="AU4" s="10" t="s">
        <v>13</v>
      </c>
      <c r="AV4" s="10" t="s">
        <v>14</v>
      </c>
      <c r="AW4" s="10" t="s">
        <v>13</v>
      </c>
      <c r="AX4" s="10" t="s">
        <v>14</v>
      </c>
      <c r="AY4" s="10" t="s">
        <v>13</v>
      </c>
      <c r="AZ4" s="10" t="s">
        <v>14</v>
      </c>
      <c r="BA4" s="10" t="s">
        <v>13</v>
      </c>
      <c r="BB4" s="10" t="s">
        <v>14</v>
      </c>
      <c r="BC4" s="10" t="s">
        <v>13</v>
      </c>
      <c r="BD4" s="10" t="s">
        <v>14</v>
      </c>
      <c r="BE4" s="10" t="s">
        <v>13</v>
      </c>
      <c r="BF4" s="10" t="s">
        <v>14</v>
      </c>
      <c r="BG4" s="10" t="s">
        <v>13</v>
      </c>
      <c r="BH4" s="10" t="s">
        <v>14</v>
      </c>
      <c r="BI4" s="10" t="s">
        <v>13</v>
      </c>
      <c r="BJ4" s="10" t="s">
        <v>14</v>
      </c>
      <c r="BK4" s="10" t="s">
        <v>13</v>
      </c>
      <c r="BL4" s="10" t="s">
        <v>14</v>
      </c>
      <c r="BM4" s="10" t="s">
        <v>13</v>
      </c>
      <c r="BN4" s="10" t="s">
        <v>14</v>
      </c>
      <c r="BO4" s="10" t="s">
        <v>13</v>
      </c>
      <c r="BP4" s="10" t="s">
        <v>14</v>
      </c>
      <c r="BQ4" s="197"/>
      <c r="BR4" s="197"/>
      <c r="BS4" s="5"/>
      <c r="BT4" s="72" t="s">
        <v>15</v>
      </c>
      <c r="BU4" s="72" t="s">
        <v>16</v>
      </c>
      <c r="BV4" s="72" t="s">
        <v>17</v>
      </c>
      <c r="BW4" s="72" t="s">
        <v>18</v>
      </c>
      <c r="BX4" s="72" t="s">
        <v>19</v>
      </c>
      <c r="BY4" s="72" t="s">
        <v>20</v>
      </c>
      <c r="BZ4" s="72" t="s">
        <v>98</v>
      </c>
      <c r="CA4" s="48" t="s">
        <v>22</v>
      </c>
      <c r="CB4" s="72" t="s">
        <v>23</v>
      </c>
      <c r="CC4" s="72" t="s">
        <v>24</v>
      </c>
      <c r="CD4" s="72" t="s">
        <v>25</v>
      </c>
      <c r="CE4" s="6" t="s">
        <v>26</v>
      </c>
      <c r="CH4" s="54" t="s">
        <v>16</v>
      </c>
      <c r="CI4" s="55" t="s">
        <v>17</v>
      </c>
      <c r="CJ4" s="55" t="s">
        <v>18</v>
      </c>
      <c r="CK4" s="55" t="s">
        <v>19</v>
      </c>
      <c r="CL4" s="55" t="s">
        <v>20</v>
      </c>
      <c r="CM4" s="55" t="s">
        <v>21</v>
      </c>
      <c r="CN4" s="55" t="s">
        <v>22</v>
      </c>
      <c r="CO4" s="55" t="s">
        <v>23</v>
      </c>
      <c r="CP4" s="55" t="s">
        <v>24</v>
      </c>
      <c r="CQ4" s="55" t="s">
        <v>25</v>
      </c>
      <c r="CR4" s="56" t="s">
        <v>85</v>
      </c>
    </row>
    <row r="5" spans="1:96" ht="22.5" customHeight="1" x14ac:dyDescent="0.25">
      <c r="A5" s="103">
        <v>1</v>
      </c>
      <c r="B5" s="8" t="s">
        <v>97</v>
      </c>
      <c r="C5" s="98" t="s">
        <v>27</v>
      </c>
      <c r="D5" s="108">
        <v>43523</v>
      </c>
      <c r="E5" s="112">
        <v>46235.330254629633</v>
      </c>
      <c r="F5" s="112">
        <v>1</v>
      </c>
      <c r="G5" s="112">
        <v>46236.331875000003</v>
      </c>
      <c r="H5" s="112">
        <v>1</v>
      </c>
      <c r="I5" s="112">
        <v>46237.330821759257</v>
      </c>
      <c r="J5" s="112">
        <v>1</v>
      </c>
      <c r="K5" s="112">
        <v>46238.334328703706</v>
      </c>
      <c r="L5" s="112">
        <v>46238.975370370368</v>
      </c>
      <c r="M5" s="112">
        <v>46239.35564814815</v>
      </c>
      <c r="N5" s="112">
        <v>1</v>
      </c>
      <c r="O5" s="112">
        <v>46240.353217592594</v>
      </c>
      <c r="P5" s="112">
        <v>1</v>
      </c>
      <c r="Q5" s="113" t="s">
        <v>15</v>
      </c>
      <c r="R5" s="113" t="s">
        <v>15</v>
      </c>
      <c r="S5" s="112">
        <v>46242.354733796295</v>
      </c>
      <c r="T5" s="112">
        <v>1</v>
      </c>
      <c r="U5" s="112">
        <v>46243.354421296295</v>
      </c>
      <c r="V5" s="112">
        <v>1</v>
      </c>
      <c r="W5" s="112">
        <v>46244.354629629626</v>
      </c>
      <c r="X5" s="112">
        <v>1</v>
      </c>
      <c r="Y5" s="112">
        <v>46245.353750000002</v>
      </c>
      <c r="Z5" s="112">
        <v>1</v>
      </c>
      <c r="AA5" s="112">
        <v>46246.351990740739</v>
      </c>
      <c r="AB5" s="112">
        <v>1</v>
      </c>
      <c r="AC5" s="112">
        <v>46247.351284722223</v>
      </c>
      <c r="AD5" s="112">
        <v>1</v>
      </c>
      <c r="AE5" s="112">
        <v>46248.581828703704</v>
      </c>
      <c r="AF5" s="112">
        <v>1</v>
      </c>
      <c r="AG5" s="112">
        <v>46249.35361111111</v>
      </c>
      <c r="AH5" s="112">
        <v>1</v>
      </c>
      <c r="AI5" s="91"/>
      <c r="AJ5" s="165">
        <v>1</v>
      </c>
      <c r="AK5" s="112">
        <v>46250.346782407411</v>
      </c>
      <c r="AL5" s="112">
        <v>46250.922256944446</v>
      </c>
      <c r="AM5" s="112">
        <v>46251.348483796297</v>
      </c>
      <c r="AN5" s="112">
        <v>46251.940266203703</v>
      </c>
      <c r="AO5" s="112">
        <v>46252.349421296298</v>
      </c>
      <c r="AP5" s="112">
        <v>46252.933495370373</v>
      </c>
      <c r="AQ5" s="112">
        <v>46253.34747685185</v>
      </c>
      <c r="AR5" s="112">
        <v>46253.93959490741</v>
      </c>
      <c r="AS5" s="112">
        <v>46254.347384259258</v>
      </c>
      <c r="AT5" s="112">
        <v>46254.956157407411</v>
      </c>
      <c r="AU5" s="156" t="s">
        <v>15</v>
      </c>
      <c r="AV5" s="156" t="s">
        <v>15</v>
      </c>
      <c r="AW5" s="112">
        <v>46256.348935185182</v>
      </c>
      <c r="AX5" s="112">
        <v>46256.953229166669</v>
      </c>
      <c r="AY5" s="112">
        <v>46257.348067129627</v>
      </c>
      <c r="AZ5" s="112">
        <v>46257.921712962961</v>
      </c>
      <c r="BA5" s="112">
        <v>46258.346701388888</v>
      </c>
      <c r="BB5" s="112">
        <v>46258.932719907411</v>
      </c>
      <c r="BC5" s="112">
        <v>0</v>
      </c>
      <c r="BD5" s="112">
        <v>46259.942650462966</v>
      </c>
      <c r="BE5" s="112">
        <v>0</v>
      </c>
      <c r="BF5" s="112">
        <v>46260.930972222224</v>
      </c>
      <c r="BG5" s="112">
        <v>46261.347858796296</v>
      </c>
      <c r="BH5" s="112">
        <v>46261.971712962964</v>
      </c>
      <c r="BI5" s="112">
        <v>46262.580092592594</v>
      </c>
      <c r="BJ5" s="112">
        <v>46262.893240740741</v>
      </c>
      <c r="BK5" s="112">
        <v>46263.3518287037</v>
      </c>
      <c r="BL5" s="112">
        <v>0</v>
      </c>
      <c r="BM5" s="112">
        <v>46264.353020833332</v>
      </c>
      <c r="BN5" s="70">
        <v>46264.959768518522</v>
      </c>
      <c r="BO5" s="70">
        <v>46265.353784722225</v>
      </c>
      <c r="BP5" s="70">
        <v>0</v>
      </c>
      <c r="BQ5" s="13">
        <f>BS5+BT5+BU5+BV5+CA5+BY5+BZ5+CD5</f>
        <v>31</v>
      </c>
      <c r="BR5" s="68">
        <v>3</v>
      </c>
      <c r="BS5" s="14">
        <f>COUNT(E5:AH5)/2+COUNT(AK5:BP5)/2</f>
        <v>29</v>
      </c>
      <c r="BT5" s="15">
        <f>COUNTIF(B5:BN5,"OFF")/2</f>
        <v>2</v>
      </c>
      <c r="BU5" s="15">
        <f>COUNTIF(B5:BN5,"MC")/2</f>
        <v>0</v>
      </c>
      <c r="BV5" s="15">
        <f>COUNTIF(B5:BN5,"EL")/2</f>
        <v>0</v>
      </c>
      <c r="BW5" s="15">
        <f>COUNTIF(B5:BN5,"AL")/2</f>
        <v>0</v>
      </c>
      <c r="BX5" s="15">
        <f>COUNTIF(B5:BN5,"SUS")/2</f>
        <v>0</v>
      </c>
      <c r="BY5" s="15">
        <f>COUNTIF(B5:BN5,"FL")/2</f>
        <v>0</v>
      </c>
      <c r="BZ5" s="15">
        <f>COUNTIF(B5:BN5,"SICK")/2</f>
        <v>0</v>
      </c>
      <c r="CA5" s="15">
        <f>COUNTIF(B5:BN5,"HD")/2</f>
        <v>0</v>
      </c>
      <c r="CB5" s="15">
        <f>COUNTIF(B5:BN5,"AB")/2</f>
        <v>0</v>
      </c>
      <c r="CC5" s="15">
        <f>COUNTIF(B5:BN5,"NL")/2</f>
        <v>0</v>
      </c>
      <c r="CD5" s="15">
        <f>COUNTIF(B5:BN5,"SP")/2</f>
        <v>0</v>
      </c>
      <c r="CE5" s="16"/>
      <c r="CH5" s="58">
        <v>0</v>
      </c>
      <c r="CI5" s="58">
        <v>0</v>
      </c>
      <c r="CJ5" s="58">
        <v>32</v>
      </c>
      <c r="CK5" s="58">
        <v>0</v>
      </c>
      <c r="CL5" s="58">
        <v>0</v>
      </c>
      <c r="CM5" s="58">
        <v>0</v>
      </c>
      <c r="CN5" s="58">
        <v>0</v>
      </c>
      <c r="CO5" s="58">
        <v>0</v>
      </c>
      <c r="CP5" s="58">
        <v>0</v>
      </c>
      <c r="CQ5" s="58">
        <v>0</v>
      </c>
      <c r="CR5" s="62">
        <f t="shared" ref="CR5:CR11" si="0">SUM(CH5:CQ5)</f>
        <v>32</v>
      </c>
    </row>
    <row r="6" spans="1:96" ht="22.5" customHeight="1" x14ac:dyDescent="0.25">
      <c r="A6" s="103">
        <v>2</v>
      </c>
      <c r="B6" s="8" t="s">
        <v>107</v>
      </c>
      <c r="C6" s="98" t="s">
        <v>28</v>
      </c>
      <c r="D6" s="108"/>
      <c r="E6" s="112">
        <v>46235.352430555555</v>
      </c>
      <c r="F6" s="112">
        <v>46236.000115740739</v>
      </c>
      <c r="G6" s="112">
        <v>46236.354745370372</v>
      </c>
      <c r="H6" s="112">
        <v>46236.988611111112</v>
      </c>
      <c r="I6" s="112">
        <v>46237.351666666669</v>
      </c>
      <c r="J6" s="112">
        <v>46237.988865740743</v>
      </c>
      <c r="K6" s="112">
        <v>46238.351655092592</v>
      </c>
      <c r="L6" s="112">
        <v>46238.976863425924</v>
      </c>
      <c r="M6" s="112">
        <v>46239.354756944442</v>
      </c>
      <c r="N6" s="112">
        <v>46239.981006944443</v>
      </c>
      <c r="O6" s="112">
        <v>46240.3512962963</v>
      </c>
      <c r="P6" s="112">
        <v>46240.99722222222</v>
      </c>
      <c r="Q6" s="112">
        <v>46241.560312499998</v>
      </c>
      <c r="R6" s="112">
        <v>46241.998796296299</v>
      </c>
      <c r="S6" s="112">
        <v>46242.35465277778</v>
      </c>
      <c r="T6" s="112">
        <v>46242.994143518517</v>
      </c>
      <c r="U6" s="112">
        <v>46243.352129629631</v>
      </c>
      <c r="V6" s="112">
        <v>46243.974143518521</v>
      </c>
      <c r="W6" s="112">
        <v>46244.354942129627</v>
      </c>
      <c r="X6" s="112">
        <v>46244.994421296295</v>
      </c>
      <c r="Y6" s="112">
        <v>46245.353900462964</v>
      </c>
      <c r="Z6" s="112">
        <v>46245.980567129627</v>
      </c>
      <c r="AA6" s="112">
        <v>46246.353136574071</v>
      </c>
      <c r="AB6" s="112">
        <v>46246.978506944448</v>
      </c>
      <c r="AC6" s="112">
        <v>46247.353067129632</v>
      </c>
      <c r="AD6" s="112">
        <v>46248.01</v>
      </c>
      <c r="AE6" s="113" t="s">
        <v>15</v>
      </c>
      <c r="AF6" s="113" t="s">
        <v>15</v>
      </c>
      <c r="AG6" s="112">
        <v>46249.352337962962</v>
      </c>
      <c r="AH6" s="112">
        <v>46250.008159722223</v>
      </c>
      <c r="AI6" s="91"/>
      <c r="AJ6" s="165">
        <v>2</v>
      </c>
      <c r="AK6" s="112">
        <v>46250.353680555556</v>
      </c>
      <c r="AL6" s="112">
        <v>46250.985127314816</v>
      </c>
      <c r="AM6" s="112">
        <v>46251.352361111109</v>
      </c>
      <c r="AN6" s="112">
        <v>46251.979143518518</v>
      </c>
      <c r="AO6" s="112">
        <v>46252.353483796294</v>
      </c>
      <c r="AP6" s="112">
        <v>46252.980312500003</v>
      </c>
      <c r="AQ6" s="112">
        <v>46253.354131944441</v>
      </c>
      <c r="AR6" s="112">
        <v>46253.981631944444</v>
      </c>
      <c r="AS6" s="112">
        <v>46254.353854166664</v>
      </c>
      <c r="AT6" s="112">
        <v>46255.012256944443</v>
      </c>
      <c r="AU6" s="112">
        <v>46255.557326388887</v>
      </c>
      <c r="AV6" s="112">
        <v>46255.996967592589</v>
      </c>
      <c r="AW6" s="112">
        <v>46256.351331018515</v>
      </c>
      <c r="AX6" s="112">
        <v>46257.003391203703</v>
      </c>
      <c r="AY6" s="112">
        <v>46257.35560185185</v>
      </c>
      <c r="AZ6" s="112">
        <v>0</v>
      </c>
      <c r="BA6" s="112">
        <v>46258.330972222226</v>
      </c>
      <c r="BB6" s="112">
        <v>46258.984074074076</v>
      </c>
      <c r="BC6" s="112">
        <v>46259.350405092591</v>
      </c>
      <c r="BD6" s="112">
        <v>46259.986585648148</v>
      </c>
      <c r="BE6" s="112">
        <v>46260.350729166668</v>
      </c>
      <c r="BF6" s="112">
        <v>46260.974074074074</v>
      </c>
      <c r="BG6" s="112">
        <v>46261.351412037038</v>
      </c>
      <c r="BH6" s="112">
        <v>46262.002488425926</v>
      </c>
      <c r="BI6" s="156" t="s">
        <v>15</v>
      </c>
      <c r="BJ6" s="156" t="s">
        <v>15</v>
      </c>
      <c r="BK6" s="112">
        <v>46263.350474537037</v>
      </c>
      <c r="BL6" s="112">
        <v>0</v>
      </c>
      <c r="BM6" s="112">
        <v>46264.353935185187</v>
      </c>
      <c r="BN6" s="70">
        <v>46264.958587962959</v>
      </c>
      <c r="BO6" s="70">
        <v>46265.352858796294</v>
      </c>
      <c r="BP6" s="70">
        <v>46265.972361111111</v>
      </c>
      <c r="BQ6" s="13">
        <f>BS6+BT6+BU6+BV6+CA6+BY6+BZ6+CD6</f>
        <v>31</v>
      </c>
      <c r="BR6" s="68">
        <v>3</v>
      </c>
      <c r="BS6" s="14">
        <f t="shared" ref="BS6:BS13" si="1">COUNT(E6:AH6)/2+COUNT(AK6:BP6)/2</f>
        <v>29</v>
      </c>
      <c r="BT6" s="15">
        <f>COUNTIF(B6:BN6,"OFF")/2</f>
        <v>2</v>
      </c>
      <c r="BU6" s="15">
        <f>COUNTIF(B6:BN6,"MC")/2</f>
        <v>0</v>
      </c>
      <c r="BV6" s="15">
        <f>COUNTIF(B6:BN6,"EL")/2</f>
        <v>0</v>
      </c>
      <c r="BW6" s="15">
        <f>COUNTIF(B6:BN6,"AL")/2</f>
        <v>0</v>
      </c>
      <c r="BX6" s="15">
        <f>COUNTIF(B6:BN6,"SUS")/2</f>
        <v>0</v>
      </c>
      <c r="BY6" s="15">
        <f>COUNTIF(B6:BN6,"FL")/2</f>
        <v>0</v>
      </c>
      <c r="BZ6" s="15">
        <f>COUNTIF(B6:BN6,"SICK")/2</f>
        <v>0</v>
      </c>
      <c r="CA6" s="15">
        <f>COUNTIF(B6:BN6,"HD")/2</f>
        <v>0</v>
      </c>
      <c r="CB6" s="15">
        <f>COUNTIF(B6:BN6,"AB")/2</f>
        <v>0</v>
      </c>
      <c r="CC6" s="15">
        <f>COUNTIF(B6:BN6,"NL")/2</f>
        <v>0</v>
      </c>
      <c r="CD6" s="15">
        <f>COUNTIF(B6:BN6,"SP")/2</f>
        <v>0</v>
      </c>
      <c r="CE6" s="16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62">
        <f>SUM(CH6:CQ6)</f>
        <v>0</v>
      </c>
    </row>
    <row r="7" spans="1:96" ht="22.5" customHeight="1" x14ac:dyDescent="0.25">
      <c r="A7" s="103">
        <v>3</v>
      </c>
      <c r="B7" s="8" t="s">
        <v>86</v>
      </c>
      <c r="C7" s="98" t="s">
        <v>29</v>
      </c>
      <c r="D7" s="108">
        <v>43423</v>
      </c>
      <c r="E7" s="112">
        <v>46235.333958333336</v>
      </c>
      <c r="F7" s="112">
        <v>1</v>
      </c>
      <c r="G7" s="112">
        <v>46236.33121527778</v>
      </c>
      <c r="H7" s="112">
        <v>46236.985000000001</v>
      </c>
      <c r="I7" s="112">
        <v>46237.333298611113</v>
      </c>
      <c r="J7" s="112">
        <v>1</v>
      </c>
      <c r="K7" s="112">
        <v>46238.332615740743</v>
      </c>
      <c r="L7" s="112">
        <v>1</v>
      </c>
      <c r="M7" s="112">
        <v>46239.33048611111</v>
      </c>
      <c r="N7" s="112">
        <v>1</v>
      </c>
      <c r="O7" s="112">
        <v>46240.328761574077</v>
      </c>
      <c r="P7" s="112">
        <v>46240.995972222219</v>
      </c>
      <c r="Q7" s="113" t="s">
        <v>15</v>
      </c>
      <c r="R7" s="113" t="s">
        <v>15</v>
      </c>
      <c r="S7" s="112">
        <v>46242.347372685188</v>
      </c>
      <c r="T7" s="112">
        <v>46242.992314814815</v>
      </c>
      <c r="U7" s="112">
        <v>46243.330381944441</v>
      </c>
      <c r="V7" s="112">
        <v>1</v>
      </c>
      <c r="W7" s="112">
        <v>46244.331863425927</v>
      </c>
      <c r="X7" s="112">
        <v>46244.988749999997</v>
      </c>
      <c r="Y7" s="112">
        <v>46245.330416666664</v>
      </c>
      <c r="Z7" s="112">
        <v>1</v>
      </c>
      <c r="AA7" s="112">
        <v>46246.33021990741</v>
      </c>
      <c r="AB7" s="112">
        <v>1</v>
      </c>
      <c r="AC7" s="112">
        <v>46247.332615740743</v>
      </c>
      <c r="AD7" s="112">
        <v>1</v>
      </c>
      <c r="AE7" s="112">
        <v>46248.562650462962</v>
      </c>
      <c r="AF7" s="112">
        <v>1</v>
      </c>
      <c r="AG7" s="112">
        <v>46249.329050925924</v>
      </c>
      <c r="AH7" s="112">
        <v>1</v>
      </c>
      <c r="AI7" s="91"/>
      <c r="AJ7" s="165">
        <v>3</v>
      </c>
      <c r="AK7" s="112">
        <v>46250.330590277779</v>
      </c>
      <c r="AL7" s="112">
        <v>0</v>
      </c>
      <c r="AM7" s="112">
        <v>46251.337395833332</v>
      </c>
      <c r="AN7" s="112">
        <v>0</v>
      </c>
      <c r="AO7" s="112">
        <v>46252.330740740741</v>
      </c>
      <c r="AP7" s="112">
        <v>0</v>
      </c>
      <c r="AQ7" s="112">
        <v>46253.336655092593</v>
      </c>
      <c r="AR7" s="112">
        <v>0</v>
      </c>
      <c r="AS7" s="112">
        <v>46254.33289351852</v>
      </c>
      <c r="AT7" s="112">
        <v>0</v>
      </c>
      <c r="AU7" s="156" t="s">
        <v>15</v>
      </c>
      <c r="AV7" s="156" t="s">
        <v>15</v>
      </c>
      <c r="AW7" s="112">
        <v>46256.330729166664</v>
      </c>
      <c r="AX7" s="112">
        <v>0</v>
      </c>
      <c r="AY7" s="112">
        <v>46257.332777777781</v>
      </c>
      <c r="AZ7" s="112">
        <v>0</v>
      </c>
      <c r="BA7" s="112">
        <v>46258.342118055552</v>
      </c>
      <c r="BB7" s="112">
        <v>0</v>
      </c>
      <c r="BC7" s="112">
        <v>46259.332465277781</v>
      </c>
      <c r="BD7" s="112">
        <v>46259.980995370373</v>
      </c>
      <c r="BE7" s="112">
        <v>46260.332858796297</v>
      </c>
      <c r="BF7" s="112">
        <v>0</v>
      </c>
      <c r="BG7" s="112">
        <v>46261.331736111111</v>
      </c>
      <c r="BH7" s="112">
        <v>0</v>
      </c>
      <c r="BI7" s="112">
        <v>46262.557835648149</v>
      </c>
      <c r="BJ7" s="112">
        <v>0</v>
      </c>
      <c r="BK7" s="112">
        <v>46263.332789351851</v>
      </c>
      <c r="BL7" s="112">
        <v>0</v>
      </c>
      <c r="BM7" s="112">
        <v>46264.333912037036</v>
      </c>
      <c r="BN7" s="111">
        <v>46264.957696759258</v>
      </c>
      <c r="BO7" s="111">
        <v>46265.331157407411</v>
      </c>
      <c r="BP7" s="111">
        <v>0</v>
      </c>
      <c r="BQ7" s="13">
        <f t="shared" ref="BQ7:BQ11" si="2">BS7+BT7+BU7+BV7+CA7+BY7+BZ7+CD7</f>
        <v>31</v>
      </c>
      <c r="BR7" s="68">
        <v>3</v>
      </c>
      <c r="BS7" s="14">
        <f t="shared" si="1"/>
        <v>29</v>
      </c>
      <c r="BT7" s="15">
        <f>COUNTIF(B7:BM7,"OFF")/2</f>
        <v>2</v>
      </c>
      <c r="BU7" s="15">
        <f>COUNTIF(B7:BM7,"MC")/2</f>
        <v>0</v>
      </c>
      <c r="BV7" s="15">
        <f>COUNTIF(B7:BM7,"EL")/2</f>
        <v>0</v>
      </c>
      <c r="BW7" s="15">
        <f>COUNTIF(B7:BM7,"AL")/2</f>
        <v>0</v>
      </c>
      <c r="BX7" s="15">
        <f>COUNTIF(B7:BM7,"SUS")/2</f>
        <v>0</v>
      </c>
      <c r="BY7" s="15">
        <f>COUNTIF(B7:BM7,"FL")/2</f>
        <v>0</v>
      </c>
      <c r="BZ7" s="15">
        <f>COUNTIF(B7:BM7,"SICK")/2</f>
        <v>0</v>
      </c>
      <c r="CA7" s="15">
        <f>COUNTIF(B7:BM7,"HD")/2</f>
        <v>0</v>
      </c>
      <c r="CB7" s="15">
        <f>COUNTIF(B7:BM7,"AB")/2</f>
        <v>0</v>
      </c>
      <c r="CC7" s="15">
        <f>COUNTIF(B7:BM7,"NL")/2</f>
        <v>0</v>
      </c>
      <c r="CD7" s="15">
        <f>COUNTIF(B7:BM7,"SP")/2</f>
        <v>0</v>
      </c>
      <c r="CE7" s="2"/>
      <c r="CH7" s="58">
        <v>0</v>
      </c>
      <c r="CI7" s="58">
        <v>0</v>
      </c>
      <c r="CJ7" s="58">
        <v>60</v>
      </c>
      <c r="CK7" s="58">
        <v>0</v>
      </c>
      <c r="CL7" s="58">
        <v>0</v>
      </c>
      <c r="CM7" s="58">
        <v>1</v>
      </c>
      <c r="CN7" s="58">
        <v>0</v>
      </c>
      <c r="CO7" s="58">
        <v>0</v>
      </c>
      <c r="CP7" s="58">
        <v>0</v>
      </c>
      <c r="CQ7" s="58">
        <v>0</v>
      </c>
      <c r="CR7" s="58">
        <f t="shared" si="0"/>
        <v>61</v>
      </c>
    </row>
    <row r="8" spans="1:96" ht="22.5" customHeight="1" x14ac:dyDescent="0.25">
      <c r="A8" s="103">
        <v>4</v>
      </c>
      <c r="B8" s="104" t="s">
        <v>105</v>
      </c>
      <c r="C8" s="105" t="s">
        <v>106</v>
      </c>
      <c r="D8" s="71">
        <v>45612</v>
      </c>
      <c r="E8" s="112">
        <v>46235.332175925927</v>
      </c>
      <c r="F8" s="112">
        <v>46235.971076388887</v>
      </c>
      <c r="G8" s="114" t="s">
        <v>98</v>
      </c>
      <c r="H8" s="114" t="s">
        <v>98</v>
      </c>
      <c r="I8" s="112">
        <v>46237.33152777778</v>
      </c>
      <c r="J8" s="112">
        <v>46237.95752314815</v>
      </c>
      <c r="K8" s="103">
        <v>1</v>
      </c>
      <c r="L8" s="103">
        <v>1</v>
      </c>
      <c r="M8" s="112">
        <v>46239.371944386578</v>
      </c>
      <c r="N8" s="112">
        <v>46239.981122685182</v>
      </c>
      <c r="O8" s="112">
        <v>46240.333171296297</v>
      </c>
      <c r="P8" s="103">
        <v>1</v>
      </c>
      <c r="Q8" s="112">
        <v>46241.580914351849</v>
      </c>
      <c r="R8" s="112">
        <v>46241.990543981483</v>
      </c>
      <c r="S8" s="112">
        <v>46242.339641203704</v>
      </c>
      <c r="T8" s="112">
        <v>46242.992581018516</v>
      </c>
      <c r="U8" s="112">
        <v>46243.329976851855</v>
      </c>
      <c r="V8" s="103">
        <v>1</v>
      </c>
      <c r="W8" s="112">
        <v>46244.332314814812</v>
      </c>
      <c r="X8" s="112">
        <v>46244.989710648151</v>
      </c>
      <c r="Y8" s="112">
        <v>46245.331145833334</v>
      </c>
      <c r="Z8" s="112">
        <v>46245.977789351855</v>
      </c>
      <c r="AA8" s="112">
        <v>46246.330694444441</v>
      </c>
      <c r="AB8" s="103">
        <v>1</v>
      </c>
      <c r="AC8" s="112">
        <v>46247.336412037039</v>
      </c>
      <c r="AD8" s="112">
        <v>46248.008414351854</v>
      </c>
      <c r="AE8" s="113" t="s">
        <v>15</v>
      </c>
      <c r="AF8" s="113" t="s">
        <v>15</v>
      </c>
      <c r="AG8" s="112">
        <v>46249.331238425926</v>
      </c>
      <c r="AH8" s="112">
        <v>46249.973668981482</v>
      </c>
      <c r="AI8" s="91"/>
      <c r="AJ8" s="165">
        <v>4</v>
      </c>
      <c r="AK8" s="112">
        <v>46250.328125</v>
      </c>
      <c r="AL8" s="112">
        <v>0</v>
      </c>
      <c r="AM8" s="112">
        <v>46251.330972222226</v>
      </c>
      <c r="AN8" s="112">
        <v>46251.953564814816</v>
      </c>
      <c r="AO8" s="112">
        <v>46252.328472222223</v>
      </c>
      <c r="AP8" s="112">
        <v>0</v>
      </c>
      <c r="AQ8" s="112">
        <v>46253.335636574076</v>
      </c>
      <c r="AR8" s="112">
        <v>0</v>
      </c>
      <c r="AS8" s="112">
        <v>46254.331990740742</v>
      </c>
      <c r="AT8" s="112">
        <v>0</v>
      </c>
      <c r="AU8" s="112">
        <v>46255.559629629628</v>
      </c>
      <c r="AV8" s="112">
        <v>0</v>
      </c>
      <c r="AW8" s="112">
        <v>46256.328981481478</v>
      </c>
      <c r="AX8" s="112">
        <v>0</v>
      </c>
      <c r="AY8" s="112">
        <v>46257.333136574074</v>
      </c>
      <c r="AZ8" s="112">
        <v>0</v>
      </c>
      <c r="BA8" s="112">
        <v>46258.377268518518</v>
      </c>
      <c r="BB8" s="112">
        <v>0</v>
      </c>
      <c r="BC8" s="112">
        <v>46259.414780092593</v>
      </c>
      <c r="BD8" s="112">
        <v>0</v>
      </c>
      <c r="BE8" s="112">
        <v>46260.37300925926</v>
      </c>
      <c r="BF8" s="112">
        <v>0</v>
      </c>
      <c r="BG8" s="112">
        <v>46261.331446759257</v>
      </c>
      <c r="BH8" s="112">
        <v>0</v>
      </c>
      <c r="BI8" s="156" t="s">
        <v>15</v>
      </c>
      <c r="BJ8" s="156" t="s">
        <v>15</v>
      </c>
      <c r="BK8" s="112">
        <v>46263.329965277779</v>
      </c>
      <c r="BL8" s="112">
        <v>0</v>
      </c>
      <c r="BM8" s="112">
        <v>46264.332152777781</v>
      </c>
      <c r="BN8" s="111">
        <v>46264.922372685185</v>
      </c>
      <c r="BO8" s="111">
        <v>46265.333761574075</v>
      </c>
      <c r="BP8" s="111">
        <v>0</v>
      </c>
      <c r="BQ8" s="13">
        <f t="shared" si="2"/>
        <v>31</v>
      </c>
      <c r="BR8" s="106">
        <v>3</v>
      </c>
      <c r="BS8" s="14">
        <f t="shared" si="1"/>
        <v>28</v>
      </c>
      <c r="BT8" s="2">
        <f t="shared" ref="BT8:BT13" si="3">COUNTIF(E8:BN8,"OFF")/2</f>
        <v>2</v>
      </c>
      <c r="BU8" s="2">
        <f>COUNTIF(E8:BN8,"MC")/2</f>
        <v>0</v>
      </c>
      <c r="BV8" s="2">
        <f>COUNTIF(E8:BN8,"EL")/2</f>
        <v>0</v>
      </c>
      <c r="BW8" s="2">
        <f>COUNTIF(E8:BN8,"AL")/2</f>
        <v>0</v>
      </c>
      <c r="BX8" s="2">
        <f>COUNTIF(E8:BN8,"SUS")/2</f>
        <v>0</v>
      </c>
      <c r="BY8" s="2">
        <f>COUNTIF(E8:BN8,"FL")/2</f>
        <v>0</v>
      </c>
      <c r="BZ8" s="2">
        <f>COUNTIF(E8:BN8,"SICK")/2</f>
        <v>1</v>
      </c>
      <c r="CA8" s="2">
        <f>COUNTIF(E8:BN8,"HD")/2</f>
        <v>0</v>
      </c>
      <c r="CB8" s="2">
        <f>COUNTIF(E8:BN8,"AB")/2</f>
        <v>0</v>
      </c>
      <c r="CC8" s="2">
        <f>COUNTIF(E8:BN8,"NL")/2</f>
        <v>0</v>
      </c>
      <c r="CD8" s="2">
        <f>COUNTIF(E8:BN8,"SP")/2</f>
        <v>0</v>
      </c>
      <c r="CE8" s="3"/>
      <c r="CH8" s="58">
        <v>0</v>
      </c>
      <c r="CI8" s="57">
        <v>0</v>
      </c>
      <c r="CJ8" s="57">
        <v>0</v>
      </c>
      <c r="CK8" s="57">
        <v>0</v>
      </c>
      <c r="CL8" s="57">
        <v>0</v>
      </c>
      <c r="CM8" s="57">
        <v>0</v>
      </c>
      <c r="CN8" s="57">
        <v>0</v>
      </c>
      <c r="CO8" s="57">
        <v>0</v>
      </c>
      <c r="CP8" s="57">
        <v>0</v>
      </c>
      <c r="CQ8" s="57">
        <v>0</v>
      </c>
      <c r="CR8" s="62">
        <f>SUM(CH8:CQ8)</f>
        <v>0</v>
      </c>
    </row>
    <row r="9" spans="1:96" ht="22.5" customHeight="1" x14ac:dyDescent="0.25">
      <c r="A9" s="103">
        <v>5</v>
      </c>
      <c r="B9" s="8" t="s">
        <v>38</v>
      </c>
      <c r="C9" s="98" t="s">
        <v>102</v>
      </c>
      <c r="D9" s="108">
        <v>46078</v>
      </c>
      <c r="E9" s="112">
        <v>1</v>
      </c>
      <c r="F9" s="112">
        <v>46235.85732638889</v>
      </c>
      <c r="G9" s="112">
        <v>46237.355497685188</v>
      </c>
      <c r="H9" s="112">
        <v>46236.835856481484</v>
      </c>
      <c r="I9" s="112">
        <v>46237.355497685188</v>
      </c>
      <c r="J9" s="112">
        <v>46237.837118055555</v>
      </c>
      <c r="K9" s="112">
        <v>46238.358888888892</v>
      </c>
      <c r="L9" s="112">
        <v>46238.865983796299</v>
      </c>
      <c r="M9" s="112">
        <v>46239.379467592589</v>
      </c>
      <c r="N9" s="112">
        <v>46239.849212962959</v>
      </c>
      <c r="O9" s="112">
        <v>46240.37572916667</v>
      </c>
      <c r="P9" s="112">
        <v>46240.890706018516</v>
      </c>
      <c r="Q9" s="112">
        <v>46241.332974537036</v>
      </c>
      <c r="R9" s="112">
        <v>46241.860162037039</v>
      </c>
      <c r="S9" s="112">
        <v>46242.376388888886</v>
      </c>
      <c r="T9" s="112">
        <v>46242.851921296293</v>
      </c>
      <c r="U9" s="112">
        <v>46243.372928240744</v>
      </c>
      <c r="V9" s="112">
        <v>46243.865370370368</v>
      </c>
      <c r="W9" s="112">
        <v>46244.403009259258</v>
      </c>
      <c r="X9" s="112">
        <v>46244.855381944442</v>
      </c>
      <c r="Y9" s="112">
        <v>46245.402094907404</v>
      </c>
      <c r="Z9" s="112">
        <v>46245.854699074072</v>
      </c>
      <c r="AA9" s="112">
        <v>46246.396909722222</v>
      </c>
      <c r="AB9" s="112">
        <v>46246.851493055554</v>
      </c>
      <c r="AC9" s="112">
        <v>46247.384664351855</v>
      </c>
      <c r="AD9" s="103">
        <v>1</v>
      </c>
      <c r="AE9" s="112">
        <v>46248.852314814816</v>
      </c>
      <c r="AF9" s="112">
        <v>46248.852314814816</v>
      </c>
      <c r="AG9" s="112">
        <v>46249.375891203701</v>
      </c>
      <c r="AH9" s="112">
        <v>46249.858067129629</v>
      </c>
      <c r="AI9" s="91"/>
      <c r="AJ9" s="165">
        <v>5</v>
      </c>
      <c r="AK9" s="112">
        <v>46250.374224537038</v>
      </c>
      <c r="AL9" s="112">
        <v>46262.854398148149</v>
      </c>
      <c r="AM9" s="112">
        <v>46251.412187499998</v>
      </c>
      <c r="AN9" s="112">
        <v>46251.860115740739</v>
      </c>
      <c r="AO9" s="112">
        <v>46252.379050925927</v>
      </c>
      <c r="AP9" s="112">
        <v>46252.856412037036</v>
      </c>
      <c r="AQ9" s="112">
        <v>46253.392337962963</v>
      </c>
      <c r="AR9" s="112">
        <v>46253.8596875</v>
      </c>
      <c r="AS9" s="112">
        <v>46254.434999999998</v>
      </c>
      <c r="AT9" s="112">
        <v>46254.888645833336</v>
      </c>
      <c r="AU9" s="112">
        <v>46255.34003472222</v>
      </c>
      <c r="AV9" s="112">
        <v>46255.85833333333</v>
      </c>
      <c r="AW9" s="112">
        <v>0</v>
      </c>
      <c r="AX9" s="112">
        <v>46256.8512962963</v>
      </c>
      <c r="AY9" s="112">
        <v>46257.390648148146</v>
      </c>
      <c r="AZ9" s="112">
        <v>46257.863993055558</v>
      </c>
      <c r="BA9" s="112">
        <v>46258.351805555554</v>
      </c>
      <c r="BB9" s="112">
        <v>46258.86650462963</v>
      </c>
      <c r="BC9" s="112">
        <v>46259.382523148146</v>
      </c>
      <c r="BD9" s="112">
        <v>46259.864687499998</v>
      </c>
      <c r="BE9" s="112">
        <v>46260.371724537035</v>
      </c>
      <c r="BF9" s="112">
        <v>46260.860983796294</v>
      </c>
      <c r="BG9" s="112">
        <v>46261.383472222224</v>
      </c>
      <c r="BH9" s="112">
        <v>46261.916435185187</v>
      </c>
      <c r="BI9" s="112">
        <v>46262.579201388886</v>
      </c>
      <c r="BJ9" s="112">
        <v>46262.854398148149</v>
      </c>
      <c r="BK9" s="112">
        <v>46263.395208333335</v>
      </c>
      <c r="BL9" s="112">
        <v>46263.864814814813</v>
      </c>
      <c r="BM9" s="112">
        <v>46264.384444444448</v>
      </c>
      <c r="BN9" s="111">
        <v>46264.939976851849</v>
      </c>
      <c r="BO9" s="111">
        <v>46265.385034722225</v>
      </c>
      <c r="BP9" s="111">
        <v>46265.868645833332</v>
      </c>
      <c r="BQ9" s="13">
        <f t="shared" si="2"/>
        <v>31</v>
      </c>
      <c r="BR9" s="68">
        <v>5</v>
      </c>
      <c r="BS9" s="14">
        <f t="shared" si="1"/>
        <v>31</v>
      </c>
      <c r="BT9" s="2">
        <f t="shared" si="3"/>
        <v>0</v>
      </c>
      <c r="BU9" s="15">
        <f>COUNTIF(B9:BE9,"MC")/2</f>
        <v>0</v>
      </c>
      <c r="BV9" s="15">
        <f>COUNTIF(B9:BE9,"EL")/2</f>
        <v>0</v>
      </c>
      <c r="BW9" s="15">
        <f>COUNTIF(B9:BE9,"AL")/2</f>
        <v>0</v>
      </c>
      <c r="BX9" s="15">
        <f>COUNTIF(B9:BE9,"SUS")/2</f>
        <v>0</v>
      </c>
      <c r="BY9" s="15">
        <f>COUNTIF(B9:BE9,"FL")/2</f>
        <v>0</v>
      </c>
      <c r="BZ9" s="15">
        <f>COUNTIF(B9:BE9,"SICK")/2</f>
        <v>0</v>
      </c>
      <c r="CA9" s="15">
        <f>COUNTIF(B9:BE9,"HD")/2</f>
        <v>0</v>
      </c>
      <c r="CB9" s="15">
        <f>COUNTIF(B9:BE9,"AB")/2</f>
        <v>0</v>
      </c>
      <c r="CC9" s="15">
        <f>COUNTIF(B9:BE9,"NL")/2</f>
        <v>0</v>
      </c>
      <c r="CD9" s="15">
        <f>COUNTIF(B9:BE9,"SP")/2</f>
        <v>0</v>
      </c>
      <c r="CE9" s="161" t="s">
        <v>133</v>
      </c>
      <c r="CH9" s="58">
        <v>0</v>
      </c>
      <c r="CI9" s="58">
        <v>0</v>
      </c>
      <c r="CJ9" s="58">
        <v>0</v>
      </c>
      <c r="CK9" s="58">
        <v>0</v>
      </c>
      <c r="CL9" s="58">
        <v>0</v>
      </c>
      <c r="CM9" s="58">
        <v>0</v>
      </c>
      <c r="CN9" s="58">
        <v>0</v>
      </c>
      <c r="CO9" s="58">
        <v>0</v>
      </c>
      <c r="CP9" s="58">
        <v>0</v>
      </c>
      <c r="CQ9" s="58">
        <v>0</v>
      </c>
      <c r="CR9" s="62">
        <f t="shared" si="0"/>
        <v>0</v>
      </c>
    </row>
    <row r="10" spans="1:96" ht="22.5" customHeight="1" x14ac:dyDescent="0.25">
      <c r="A10" s="103">
        <v>6</v>
      </c>
      <c r="B10" s="8" t="str">
        <f>'[1]Hulhumale Staffs_ Sep 2025'!B9</f>
        <v>MAD0569</v>
      </c>
      <c r="C10" s="98" t="s">
        <v>31</v>
      </c>
      <c r="D10" s="108">
        <v>45295</v>
      </c>
      <c r="E10" s="112">
        <v>46235.286041666666</v>
      </c>
      <c r="F10" s="112">
        <v>46235.857002314813</v>
      </c>
      <c r="G10" s="112">
        <v>46236.315011574072</v>
      </c>
      <c r="H10" s="112">
        <v>46236.840196759258</v>
      </c>
      <c r="I10" s="112">
        <v>46237.310266203705</v>
      </c>
      <c r="J10" s="112">
        <v>46237.842245370368</v>
      </c>
      <c r="K10" s="112">
        <v>46238.271770833337</v>
      </c>
      <c r="L10" s="112">
        <v>46238.932557870372</v>
      </c>
      <c r="M10" s="112">
        <v>46239.352939814817</v>
      </c>
      <c r="N10" s="112">
        <v>46239.899884259263</v>
      </c>
      <c r="O10" s="112">
        <v>46240.338125000002</v>
      </c>
      <c r="P10" s="112">
        <v>46240.968090277776</v>
      </c>
      <c r="Q10" s="112">
        <v>46241.320590277777</v>
      </c>
      <c r="R10" s="103">
        <v>1</v>
      </c>
      <c r="S10" s="112">
        <v>46242.333807870367</v>
      </c>
      <c r="T10" s="112">
        <v>46242.908391203702</v>
      </c>
      <c r="U10" s="112">
        <v>46243.332291666666</v>
      </c>
      <c r="V10" s="112">
        <v>46243.873888888891</v>
      </c>
      <c r="W10" s="112">
        <v>46244.325219907405</v>
      </c>
      <c r="X10" s="103">
        <v>1</v>
      </c>
      <c r="Y10" s="112">
        <v>46245.329409722224</v>
      </c>
      <c r="Z10" s="112">
        <v>46245.884004629632</v>
      </c>
      <c r="AA10" s="112">
        <v>46246.329189814816</v>
      </c>
      <c r="AB10" s="112">
        <v>46246.913263888891</v>
      </c>
      <c r="AC10" s="112">
        <v>46247.344421296293</v>
      </c>
      <c r="AD10" s="112">
        <v>46247.875775462962</v>
      </c>
      <c r="AE10" s="112">
        <v>46248.596458333333</v>
      </c>
      <c r="AF10" s="103">
        <v>1</v>
      </c>
      <c r="AG10" s="112">
        <v>46249.34138888889</v>
      </c>
      <c r="AH10" s="112">
        <v>46249.891631944447</v>
      </c>
      <c r="AI10" s="97"/>
      <c r="AJ10" s="165">
        <v>6</v>
      </c>
      <c r="AK10" s="112">
        <v>46250.32739583333</v>
      </c>
      <c r="AL10" s="112">
        <v>0</v>
      </c>
      <c r="AM10" s="112">
        <v>46251.328321759262</v>
      </c>
      <c r="AN10" s="112">
        <v>46251.861076388886</v>
      </c>
      <c r="AO10" s="112">
        <v>46252.334131944444</v>
      </c>
      <c r="AP10" s="112">
        <v>46252.884988425925</v>
      </c>
      <c r="AQ10" s="112">
        <v>46253.338240740741</v>
      </c>
      <c r="AR10" s="112">
        <v>46253.873460648145</v>
      </c>
      <c r="AS10" s="112">
        <v>46254.319537037038</v>
      </c>
      <c r="AT10" s="112">
        <v>46254.860092592593</v>
      </c>
      <c r="AU10" s="156" t="s">
        <v>15</v>
      </c>
      <c r="AV10" s="156" t="s">
        <v>15</v>
      </c>
      <c r="AW10" s="112">
        <v>46256.354224537034</v>
      </c>
      <c r="AX10" s="112">
        <v>46256.877002314817</v>
      </c>
      <c r="AY10" s="112">
        <v>46257.336921296293</v>
      </c>
      <c r="AZ10" s="112">
        <v>46257.852939814817</v>
      </c>
      <c r="BA10" s="112">
        <v>46258.377199074072</v>
      </c>
      <c r="BB10" s="112">
        <v>46258.879884259259</v>
      </c>
      <c r="BC10" s="112">
        <v>46256.354224537034</v>
      </c>
      <c r="BD10" s="112">
        <v>46259.87572916667</v>
      </c>
      <c r="BE10" s="112">
        <v>46256.354224537034</v>
      </c>
      <c r="BF10" s="112">
        <v>46260.85365740741</v>
      </c>
      <c r="BG10" s="112">
        <v>46261.325300925928</v>
      </c>
      <c r="BH10" s="112">
        <v>46261.866620370369</v>
      </c>
      <c r="BI10" s="156" t="s">
        <v>15</v>
      </c>
      <c r="BJ10" s="156" t="s">
        <v>15</v>
      </c>
      <c r="BK10" s="112">
        <v>46263.335173611114</v>
      </c>
      <c r="BL10" s="112">
        <v>46263.880578703705</v>
      </c>
      <c r="BM10" s="112">
        <v>46264.334664351853</v>
      </c>
      <c r="BN10" s="111">
        <v>46264.955011574071</v>
      </c>
      <c r="BO10" s="111">
        <v>46265.329108796293</v>
      </c>
      <c r="BP10" s="111">
        <v>46265.859444444446</v>
      </c>
      <c r="BQ10" s="13">
        <f t="shared" si="2"/>
        <v>31</v>
      </c>
      <c r="BR10" s="68">
        <v>3</v>
      </c>
      <c r="BS10" s="14">
        <f t="shared" si="1"/>
        <v>29</v>
      </c>
      <c r="BT10" s="2">
        <f t="shared" si="3"/>
        <v>2</v>
      </c>
      <c r="BU10" s="15">
        <f>COUNTIF(B10:BE10,"MC")/2</f>
        <v>0</v>
      </c>
      <c r="BV10" s="15">
        <f>COUNTIF(B10:BE10,"EL")/2</f>
        <v>0</v>
      </c>
      <c r="BW10" s="15">
        <f>COUNTIF(B10:BE10,"AL")/2</f>
        <v>0</v>
      </c>
      <c r="BX10" s="15">
        <f>COUNTIF(B10:BE10,"SUS")/2</f>
        <v>0</v>
      </c>
      <c r="BY10" s="15">
        <f>COUNTIF(B10:BE10,"FL")/2</f>
        <v>0</v>
      </c>
      <c r="BZ10" s="15">
        <f>COUNTIF(B10:BE10,"SICK")/2</f>
        <v>0</v>
      </c>
      <c r="CA10" s="15">
        <f>COUNTIF(B10:BE10,"HD")/2</f>
        <v>0</v>
      </c>
      <c r="CB10" s="15">
        <f>COUNTIF(B10:BE10,"AB")/2</f>
        <v>0</v>
      </c>
      <c r="CC10" s="15">
        <f>COUNTIF(B10:BE10,"NL")/2</f>
        <v>0</v>
      </c>
      <c r="CD10" s="15">
        <f>COUNTIF(B10:BE10,"SP")/2</f>
        <v>0</v>
      </c>
      <c r="CE10" s="161" t="s">
        <v>133</v>
      </c>
      <c r="CH10" s="58">
        <v>0</v>
      </c>
      <c r="CI10" s="58">
        <v>0</v>
      </c>
      <c r="CJ10" s="58">
        <v>25</v>
      </c>
      <c r="CK10" s="58">
        <v>0</v>
      </c>
      <c r="CL10" s="58">
        <v>0</v>
      </c>
      <c r="CM10" s="58">
        <v>0</v>
      </c>
      <c r="CN10" s="58">
        <v>0</v>
      </c>
      <c r="CO10" s="58">
        <v>0</v>
      </c>
      <c r="CP10" s="58">
        <v>0</v>
      </c>
      <c r="CQ10" s="58">
        <v>0</v>
      </c>
      <c r="CR10" s="62">
        <f t="shared" si="0"/>
        <v>25</v>
      </c>
    </row>
    <row r="11" spans="1:96" ht="22.5" customHeight="1" x14ac:dyDescent="0.25">
      <c r="A11" s="103">
        <v>7</v>
      </c>
      <c r="B11" s="116" t="str">
        <f>'[1]Hulhumale Staffs_ Sep 2025'!B11</f>
        <v>MAD0699</v>
      </c>
      <c r="C11" s="117" t="s">
        <v>32</v>
      </c>
      <c r="D11" s="118">
        <v>45837</v>
      </c>
      <c r="E11" s="112">
        <v>46235.319837962961</v>
      </c>
      <c r="F11" s="112">
        <v>1</v>
      </c>
      <c r="G11" s="112">
        <v>46236.321655092594</v>
      </c>
      <c r="H11" s="112">
        <v>1</v>
      </c>
      <c r="I11" s="112">
        <v>46237.320405092592</v>
      </c>
      <c r="J11" s="112">
        <v>1</v>
      </c>
      <c r="K11" s="112">
        <v>46238.320081018515</v>
      </c>
      <c r="L11" s="112">
        <v>1</v>
      </c>
      <c r="M11" s="112">
        <v>46239.344907407409</v>
      </c>
      <c r="N11" s="112">
        <v>1</v>
      </c>
      <c r="O11" s="112">
        <v>46240.344317129631</v>
      </c>
      <c r="P11" s="112">
        <v>1</v>
      </c>
      <c r="Q11" s="112">
        <v>46241.583090277774</v>
      </c>
      <c r="R11" s="112">
        <v>1</v>
      </c>
      <c r="S11" s="112">
        <v>46242.343935185185</v>
      </c>
      <c r="T11" s="112">
        <v>1</v>
      </c>
      <c r="U11" s="112">
        <v>46243.342430555553</v>
      </c>
      <c r="V11" s="112">
        <v>1</v>
      </c>
      <c r="W11" s="112">
        <v>46244.349108796298</v>
      </c>
      <c r="X11" s="112">
        <v>1</v>
      </c>
      <c r="Y11" s="112">
        <v>46245.335092592592</v>
      </c>
      <c r="Z11" s="112">
        <v>1</v>
      </c>
      <c r="AA11" s="112">
        <v>46246.342488425929</v>
      </c>
      <c r="AB11" s="112">
        <v>1</v>
      </c>
      <c r="AC11" s="112">
        <v>46247.343449074076</v>
      </c>
      <c r="AD11" s="112">
        <v>1</v>
      </c>
      <c r="AE11" s="113" t="s">
        <v>15</v>
      </c>
      <c r="AF11" s="113" t="s">
        <v>15</v>
      </c>
      <c r="AG11" s="112">
        <v>46249.335706018515</v>
      </c>
      <c r="AH11" s="112">
        <v>1</v>
      </c>
      <c r="AI11" s="97"/>
      <c r="AJ11" s="165">
        <v>7</v>
      </c>
      <c r="AK11" s="112">
        <v>46250.338680555556</v>
      </c>
      <c r="AL11" s="112">
        <v>0</v>
      </c>
      <c r="AM11" s="112">
        <v>46251.33734953704</v>
      </c>
      <c r="AN11" s="112">
        <v>0</v>
      </c>
      <c r="AO11" s="112">
        <v>46252.337384259263</v>
      </c>
      <c r="AP11" s="112">
        <v>0</v>
      </c>
      <c r="AQ11" s="112">
        <v>46253.338495370372</v>
      </c>
      <c r="AR11" s="112">
        <v>0</v>
      </c>
      <c r="AS11" s="112">
        <v>46254.344548611109</v>
      </c>
      <c r="AT11" s="112">
        <v>0</v>
      </c>
      <c r="AU11" s="112">
        <v>46255.576412037037</v>
      </c>
      <c r="AV11" s="112">
        <v>0</v>
      </c>
      <c r="AW11" s="112">
        <v>46256.345960648148</v>
      </c>
      <c r="AX11" s="112">
        <v>0</v>
      </c>
      <c r="AY11" s="112">
        <v>46257.339988425927</v>
      </c>
      <c r="AZ11" s="112">
        <v>0</v>
      </c>
      <c r="BA11" s="112">
        <v>46258.353587962964</v>
      </c>
      <c r="BB11" s="112">
        <v>0</v>
      </c>
      <c r="BC11" s="112">
        <v>0</v>
      </c>
      <c r="BD11" s="112">
        <v>0</v>
      </c>
      <c r="BE11" s="112">
        <v>46260.353009259263</v>
      </c>
      <c r="BF11" s="112">
        <v>0</v>
      </c>
      <c r="BG11" s="112">
        <v>46261.341134259259</v>
      </c>
      <c r="BH11" s="112">
        <v>0</v>
      </c>
      <c r="BI11" s="112">
        <v>46262.57980324074</v>
      </c>
      <c r="BJ11" s="112">
        <v>0</v>
      </c>
      <c r="BK11" s="112">
        <v>46263.343090277776</v>
      </c>
      <c r="BL11" s="112">
        <v>0</v>
      </c>
      <c r="BM11" s="112">
        <v>46264.342847222222</v>
      </c>
      <c r="BN11" s="112">
        <v>46264.956134259257</v>
      </c>
      <c r="BO11" s="138">
        <v>46265.342673611114</v>
      </c>
      <c r="BP11" s="138">
        <v>0</v>
      </c>
      <c r="BQ11" s="119">
        <f t="shared" si="2"/>
        <v>31</v>
      </c>
      <c r="BR11" s="120">
        <v>3</v>
      </c>
      <c r="BS11" s="14">
        <f t="shared" si="1"/>
        <v>30</v>
      </c>
      <c r="BT11" s="121">
        <f t="shared" si="3"/>
        <v>1</v>
      </c>
      <c r="BU11" s="122">
        <f>COUNTIF(B11:BE11,"MC")/2</f>
        <v>0</v>
      </c>
      <c r="BV11" s="122">
        <f>COUNTIF(B11:BE11,"EL")/2</f>
        <v>0</v>
      </c>
      <c r="BW11" s="122">
        <f>COUNTIF(B11:BE11,"AL")/2</f>
        <v>0</v>
      </c>
      <c r="BX11" s="122">
        <f>COUNTIF(B11:BE11,"SUS")/2</f>
        <v>0</v>
      </c>
      <c r="BY11" s="122">
        <f>COUNTIF(B11:BE11,"FL")/2</f>
        <v>0</v>
      </c>
      <c r="BZ11" s="122">
        <f>COUNTIF(B11:BE11,"SICK")/2</f>
        <v>0</v>
      </c>
      <c r="CA11" s="122">
        <f>COUNTIF(B11:BE11,"HD")/2</f>
        <v>0</v>
      </c>
      <c r="CB11" s="122">
        <f>COUNTIF(B11:BE11,"AB")/2</f>
        <v>0</v>
      </c>
      <c r="CC11" s="122">
        <f>COUNTIF(B11:BE11,"NL")/2</f>
        <v>0</v>
      </c>
      <c r="CD11" s="122">
        <f>COUNTIF(B11:BE11,"SP")/2</f>
        <v>0</v>
      </c>
      <c r="CE11" s="139"/>
      <c r="CH11" s="75">
        <v>0</v>
      </c>
      <c r="CI11" s="75">
        <v>0</v>
      </c>
      <c r="CJ11" s="75">
        <v>0</v>
      </c>
      <c r="CK11" s="75">
        <v>0</v>
      </c>
      <c r="CL11" s="75">
        <v>0</v>
      </c>
      <c r="CM11" s="75">
        <v>2</v>
      </c>
      <c r="CN11" s="75">
        <v>0</v>
      </c>
      <c r="CO11" s="75">
        <v>0</v>
      </c>
      <c r="CP11" s="75">
        <v>0</v>
      </c>
      <c r="CQ11" s="75">
        <v>0</v>
      </c>
      <c r="CR11" s="76">
        <f t="shared" si="0"/>
        <v>2</v>
      </c>
    </row>
    <row r="12" spans="1:96" s="123" customFormat="1" ht="22.5" customHeight="1" x14ac:dyDescent="0.25">
      <c r="A12" s="103">
        <v>8</v>
      </c>
      <c r="B12" s="8" t="s">
        <v>118</v>
      </c>
      <c r="C12" s="98" t="s">
        <v>30</v>
      </c>
      <c r="D12" s="99">
        <v>44887</v>
      </c>
      <c r="E12" s="146" t="s">
        <v>18</v>
      </c>
      <c r="F12" s="146" t="s">
        <v>18</v>
      </c>
      <c r="G12" s="146" t="s">
        <v>18</v>
      </c>
      <c r="H12" s="146" t="s">
        <v>18</v>
      </c>
      <c r="I12" s="146" t="s">
        <v>18</v>
      </c>
      <c r="J12" s="146" t="s">
        <v>18</v>
      </c>
      <c r="K12" s="146" t="s">
        <v>18</v>
      </c>
      <c r="L12" s="146" t="s">
        <v>18</v>
      </c>
      <c r="M12" s="147">
        <v>46239.358622685184</v>
      </c>
      <c r="N12" s="147">
        <v>1</v>
      </c>
      <c r="O12" s="147">
        <v>46240.02553240741</v>
      </c>
      <c r="P12" s="147">
        <v>1</v>
      </c>
      <c r="Q12" s="147">
        <v>46241.581053240741</v>
      </c>
      <c r="R12" s="147">
        <v>1</v>
      </c>
      <c r="S12" s="147">
        <v>46242.371099537035</v>
      </c>
      <c r="T12" s="112">
        <v>1</v>
      </c>
      <c r="U12" s="112">
        <v>46243.331875000003</v>
      </c>
      <c r="V12" s="112">
        <v>1</v>
      </c>
      <c r="W12" s="112">
        <v>46244.346979166665</v>
      </c>
      <c r="X12" s="112">
        <v>1</v>
      </c>
      <c r="Y12" s="112">
        <v>46245.352349537039</v>
      </c>
      <c r="Z12" s="112">
        <v>1</v>
      </c>
      <c r="AA12" s="112">
        <v>46246.352430555555</v>
      </c>
      <c r="AB12" s="112">
        <v>46247.052685185183</v>
      </c>
      <c r="AC12" s="112">
        <v>46247.376238425924</v>
      </c>
      <c r="AD12" s="112">
        <v>1</v>
      </c>
      <c r="AE12" s="112">
        <v>46248.369652777779</v>
      </c>
      <c r="AF12" s="112">
        <v>1</v>
      </c>
      <c r="AG12" s="112">
        <v>46249.358854166669</v>
      </c>
      <c r="AH12" s="112">
        <v>46250.039803240739</v>
      </c>
      <c r="AI12" s="64"/>
      <c r="AJ12" s="165">
        <v>8</v>
      </c>
      <c r="AK12" s="112">
        <v>46250.344756944447</v>
      </c>
      <c r="AL12" s="112">
        <v>0</v>
      </c>
      <c r="AM12" s="150">
        <v>46251.348298611112</v>
      </c>
      <c r="AN12" s="112">
        <v>46251.883240740739</v>
      </c>
      <c r="AO12" s="112">
        <v>46252.350902777776</v>
      </c>
      <c r="AP12" s="112">
        <v>46252.992476851854</v>
      </c>
      <c r="AQ12" s="112">
        <v>46253.356215277781</v>
      </c>
      <c r="AR12" s="112">
        <v>0</v>
      </c>
      <c r="AS12" s="112">
        <v>46254.256030092591</v>
      </c>
      <c r="AT12" s="112">
        <v>46255.100277777776</v>
      </c>
      <c r="AU12" s="112">
        <v>46255.100277777776</v>
      </c>
      <c r="AV12" s="112">
        <v>46255.885162037041</v>
      </c>
      <c r="AW12" s="112">
        <v>46256.362141203703</v>
      </c>
      <c r="AX12" s="112">
        <v>46256.95957175926</v>
      </c>
      <c r="AY12" s="112">
        <v>46257.351863425924</v>
      </c>
      <c r="AZ12" s="112">
        <v>46257.901631944442</v>
      </c>
      <c r="BA12" s="112">
        <v>46258.352569444447</v>
      </c>
      <c r="BB12" s="112">
        <v>46259.027129629627</v>
      </c>
      <c r="BC12" s="112">
        <v>46259.344074074077</v>
      </c>
      <c r="BD12" s="112">
        <v>0</v>
      </c>
      <c r="BE12" s="112">
        <v>46260.347280092596</v>
      </c>
      <c r="BF12" s="112">
        <v>0</v>
      </c>
      <c r="BG12" s="112">
        <v>46261.381180555552</v>
      </c>
      <c r="BH12" s="112">
        <v>46261.879583333335</v>
      </c>
      <c r="BI12" s="156" t="s">
        <v>15</v>
      </c>
      <c r="BJ12" s="156" t="s">
        <v>15</v>
      </c>
      <c r="BK12" s="112">
        <v>46263.35596064815</v>
      </c>
      <c r="BL12" s="112">
        <v>46263.925659722219</v>
      </c>
      <c r="BM12" s="112">
        <v>46264.383252314816</v>
      </c>
      <c r="BN12" s="111">
        <v>46264.972546296296</v>
      </c>
      <c r="BO12" s="111">
        <v>46265.354502314818</v>
      </c>
      <c r="BP12" s="111">
        <v>0</v>
      </c>
      <c r="BQ12" s="13">
        <f>BS12+BT12+BU12+BV12+CA12+BY12+BZ12+CD12</f>
        <v>27</v>
      </c>
      <c r="BR12" s="68">
        <v>3</v>
      </c>
      <c r="BS12" s="14">
        <f t="shared" si="1"/>
        <v>26</v>
      </c>
      <c r="BT12" s="2">
        <f t="shared" si="3"/>
        <v>1</v>
      </c>
      <c r="BU12" s="15">
        <f>COUNTIF(B12:BE12,"MC")/2</f>
        <v>0</v>
      </c>
      <c r="BV12" s="15">
        <f>COUNTIF(B12:BE12,"EL")/2</f>
        <v>0</v>
      </c>
      <c r="BW12" s="15">
        <f>COUNTIF(B12:BE12,"AL")/2</f>
        <v>4</v>
      </c>
      <c r="BX12" s="15">
        <f>COUNTIF(B12:BE12,"SUS")/2</f>
        <v>0</v>
      </c>
      <c r="BY12" s="15">
        <f>COUNTIF(B12:BE12,"FL")/2</f>
        <v>0</v>
      </c>
      <c r="BZ12" s="15">
        <f>COUNTIF(B12:BE12,"SICK")/2</f>
        <v>0</v>
      </c>
      <c r="CA12" s="15">
        <f>COUNTIF(B12:BE12,"HD")/2</f>
        <v>0</v>
      </c>
      <c r="CB12" s="15">
        <f>COUNTIF(B12:BE12,"AB")/2</f>
        <v>0</v>
      </c>
      <c r="CC12" s="15">
        <f>COUNTIF(B12:BE12,"NL")/2</f>
        <v>0</v>
      </c>
      <c r="CD12" s="15">
        <f>COUNTIF(B12:BE12,"SP")/2</f>
        <v>0</v>
      </c>
      <c r="CE12" s="67"/>
      <c r="CF12"/>
      <c r="CG12"/>
      <c r="CH12" s="58">
        <v>0</v>
      </c>
      <c r="CI12" s="58">
        <v>0</v>
      </c>
      <c r="CJ12" s="58">
        <v>0</v>
      </c>
      <c r="CK12" s="58">
        <v>0</v>
      </c>
      <c r="CL12" s="58">
        <v>0</v>
      </c>
      <c r="CM12" s="58">
        <v>0</v>
      </c>
      <c r="CN12" s="58">
        <v>0</v>
      </c>
      <c r="CO12" s="58">
        <v>0</v>
      </c>
      <c r="CP12" s="58">
        <v>0</v>
      </c>
      <c r="CQ12" s="58">
        <v>0</v>
      </c>
      <c r="CR12" s="62">
        <f>SUM(CH12:CQ12)</f>
        <v>0</v>
      </c>
    </row>
    <row r="13" spans="1:96" ht="22.5" customHeight="1" x14ac:dyDescent="0.25">
      <c r="A13" s="103">
        <v>9</v>
      </c>
      <c r="B13" s="8" t="s">
        <v>120</v>
      </c>
      <c r="C13" s="100" t="s">
        <v>119</v>
      </c>
      <c r="D13" s="99">
        <v>46247</v>
      </c>
      <c r="E13" s="199" t="s">
        <v>136</v>
      </c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12">
        <v>46247.32576388889</v>
      </c>
      <c r="AD13" s="112">
        <v>1</v>
      </c>
      <c r="AE13" s="112">
        <v>46248.568888888891</v>
      </c>
      <c r="AF13" s="112">
        <v>1</v>
      </c>
      <c r="AG13" s="112">
        <v>46249.338912037034</v>
      </c>
      <c r="AH13" s="112">
        <v>1</v>
      </c>
      <c r="AI13" s="97"/>
      <c r="AJ13" s="165">
        <v>9</v>
      </c>
      <c r="AK13" s="112">
        <v>46250.347199074073</v>
      </c>
      <c r="AL13" s="112">
        <v>0</v>
      </c>
      <c r="AM13" s="112">
        <v>46251.345729166664</v>
      </c>
      <c r="AN13" s="112">
        <v>0</v>
      </c>
      <c r="AO13" s="157">
        <v>46252.343229166669</v>
      </c>
      <c r="AP13" s="112">
        <v>46252.979710648149</v>
      </c>
      <c r="AQ13" s="157">
        <v>46253.346076388887</v>
      </c>
      <c r="AR13" s="112">
        <v>46253.981678240743</v>
      </c>
      <c r="AS13" s="157">
        <v>46254.344849537039</v>
      </c>
      <c r="AT13" s="157">
        <v>46255.004710648151</v>
      </c>
      <c r="AU13" s="157">
        <v>46255.565057870372</v>
      </c>
      <c r="AV13" s="157">
        <v>46255.987245370372</v>
      </c>
      <c r="AW13" s="157">
        <v>46256.353229166663</v>
      </c>
      <c r="AX13" s="112">
        <v>0</v>
      </c>
      <c r="AY13" s="112">
        <v>46257.346342592595</v>
      </c>
      <c r="AZ13" s="112">
        <v>46257.978715277779</v>
      </c>
      <c r="BA13" s="112">
        <v>46258.352372685185</v>
      </c>
      <c r="BB13" s="112">
        <v>46258.982835648145</v>
      </c>
      <c r="BC13" s="112">
        <v>46259.35328703704</v>
      </c>
      <c r="BD13" s="112">
        <v>0</v>
      </c>
      <c r="BE13" s="112">
        <v>46260.368495370371</v>
      </c>
      <c r="BF13" s="112">
        <v>46260.975844907407</v>
      </c>
      <c r="BG13" s="112">
        <v>46261.346192129633</v>
      </c>
      <c r="BH13" s="112">
        <v>46261.999641203707</v>
      </c>
      <c r="BI13" s="156" t="s">
        <v>15</v>
      </c>
      <c r="BJ13" s="156" t="s">
        <v>15</v>
      </c>
      <c r="BK13" s="112">
        <v>46263.346967592595</v>
      </c>
      <c r="BL13" s="112">
        <v>0</v>
      </c>
      <c r="BM13" s="112">
        <v>46264.343773148146</v>
      </c>
      <c r="BN13" s="112">
        <v>46264.971643518518</v>
      </c>
      <c r="BO13" s="112">
        <v>46265.348263888889</v>
      </c>
      <c r="BP13" s="112">
        <v>0</v>
      </c>
      <c r="BQ13" s="13">
        <f>BS13+BT13+BU13+BV13+CA13+BY13+BZ13+CD13</f>
        <v>19</v>
      </c>
      <c r="BR13" s="68">
        <v>3</v>
      </c>
      <c r="BS13" s="14">
        <f t="shared" si="1"/>
        <v>18</v>
      </c>
      <c r="BT13" s="2">
        <f t="shared" si="3"/>
        <v>1</v>
      </c>
      <c r="BU13" s="15">
        <f>COUNTIF(B13:BE13,"MC")/2</f>
        <v>0</v>
      </c>
      <c r="BV13" s="15">
        <f>COUNTIF(B13:BE13,"EL")/2</f>
        <v>0</v>
      </c>
      <c r="BW13" s="15">
        <f>COUNTIF(B13:BE13,"AL")/2</f>
        <v>0</v>
      </c>
      <c r="BX13" s="15">
        <f>COUNTIF(B13:BE13,"SUS")/2</f>
        <v>0</v>
      </c>
      <c r="BY13" s="15">
        <f>COUNTIF(B13:BE13,"FL")/2</f>
        <v>0</v>
      </c>
      <c r="BZ13" s="15">
        <f>COUNTIF(B13:BE13,"SICK")/2</f>
        <v>0</v>
      </c>
      <c r="CA13" s="15">
        <f>COUNTIF(B13:BE13,"HD")/2</f>
        <v>0</v>
      </c>
      <c r="CB13" s="15">
        <f>COUNTIF(B13:BE13,"AB")/2</f>
        <v>0</v>
      </c>
      <c r="CC13" s="15">
        <f>COUNTIF(B13:BE13,"NL")/2</f>
        <v>0</v>
      </c>
      <c r="CD13" s="15">
        <f>COUNTIF(B13:BE13,"SP")/2</f>
        <v>0</v>
      </c>
      <c r="CE13" s="67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6"/>
    </row>
    <row r="14" spans="1:96" ht="22.5" customHeight="1" x14ac:dyDescent="0.25">
      <c r="A14" s="124"/>
      <c r="B14" s="125"/>
      <c r="C14" s="126"/>
      <c r="D14" s="127"/>
      <c r="E14" s="97"/>
      <c r="F14" s="97"/>
      <c r="G14" s="97"/>
      <c r="H14" s="91"/>
      <c r="I14" s="97"/>
      <c r="J14" s="97"/>
      <c r="K14" s="128"/>
      <c r="L14" s="128"/>
      <c r="M14" s="128"/>
      <c r="N14" s="128"/>
      <c r="S14" s="97"/>
      <c r="T14" s="97"/>
      <c r="U14" s="97"/>
      <c r="V14" s="97"/>
      <c r="W14" s="97"/>
      <c r="X14" s="97"/>
      <c r="Y14" s="97"/>
      <c r="Z14" s="97"/>
      <c r="AA14" s="129"/>
      <c r="AB14" s="129"/>
      <c r="AC14" s="97"/>
      <c r="AD14" s="97"/>
      <c r="AE14" s="97"/>
      <c r="AF14" s="97"/>
      <c r="AG14" s="97"/>
      <c r="AH14" s="97"/>
      <c r="AI14" s="97"/>
      <c r="AJ14" s="124"/>
      <c r="AK14" s="130"/>
      <c r="AL14" s="130"/>
      <c r="AM14" s="130"/>
      <c r="AN14" s="130"/>
      <c r="AO14" s="130"/>
      <c r="AP14" s="130"/>
      <c r="AQ14" s="131"/>
      <c r="AR14" s="131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2"/>
      <c r="BF14" s="132"/>
      <c r="BG14" s="130"/>
      <c r="BH14" s="130"/>
      <c r="BI14" s="130"/>
      <c r="BJ14" s="130"/>
      <c r="BK14" s="130"/>
      <c r="BL14" s="130"/>
      <c r="BM14" s="130"/>
      <c r="BN14" s="128"/>
      <c r="BO14" s="128"/>
      <c r="BP14" s="128"/>
      <c r="BQ14" s="133"/>
      <c r="BR14" s="133"/>
      <c r="BS14" s="134"/>
      <c r="BT14" s="135"/>
      <c r="BU14" s="136"/>
      <c r="BV14" s="136" t="s">
        <v>83</v>
      </c>
      <c r="BW14" s="136"/>
      <c r="BX14" s="136"/>
      <c r="BY14" s="136"/>
      <c r="BZ14" s="136"/>
      <c r="CA14" s="136"/>
      <c r="CB14" s="136"/>
      <c r="CC14" s="136"/>
      <c r="CD14" s="136"/>
      <c r="CE14" s="137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115"/>
    </row>
    <row r="15" spans="1:96" s="123" customFormat="1" ht="24" customHeight="1" x14ac:dyDescent="0.25">
      <c r="A15" s="200" t="s">
        <v>117</v>
      </c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2"/>
      <c r="AI15" s="145"/>
      <c r="AJ15" s="203" t="s">
        <v>117</v>
      </c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3"/>
      <c r="BK15" s="203"/>
      <c r="BL15" s="203"/>
      <c r="BM15" s="203"/>
      <c r="BN15" s="203"/>
      <c r="BO15" s="203"/>
      <c r="BP15" s="203"/>
      <c r="BQ15" s="203"/>
      <c r="BR15" s="203"/>
      <c r="BS15" s="203"/>
      <c r="BT15" s="203"/>
      <c r="BU15" s="203"/>
      <c r="BV15" s="203"/>
      <c r="BW15" s="203"/>
      <c r="BX15" s="203"/>
      <c r="BY15" s="203"/>
      <c r="BZ15" s="203"/>
      <c r="CA15" s="203"/>
      <c r="CB15" s="203"/>
      <c r="CC15" s="203"/>
      <c r="CD15" s="203"/>
      <c r="CE15" s="203"/>
      <c r="CF15"/>
      <c r="CG15"/>
    </row>
    <row r="16" spans="1:96" ht="18.75" customHeight="1" x14ac:dyDescent="0.25">
      <c r="A16" s="204" t="s">
        <v>33</v>
      </c>
      <c r="B16" s="204"/>
      <c r="C16" s="204"/>
      <c r="D16" s="140"/>
      <c r="E16" s="193" t="s">
        <v>4</v>
      </c>
      <c r="F16" s="193"/>
      <c r="G16" s="193" t="s">
        <v>5</v>
      </c>
      <c r="H16" s="193"/>
      <c r="I16" s="193" t="s">
        <v>6</v>
      </c>
      <c r="J16" s="193"/>
      <c r="K16" s="193" t="s">
        <v>7</v>
      </c>
      <c r="L16" s="193"/>
      <c r="M16" s="193" t="s">
        <v>1</v>
      </c>
      <c r="N16" s="193"/>
      <c r="O16" s="193" t="s">
        <v>2</v>
      </c>
      <c r="P16" s="193"/>
      <c r="Q16" s="193" t="s">
        <v>3</v>
      </c>
      <c r="R16" s="193"/>
      <c r="S16" s="193" t="s">
        <v>4</v>
      </c>
      <c r="T16" s="193"/>
      <c r="U16" s="193" t="s">
        <v>5</v>
      </c>
      <c r="V16" s="193"/>
      <c r="W16" s="193" t="s">
        <v>6</v>
      </c>
      <c r="X16" s="193"/>
      <c r="Y16" s="193" t="s">
        <v>7</v>
      </c>
      <c r="Z16" s="193"/>
      <c r="AA16" s="193" t="s">
        <v>1</v>
      </c>
      <c r="AB16" s="193"/>
      <c r="AC16" s="193" t="s">
        <v>2</v>
      </c>
      <c r="AD16" s="193"/>
      <c r="AE16" s="193" t="s">
        <v>3</v>
      </c>
      <c r="AF16" s="193"/>
      <c r="AG16" s="193" t="s">
        <v>4</v>
      </c>
      <c r="AH16" s="193"/>
      <c r="AI16" s="95"/>
      <c r="AJ16" s="141"/>
      <c r="AK16" s="193" t="s">
        <v>5</v>
      </c>
      <c r="AL16" s="193"/>
      <c r="AM16" s="193" t="s">
        <v>6</v>
      </c>
      <c r="AN16" s="193"/>
      <c r="AO16" s="193" t="s">
        <v>7</v>
      </c>
      <c r="AP16" s="193"/>
      <c r="AQ16" s="193" t="s">
        <v>1</v>
      </c>
      <c r="AR16" s="193"/>
      <c r="AS16" s="193" t="s">
        <v>2</v>
      </c>
      <c r="AT16" s="193"/>
      <c r="AU16" s="193" t="s">
        <v>3</v>
      </c>
      <c r="AV16" s="193"/>
      <c r="AW16" s="193" t="s">
        <v>4</v>
      </c>
      <c r="AX16" s="193"/>
      <c r="AY16" s="193" t="s">
        <v>5</v>
      </c>
      <c r="AZ16" s="193"/>
      <c r="BA16" s="193" t="s">
        <v>6</v>
      </c>
      <c r="BB16" s="193"/>
      <c r="BC16" s="193" t="s">
        <v>7</v>
      </c>
      <c r="BD16" s="193"/>
      <c r="BE16" s="193" t="s">
        <v>1</v>
      </c>
      <c r="BF16" s="193"/>
      <c r="BG16" s="193" t="s">
        <v>2</v>
      </c>
      <c r="BH16" s="193"/>
      <c r="BI16" s="193" t="s">
        <v>3</v>
      </c>
      <c r="BJ16" s="193"/>
      <c r="BK16" s="193" t="s">
        <v>4</v>
      </c>
      <c r="BL16" s="193"/>
      <c r="BM16" s="193" t="s">
        <v>5</v>
      </c>
      <c r="BN16" s="193"/>
      <c r="BO16" s="193" t="s">
        <v>6</v>
      </c>
      <c r="BP16" s="193"/>
      <c r="BQ16" s="197" t="s">
        <v>8</v>
      </c>
      <c r="BR16" s="197" t="s">
        <v>9</v>
      </c>
      <c r="BS16" s="142"/>
      <c r="BT16" s="142"/>
      <c r="BU16" s="142"/>
      <c r="BV16" s="142"/>
      <c r="BW16" s="142"/>
      <c r="BX16" s="142"/>
      <c r="BY16" s="142"/>
      <c r="BZ16" s="142"/>
      <c r="CA16" s="143"/>
      <c r="CB16" s="143"/>
      <c r="CC16" s="142"/>
      <c r="CD16" s="144"/>
      <c r="CE16" s="144"/>
      <c r="CH16" s="198" t="s">
        <v>84</v>
      </c>
      <c r="CI16" s="198"/>
      <c r="CJ16" s="198"/>
      <c r="CK16" s="198"/>
      <c r="CL16" s="198"/>
      <c r="CM16" s="198"/>
      <c r="CN16" s="198"/>
      <c r="CO16" s="198"/>
      <c r="CP16" s="198"/>
      <c r="CQ16" s="198"/>
      <c r="CR16" s="17"/>
    </row>
    <row r="17" spans="1:96" ht="18.75" customHeight="1" x14ac:dyDescent="0.25">
      <c r="A17" s="204"/>
      <c r="B17" s="204"/>
      <c r="C17" s="204"/>
      <c r="D17" s="93"/>
      <c r="E17" s="192">
        <v>46235</v>
      </c>
      <c r="F17" s="192"/>
      <c r="G17" s="192">
        <v>46236</v>
      </c>
      <c r="H17" s="192"/>
      <c r="I17" s="192">
        <v>46237</v>
      </c>
      <c r="J17" s="192"/>
      <c r="K17" s="192">
        <v>46238</v>
      </c>
      <c r="L17" s="192"/>
      <c r="M17" s="192">
        <v>46239</v>
      </c>
      <c r="N17" s="192"/>
      <c r="O17" s="192">
        <v>46240</v>
      </c>
      <c r="P17" s="192"/>
      <c r="Q17" s="192">
        <v>46241</v>
      </c>
      <c r="R17" s="192"/>
      <c r="S17" s="192">
        <v>46242</v>
      </c>
      <c r="T17" s="192"/>
      <c r="U17" s="192">
        <v>46243</v>
      </c>
      <c r="V17" s="192"/>
      <c r="W17" s="192">
        <v>46244</v>
      </c>
      <c r="X17" s="192"/>
      <c r="Y17" s="192">
        <v>46245</v>
      </c>
      <c r="Z17" s="192"/>
      <c r="AA17" s="192">
        <v>46246</v>
      </c>
      <c r="AB17" s="192"/>
      <c r="AC17" s="192">
        <v>46247</v>
      </c>
      <c r="AD17" s="192"/>
      <c r="AE17" s="192">
        <v>46248</v>
      </c>
      <c r="AF17" s="192"/>
      <c r="AG17" s="192">
        <v>46249</v>
      </c>
      <c r="AH17" s="192"/>
      <c r="AI17" s="96"/>
      <c r="AJ17" s="101"/>
      <c r="AK17" s="192">
        <v>46250</v>
      </c>
      <c r="AL17" s="192"/>
      <c r="AM17" s="192">
        <v>46251</v>
      </c>
      <c r="AN17" s="192"/>
      <c r="AO17" s="192">
        <v>46252</v>
      </c>
      <c r="AP17" s="192"/>
      <c r="AQ17" s="192">
        <v>46253</v>
      </c>
      <c r="AR17" s="192"/>
      <c r="AS17" s="192">
        <v>46254</v>
      </c>
      <c r="AT17" s="192"/>
      <c r="AU17" s="192">
        <v>46255</v>
      </c>
      <c r="AV17" s="192"/>
      <c r="AW17" s="192">
        <v>46256</v>
      </c>
      <c r="AX17" s="192"/>
      <c r="AY17" s="192">
        <v>46257</v>
      </c>
      <c r="AZ17" s="192"/>
      <c r="BA17" s="192">
        <v>46258</v>
      </c>
      <c r="BB17" s="192"/>
      <c r="BC17" s="192">
        <v>46259</v>
      </c>
      <c r="BD17" s="192"/>
      <c r="BE17" s="192">
        <v>46260</v>
      </c>
      <c r="BF17" s="192"/>
      <c r="BG17" s="192">
        <v>46261</v>
      </c>
      <c r="BH17" s="192"/>
      <c r="BI17" s="192">
        <v>46262</v>
      </c>
      <c r="BJ17" s="192"/>
      <c r="BK17" s="192">
        <v>46263</v>
      </c>
      <c r="BL17" s="192"/>
      <c r="BM17" s="192">
        <v>46264</v>
      </c>
      <c r="BN17" s="192"/>
      <c r="BO17" s="192">
        <v>46265</v>
      </c>
      <c r="BP17" s="192"/>
      <c r="BQ17" s="197"/>
      <c r="BR17" s="197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H17" s="53" t="s">
        <v>101</v>
      </c>
      <c r="CI17" s="53"/>
      <c r="CJ17" s="53"/>
      <c r="CK17" s="53"/>
      <c r="CL17" s="53"/>
      <c r="CM17" s="53"/>
      <c r="CN17" s="53"/>
      <c r="CO17" s="53"/>
      <c r="CP17" s="53"/>
      <c r="CQ17" s="53"/>
      <c r="CR17" s="17"/>
    </row>
    <row r="18" spans="1:96" ht="18.75" customHeight="1" x14ac:dyDescent="0.25">
      <c r="A18" s="4" t="s">
        <v>10</v>
      </c>
      <c r="B18" s="4" t="s">
        <v>11</v>
      </c>
      <c r="C18" s="4" t="s">
        <v>12</v>
      </c>
      <c r="D18" s="4"/>
      <c r="E18" s="10" t="s">
        <v>13</v>
      </c>
      <c r="F18" s="10" t="s">
        <v>14</v>
      </c>
      <c r="G18" s="10" t="s">
        <v>13</v>
      </c>
      <c r="H18" s="10" t="s">
        <v>14</v>
      </c>
      <c r="I18" s="10" t="s">
        <v>13</v>
      </c>
      <c r="J18" s="10" t="s">
        <v>14</v>
      </c>
      <c r="K18" s="10" t="s">
        <v>13</v>
      </c>
      <c r="L18" s="10" t="s">
        <v>14</v>
      </c>
      <c r="M18" s="10" t="s">
        <v>13</v>
      </c>
      <c r="N18" s="10" t="s">
        <v>14</v>
      </c>
      <c r="O18" s="10" t="s">
        <v>13</v>
      </c>
      <c r="P18" s="10" t="s">
        <v>14</v>
      </c>
      <c r="Q18" s="10" t="s">
        <v>13</v>
      </c>
      <c r="R18" s="10" t="s">
        <v>14</v>
      </c>
      <c r="S18" s="10" t="s">
        <v>13</v>
      </c>
      <c r="T18" s="10" t="s">
        <v>14</v>
      </c>
      <c r="U18" s="10" t="s">
        <v>13</v>
      </c>
      <c r="V18" s="10" t="s">
        <v>14</v>
      </c>
      <c r="W18" s="10" t="s">
        <v>13</v>
      </c>
      <c r="X18" s="10" t="s">
        <v>14</v>
      </c>
      <c r="Y18" s="10" t="s">
        <v>13</v>
      </c>
      <c r="Z18" s="10" t="s">
        <v>14</v>
      </c>
      <c r="AA18" s="10" t="s">
        <v>13</v>
      </c>
      <c r="AB18" s="10" t="s">
        <v>14</v>
      </c>
      <c r="AC18" s="10" t="s">
        <v>13</v>
      </c>
      <c r="AD18" s="10" t="s">
        <v>14</v>
      </c>
      <c r="AE18" s="10" t="s">
        <v>13</v>
      </c>
      <c r="AF18" s="10" t="s">
        <v>14</v>
      </c>
      <c r="AG18" s="10" t="s">
        <v>13</v>
      </c>
      <c r="AH18" s="10" t="s">
        <v>14</v>
      </c>
      <c r="AI18" s="95"/>
      <c r="AJ18" s="10"/>
      <c r="AK18" s="50" t="s">
        <v>13</v>
      </c>
      <c r="AL18" s="50" t="s">
        <v>14</v>
      </c>
      <c r="AM18" s="50" t="s">
        <v>13</v>
      </c>
      <c r="AN18" s="50" t="s">
        <v>14</v>
      </c>
      <c r="AO18" s="50" t="s">
        <v>13</v>
      </c>
      <c r="AP18" s="50" t="s">
        <v>14</v>
      </c>
      <c r="AQ18" s="50" t="s">
        <v>13</v>
      </c>
      <c r="AR18" s="50" t="s">
        <v>14</v>
      </c>
      <c r="AS18" s="50" t="s">
        <v>13</v>
      </c>
      <c r="AT18" s="50" t="s">
        <v>14</v>
      </c>
      <c r="AU18" s="10" t="s">
        <v>13</v>
      </c>
      <c r="AV18" s="10" t="s">
        <v>14</v>
      </c>
      <c r="AW18" s="10" t="s">
        <v>13</v>
      </c>
      <c r="AX18" s="10" t="s">
        <v>14</v>
      </c>
      <c r="AY18" s="10" t="s">
        <v>13</v>
      </c>
      <c r="AZ18" s="10" t="s">
        <v>14</v>
      </c>
      <c r="BA18" s="10" t="s">
        <v>13</v>
      </c>
      <c r="BB18" s="10" t="s">
        <v>14</v>
      </c>
      <c r="BC18" s="10" t="s">
        <v>13</v>
      </c>
      <c r="BD18" s="10" t="s">
        <v>14</v>
      </c>
      <c r="BE18" s="10" t="s">
        <v>13</v>
      </c>
      <c r="BF18" s="10" t="s">
        <v>14</v>
      </c>
      <c r="BG18" s="10" t="s">
        <v>13</v>
      </c>
      <c r="BH18" s="10" t="s">
        <v>14</v>
      </c>
      <c r="BI18" s="10" t="s">
        <v>13</v>
      </c>
      <c r="BJ18" s="10" t="s">
        <v>14</v>
      </c>
      <c r="BK18" s="10" t="s">
        <v>13</v>
      </c>
      <c r="BL18" s="10" t="s">
        <v>14</v>
      </c>
      <c r="BM18" s="10" t="s">
        <v>13</v>
      </c>
      <c r="BN18" s="10" t="s">
        <v>14</v>
      </c>
      <c r="BO18" s="10" t="s">
        <v>13</v>
      </c>
      <c r="BP18" s="10" t="s">
        <v>14</v>
      </c>
      <c r="BQ18" s="197"/>
      <c r="BR18" s="197"/>
      <c r="BS18" s="11"/>
      <c r="BT18" s="72" t="s">
        <v>15</v>
      </c>
      <c r="BU18" s="72" t="s">
        <v>16</v>
      </c>
      <c r="BV18" s="72" t="s">
        <v>17</v>
      </c>
      <c r="BW18" s="72" t="s">
        <v>18</v>
      </c>
      <c r="BX18" s="72" t="s">
        <v>19</v>
      </c>
      <c r="BY18" s="72" t="s">
        <v>20</v>
      </c>
      <c r="BZ18" s="72" t="s">
        <v>98</v>
      </c>
      <c r="CA18" s="48" t="s">
        <v>22</v>
      </c>
      <c r="CB18" s="72" t="s">
        <v>23</v>
      </c>
      <c r="CC18" s="72" t="s">
        <v>24</v>
      </c>
      <c r="CD18" s="72" t="s">
        <v>25</v>
      </c>
      <c r="CE18" s="12" t="s">
        <v>26</v>
      </c>
      <c r="CH18" s="63" t="s">
        <v>16</v>
      </c>
      <c r="CI18" s="63" t="s">
        <v>17</v>
      </c>
      <c r="CJ18" s="63" t="s">
        <v>18</v>
      </c>
      <c r="CK18" s="63" t="s">
        <v>19</v>
      </c>
      <c r="CL18" s="63" t="s">
        <v>20</v>
      </c>
      <c r="CM18" s="63" t="s">
        <v>21</v>
      </c>
      <c r="CN18" s="63" t="s">
        <v>22</v>
      </c>
      <c r="CO18" s="63" t="s">
        <v>23</v>
      </c>
      <c r="CP18" s="63" t="s">
        <v>24</v>
      </c>
      <c r="CQ18" s="63" t="s">
        <v>25</v>
      </c>
      <c r="CR18" s="63" t="s">
        <v>85</v>
      </c>
    </row>
    <row r="19" spans="1:96" ht="22.5" customHeight="1" x14ac:dyDescent="0.25">
      <c r="A19" s="103">
        <v>10</v>
      </c>
      <c r="B19" s="8" t="s">
        <v>34</v>
      </c>
      <c r="C19" s="98" t="s">
        <v>35</v>
      </c>
      <c r="D19" s="99">
        <v>43525</v>
      </c>
      <c r="E19" s="112">
        <v>46235.32953703704</v>
      </c>
      <c r="F19" s="112">
        <v>46235.997719907406</v>
      </c>
      <c r="G19" s="112">
        <v>46236.327847222223</v>
      </c>
      <c r="H19" s="103">
        <v>1</v>
      </c>
      <c r="I19" s="112">
        <v>46237.331076388888</v>
      </c>
      <c r="J19" s="103">
        <v>1</v>
      </c>
      <c r="K19" s="112">
        <v>46238.331504629627</v>
      </c>
      <c r="L19" s="112">
        <v>46238.999166666668</v>
      </c>
      <c r="M19" s="112">
        <v>46239.35365740741</v>
      </c>
      <c r="N19" s="103">
        <v>1</v>
      </c>
      <c r="O19" s="112">
        <v>46240.351018518515</v>
      </c>
      <c r="P19" s="103">
        <v>1</v>
      </c>
      <c r="Q19" s="113" t="s">
        <v>15</v>
      </c>
      <c r="R19" s="113" t="s">
        <v>15</v>
      </c>
      <c r="S19" s="112">
        <v>46242.354456018518</v>
      </c>
      <c r="T19" s="103">
        <v>1</v>
      </c>
      <c r="U19" s="112">
        <v>46243.354155092595</v>
      </c>
      <c r="V19" s="112">
        <v>46243.994050925925</v>
      </c>
      <c r="W19" s="112">
        <v>46244.354270833333</v>
      </c>
      <c r="X19" s="103">
        <v>1</v>
      </c>
      <c r="Y19" s="112">
        <v>46245.34878472222</v>
      </c>
      <c r="Z19" s="103">
        <v>1</v>
      </c>
      <c r="AA19" s="112">
        <v>46246.34574074074</v>
      </c>
      <c r="AB19" s="103">
        <v>1</v>
      </c>
      <c r="AC19" s="112">
        <v>46247.354247685187</v>
      </c>
      <c r="AD19" s="103">
        <v>1</v>
      </c>
      <c r="AE19" s="112">
        <v>46248.578761574077</v>
      </c>
      <c r="AF19" s="103">
        <v>1</v>
      </c>
      <c r="AG19" s="112">
        <v>46249.34784722222</v>
      </c>
      <c r="AH19" s="112">
        <v>1</v>
      </c>
      <c r="AI19" s="91"/>
      <c r="AJ19" s="102">
        <v>10</v>
      </c>
      <c r="AK19" s="112">
        <v>46250.351122685184</v>
      </c>
      <c r="AL19" s="166">
        <v>1</v>
      </c>
      <c r="AM19" s="150">
        <v>46251.350891203707</v>
      </c>
      <c r="AN19" s="166">
        <v>1</v>
      </c>
      <c r="AO19" s="112">
        <v>46252.347685185188</v>
      </c>
      <c r="AP19" s="166">
        <v>1</v>
      </c>
      <c r="AQ19" s="112">
        <v>46253.351898148147</v>
      </c>
      <c r="AR19" s="166">
        <v>1</v>
      </c>
      <c r="AS19" s="112">
        <v>46254.351076388892</v>
      </c>
      <c r="AT19" s="166">
        <v>1</v>
      </c>
      <c r="AU19" s="156" t="s">
        <v>15</v>
      </c>
      <c r="AV19" s="156" t="s">
        <v>15</v>
      </c>
      <c r="AW19" s="112">
        <v>46256.354502314818</v>
      </c>
      <c r="AX19" s="112">
        <v>0</v>
      </c>
      <c r="AY19" s="112">
        <v>46257.356979166667</v>
      </c>
      <c r="AZ19" s="112">
        <v>46258.008009259262</v>
      </c>
      <c r="BA19" s="112">
        <v>46258.394942129627</v>
      </c>
      <c r="BB19" s="112">
        <v>46258.997129629628</v>
      </c>
      <c r="BC19" s="112">
        <v>46259.35292824074</v>
      </c>
      <c r="BD19" s="112">
        <v>46260.004826388889</v>
      </c>
      <c r="BE19" s="112">
        <v>46260.352627314816</v>
      </c>
      <c r="BF19" s="112">
        <v>0</v>
      </c>
      <c r="BG19" s="112">
        <v>46261.352337962962</v>
      </c>
      <c r="BH19" s="112">
        <v>0</v>
      </c>
      <c r="BI19" s="112">
        <v>46262.58</v>
      </c>
      <c r="BJ19" s="112">
        <v>46262.986377314817</v>
      </c>
      <c r="BK19" s="112">
        <v>46263.350694444445</v>
      </c>
      <c r="BL19" s="112">
        <v>0</v>
      </c>
      <c r="BM19" s="112">
        <v>46264.351909722223</v>
      </c>
      <c r="BN19" s="70">
        <v>46264.754212962966</v>
      </c>
      <c r="BO19" s="70">
        <v>46265.353854166664</v>
      </c>
      <c r="BP19" s="70">
        <v>0</v>
      </c>
      <c r="BQ19" s="13">
        <f>BS19+BT19+BU19+BV19+CA19+BY19+BZ19+CD19</f>
        <v>31</v>
      </c>
      <c r="BR19" s="52">
        <v>2</v>
      </c>
      <c r="BS19" s="14">
        <f>COUNT(E19:AH19)/2+COUNT(AK19:BP19)/2</f>
        <v>29</v>
      </c>
      <c r="BT19" s="15">
        <f>COUNTIF(B19:BN19,"OFF")/2</f>
        <v>2</v>
      </c>
      <c r="BU19" s="15">
        <f>COUNTIF(B19:BN19,"MC")/2</f>
        <v>0</v>
      </c>
      <c r="BV19" s="15">
        <f>COUNTIF(B19:BN19,"EL")/2</f>
        <v>0</v>
      </c>
      <c r="BW19" s="15">
        <f>COUNTIF(B19:BN19,"AL")/2</f>
        <v>0</v>
      </c>
      <c r="BX19" s="15">
        <f>COUNTIF(B19:BN19,"SUS")/2</f>
        <v>0</v>
      </c>
      <c r="BY19" s="15">
        <f>COUNTIF(B19:BN19,"FL")/2</f>
        <v>0</v>
      </c>
      <c r="BZ19" s="15">
        <f>COUNTIF(B19:BN19,"SICK")/2</f>
        <v>0</v>
      </c>
      <c r="CA19" s="15">
        <f>COUNTIF(B19:BN19,"HD")/2</f>
        <v>0</v>
      </c>
      <c r="CB19" s="15">
        <f>COUNTIF(B19:BN19,"AB")/2</f>
        <v>0</v>
      </c>
      <c r="CC19" s="15">
        <f>COUNTIF(B19:BN19,"NL")/2</f>
        <v>0</v>
      </c>
      <c r="CD19" s="15">
        <f>COUNTIF(B19:BN19,"SP")/2</f>
        <v>0</v>
      </c>
      <c r="CE19" s="16"/>
      <c r="CH19" s="59">
        <v>0</v>
      </c>
      <c r="CI19" s="59">
        <v>0</v>
      </c>
      <c r="CJ19" s="59">
        <v>0</v>
      </c>
      <c r="CK19" s="59">
        <v>0</v>
      </c>
      <c r="CL19" s="59">
        <v>0</v>
      </c>
      <c r="CM19" s="59">
        <v>2</v>
      </c>
      <c r="CN19" s="60">
        <v>0</v>
      </c>
      <c r="CO19" s="60">
        <v>0</v>
      </c>
      <c r="CP19" s="60">
        <v>0</v>
      </c>
      <c r="CQ19" s="60">
        <v>0</v>
      </c>
      <c r="CR19" s="61">
        <f t="shared" ref="CR19:CR30" si="4">SUM(CH19:CQ19)</f>
        <v>2</v>
      </c>
    </row>
    <row r="20" spans="1:96" ht="22.5" customHeight="1" x14ac:dyDescent="0.25">
      <c r="A20" s="103">
        <v>11</v>
      </c>
      <c r="B20" s="8" t="s">
        <v>36</v>
      </c>
      <c r="C20" s="98" t="s">
        <v>37</v>
      </c>
      <c r="D20" s="99">
        <v>44862</v>
      </c>
      <c r="E20" s="112">
        <v>46235.32953703704</v>
      </c>
      <c r="F20" s="112">
        <v>46235.997719907406</v>
      </c>
      <c r="G20" s="112">
        <v>46236.327847222223</v>
      </c>
      <c r="H20" s="103">
        <v>1</v>
      </c>
      <c r="I20" s="112">
        <v>46237.331076388888</v>
      </c>
      <c r="J20" s="103">
        <v>1</v>
      </c>
      <c r="K20" s="112">
        <v>46238.331504629627</v>
      </c>
      <c r="L20" s="112">
        <v>46238.999166666668</v>
      </c>
      <c r="M20" s="112">
        <v>46239.35365740741</v>
      </c>
      <c r="N20" s="103">
        <v>1</v>
      </c>
      <c r="O20" s="112">
        <v>46240.351018518515</v>
      </c>
      <c r="P20" s="103">
        <v>1</v>
      </c>
      <c r="Q20" s="113" t="s">
        <v>15</v>
      </c>
      <c r="R20" s="113" t="s">
        <v>15</v>
      </c>
      <c r="S20" s="112">
        <v>46242.354456018518</v>
      </c>
      <c r="T20" s="103">
        <v>1</v>
      </c>
      <c r="U20" s="112">
        <v>46243.354155092595</v>
      </c>
      <c r="V20" s="112">
        <v>46243.994050925925</v>
      </c>
      <c r="W20" s="112">
        <v>46244.354270833333</v>
      </c>
      <c r="X20" s="103">
        <v>1</v>
      </c>
      <c r="Y20" s="112">
        <v>46245.34878472222</v>
      </c>
      <c r="Z20" s="103">
        <v>1</v>
      </c>
      <c r="AA20" s="112">
        <v>46246.34574074074</v>
      </c>
      <c r="AB20" s="103">
        <v>1</v>
      </c>
      <c r="AC20" s="112">
        <v>46247.354247685187</v>
      </c>
      <c r="AD20" s="103">
        <v>1</v>
      </c>
      <c r="AE20" s="112">
        <v>46248.578761574077</v>
      </c>
      <c r="AF20" s="103">
        <v>1</v>
      </c>
      <c r="AG20" s="112">
        <v>46249.34784722222</v>
      </c>
      <c r="AH20" s="112">
        <v>1</v>
      </c>
      <c r="AI20" s="97"/>
      <c r="AJ20" s="102">
        <v>11</v>
      </c>
      <c r="AK20" s="112">
        <v>46250.346585648149</v>
      </c>
      <c r="AL20" s="112">
        <v>46250.946562500001</v>
      </c>
      <c r="AM20" s="112">
        <v>46251.351435185185</v>
      </c>
      <c r="AN20" s="112">
        <v>46251.945231481484</v>
      </c>
      <c r="AO20" s="112">
        <v>46252.34915509259</v>
      </c>
      <c r="AP20" s="112">
        <v>46252.943657407406</v>
      </c>
      <c r="AQ20" s="112">
        <v>46253.352847222224</v>
      </c>
      <c r="AR20" s="112">
        <v>46253.947106481479</v>
      </c>
      <c r="AS20" s="112">
        <v>46254.348761574074</v>
      </c>
      <c r="AT20" s="112">
        <v>46254.96702546296</v>
      </c>
      <c r="AU20" s="112">
        <v>46255.572395833333</v>
      </c>
      <c r="AV20" s="112">
        <v>46255.947222222225</v>
      </c>
      <c r="AW20" s="112">
        <v>46256.343935185185</v>
      </c>
      <c r="AX20" s="112">
        <v>46256.965104166666</v>
      </c>
      <c r="AY20" s="112">
        <v>46257.348946759259</v>
      </c>
      <c r="AZ20" s="112">
        <v>46257.942002314812</v>
      </c>
      <c r="BA20" s="112">
        <v>46258.374907407408</v>
      </c>
      <c r="BB20" s="112">
        <v>46258.940081018518</v>
      </c>
      <c r="BC20" s="112">
        <v>46258.345069444447</v>
      </c>
      <c r="BD20" s="112">
        <v>46259.941990740743</v>
      </c>
      <c r="BE20" s="112">
        <v>46258.345069444447</v>
      </c>
      <c r="BF20" s="112">
        <v>46260.948020833333</v>
      </c>
      <c r="BG20" s="112">
        <v>46261.347222222219</v>
      </c>
      <c r="BH20" s="112">
        <v>46261.967118055552</v>
      </c>
      <c r="BI20" s="156" t="s">
        <v>15</v>
      </c>
      <c r="BJ20" s="156" t="s">
        <v>15</v>
      </c>
      <c r="BK20" s="112">
        <v>46263.346516203703</v>
      </c>
      <c r="BL20" s="112">
        <v>46263.959988425922</v>
      </c>
      <c r="BM20" s="112">
        <v>46264.348935185182</v>
      </c>
      <c r="BN20" s="70">
        <v>46264.959374999999</v>
      </c>
      <c r="BO20" s="70">
        <v>46265.348437499997</v>
      </c>
      <c r="BP20" s="70">
        <v>46265.948344907411</v>
      </c>
      <c r="BQ20" s="13">
        <f t="shared" ref="BQ20:BQ35" si="5">BS20+BT20+BU20+BV20+CA20+BY20+BZ20+CD20</f>
        <v>31</v>
      </c>
      <c r="BR20" s="52">
        <v>2</v>
      </c>
      <c r="BS20" s="14">
        <f t="shared" ref="BS20:BS37" si="6">COUNT(E20:AH20)/2+COUNT(AK20:BP20)/2</f>
        <v>29</v>
      </c>
      <c r="BT20" s="15">
        <f>COUNTIF(B20:BJ20,"OFF")/2</f>
        <v>2</v>
      </c>
      <c r="BU20" s="15">
        <f>COUNTIF(B20:BJ20,"MC")/2</f>
        <v>0</v>
      </c>
      <c r="BV20" s="15">
        <f>COUNTIF(B20:BJ20,"EL")/2</f>
        <v>0</v>
      </c>
      <c r="BW20" s="15">
        <f>COUNTIF(B20:BJ20,"AL")/2</f>
        <v>0</v>
      </c>
      <c r="BX20" s="15">
        <f>COUNTIF(B20:BJ20,"SUS")/2</f>
        <v>0</v>
      </c>
      <c r="BY20" s="15">
        <f>COUNTIF(B20:BJ20,"FL")/2</f>
        <v>0</v>
      </c>
      <c r="BZ20" s="15">
        <f>COUNTIF(B20:BJ20,"SICK")/2</f>
        <v>0</v>
      </c>
      <c r="CA20" s="15">
        <f>COUNTIF(B20:BN20,"HD")/2</f>
        <v>0</v>
      </c>
      <c r="CB20" s="15">
        <f>COUNTIF(B20:BJ20,"AB")/2</f>
        <v>0</v>
      </c>
      <c r="CC20" s="15">
        <f>COUNTIF(B20:BJ20,"NL")/2</f>
        <v>0</v>
      </c>
      <c r="CD20" s="15">
        <f>COUNTIF(B20:BJ20,"SP")/2</f>
        <v>0</v>
      </c>
      <c r="CE20" s="16"/>
      <c r="CH20" s="58">
        <v>0</v>
      </c>
      <c r="CI20" s="58">
        <v>0</v>
      </c>
      <c r="CJ20" s="58">
        <v>0</v>
      </c>
      <c r="CK20" s="57">
        <v>0</v>
      </c>
      <c r="CL20" s="57">
        <v>0</v>
      </c>
      <c r="CM20" s="57">
        <v>1</v>
      </c>
      <c r="CN20" s="57">
        <v>0</v>
      </c>
      <c r="CO20" s="57">
        <v>0</v>
      </c>
      <c r="CP20" s="57">
        <v>0</v>
      </c>
      <c r="CQ20" s="57">
        <v>0</v>
      </c>
      <c r="CR20" s="62">
        <f t="shared" si="4"/>
        <v>1</v>
      </c>
    </row>
    <row r="21" spans="1:96" ht="22.5" customHeight="1" x14ac:dyDescent="0.25">
      <c r="A21" s="103">
        <v>12</v>
      </c>
      <c r="B21" s="8" t="s">
        <v>39</v>
      </c>
      <c r="C21" s="98" t="s">
        <v>40</v>
      </c>
      <c r="D21" s="99">
        <v>45374</v>
      </c>
      <c r="E21" s="112">
        <v>46235.348402777781</v>
      </c>
      <c r="F21" s="112">
        <v>46235.96261574074</v>
      </c>
      <c r="G21" s="112">
        <v>46236.347800925927</v>
      </c>
      <c r="H21" s="112">
        <v>46236.945983796293</v>
      </c>
      <c r="I21" s="112">
        <v>46237.348483796297</v>
      </c>
      <c r="J21" s="112">
        <v>46237.948113425926</v>
      </c>
      <c r="K21" s="112">
        <v>46238.349224537036</v>
      </c>
      <c r="L21" s="112">
        <v>46238.944131944445</v>
      </c>
      <c r="M21" s="112">
        <v>46239.352164351854</v>
      </c>
      <c r="N21" s="112">
        <v>46239.943124999998</v>
      </c>
      <c r="O21" s="112">
        <v>46240.351840277777</v>
      </c>
      <c r="P21" s="112">
        <v>46240.964166666665</v>
      </c>
      <c r="Q21" s="112">
        <v>46241.577002314814</v>
      </c>
      <c r="R21" s="112">
        <v>46241.950150462966</v>
      </c>
      <c r="S21" s="112">
        <v>46242.352685185186</v>
      </c>
      <c r="T21" s="112">
        <v>46242.964236111111</v>
      </c>
      <c r="U21" s="112">
        <v>46243.348379629628</v>
      </c>
      <c r="V21" s="112">
        <v>46243.943402777775</v>
      </c>
      <c r="W21" s="112">
        <v>46244.349097222221</v>
      </c>
      <c r="X21" s="112">
        <v>46244.943113425928</v>
      </c>
      <c r="Y21" s="112">
        <v>46245.349699074075</v>
      </c>
      <c r="Z21" s="112">
        <v>46245.945671296293</v>
      </c>
      <c r="AA21" s="112">
        <v>46246.34578703704</v>
      </c>
      <c r="AB21" s="112">
        <v>46246.945567129631</v>
      </c>
      <c r="AC21" s="112">
        <v>46247.351736111108</v>
      </c>
      <c r="AD21" s="112">
        <v>46247.962476851855</v>
      </c>
      <c r="AE21" s="113" t="s">
        <v>15</v>
      </c>
      <c r="AF21" s="113" t="s">
        <v>15</v>
      </c>
      <c r="AG21" s="112">
        <v>46249.344710648147</v>
      </c>
      <c r="AH21" s="112">
        <v>46249.971134259256</v>
      </c>
      <c r="AI21" s="97"/>
      <c r="AJ21" s="102">
        <v>12</v>
      </c>
      <c r="AK21" s="112">
        <v>46250.350416666668</v>
      </c>
      <c r="AL21" s="166">
        <v>1</v>
      </c>
      <c r="AM21" s="112">
        <v>46251.354675925926</v>
      </c>
      <c r="AN21" s="112">
        <v>46251.956516203703</v>
      </c>
      <c r="AO21" s="112">
        <v>46252.350231481483</v>
      </c>
      <c r="AP21" s="112">
        <v>46252.950775462959</v>
      </c>
      <c r="AQ21" s="112">
        <v>46253.355300925927</v>
      </c>
      <c r="AR21" s="112">
        <v>46253.961701388886</v>
      </c>
      <c r="AS21" s="112">
        <v>46254.346319444441</v>
      </c>
      <c r="AT21" s="112">
        <v>46254.979490740741</v>
      </c>
      <c r="AU21" s="156" t="s">
        <v>15</v>
      </c>
      <c r="AV21" s="156" t="s">
        <v>15</v>
      </c>
      <c r="AW21" s="112">
        <v>46256.354780092595</v>
      </c>
      <c r="AX21" s="112">
        <v>46256.980532407404</v>
      </c>
      <c r="AY21" s="112">
        <v>46257.353761574072</v>
      </c>
      <c r="AZ21" s="112">
        <v>0</v>
      </c>
      <c r="BA21" s="112">
        <v>46258.333680555559</v>
      </c>
      <c r="BB21" s="112">
        <v>46258.955243055556</v>
      </c>
      <c r="BC21" s="112">
        <v>46259.349340277775</v>
      </c>
      <c r="BD21" s="112">
        <v>46259.957789351851</v>
      </c>
      <c r="BE21" s="112">
        <v>46260.351053240738</v>
      </c>
      <c r="BF21" s="112">
        <v>0</v>
      </c>
      <c r="BG21" s="112">
        <v>46261.35429398148</v>
      </c>
      <c r="BH21" s="112">
        <v>46261.97724537037</v>
      </c>
      <c r="BI21" s="112">
        <v>46262.55972222222</v>
      </c>
      <c r="BJ21" s="112">
        <v>0</v>
      </c>
      <c r="BK21" s="112">
        <v>46263.352361111109</v>
      </c>
      <c r="BL21" s="112">
        <v>46263.970902777779</v>
      </c>
      <c r="BM21" s="112">
        <v>46264.353912037041</v>
      </c>
      <c r="BN21" s="70">
        <v>46264.958657407406</v>
      </c>
      <c r="BO21" s="70">
        <v>46265.354768518519</v>
      </c>
      <c r="BP21" s="70">
        <v>0</v>
      </c>
      <c r="BQ21" s="13">
        <f>BS21+BT21+BU21+BV21+CA21+BY21+BZ21+CD21</f>
        <v>31</v>
      </c>
      <c r="BR21" s="52">
        <v>2</v>
      </c>
      <c r="BS21" s="14">
        <f t="shared" si="6"/>
        <v>29</v>
      </c>
      <c r="BT21" s="15">
        <f>COUNTIF(B21:BJ21,"OFF")/2</f>
        <v>2</v>
      </c>
      <c r="BU21" s="15">
        <f>COUNTIF(B21:BJ21,"MC")/2</f>
        <v>0</v>
      </c>
      <c r="BV21" s="15">
        <f>COUNTIF(B21:BJ21,"EL")/2</f>
        <v>0</v>
      </c>
      <c r="BW21" s="15">
        <f>COUNTIF(B21:BJ21,"AL")/2</f>
        <v>0</v>
      </c>
      <c r="BX21" s="15">
        <f>COUNTIF(B21:BJ21,"SUS")/2</f>
        <v>0</v>
      </c>
      <c r="BY21" s="15">
        <f>COUNTIF(B21:BJ21,"FL")/2</f>
        <v>0</v>
      </c>
      <c r="BZ21" s="15">
        <f>COUNTIF(B21:BJ21,"SICK")/2</f>
        <v>0</v>
      </c>
      <c r="CA21" s="15">
        <f>COUNTIF(B21:BN21,"HD")/2</f>
        <v>0</v>
      </c>
      <c r="CB21" s="15">
        <f>COUNTIF(B21:BJ21,"AB")/2</f>
        <v>0</v>
      </c>
      <c r="CC21" s="15">
        <f>COUNTIF(B21:BJ21,"NL")/2</f>
        <v>0</v>
      </c>
      <c r="CD21" s="15">
        <f>COUNTIF(B21:BJ21,"SP")/2</f>
        <v>0</v>
      </c>
      <c r="CE21" s="16"/>
      <c r="CH21" s="59">
        <v>0</v>
      </c>
      <c r="CI21" s="59">
        <v>0</v>
      </c>
      <c r="CJ21" s="59">
        <v>0</v>
      </c>
      <c r="CK21" s="59">
        <v>0</v>
      </c>
      <c r="CL21" s="59">
        <v>0</v>
      </c>
      <c r="CM21" s="59">
        <v>4</v>
      </c>
      <c r="CN21" s="60">
        <v>1</v>
      </c>
      <c r="CO21" s="60">
        <v>5</v>
      </c>
      <c r="CP21" s="60">
        <v>0</v>
      </c>
      <c r="CQ21" s="60">
        <v>0</v>
      </c>
      <c r="CR21" s="61">
        <f t="shared" si="4"/>
        <v>10</v>
      </c>
    </row>
    <row r="22" spans="1:96" s="171" customFormat="1" ht="21" customHeight="1" x14ac:dyDescent="0.25">
      <c r="A22" s="103">
        <v>13</v>
      </c>
      <c r="B22" s="103" t="s">
        <v>137</v>
      </c>
      <c r="C22" s="168" t="s">
        <v>138</v>
      </c>
      <c r="D22" s="71">
        <v>46228</v>
      </c>
      <c r="E22" s="112">
        <v>46235.348564814813</v>
      </c>
      <c r="F22" s="112">
        <v>46249.337534722225</v>
      </c>
      <c r="G22" s="112">
        <v>46236.352418981478</v>
      </c>
      <c r="H22" s="112">
        <v>46236.952650462961</v>
      </c>
      <c r="I22" s="112">
        <v>46237.341273148151</v>
      </c>
      <c r="J22" s="112">
        <v>46237.950810185182</v>
      </c>
      <c r="K22" s="112">
        <v>46238.343726851854</v>
      </c>
      <c r="L22" s="112">
        <v>46238.951261574075</v>
      </c>
      <c r="M22" s="112">
        <v>46239.344108796293</v>
      </c>
      <c r="N22" s="112">
        <v>46239.949513888889</v>
      </c>
      <c r="O22" s="112">
        <v>46240.343530092592</v>
      </c>
      <c r="P22" s="112">
        <v>46240.972662037035</v>
      </c>
      <c r="Q22" s="167" t="s">
        <v>15</v>
      </c>
      <c r="R22" s="167" t="s">
        <v>15</v>
      </c>
      <c r="S22" s="112">
        <v>46242.345092592594</v>
      </c>
      <c r="T22" s="112">
        <v>46242.971284722225</v>
      </c>
      <c r="U22" s="112">
        <v>46243.340104166666</v>
      </c>
      <c r="V22" s="112">
        <v>46243.949571759258</v>
      </c>
      <c r="W22" s="112">
        <v>46244.353136574071</v>
      </c>
      <c r="X22" s="112">
        <v>46244.959374999999</v>
      </c>
      <c r="Y22" s="112">
        <v>46245.353009259263</v>
      </c>
      <c r="Z22" s="112">
        <v>46245.956134259257</v>
      </c>
      <c r="AA22" s="112">
        <v>46246.350532407407</v>
      </c>
      <c r="AB22" s="112">
        <v>46246.948113425926</v>
      </c>
      <c r="AC22" s="112">
        <v>46247.354907407411</v>
      </c>
      <c r="AD22" s="112">
        <v>1</v>
      </c>
      <c r="AE22" s="112">
        <v>46248.581712962965</v>
      </c>
      <c r="AF22" s="112">
        <v>46248.960763888892</v>
      </c>
      <c r="AG22" s="112">
        <v>46249.337534722225</v>
      </c>
      <c r="AH22" s="112">
        <v>46249.973611111112</v>
      </c>
      <c r="AI22" s="169"/>
      <c r="AJ22" s="102">
        <v>13</v>
      </c>
      <c r="AK22" s="112">
        <v>46250.349328703705</v>
      </c>
      <c r="AL22" s="112">
        <v>46262.9534375</v>
      </c>
      <c r="AM22" s="112">
        <v>46251.353854166664</v>
      </c>
      <c r="AN22" s="112">
        <v>46251.950891203705</v>
      </c>
      <c r="AO22" s="112">
        <v>46252.352210648147</v>
      </c>
      <c r="AP22" s="112">
        <v>46252.956400462965</v>
      </c>
      <c r="AQ22" s="112">
        <v>46253.355821759258</v>
      </c>
      <c r="AR22" s="112">
        <v>46253.957245370373</v>
      </c>
      <c r="AS22" s="112">
        <v>46254.351956018516</v>
      </c>
      <c r="AT22" s="112">
        <v>46254.980914351851</v>
      </c>
      <c r="AU22" s="167" t="s">
        <v>15</v>
      </c>
      <c r="AV22" s="167" t="s">
        <v>15</v>
      </c>
      <c r="AW22" s="112">
        <v>46256.349745370368</v>
      </c>
      <c r="AX22" s="112">
        <v>46256.980717592596</v>
      </c>
      <c r="AY22" s="112">
        <v>46257.351643518516</v>
      </c>
      <c r="AZ22" s="112">
        <v>46257.959791666668</v>
      </c>
      <c r="BA22" s="112">
        <v>46258.351203703707</v>
      </c>
      <c r="BB22" s="112">
        <v>46258.951226851852</v>
      </c>
      <c r="BC22" s="112">
        <v>46259.345208333332</v>
      </c>
      <c r="BD22" s="112">
        <v>46259.960011574076</v>
      </c>
      <c r="BE22" s="112">
        <v>46260.343900462962</v>
      </c>
      <c r="BF22" s="112">
        <v>46260.952627314815</v>
      </c>
      <c r="BG22" s="112">
        <v>46261.350462962961</v>
      </c>
      <c r="BH22" s="112">
        <v>46261.976388888892</v>
      </c>
      <c r="BI22" s="112">
        <v>0</v>
      </c>
      <c r="BJ22" s="112">
        <v>46262.9534375</v>
      </c>
      <c r="BK22" s="112">
        <v>46263.349942129629</v>
      </c>
      <c r="BL22" s="112">
        <v>46263.971342592595</v>
      </c>
      <c r="BM22" s="112">
        <v>46264.351944444446</v>
      </c>
      <c r="BN22" s="112">
        <v>46264.95103009259</v>
      </c>
      <c r="BO22" s="112">
        <v>46265.351886574077</v>
      </c>
      <c r="BP22" s="112">
        <v>46264.95103009259</v>
      </c>
      <c r="BQ22" s="170">
        <f t="shared" ref="BQ22" si="7">BS22+BT22+BV22+CA22+BY22+BZ22+CD22+BU22</f>
        <v>31</v>
      </c>
      <c r="BR22" s="106">
        <v>2</v>
      </c>
      <c r="BS22" s="1">
        <f t="shared" si="6"/>
        <v>29</v>
      </c>
      <c r="BT22" s="2">
        <f t="shared" ref="BT22" si="8">COUNTIF(E22:BN22,"OFF")/2</f>
        <v>2</v>
      </c>
      <c r="BU22" s="2">
        <f t="shared" ref="BU22" si="9">COUNTIF(E22:BN22,"MC")/2</f>
        <v>0</v>
      </c>
      <c r="BV22" s="2">
        <f t="shared" ref="BV22" si="10">COUNTIF(E22:BN22,"EL")/2</f>
        <v>0</v>
      </c>
      <c r="BW22" s="2">
        <f t="shared" ref="BW22" si="11">COUNTIF(E22:BN22,"AL")/2</f>
        <v>0</v>
      </c>
      <c r="BX22" s="2">
        <f t="shared" ref="BX22" si="12">COUNTIF(E22:BN22,"SUS")/2</f>
        <v>0</v>
      </c>
      <c r="BY22" s="2">
        <f t="shared" ref="BY22" si="13">COUNTIF(E22:BN22,"FL")/2</f>
        <v>0</v>
      </c>
      <c r="BZ22" s="2">
        <f t="shared" ref="BZ22" si="14">COUNTIF(E22:BN22,"SICK")/2</f>
        <v>0</v>
      </c>
      <c r="CA22" s="2">
        <f t="shared" ref="CA22" si="15">COUNTIF(E22:BN22,"HD")/2</f>
        <v>0</v>
      </c>
      <c r="CB22" s="2">
        <f t="shared" ref="CB22" si="16">COUNTIF(E22:BN22,"AB")/2</f>
        <v>0</v>
      </c>
      <c r="CC22" s="2">
        <f t="shared" ref="CC22" si="17">COUNTIF(E22:BN22,"NL")/2</f>
        <v>0</v>
      </c>
      <c r="CD22" s="2">
        <f t="shared" ref="CD22" si="18">COUNTIF(E22:BN22,"SP")/2</f>
        <v>0</v>
      </c>
      <c r="CE22" s="3"/>
    </row>
    <row r="23" spans="1:96" ht="22.5" customHeight="1" x14ac:dyDescent="0.25">
      <c r="A23" s="103">
        <v>14</v>
      </c>
      <c r="B23" s="8" t="s">
        <v>43</v>
      </c>
      <c r="C23" s="98" t="s">
        <v>44</v>
      </c>
      <c r="D23" s="99">
        <v>45406</v>
      </c>
      <c r="E23" s="112">
        <v>46235.354247685187</v>
      </c>
      <c r="F23" s="112">
        <v>46235.977418981478</v>
      </c>
      <c r="G23" s="112">
        <v>46236.355266203704</v>
      </c>
      <c r="H23" s="112">
        <v>46236.967233796298</v>
      </c>
      <c r="I23" s="112">
        <v>46237.350659722222</v>
      </c>
      <c r="J23" s="112">
        <v>46237.956030092595</v>
      </c>
      <c r="K23" s="112">
        <v>46238.353773148148</v>
      </c>
      <c r="L23" s="112">
        <v>46238.956828703704</v>
      </c>
      <c r="M23" s="112">
        <v>46239.352708333332</v>
      </c>
      <c r="N23" s="103">
        <v>1</v>
      </c>
      <c r="O23" s="112">
        <v>46240.352592592593</v>
      </c>
      <c r="P23" s="112">
        <v>46240.976157407407</v>
      </c>
      <c r="Q23" s="113" t="s">
        <v>15</v>
      </c>
      <c r="R23" s="113" t="s">
        <v>15</v>
      </c>
      <c r="S23" s="112">
        <v>46242.351863425924</v>
      </c>
      <c r="T23" s="112">
        <v>46242.972766203704</v>
      </c>
      <c r="U23" s="112">
        <v>46243.354398148149</v>
      </c>
      <c r="V23" s="112">
        <v>46243.955266203702</v>
      </c>
      <c r="W23" s="112">
        <v>46244.354849537034</v>
      </c>
      <c r="X23" s="112">
        <v>46244.95621527778</v>
      </c>
      <c r="Y23" s="112">
        <v>46245.353113425925</v>
      </c>
      <c r="Z23" s="112">
        <v>46245.954780092594</v>
      </c>
      <c r="AA23" s="112">
        <v>46246.382592592592</v>
      </c>
      <c r="AB23" s="112">
        <v>46246.952951388892</v>
      </c>
      <c r="AC23" s="112">
        <v>46247.352372685185</v>
      </c>
      <c r="AD23" s="112">
        <v>46247.980312500003</v>
      </c>
      <c r="AE23" s="112">
        <v>46248.578611111108</v>
      </c>
      <c r="AF23" s="112">
        <v>46248.954259259262</v>
      </c>
      <c r="AG23" s="112">
        <v>46249.355451388888</v>
      </c>
      <c r="AH23" s="112">
        <v>1</v>
      </c>
      <c r="AI23" s="97"/>
      <c r="AJ23" s="102">
        <v>14</v>
      </c>
      <c r="AK23" s="112">
        <v>46250.348715277774</v>
      </c>
      <c r="AL23" s="112">
        <v>46250.940775462965</v>
      </c>
      <c r="AM23" s="112">
        <v>46251.352476851855</v>
      </c>
      <c r="AN23" s="112">
        <v>46251.9531712963</v>
      </c>
      <c r="AO23" s="112">
        <v>46252.349479166667</v>
      </c>
      <c r="AP23" s="112">
        <v>46252.946886574071</v>
      </c>
      <c r="AQ23" s="112">
        <v>46253.353125000001</v>
      </c>
      <c r="AR23" s="112">
        <v>46253.933576388888</v>
      </c>
      <c r="AS23" s="112">
        <v>46254.348923611113</v>
      </c>
      <c r="AT23" s="112">
        <v>46254.970717592594</v>
      </c>
      <c r="AU23" s="156" t="s">
        <v>15</v>
      </c>
      <c r="AV23" s="156" t="s">
        <v>15</v>
      </c>
      <c r="AW23" s="112">
        <v>46256.345312500001</v>
      </c>
      <c r="AX23" s="112">
        <v>46256.967881944445</v>
      </c>
      <c r="AY23" s="112">
        <v>46257.348067129627</v>
      </c>
      <c r="AZ23" s="112">
        <v>46257.942465277774</v>
      </c>
      <c r="BA23" s="112">
        <v>46258.346701388888</v>
      </c>
      <c r="BB23" s="112">
        <v>46258.940358796295</v>
      </c>
      <c r="BC23" s="112">
        <v>46259.34648148148</v>
      </c>
      <c r="BD23" s="112">
        <v>46259.942372685182</v>
      </c>
      <c r="BE23" s="112">
        <v>46260.351504629631</v>
      </c>
      <c r="BF23" s="112">
        <v>46260.930972222224</v>
      </c>
      <c r="BG23" s="112">
        <v>46261.347858796296</v>
      </c>
      <c r="BH23" s="112">
        <v>46261.971712962964</v>
      </c>
      <c r="BI23" s="112">
        <v>46262.580092592594</v>
      </c>
      <c r="BJ23" s="112">
        <v>0</v>
      </c>
      <c r="BK23" s="112">
        <v>46263.344756944447</v>
      </c>
      <c r="BL23" s="112">
        <v>46263.960104166668</v>
      </c>
      <c r="BM23" s="112">
        <v>46264.345694444448</v>
      </c>
      <c r="BN23" s="70">
        <v>46264.955057870371</v>
      </c>
      <c r="BO23" s="70">
        <v>46265.347569444442</v>
      </c>
      <c r="BP23" s="70">
        <v>0</v>
      </c>
      <c r="BQ23" s="13">
        <f t="shared" si="5"/>
        <v>31</v>
      </c>
      <c r="BR23" s="52">
        <v>2</v>
      </c>
      <c r="BS23" s="14">
        <f t="shared" si="6"/>
        <v>29</v>
      </c>
      <c r="BT23" s="15">
        <f>COUNTIF(B23:BJ23,"OFF")/2</f>
        <v>2</v>
      </c>
      <c r="BU23" s="15">
        <f>COUNTIF(B23:BJ23,"MC")/2</f>
        <v>0</v>
      </c>
      <c r="BV23" s="15">
        <f>COUNTIF(B23:BJ23,"EL")/2</f>
        <v>0</v>
      </c>
      <c r="BW23" s="15">
        <f>COUNTIF(B23:BJ23,"AL")/2</f>
        <v>0</v>
      </c>
      <c r="BX23" s="15">
        <f>COUNTIF(B23:BJ23,"SUS")/2</f>
        <v>0</v>
      </c>
      <c r="BY23" s="15">
        <f>COUNTIF(B23:BJ23,"FL")/2</f>
        <v>0</v>
      </c>
      <c r="BZ23" s="15">
        <f>COUNTIF(B23:BJ23,"SICK")/2</f>
        <v>0</v>
      </c>
      <c r="CA23" s="15">
        <f>COUNTIF(B23:BJ23,"HD")/2</f>
        <v>0</v>
      </c>
      <c r="CB23" s="15">
        <f>COUNTIF(B23:BJ23,"AB")/2</f>
        <v>0</v>
      </c>
      <c r="CC23" s="15">
        <f>COUNTIF(B23:BJ23,"NL")/2</f>
        <v>0</v>
      </c>
      <c r="CD23" s="15">
        <f>COUNTIF(B23:BJ23,"SP")/2</f>
        <v>0</v>
      </c>
      <c r="CE23" s="16"/>
      <c r="CH23" s="59">
        <v>0</v>
      </c>
      <c r="CI23" s="59">
        <v>0</v>
      </c>
      <c r="CJ23" s="59">
        <v>0</v>
      </c>
      <c r="CK23" s="59">
        <v>0</v>
      </c>
      <c r="CL23" s="59">
        <v>0</v>
      </c>
      <c r="CM23" s="59">
        <v>7</v>
      </c>
      <c r="CN23" s="60">
        <v>0</v>
      </c>
      <c r="CO23" s="60">
        <v>0</v>
      </c>
      <c r="CP23" s="60">
        <v>0</v>
      </c>
      <c r="CQ23" s="60">
        <v>0</v>
      </c>
      <c r="CR23" s="61">
        <f t="shared" si="4"/>
        <v>7</v>
      </c>
    </row>
    <row r="24" spans="1:96" ht="22.5" customHeight="1" x14ac:dyDescent="0.25">
      <c r="A24" s="103">
        <v>15</v>
      </c>
      <c r="B24" s="8" t="s">
        <v>46</v>
      </c>
      <c r="C24" s="98" t="s">
        <v>47</v>
      </c>
      <c r="D24" s="99">
        <v>45498</v>
      </c>
      <c r="E24" s="112">
        <v>46235.355879629627</v>
      </c>
      <c r="F24" s="112">
        <v>46235.962407407409</v>
      </c>
      <c r="G24" s="112">
        <v>46236.348379629628</v>
      </c>
      <c r="H24" s="112">
        <v>46236.959074074075</v>
      </c>
      <c r="I24" s="112">
        <v>46237.349733796298</v>
      </c>
      <c r="J24" s="112">
        <v>46237.954375000001</v>
      </c>
      <c r="K24" s="112">
        <v>46238.351319444446</v>
      </c>
      <c r="L24" s="112">
        <v>46238.951840277776</v>
      </c>
      <c r="M24" s="112">
        <v>46239.358252314814</v>
      </c>
      <c r="N24" s="103">
        <v>1</v>
      </c>
      <c r="O24" s="112">
        <v>46240.353182870371</v>
      </c>
      <c r="P24" s="112">
        <v>46240.966261574074</v>
      </c>
      <c r="Q24" s="113" t="s">
        <v>15</v>
      </c>
      <c r="R24" s="113" t="s">
        <v>15</v>
      </c>
      <c r="S24" s="112">
        <v>46242.353564814817</v>
      </c>
      <c r="T24" s="103">
        <v>1</v>
      </c>
      <c r="U24" s="112">
        <v>46243.350381944445</v>
      </c>
      <c r="V24" s="112">
        <v>46243.941030092596</v>
      </c>
      <c r="W24" s="112">
        <v>46244.349930555552</v>
      </c>
      <c r="X24" s="103">
        <v>1</v>
      </c>
      <c r="Y24" s="112">
        <v>46245.354270833333</v>
      </c>
      <c r="Z24" s="103">
        <v>1</v>
      </c>
      <c r="AA24" s="112">
        <v>46246.345914351848</v>
      </c>
      <c r="AB24" s="112">
        <v>46246.945717592593</v>
      </c>
      <c r="AC24" s="112">
        <v>46247.351898148147</v>
      </c>
      <c r="AD24" s="112">
        <v>46247.969143518516</v>
      </c>
      <c r="AE24" s="112">
        <v>46248.580231481479</v>
      </c>
      <c r="AF24" s="103">
        <v>1</v>
      </c>
      <c r="AG24" s="112">
        <v>46249.344895833332</v>
      </c>
      <c r="AH24" s="112">
        <v>46249.972395833334</v>
      </c>
      <c r="AI24" s="97"/>
      <c r="AJ24" s="102">
        <v>15</v>
      </c>
      <c r="AK24" s="112">
        <v>46250.34715277778</v>
      </c>
      <c r="AL24" s="112">
        <v>0</v>
      </c>
      <c r="AM24" s="112">
        <v>46251.354907407411</v>
      </c>
      <c r="AN24" s="112">
        <v>46251.952106481483</v>
      </c>
      <c r="AO24" s="112">
        <v>46252.349317129629</v>
      </c>
      <c r="AP24" s="112">
        <v>46252.94390046296</v>
      </c>
      <c r="AQ24" s="112">
        <v>46253.35292824074</v>
      </c>
      <c r="AR24" s="112">
        <v>46253.873657407406</v>
      </c>
      <c r="AS24" s="112">
        <v>46254.349108796298</v>
      </c>
      <c r="AT24" s="112">
        <v>46254.976956018516</v>
      </c>
      <c r="AU24" s="163" t="s">
        <v>98</v>
      </c>
      <c r="AV24" s="163" t="s">
        <v>98</v>
      </c>
      <c r="AW24" s="163" t="s">
        <v>98</v>
      </c>
      <c r="AX24" s="163" t="s">
        <v>98</v>
      </c>
      <c r="AY24" s="112">
        <v>46257.349351851852</v>
      </c>
      <c r="AZ24" s="112">
        <v>46257.942141203705</v>
      </c>
      <c r="BA24" s="112">
        <v>0</v>
      </c>
      <c r="BB24" s="112">
        <v>46258.940983796296</v>
      </c>
      <c r="BC24" s="112">
        <v>0</v>
      </c>
      <c r="BD24" s="112">
        <v>46259.943692129629</v>
      </c>
      <c r="BE24" s="112">
        <v>46260.353055555555</v>
      </c>
      <c r="BF24" s="112">
        <v>46260.942314814813</v>
      </c>
      <c r="BG24" s="112">
        <v>46261.347442129627</v>
      </c>
      <c r="BH24" s="112">
        <v>46261.977037037039</v>
      </c>
      <c r="BI24" s="156" t="s">
        <v>15</v>
      </c>
      <c r="BJ24" s="156" t="s">
        <v>15</v>
      </c>
      <c r="BK24" s="112">
        <v>46263.346817129626</v>
      </c>
      <c r="BL24" s="112">
        <v>46263.960416666669</v>
      </c>
      <c r="BM24" s="112">
        <v>46264.349247685182</v>
      </c>
      <c r="BN24" s="70">
        <v>46264.938842592594</v>
      </c>
      <c r="BO24" s="70">
        <v>46265.350289351853</v>
      </c>
      <c r="BP24" s="70">
        <v>0</v>
      </c>
      <c r="BQ24" s="13">
        <f t="shared" si="5"/>
        <v>31</v>
      </c>
      <c r="BR24" s="52">
        <v>1</v>
      </c>
      <c r="BS24" s="14">
        <f t="shared" si="6"/>
        <v>27</v>
      </c>
      <c r="BT24" s="15">
        <f>COUNTIF(B24:BJ24,"OFF")/2</f>
        <v>2</v>
      </c>
      <c r="BU24" s="15">
        <f>COUNTIF(B24:BJ24,"MC")/2</f>
        <v>0</v>
      </c>
      <c r="BV24" s="15">
        <f>COUNTIF(B24:BJ24,"EL")/2</f>
        <v>0</v>
      </c>
      <c r="BW24" s="15">
        <f>COUNTIF(B24:BJ24,"AL")/2</f>
        <v>0</v>
      </c>
      <c r="BX24" s="15">
        <f>COUNTIF(B24:BJ24,"SUS")/2</f>
        <v>0</v>
      </c>
      <c r="BY24" s="15">
        <f>COUNTIF(B24:BJ24,"FL")/2</f>
        <v>0</v>
      </c>
      <c r="BZ24" s="15">
        <f>COUNTIF(B24:BJ24,"SICK")/2</f>
        <v>2</v>
      </c>
      <c r="CA24" s="15">
        <f>COUNTIF(B24:BJ24,"HD")/2</f>
        <v>0</v>
      </c>
      <c r="CB24" s="15">
        <f>COUNTIF(B24:BJ24,"AB")/2</f>
        <v>0</v>
      </c>
      <c r="CC24" s="15">
        <f>COUNTIF(B24:BJ24,"NL")/2</f>
        <v>0</v>
      </c>
      <c r="CD24" s="15">
        <f>COUNTIF(B24:BJ24,"SP")/2</f>
        <v>0</v>
      </c>
      <c r="CE24" s="16"/>
      <c r="CH24" s="59">
        <v>0</v>
      </c>
      <c r="CI24" s="59">
        <v>0</v>
      </c>
      <c r="CJ24" s="59">
        <v>0</v>
      </c>
      <c r="CK24" s="59">
        <v>0</v>
      </c>
      <c r="CL24" s="59">
        <v>0</v>
      </c>
      <c r="CM24" s="59">
        <v>22</v>
      </c>
      <c r="CN24" s="60">
        <v>0</v>
      </c>
      <c r="CO24" s="60">
        <v>1</v>
      </c>
      <c r="CP24" s="60">
        <v>0</v>
      </c>
      <c r="CQ24" s="60">
        <v>0</v>
      </c>
      <c r="CR24" s="61">
        <f t="shared" si="4"/>
        <v>23</v>
      </c>
    </row>
    <row r="25" spans="1:96" ht="22.5" customHeight="1" x14ac:dyDescent="0.25">
      <c r="A25" s="103">
        <v>16</v>
      </c>
      <c r="B25" s="8" t="s">
        <v>95</v>
      </c>
      <c r="C25" s="98" t="s">
        <v>96</v>
      </c>
      <c r="D25" s="99">
        <v>45614</v>
      </c>
      <c r="E25" s="112">
        <v>46235.348749999997</v>
      </c>
      <c r="F25" s="112">
        <v>46235.96329861111</v>
      </c>
      <c r="G25" s="112">
        <v>46236.347986111112</v>
      </c>
      <c r="H25" s="112">
        <v>46236.946435185186</v>
      </c>
      <c r="I25" s="112">
        <v>46237.348703703705</v>
      </c>
      <c r="J25" s="112">
        <v>46237.955347222225</v>
      </c>
      <c r="K25" s="112">
        <v>46238.349398148152</v>
      </c>
      <c r="L25" s="112">
        <v>46238.939409722225</v>
      </c>
      <c r="M25" s="112">
        <v>46239.352256944447</v>
      </c>
      <c r="N25" s="112">
        <v>46239.943749999999</v>
      </c>
      <c r="O25" s="112">
        <v>46240.352083333331</v>
      </c>
      <c r="P25" s="112">
        <v>46240.964317129627</v>
      </c>
      <c r="Q25" s="112">
        <v>46241.576412037037</v>
      </c>
      <c r="R25" s="112">
        <v>46241.946388888886</v>
      </c>
      <c r="S25" s="112">
        <v>46242.352777777778</v>
      </c>
      <c r="T25" s="112">
        <v>46242.966851851852</v>
      </c>
      <c r="U25" s="112">
        <v>46243.348553240743</v>
      </c>
      <c r="V25" s="112">
        <v>46243.941458333335</v>
      </c>
      <c r="W25" s="112">
        <v>46244.349247685182</v>
      </c>
      <c r="X25" s="112">
        <v>46244.954456018517</v>
      </c>
      <c r="Y25" s="112">
        <v>46245.353194444448</v>
      </c>
      <c r="Z25" s="112">
        <v>46245.944212962961</v>
      </c>
      <c r="AA25" s="112">
        <v>46246.349641203706</v>
      </c>
      <c r="AB25" s="112">
        <v>46246.946180555555</v>
      </c>
      <c r="AC25" s="112">
        <v>46247.352083333331</v>
      </c>
      <c r="AD25" s="112">
        <v>46247.968171296299</v>
      </c>
      <c r="AE25" s="113" t="s">
        <v>15</v>
      </c>
      <c r="AF25" s="113" t="s">
        <v>15</v>
      </c>
      <c r="AG25" s="112">
        <v>46249.345023148147</v>
      </c>
      <c r="AH25" s="112">
        <v>46249.971319444441</v>
      </c>
      <c r="AI25" s="91"/>
      <c r="AJ25" s="102">
        <v>16</v>
      </c>
      <c r="AK25" s="112">
        <v>46250.337256944447</v>
      </c>
      <c r="AL25" s="112">
        <v>46262.910127314812</v>
      </c>
      <c r="AM25" s="112">
        <v>46251.338333333333</v>
      </c>
      <c r="AN25" s="112">
        <v>46251.890983796293</v>
      </c>
      <c r="AO25" s="112">
        <v>46252.325995370367</v>
      </c>
      <c r="AP25" s="112">
        <v>46252.897372685184</v>
      </c>
      <c r="AQ25" s="112">
        <v>46253.324733796297</v>
      </c>
      <c r="AR25" s="112">
        <v>0</v>
      </c>
      <c r="AS25" s="112">
        <v>46254.343680555554</v>
      </c>
      <c r="AT25" s="112">
        <v>0</v>
      </c>
      <c r="AU25" s="112">
        <v>46255.348124999997</v>
      </c>
      <c r="AV25" s="112">
        <v>0</v>
      </c>
      <c r="AW25" s="112">
        <v>46256.34920138889</v>
      </c>
      <c r="AX25" s="112">
        <v>46256.905833333331</v>
      </c>
      <c r="AY25" s="112">
        <v>46257.34579861111</v>
      </c>
      <c r="AZ25" s="112">
        <v>46257.901134259257</v>
      </c>
      <c r="BA25" s="112">
        <v>0</v>
      </c>
      <c r="BB25" s="112">
        <v>0</v>
      </c>
      <c r="BC25" s="112">
        <v>46259.33153935185</v>
      </c>
      <c r="BD25" s="112">
        <v>0</v>
      </c>
      <c r="BE25" s="112">
        <v>46260.33320601852</v>
      </c>
      <c r="BF25" s="112">
        <v>0</v>
      </c>
      <c r="BG25" s="112">
        <v>46261.327060185184</v>
      </c>
      <c r="BH25" s="112">
        <v>0</v>
      </c>
      <c r="BI25" s="112">
        <v>0</v>
      </c>
      <c r="BJ25" s="112">
        <v>46262.910127314812</v>
      </c>
      <c r="BK25" s="112">
        <v>46263.33</v>
      </c>
      <c r="BL25" s="112">
        <v>46263.906157407408</v>
      </c>
      <c r="BM25" s="112">
        <v>46264.33693287037</v>
      </c>
      <c r="BN25" s="70">
        <v>46264.946516203701</v>
      </c>
      <c r="BO25" s="70">
        <v>46265.352465277778</v>
      </c>
      <c r="BP25" s="70">
        <v>46265.904085648152</v>
      </c>
      <c r="BQ25" s="13">
        <f t="shared" si="5"/>
        <v>31</v>
      </c>
      <c r="BR25" s="52">
        <v>3</v>
      </c>
      <c r="BS25" s="14">
        <f t="shared" si="6"/>
        <v>30</v>
      </c>
      <c r="BT25" s="15">
        <f>COUNTIF(B25:BL25,"OFF")/2</f>
        <v>1</v>
      </c>
      <c r="BU25" s="15">
        <f>COUNTIF(B25:BL25,"MC")/2</f>
        <v>0</v>
      </c>
      <c r="BV25" s="15">
        <f>COUNTIF(B25:BL25,"EL")/2</f>
        <v>0</v>
      </c>
      <c r="BW25" s="15">
        <f>COUNTIF(B25:BL25,"AL")/2</f>
        <v>0</v>
      </c>
      <c r="BX25" s="15">
        <f>COUNTIF(B25:BL25,"SUS")/2</f>
        <v>0</v>
      </c>
      <c r="BY25" s="15">
        <f>COUNTIF(B25:BL25,"FL")/2</f>
        <v>0</v>
      </c>
      <c r="BZ25" s="15">
        <f>COUNTIF(B25:BL25,"SICK")/2</f>
        <v>0</v>
      </c>
      <c r="CA25" s="15">
        <f>COUNTIF(B25:BL25,"HD")/2</f>
        <v>0</v>
      </c>
      <c r="CB25" s="15">
        <f>COUNTIF(B25:BL25,"AB")/2</f>
        <v>0</v>
      </c>
      <c r="CC25" s="15">
        <f>COUNTIF(B25:BL25,"NL")/2</f>
        <v>0</v>
      </c>
      <c r="CD25" s="15">
        <f>COUNTIF(B25:BL25,"SP")/2</f>
        <v>0</v>
      </c>
      <c r="CE25" s="16"/>
      <c r="CH25" s="59">
        <v>0</v>
      </c>
      <c r="CI25" s="59">
        <v>0</v>
      </c>
      <c r="CJ25" s="59">
        <v>32</v>
      </c>
      <c r="CK25" s="59">
        <v>0</v>
      </c>
      <c r="CL25" s="59">
        <v>0</v>
      </c>
      <c r="CM25" s="59">
        <v>5</v>
      </c>
      <c r="CN25" s="59">
        <v>0</v>
      </c>
      <c r="CO25" s="59">
        <v>0</v>
      </c>
      <c r="CP25" s="59">
        <v>0</v>
      </c>
      <c r="CQ25" s="59">
        <v>0</v>
      </c>
      <c r="CR25" s="59">
        <f t="shared" si="4"/>
        <v>37</v>
      </c>
    </row>
    <row r="26" spans="1:96" ht="22.5" customHeight="1" x14ac:dyDescent="0.25">
      <c r="A26" s="103">
        <v>17</v>
      </c>
      <c r="B26" s="8" t="s">
        <v>50</v>
      </c>
      <c r="C26" s="98" t="s">
        <v>51</v>
      </c>
      <c r="D26" s="99">
        <v>45653</v>
      </c>
      <c r="E26" s="112">
        <v>46235.326840277776</v>
      </c>
      <c r="F26" s="112">
        <v>46235.891342592593</v>
      </c>
      <c r="G26" s="112">
        <v>46236.32068287037</v>
      </c>
      <c r="H26" s="112">
        <v>46236.882881944446</v>
      </c>
      <c r="I26" s="112">
        <v>46237.308842592596</v>
      </c>
      <c r="J26" s="112">
        <v>46237.8825462963</v>
      </c>
      <c r="K26" s="112">
        <v>46238.334016203706</v>
      </c>
      <c r="L26" s="112">
        <v>46238.921875</v>
      </c>
      <c r="M26" s="112">
        <v>46239.364027777781</v>
      </c>
      <c r="N26" s="112">
        <v>46239.909814814811</v>
      </c>
      <c r="O26" s="112">
        <v>46240.330729166664</v>
      </c>
      <c r="P26" s="112">
        <v>46240.922384259262</v>
      </c>
      <c r="Q26" s="113" t="s">
        <v>15</v>
      </c>
      <c r="R26" s="113" t="s">
        <v>15</v>
      </c>
      <c r="S26" s="112">
        <v>46242.335601851853</v>
      </c>
      <c r="T26" s="112">
        <v>46242.902337962965</v>
      </c>
      <c r="U26" s="112">
        <v>46243.344733796293</v>
      </c>
      <c r="V26" s="112">
        <v>46243.901226851849</v>
      </c>
      <c r="W26" s="112">
        <v>46244.353310185186</v>
      </c>
      <c r="X26" s="112">
        <v>46244.90185185185</v>
      </c>
      <c r="Y26" s="112">
        <v>46245.330659722225</v>
      </c>
      <c r="Z26" s="112">
        <v>46245.903043981481</v>
      </c>
      <c r="AA26" s="112">
        <v>46246.33321759259</v>
      </c>
      <c r="AB26" s="103">
        <v>1</v>
      </c>
      <c r="AC26" s="112">
        <v>46247.32136574074</v>
      </c>
      <c r="AD26" s="103">
        <v>1</v>
      </c>
      <c r="AE26" s="112">
        <v>46248.570381944446</v>
      </c>
      <c r="AF26" s="103">
        <v>1</v>
      </c>
      <c r="AG26" s="112">
        <v>46249.334374999999</v>
      </c>
      <c r="AH26" s="112">
        <v>1</v>
      </c>
      <c r="AI26" s="97"/>
      <c r="AJ26" s="102">
        <v>17</v>
      </c>
      <c r="AK26" s="112">
        <v>46250.341608796298</v>
      </c>
      <c r="AL26" s="112">
        <v>0</v>
      </c>
      <c r="AM26" s="112">
        <v>46251.339259259257</v>
      </c>
      <c r="AN26" s="112">
        <v>0</v>
      </c>
      <c r="AO26" s="112">
        <v>46252.335810185185</v>
      </c>
      <c r="AP26" s="112">
        <v>0</v>
      </c>
      <c r="AQ26" s="112">
        <v>46253.340682870374</v>
      </c>
      <c r="AR26" s="112">
        <v>0</v>
      </c>
      <c r="AS26" s="112">
        <v>46254.339016203703</v>
      </c>
      <c r="AT26" s="112">
        <v>0</v>
      </c>
      <c r="AU26" s="112">
        <v>46255.575439814813</v>
      </c>
      <c r="AV26" s="112">
        <v>0</v>
      </c>
      <c r="AW26" s="112">
        <v>46256.348877314813</v>
      </c>
      <c r="AX26" s="112">
        <v>0</v>
      </c>
      <c r="AY26" s="112">
        <v>46257.352465277778</v>
      </c>
      <c r="AZ26" s="112">
        <v>0</v>
      </c>
      <c r="BA26" s="112">
        <v>0</v>
      </c>
      <c r="BB26" s="112">
        <v>0</v>
      </c>
      <c r="BC26" s="112">
        <v>46259.344375000001</v>
      </c>
      <c r="BD26" s="112">
        <v>0</v>
      </c>
      <c r="BE26" s="112">
        <v>46260.342719907407</v>
      </c>
      <c r="BF26" s="112">
        <v>0</v>
      </c>
      <c r="BG26" s="112">
        <v>46261.343194444446</v>
      </c>
      <c r="BH26" s="112">
        <v>0</v>
      </c>
      <c r="BI26" s="156" t="s">
        <v>15</v>
      </c>
      <c r="BJ26" s="156" t="s">
        <v>15</v>
      </c>
      <c r="BK26" s="112">
        <v>46263.345648148148</v>
      </c>
      <c r="BL26" s="112">
        <v>0</v>
      </c>
      <c r="BM26" s="112">
        <v>46264.3440162037</v>
      </c>
      <c r="BN26" s="70">
        <v>46264.965914351851</v>
      </c>
      <c r="BO26" s="70">
        <v>46265.349768518521</v>
      </c>
      <c r="BP26" s="70">
        <v>0</v>
      </c>
      <c r="BQ26" s="13">
        <f>BS26+BT26+BU26+BV26+CA26+BY26+BZ26+CD26</f>
        <v>31</v>
      </c>
      <c r="BR26" s="52">
        <v>3</v>
      </c>
      <c r="BS26" s="14">
        <f t="shared" si="6"/>
        <v>29</v>
      </c>
      <c r="BT26" s="15">
        <f>COUNTIF(B26:BL26,"OFF")/2</f>
        <v>2</v>
      </c>
      <c r="BU26" s="15">
        <f>COUNTIF(B26:BL26,"MC")/2</f>
        <v>0</v>
      </c>
      <c r="BV26" s="15">
        <f>COUNTIF(B26:BL26,"EL")/2</f>
        <v>0</v>
      </c>
      <c r="BW26" s="15">
        <f>COUNTIF(B26:BL26,"AL")/2</f>
        <v>0</v>
      </c>
      <c r="BX26" s="15">
        <f>COUNTIF(B26:BL26,"SUS")/2</f>
        <v>0</v>
      </c>
      <c r="BY26" s="15">
        <f>COUNTIF(B26:BL26,"FL")/2</f>
        <v>0</v>
      </c>
      <c r="BZ26" s="15">
        <f>COUNTIF(B26:BL26,"SICK")/2</f>
        <v>0</v>
      </c>
      <c r="CA26" s="15">
        <f>COUNTIF(B26:BL26,"HD")/2</f>
        <v>0</v>
      </c>
      <c r="CB26" s="15">
        <f>COUNTIF(B26:BL26,"AB")/2</f>
        <v>0</v>
      </c>
      <c r="CC26" s="15">
        <f>COUNTIF(B26:BL26,"NL")/2</f>
        <v>0</v>
      </c>
      <c r="CD26" s="15">
        <f>COUNTIF(B26:BL26,"SP")/2</f>
        <v>0</v>
      </c>
      <c r="CE26" s="3" t="s">
        <v>132</v>
      </c>
      <c r="CH26" s="58">
        <v>0</v>
      </c>
      <c r="CI26" s="58">
        <v>0</v>
      </c>
      <c r="CJ26" s="58">
        <v>0</v>
      </c>
      <c r="CK26" s="58">
        <v>0</v>
      </c>
      <c r="CL26" s="58">
        <v>0</v>
      </c>
      <c r="CM26" s="57">
        <v>12</v>
      </c>
      <c r="CN26" s="58">
        <v>1</v>
      </c>
      <c r="CO26" s="57">
        <v>4</v>
      </c>
      <c r="CP26" s="57">
        <v>0</v>
      </c>
      <c r="CQ26" s="57">
        <v>0</v>
      </c>
      <c r="CR26" s="62">
        <f t="shared" si="4"/>
        <v>17</v>
      </c>
    </row>
    <row r="27" spans="1:96" ht="22.5" customHeight="1" x14ac:dyDescent="0.25">
      <c r="A27" s="103">
        <v>18</v>
      </c>
      <c r="B27" s="8" t="s">
        <v>52</v>
      </c>
      <c r="C27" s="98" t="s">
        <v>104</v>
      </c>
      <c r="D27" s="99">
        <v>45723</v>
      </c>
      <c r="E27" s="112">
        <v>46235.333402777775</v>
      </c>
      <c r="F27" s="112">
        <v>1</v>
      </c>
      <c r="G27" s="112">
        <v>46236.322650462964</v>
      </c>
      <c r="H27" s="112">
        <v>1</v>
      </c>
      <c r="I27" s="112">
        <v>46237.332638888889</v>
      </c>
      <c r="J27" s="112">
        <v>1</v>
      </c>
      <c r="K27" s="112">
        <v>46238.332870370374</v>
      </c>
      <c r="L27" s="112">
        <v>1</v>
      </c>
      <c r="M27" s="112">
        <v>46239.364803240744</v>
      </c>
      <c r="N27" s="112">
        <v>1</v>
      </c>
      <c r="O27" s="114" t="s">
        <v>98</v>
      </c>
      <c r="P27" s="114" t="s">
        <v>98</v>
      </c>
      <c r="Q27" s="114" t="s">
        <v>98</v>
      </c>
      <c r="R27" s="114" t="s">
        <v>98</v>
      </c>
      <c r="S27" s="112">
        <v>46242.349236111113</v>
      </c>
      <c r="T27" s="112">
        <v>1</v>
      </c>
      <c r="U27" s="112">
        <v>46243.352303240739</v>
      </c>
      <c r="V27" s="112">
        <v>1</v>
      </c>
      <c r="W27" s="112">
        <v>46244.325150462966</v>
      </c>
      <c r="X27" s="112">
        <v>1</v>
      </c>
      <c r="Y27" s="112">
        <v>46245.356550925928</v>
      </c>
      <c r="Z27" s="112">
        <v>1</v>
      </c>
      <c r="AA27" s="112">
        <v>46246.35224537037</v>
      </c>
      <c r="AB27" s="112">
        <v>1</v>
      </c>
      <c r="AC27" s="112">
        <v>46247.358171296299</v>
      </c>
      <c r="AD27" s="112">
        <v>1</v>
      </c>
      <c r="AE27" s="113" t="s">
        <v>15</v>
      </c>
      <c r="AF27" s="113" t="s">
        <v>15</v>
      </c>
      <c r="AG27" s="112">
        <v>46249.337210648147</v>
      </c>
      <c r="AH27" s="112">
        <v>1</v>
      </c>
      <c r="AI27" s="97"/>
      <c r="AJ27" s="102">
        <v>18</v>
      </c>
      <c r="AK27" s="112">
        <v>46250.349004629628</v>
      </c>
      <c r="AL27" s="112">
        <v>46262.954131944447</v>
      </c>
      <c r="AM27" s="150">
        <v>46251.353807870371</v>
      </c>
      <c r="AN27" s="112">
        <v>46251.952881944446</v>
      </c>
      <c r="AO27" s="112">
        <v>46252.352164351854</v>
      </c>
      <c r="AP27" s="112">
        <v>46252.956562500003</v>
      </c>
      <c r="AQ27" s="112">
        <v>46253.355636574073</v>
      </c>
      <c r="AR27" s="112">
        <v>46253.957118055558</v>
      </c>
      <c r="AS27" s="112">
        <v>46254.351550925923</v>
      </c>
      <c r="AT27" s="112">
        <v>46254.978796296295</v>
      </c>
      <c r="AU27" s="156" t="s">
        <v>15</v>
      </c>
      <c r="AV27" s="156" t="s">
        <v>15</v>
      </c>
      <c r="AW27" s="112">
        <v>46256.349733796298</v>
      </c>
      <c r="AX27" s="112">
        <v>46256.980451388888</v>
      </c>
      <c r="AY27" s="112">
        <v>46257.351550925923</v>
      </c>
      <c r="AZ27" s="112">
        <v>0</v>
      </c>
      <c r="BA27" s="112">
        <v>46258.353645833333</v>
      </c>
      <c r="BB27" s="112">
        <v>46258.955439814818</v>
      </c>
      <c r="BC27" s="112">
        <v>46259.352754629632</v>
      </c>
      <c r="BD27" s="112">
        <v>46259.961076388892</v>
      </c>
      <c r="BE27" s="112">
        <v>46260.353449074071</v>
      </c>
      <c r="BF27" s="112">
        <v>46260.9528587963</v>
      </c>
      <c r="BG27" s="112">
        <v>46261.350254629629</v>
      </c>
      <c r="BH27" s="112">
        <v>46261.977222222224</v>
      </c>
      <c r="BI27" s="112">
        <v>46262.563101851854</v>
      </c>
      <c r="BJ27" s="112">
        <v>46262.954131944447</v>
      </c>
      <c r="BK27" s="112">
        <v>46263.349849537037</v>
      </c>
      <c r="BL27" s="112">
        <v>46263.972187500003</v>
      </c>
      <c r="BM27" s="112">
        <v>46264.351863425924</v>
      </c>
      <c r="BN27" s="164">
        <v>46264.94803240741</v>
      </c>
      <c r="BO27" s="164">
        <v>46265.3518287037</v>
      </c>
      <c r="BP27" s="164">
        <v>0</v>
      </c>
      <c r="BQ27" s="13">
        <f t="shared" si="5"/>
        <v>31</v>
      </c>
      <c r="BR27" s="52">
        <v>2</v>
      </c>
      <c r="BS27" s="14">
        <f t="shared" si="6"/>
        <v>27</v>
      </c>
      <c r="BT27" s="15">
        <f>COUNTIF(B27:BJ27,"OFF")/2</f>
        <v>2</v>
      </c>
      <c r="BU27" s="15">
        <f>COUNTIF(B27:BJ27,"MC")/2</f>
        <v>0</v>
      </c>
      <c r="BV27" s="15">
        <f>COUNTIF(B27:BJ27,"EL")/2</f>
        <v>0</v>
      </c>
      <c r="BW27" s="15">
        <f>COUNTIF(B27:BJ27,"AL")/2</f>
        <v>0</v>
      </c>
      <c r="BX27" s="15">
        <f>COUNTIF(B27:BJ27,"SUS")/2</f>
        <v>0</v>
      </c>
      <c r="BY27" s="15">
        <f>COUNTIF(B27:BJ27,"FL")/2</f>
        <v>0</v>
      </c>
      <c r="BZ27" s="15">
        <f>COUNTIF(B27:BJ27,"SICK")/2</f>
        <v>2</v>
      </c>
      <c r="CA27" s="15">
        <f>COUNTIF(B27:BJ27,"HD")/2</f>
        <v>0</v>
      </c>
      <c r="CB27" s="15">
        <f>COUNTIF(B27:BJ27,"AB")/2</f>
        <v>0</v>
      </c>
      <c r="CC27" s="15">
        <f>COUNTIF(B27:BJ27,"NL")/2</f>
        <v>0</v>
      </c>
      <c r="CD27" s="15">
        <f>COUNTIF(B27:BJ27,"SP")/2</f>
        <v>0</v>
      </c>
      <c r="CE27" s="16"/>
      <c r="CH27" s="59">
        <v>0</v>
      </c>
      <c r="CI27" s="59">
        <v>0</v>
      </c>
      <c r="CJ27" s="59">
        <v>0</v>
      </c>
      <c r="CK27" s="59">
        <v>0</v>
      </c>
      <c r="CL27" s="59">
        <v>0</v>
      </c>
      <c r="CM27" s="59">
        <v>5</v>
      </c>
      <c r="CN27" s="59">
        <v>0</v>
      </c>
      <c r="CO27" s="59">
        <v>0</v>
      </c>
      <c r="CP27" s="59">
        <v>0</v>
      </c>
      <c r="CQ27" s="59">
        <v>0</v>
      </c>
      <c r="CR27" s="59">
        <f t="shared" si="4"/>
        <v>5</v>
      </c>
    </row>
    <row r="28" spans="1:96" ht="22.5" customHeight="1" x14ac:dyDescent="0.25">
      <c r="A28" s="103">
        <v>19</v>
      </c>
      <c r="B28" s="8" t="s">
        <v>55</v>
      </c>
      <c r="C28" s="98" t="s">
        <v>56</v>
      </c>
      <c r="D28" s="99">
        <v>45807</v>
      </c>
      <c r="E28" s="112">
        <v>1</v>
      </c>
      <c r="F28" s="112">
        <v>46235.971631944441</v>
      </c>
      <c r="G28" s="112">
        <v>46236.350995370369</v>
      </c>
      <c r="H28" s="112">
        <v>46236.953958333332</v>
      </c>
      <c r="I28" s="112">
        <v>46237.353460648148</v>
      </c>
      <c r="J28" s="112">
        <v>46237.956944444442</v>
      </c>
      <c r="K28" s="112">
        <v>46238.352175925924</v>
      </c>
      <c r="L28" s="112">
        <v>46238.952256944445</v>
      </c>
      <c r="M28" s="112">
        <v>46239.355358796296</v>
      </c>
      <c r="N28" s="112">
        <v>46239.95103009259</v>
      </c>
      <c r="O28" s="112">
        <v>46240.354780092595</v>
      </c>
      <c r="P28" s="112">
        <v>46240.972569444442</v>
      </c>
      <c r="Q28" s="113" t="s">
        <v>15</v>
      </c>
      <c r="R28" s="113" t="s">
        <v>15</v>
      </c>
      <c r="S28" s="112">
        <v>46242.356400462966</v>
      </c>
      <c r="T28" s="112">
        <v>46242.971180555556</v>
      </c>
      <c r="U28" s="112">
        <v>46243.352037037039</v>
      </c>
      <c r="V28" s="112">
        <v>46243.951493055552</v>
      </c>
      <c r="W28" s="112">
        <v>46244.347268518519</v>
      </c>
      <c r="X28" s="103">
        <v>1</v>
      </c>
      <c r="Y28" s="112">
        <v>46245.35328703704</v>
      </c>
      <c r="Z28" s="112">
        <v>46245.956030092595</v>
      </c>
      <c r="AA28" s="112">
        <v>46246.349930555552</v>
      </c>
      <c r="AB28" s="112">
        <v>46246.952280092592</v>
      </c>
      <c r="AC28" s="112">
        <v>46247.354756944442</v>
      </c>
      <c r="AD28" s="112">
        <v>46247.983298611114</v>
      </c>
      <c r="AE28" s="112">
        <v>46248.581550925926</v>
      </c>
      <c r="AF28" s="112">
        <v>46248.959398148145</v>
      </c>
      <c r="AG28" s="112">
        <v>46249.35019675926</v>
      </c>
      <c r="AH28" s="112">
        <v>46249.974120370367</v>
      </c>
      <c r="AI28" s="91"/>
      <c r="AJ28" s="102">
        <v>19</v>
      </c>
      <c r="AK28" s="112">
        <v>46250.34375</v>
      </c>
      <c r="AL28" s="112">
        <v>0</v>
      </c>
      <c r="AM28" s="112">
        <v>46251.347094907411</v>
      </c>
      <c r="AN28" s="112">
        <v>0</v>
      </c>
      <c r="AO28" s="112">
        <v>46252.341481481482</v>
      </c>
      <c r="AP28" s="112">
        <v>0</v>
      </c>
      <c r="AQ28" s="112">
        <v>46253.343252314815</v>
      </c>
      <c r="AR28" s="112">
        <v>46253.850983796299</v>
      </c>
      <c r="AS28" s="112">
        <v>46254.342534722222</v>
      </c>
      <c r="AT28" s="112">
        <v>0</v>
      </c>
      <c r="AU28" s="156" t="s">
        <v>15</v>
      </c>
      <c r="AV28" s="156" t="s">
        <v>15</v>
      </c>
      <c r="AW28" s="112">
        <v>46256.350023148145</v>
      </c>
      <c r="AX28" s="112">
        <v>46256.844513888886</v>
      </c>
      <c r="AY28" s="112">
        <v>46257.349745370368</v>
      </c>
      <c r="AZ28" s="112">
        <v>0</v>
      </c>
      <c r="BA28" s="112">
        <v>46258.353437500002</v>
      </c>
      <c r="BB28" s="112">
        <v>46258.956828703704</v>
      </c>
      <c r="BC28" s="112">
        <v>46259.376805555556</v>
      </c>
      <c r="BD28" s="112">
        <v>0</v>
      </c>
      <c r="BE28" s="112">
        <v>46260.37054398148</v>
      </c>
      <c r="BF28" s="112">
        <v>0</v>
      </c>
      <c r="BG28" s="112">
        <v>46261.345405092594</v>
      </c>
      <c r="BH28" s="112">
        <v>46261.878530092596</v>
      </c>
      <c r="BI28" s="112">
        <v>0</v>
      </c>
      <c r="BJ28" s="112">
        <v>0</v>
      </c>
      <c r="BK28" s="112">
        <v>46263.345069444447</v>
      </c>
      <c r="BL28" s="112">
        <v>0</v>
      </c>
      <c r="BM28" s="112">
        <v>46264.350023148145</v>
      </c>
      <c r="BN28" s="111">
        <v>46264.931354166663</v>
      </c>
      <c r="BO28" s="111">
        <v>46265.349178240744</v>
      </c>
      <c r="BP28" s="111">
        <v>0</v>
      </c>
      <c r="BQ28" s="13">
        <f t="shared" si="5"/>
        <v>31</v>
      </c>
      <c r="BR28" s="52">
        <v>2</v>
      </c>
      <c r="BS28" s="14">
        <f t="shared" si="6"/>
        <v>29</v>
      </c>
      <c r="BT28" s="15">
        <f t="shared" ref="BT28:BT37" si="19">COUNTIF(B28:BN28,"OFF")/2</f>
        <v>2</v>
      </c>
      <c r="BU28" s="15">
        <f t="shared" ref="BU28:BU37" si="20">COUNTIF(B28:BN28,"MC")/2</f>
        <v>0</v>
      </c>
      <c r="BV28" s="15">
        <f t="shared" ref="BV28:BV37" si="21">COUNTIF(B28:BN28,"EL")/2</f>
        <v>0</v>
      </c>
      <c r="BW28" s="15">
        <f t="shared" ref="BW28:BW37" si="22">COUNTIF(B28:BN28,"AL")/2</f>
        <v>0</v>
      </c>
      <c r="BX28" s="15">
        <f t="shared" ref="BX28:BX37" si="23">COUNTIF(B28:BN28,"SUS")/2</f>
        <v>0</v>
      </c>
      <c r="BY28" s="15">
        <f t="shared" ref="BY28:BY37" si="24">COUNTIF(B28:BN28,"FL")/2</f>
        <v>0</v>
      </c>
      <c r="BZ28" s="15">
        <f t="shared" ref="BZ28:BZ37" si="25">COUNTIF(B28:BN28,"SICK")/2</f>
        <v>0</v>
      </c>
      <c r="CA28" s="15">
        <f t="shared" ref="CA28:CA37" si="26">COUNTIF(B28:BN28,"HD")/2</f>
        <v>0</v>
      </c>
      <c r="CB28" s="15">
        <f t="shared" ref="CB28:CB37" si="27">COUNTIF(B28:BN28,"AB")/2</f>
        <v>0</v>
      </c>
      <c r="CC28" s="15">
        <f t="shared" ref="CC28:CC37" si="28">COUNTIF(B28:BN28,"NL")/2</f>
        <v>0</v>
      </c>
      <c r="CD28" s="15">
        <f t="shared" ref="CD28:CD37" si="29">COUNTIF(B28:BN28,"SP")/2</f>
        <v>0</v>
      </c>
      <c r="CE28" s="16"/>
      <c r="CH28" s="58">
        <v>0</v>
      </c>
      <c r="CI28" s="58">
        <v>0</v>
      </c>
      <c r="CJ28" s="58">
        <v>0</v>
      </c>
      <c r="CK28" s="58">
        <v>0</v>
      </c>
      <c r="CL28" s="58">
        <v>0</v>
      </c>
      <c r="CM28" s="57">
        <v>6</v>
      </c>
      <c r="CN28" s="58">
        <v>0</v>
      </c>
      <c r="CO28" s="57">
        <v>0</v>
      </c>
      <c r="CP28" s="57">
        <v>0</v>
      </c>
      <c r="CQ28" s="57">
        <v>0</v>
      </c>
      <c r="CR28" s="62">
        <f t="shared" si="4"/>
        <v>6</v>
      </c>
    </row>
    <row r="29" spans="1:96" ht="22.5" customHeight="1" x14ac:dyDescent="0.25">
      <c r="A29" s="103">
        <v>20</v>
      </c>
      <c r="B29" s="8" t="s">
        <v>57</v>
      </c>
      <c r="C29" s="98" t="s">
        <v>58</v>
      </c>
      <c r="D29" s="99">
        <v>45807</v>
      </c>
      <c r="E29" s="112">
        <v>46235.331828703704</v>
      </c>
      <c r="F29" s="112">
        <v>46235.851898148147</v>
      </c>
      <c r="G29" s="112">
        <v>46236.32708333333</v>
      </c>
      <c r="H29" s="103">
        <v>1</v>
      </c>
      <c r="I29" s="112">
        <v>46237.32880787037</v>
      </c>
      <c r="J29" s="112">
        <v>46237.844699074078</v>
      </c>
      <c r="K29" s="112">
        <v>46238.329699074071</v>
      </c>
      <c r="L29" s="103">
        <v>1</v>
      </c>
      <c r="M29" s="112">
        <v>46239.350023148145</v>
      </c>
      <c r="N29" s="103">
        <v>1</v>
      </c>
      <c r="O29" s="112">
        <v>46240.355636574073</v>
      </c>
      <c r="P29" s="103">
        <v>1</v>
      </c>
      <c r="Q29" s="113" t="s">
        <v>15</v>
      </c>
      <c r="R29" s="113" t="s">
        <v>15</v>
      </c>
      <c r="S29" s="112">
        <v>46242.347141203703</v>
      </c>
      <c r="T29" s="112">
        <v>46242.900555555556</v>
      </c>
      <c r="U29" s="112">
        <v>46243.351469907408</v>
      </c>
      <c r="V29" s="112">
        <v>46243.839745370373</v>
      </c>
      <c r="W29" s="112">
        <v>46244.351446759261</v>
      </c>
      <c r="X29" s="103">
        <v>1</v>
      </c>
      <c r="Y29" s="112">
        <v>46245.351863425924</v>
      </c>
      <c r="Z29" s="103">
        <v>1</v>
      </c>
      <c r="AA29" s="112">
        <v>46246.348877314813</v>
      </c>
      <c r="AB29" s="103">
        <v>1</v>
      </c>
      <c r="AC29" s="112">
        <v>46247.349479166667</v>
      </c>
      <c r="AD29" s="103">
        <v>1</v>
      </c>
      <c r="AE29" s="112">
        <v>46248.581226851849</v>
      </c>
      <c r="AF29" s="103">
        <v>1</v>
      </c>
      <c r="AG29" s="112">
        <v>46249.345104166663</v>
      </c>
      <c r="AH29" s="112">
        <v>1</v>
      </c>
      <c r="AI29" s="97"/>
      <c r="AJ29" s="102">
        <v>20</v>
      </c>
      <c r="AK29" s="112">
        <v>46250.349074074074</v>
      </c>
      <c r="AL29" s="112">
        <v>46250.961354166669</v>
      </c>
      <c r="AM29" s="112">
        <v>46251.353831018518</v>
      </c>
      <c r="AN29" s="112">
        <v>46251.95380787037</v>
      </c>
      <c r="AO29" s="112">
        <v>46252.352337962962</v>
      </c>
      <c r="AP29" s="112">
        <v>46252.957071759258</v>
      </c>
      <c r="AQ29" s="112">
        <v>46253.355763888889</v>
      </c>
      <c r="AR29" s="112">
        <v>46253.957384259258</v>
      </c>
      <c r="AS29" s="112">
        <v>46254.351712962962</v>
      </c>
      <c r="AT29" s="112">
        <v>46254.981087962966</v>
      </c>
      <c r="AU29" s="112">
        <v>46255.585092592592</v>
      </c>
      <c r="AV29" s="112">
        <v>46255.949849537035</v>
      </c>
      <c r="AW29" s="112">
        <v>46256.349907407406</v>
      </c>
      <c r="AX29" s="112">
        <v>46256.980243055557</v>
      </c>
      <c r="AY29" s="112">
        <v>46257.351597222223</v>
      </c>
      <c r="AZ29" s="112">
        <v>46257.959907407407</v>
      </c>
      <c r="BA29" s="112">
        <v>46258.376666666663</v>
      </c>
      <c r="BB29" s="112">
        <v>46258.95516203704</v>
      </c>
      <c r="BC29" s="112">
        <v>46259.347395833334</v>
      </c>
      <c r="BD29" s="112">
        <v>46259.961238425924</v>
      </c>
      <c r="BE29" s="112">
        <v>46260.349675925929</v>
      </c>
      <c r="BF29" s="112">
        <v>46260.953113425923</v>
      </c>
      <c r="BG29" s="112">
        <v>46261.350335648145</v>
      </c>
      <c r="BH29" s="112">
        <v>46261.976666666669</v>
      </c>
      <c r="BI29" s="112">
        <v>46262.572256944448</v>
      </c>
      <c r="BJ29" s="112">
        <v>0</v>
      </c>
      <c r="BK29" s="112">
        <v>46263.350185185183</v>
      </c>
      <c r="BL29" s="112">
        <v>46263.972314814811</v>
      </c>
      <c r="BM29" s="112">
        <v>46264.352071759262</v>
      </c>
      <c r="BN29" s="111">
        <v>46264.959270833337</v>
      </c>
      <c r="BO29" s="111">
        <v>46265.352118055554</v>
      </c>
      <c r="BP29" s="111">
        <v>0</v>
      </c>
      <c r="BQ29" s="13">
        <f t="shared" si="5"/>
        <v>31</v>
      </c>
      <c r="BR29" s="52">
        <v>3</v>
      </c>
      <c r="BS29" s="14">
        <f t="shared" si="6"/>
        <v>30</v>
      </c>
      <c r="BT29" s="15">
        <f t="shared" si="19"/>
        <v>1</v>
      </c>
      <c r="BU29" s="15">
        <f t="shared" si="20"/>
        <v>0</v>
      </c>
      <c r="BV29" s="15">
        <f t="shared" si="21"/>
        <v>0</v>
      </c>
      <c r="BW29" s="15">
        <f t="shared" si="22"/>
        <v>0</v>
      </c>
      <c r="BX29" s="15">
        <f t="shared" si="23"/>
        <v>0</v>
      </c>
      <c r="BY29" s="15">
        <f t="shared" si="24"/>
        <v>0</v>
      </c>
      <c r="BZ29" s="15">
        <f t="shared" si="25"/>
        <v>0</v>
      </c>
      <c r="CA29" s="15">
        <f t="shared" si="26"/>
        <v>0</v>
      </c>
      <c r="CB29" s="15">
        <f t="shared" si="27"/>
        <v>0</v>
      </c>
      <c r="CC29" s="15">
        <f t="shared" si="28"/>
        <v>0</v>
      </c>
      <c r="CD29" s="15">
        <f t="shared" si="29"/>
        <v>0</v>
      </c>
      <c r="CE29" s="16"/>
      <c r="CH29" s="59">
        <v>0</v>
      </c>
      <c r="CI29" s="59">
        <v>0</v>
      </c>
      <c r="CJ29" s="59">
        <v>0</v>
      </c>
      <c r="CK29" s="59">
        <v>0</v>
      </c>
      <c r="CL29" s="59">
        <v>0</v>
      </c>
      <c r="CM29" s="59">
        <v>0</v>
      </c>
      <c r="CN29" s="59">
        <v>0</v>
      </c>
      <c r="CO29" s="59">
        <v>0</v>
      </c>
      <c r="CP29" s="59">
        <v>0</v>
      </c>
      <c r="CQ29" s="59">
        <v>0</v>
      </c>
      <c r="CR29" s="59">
        <f t="shared" si="4"/>
        <v>0</v>
      </c>
    </row>
    <row r="30" spans="1:96" ht="22.5" customHeight="1" x14ac:dyDescent="0.25">
      <c r="A30" s="103">
        <v>21</v>
      </c>
      <c r="B30" s="8" t="s">
        <v>59</v>
      </c>
      <c r="C30" s="98" t="s">
        <v>60</v>
      </c>
      <c r="D30" s="99">
        <v>45883</v>
      </c>
      <c r="E30" s="112">
        <v>46235.352453703701</v>
      </c>
      <c r="F30" s="112">
        <v>46235.971562500003</v>
      </c>
      <c r="G30" s="112">
        <v>46236.351319444446</v>
      </c>
      <c r="H30" s="112">
        <v>46236.9528125</v>
      </c>
      <c r="I30" s="112">
        <v>46237.353819444441</v>
      </c>
      <c r="J30" s="112">
        <v>46237.955428240741</v>
      </c>
      <c r="K30" s="112">
        <v>46238.352256944447</v>
      </c>
      <c r="L30" s="112">
        <v>46238.952372685184</v>
      </c>
      <c r="M30" s="112">
        <v>46239.355706018519</v>
      </c>
      <c r="N30" s="112">
        <v>46239.950532407405</v>
      </c>
      <c r="O30" s="112">
        <v>46240.355023148149</v>
      </c>
      <c r="P30" s="103">
        <v>1</v>
      </c>
      <c r="Q30" s="112">
        <v>46241.592893518522</v>
      </c>
      <c r="R30" s="112">
        <v>46241.959722222222</v>
      </c>
      <c r="S30" s="112">
        <v>46242.356504629628</v>
      </c>
      <c r="T30" s="103">
        <v>1</v>
      </c>
      <c r="U30" s="112">
        <v>46243.352175925924</v>
      </c>
      <c r="V30" s="112">
        <v>46243.949733796297</v>
      </c>
      <c r="W30" s="112">
        <v>46244.352962962963</v>
      </c>
      <c r="X30" s="112">
        <v>46244.967013888891</v>
      </c>
      <c r="Y30" s="112">
        <v>46245.352962962963</v>
      </c>
      <c r="Z30" s="103">
        <v>1</v>
      </c>
      <c r="AA30" s="112">
        <v>46246.35019675926</v>
      </c>
      <c r="AB30" s="112">
        <v>46246.948379629626</v>
      </c>
      <c r="AC30" s="112">
        <v>46247.354872685188</v>
      </c>
      <c r="AD30" s="112">
        <v>46247.98641203704</v>
      </c>
      <c r="AE30" s="113" t="s">
        <v>15</v>
      </c>
      <c r="AF30" s="113" t="s">
        <v>15</v>
      </c>
      <c r="AG30" s="112">
        <v>46249.350752314815</v>
      </c>
      <c r="AH30" s="112">
        <v>1</v>
      </c>
      <c r="AI30" s="97"/>
      <c r="AJ30" s="102">
        <v>21</v>
      </c>
      <c r="AK30" s="112">
        <v>46250.351840277777</v>
      </c>
      <c r="AL30" s="112">
        <v>0</v>
      </c>
      <c r="AM30" s="112">
        <v>46251.354537037034</v>
      </c>
      <c r="AN30" s="112">
        <v>0</v>
      </c>
      <c r="AO30" s="112">
        <v>46252.353078703702</v>
      </c>
      <c r="AP30" s="112">
        <v>46252.947511574072</v>
      </c>
      <c r="AQ30" s="112">
        <v>46253.355358796296</v>
      </c>
      <c r="AR30" s="112">
        <v>0</v>
      </c>
      <c r="AS30" s="112">
        <v>46254.354131944441</v>
      </c>
      <c r="AT30" s="112">
        <v>0</v>
      </c>
      <c r="AU30" s="112">
        <v>46255.694155092591</v>
      </c>
      <c r="AV30" s="112">
        <v>46255.694155092591</v>
      </c>
      <c r="AW30" s="112">
        <v>46256.354907407411</v>
      </c>
      <c r="AX30" s="112">
        <v>0</v>
      </c>
      <c r="AY30" s="112">
        <v>46257.353854166664</v>
      </c>
      <c r="AZ30" s="112">
        <v>46257.953750000001</v>
      </c>
      <c r="BA30" s="112">
        <v>46258.352997685186</v>
      </c>
      <c r="BB30" s="112">
        <v>46258.940428240741</v>
      </c>
      <c r="BC30" s="112">
        <v>46259.321782407409</v>
      </c>
      <c r="BD30" s="112">
        <v>46259.943842592591</v>
      </c>
      <c r="BE30" s="112">
        <v>46260.320185185185</v>
      </c>
      <c r="BF30" s="112">
        <v>46260.95784722222</v>
      </c>
      <c r="BG30" s="112">
        <v>46261.354432870372</v>
      </c>
      <c r="BH30" s="112">
        <v>0</v>
      </c>
      <c r="BI30" s="112">
        <v>46262.580763888887</v>
      </c>
      <c r="BJ30" s="112">
        <v>0</v>
      </c>
      <c r="BK30" s="112">
        <v>46263.350752314815</v>
      </c>
      <c r="BL30" s="112">
        <v>0</v>
      </c>
      <c r="BM30" s="112">
        <v>46264.356099537035</v>
      </c>
      <c r="BN30" s="111">
        <v>46264.938576388886</v>
      </c>
      <c r="BO30" s="111">
        <v>46265.352951388886</v>
      </c>
      <c r="BP30" s="111">
        <v>0</v>
      </c>
      <c r="BQ30" s="13">
        <f t="shared" si="5"/>
        <v>31</v>
      </c>
      <c r="BR30" s="52">
        <v>3</v>
      </c>
      <c r="BS30" s="14">
        <f t="shared" si="6"/>
        <v>30</v>
      </c>
      <c r="BT30" s="15">
        <f t="shared" si="19"/>
        <v>1</v>
      </c>
      <c r="BU30" s="15">
        <f t="shared" si="20"/>
        <v>0</v>
      </c>
      <c r="BV30" s="15">
        <f t="shared" si="21"/>
        <v>0</v>
      </c>
      <c r="BW30" s="15">
        <f t="shared" si="22"/>
        <v>0</v>
      </c>
      <c r="BX30" s="15">
        <f t="shared" si="23"/>
        <v>0</v>
      </c>
      <c r="BY30" s="15">
        <f t="shared" si="24"/>
        <v>0</v>
      </c>
      <c r="BZ30" s="15">
        <f t="shared" si="25"/>
        <v>0</v>
      </c>
      <c r="CA30" s="15">
        <f t="shared" si="26"/>
        <v>0</v>
      </c>
      <c r="CB30" s="15">
        <f t="shared" si="27"/>
        <v>0</v>
      </c>
      <c r="CC30" s="15">
        <f t="shared" si="28"/>
        <v>0</v>
      </c>
      <c r="CD30" s="15">
        <f t="shared" si="29"/>
        <v>0</v>
      </c>
      <c r="CE30" s="16"/>
      <c r="CH30" s="58">
        <v>0</v>
      </c>
      <c r="CI30" s="58">
        <v>0</v>
      </c>
      <c r="CJ30" s="58">
        <v>0</v>
      </c>
      <c r="CK30" s="58">
        <v>0</v>
      </c>
      <c r="CL30" s="58">
        <v>0</v>
      </c>
      <c r="CM30" s="57">
        <v>4</v>
      </c>
      <c r="CN30" s="58">
        <v>0</v>
      </c>
      <c r="CO30" s="57">
        <v>0</v>
      </c>
      <c r="CP30" s="57">
        <v>0</v>
      </c>
      <c r="CQ30" s="57">
        <v>0</v>
      </c>
      <c r="CR30" s="62">
        <f t="shared" si="4"/>
        <v>4</v>
      </c>
    </row>
    <row r="31" spans="1:96" ht="22.5" customHeight="1" x14ac:dyDescent="0.25">
      <c r="A31" s="103">
        <v>22</v>
      </c>
      <c r="B31" s="8" t="s">
        <v>61</v>
      </c>
      <c r="C31" s="98" t="s">
        <v>62</v>
      </c>
      <c r="D31" s="99">
        <v>45956</v>
      </c>
      <c r="E31" s="112">
        <v>46235.353530092594</v>
      </c>
      <c r="F31" s="112">
        <v>1</v>
      </c>
      <c r="G31" s="112">
        <v>46236.358043981483</v>
      </c>
      <c r="H31" s="112">
        <v>1</v>
      </c>
      <c r="I31" s="112">
        <v>46237.35087962963</v>
      </c>
      <c r="J31" s="112">
        <v>1</v>
      </c>
      <c r="K31" s="112">
        <v>46238.353344907409</v>
      </c>
      <c r="L31" s="112">
        <v>1</v>
      </c>
      <c r="M31" s="112">
        <v>46239.352766203701</v>
      </c>
      <c r="N31" s="112">
        <v>1</v>
      </c>
      <c r="O31" s="112">
        <v>46240.354166666664</v>
      </c>
      <c r="P31" s="112">
        <v>1</v>
      </c>
      <c r="Q31" s="112">
        <v>46241.575798611113</v>
      </c>
      <c r="R31" s="112">
        <v>1</v>
      </c>
      <c r="S31" s="112">
        <v>46242.34747685185</v>
      </c>
      <c r="T31" s="112">
        <v>46242.976319444446</v>
      </c>
      <c r="U31" s="112">
        <v>46243.354456018518</v>
      </c>
      <c r="V31" s="112">
        <v>46243.941157407404</v>
      </c>
      <c r="W31" s="112">
        <v>46244.354942129627</v>
      </c>
      <c r="X31" s="112">
        <v>1</v>
      </c>
      <c r="Y31" s="112">
        <v>46245.352881944447</v>
      </c>
      <c r="Z31" s="112">
        <v>1</v>
      </c>
      <c r="AA31" s="112">
        <v>46246.348935185182</v>
      </c>
      <c r="AB31" s="112">
        <v>1</v>
      </c>
      <c r="AC31" s="112">
        <v>46247.351655092592</v>
      </c>
      <c r="AD31" s="112">
        <v>1</v>
      </c>
      <c r="AE31" s="112">
        <v>1</v>
      </c>
      <c r="AF31" s="112">
        <v>1</v>
      </c>
      <c r="AG31" s="112">
        <v>46249.355509259258</v>
      </c>
      <c r="AH31" s="112">
        <v>1</v>
      </c>
      <c r="AI31" s="97"/>
      <c r="AJ31" s="102">
        <v>22</v>
      </c>
      <c r="AK31" s="112">
        <v>46250.349108796298</v>
      </c>
      <c r="AL31" s="112">
        <v>46262.953356481485</v>
      </c>
      <c r="AM31" s="112">
        <v>46251.353900462964</v>
      </c>
      <c r="AN31" s="112">
        <v>46251.953344907408</v>
      </c>
      <c r="AO31" s="112">
        <v>46252.352395833332</v>
      </c>
      <c r="AP31" s="112">
        <v>46252.95716435185</v>
      </c>
      <c r="AQ31" s="112">
        <v>46253.35596064815</v>
      </c>
      <c r="AR31" s="112">
        <v>46253.959097222221</v>
      </c>
      <c r="AS31" s="112">
        <v>46254.3518287037</v>
      </c>
      <c r="AT31" s="112">
        <v>46254.981215277781</v>
      </c>
      <c r="AU31" s="156" t="s">
        <v>15</v>
      </c>
      <c r="AV31" s="156" t="s">
        <v>15</v>
      </c>
      <c r="AW31" s="112">
        <v>46256.350034722222</v>
      </c>
      <c r="AX31" s="112">
        <v>46256.979305555556</v>
      </c>
      <c r="AY31" s="112">
        <v>46257.351851851854</v>
      </c>
      <c r="AZ31" s="112">
        <v>0</v>
      </c>
      <c r="BA31" s="112">
        <v>46258.345266203702</v>
      </c>
      <c r="BB31" s="112">
        <v>46258.955243055556</v>
      </c>
      <c r="BC31" s="112">
        <v>46259.335902777777</v>
      </c>
      <c r="BD31" s="112">
        <v>46259.960636574076</v>
      </c>
      <c r="BE31" s="112">
        <v>46260.345729166664</v>
      </c>
      <c r="BF31" s="112">
        <v>46260.952835648146</v>
      </c>
      <c r="BG31" s="112">
        <v>46261.350613425922</v>
      </c>
      <c r="BH31" s="112">
        <v>46261.976458333331</v>
      </c>
      <c r="BI31" s="112">
        <v>46262.581689814811</v>
      </c>
      <c r="BJ31" s="112">
        <v>46262.953356481485</v>
      </c>
      <c r="BK31" s="112">
        <v>46263.350057870368</v>
      </c>
      <c r="BL31" s="112">
        <v>46263.970891203702</v>
      </c>
      <c r="BM31" s="112">
        <v>46264.351898148147</v>
      </c>
      <c r="BN31" s="111">
        <v>46264.95484953704</v>
      </c>
      <c r="BO31" s="111">
        <v>46265.351921296293</v>
      </c>
      <c r="BP31" s="111">
        <v>0</v>
      </c>
      <c r="BQ31" s="13">
        <f t="shared" si="5"/>
        <v>31</v>
      </c>
      <c r="BR31" s="52">
        <v>3</v>
      </c>
      <c r="BS31" s="14">
        <f t="shared" si="6"/>
        <v>30</v>
      </c>
      <c r="BT31" s="15">
        <f t="shared" si="19"/>
        <v>1</v>
      </c>
      <c r="BU31" s="15">
        <f t="shared" si="20"/>
        <v>0</v>
      </c>
      <c r="BV31" s="15">
        <f t="shared" si="21"/>
        <v>0</v>
      </c>
      <c r="BW31" s="15">
        <f t="shared" si="22"/>
        <v>0</v>
      </c>
      <c r="BX31" s="15">
        <f t="shared" si="23"/>
        <v>0</v>
      </c>
      <c r="BY31" s="15">
        <f t="shared" si="24"/>
        <v>0</v>
      </c>
      <c r="BZ31" s="15">
        <f t="shared" si="25"/>
        <v>0</v>
      </c>
      <c r="CA31" s="15">
        <f t="shared" si="26"/>
        <v>0</v>
      </c>
      <c r="CB31" s="15">
        <f t="shared" si="27"/>
        <v>0</v>
      </c>
      <c r="CC31" s="15">
        <f t="shared" si="28"/>
        <v>0</v>
      </c>
      <c r="CD31" s="15">
        <f t="shared" si="29"/>
        <v>0</v>
      </c>
      <c r="CE31" s="16"/>
      <c r="CH31" s="59">
        <v>0</v>
      </c>
      <c r="CI31" s="59">
        <v>0</v>
      </c>
      <c r="CJ31" s="59">
        <v>0</v>
      </c>
      <c r="CK31" s="59">
        <v>0</v>
      </c>
      <c r="CL31" s="59">
        <v>0</v>
      </c>
      <c r="CM31" s="59">
        <v>5</v>
      </c>
      <c r="CN31" s="59">
        <v>0</v>
      </c>
      <c r="CO31" s="59">
        <v>0</v>
      </c>
      <c r="CP31" s="59">
        <v>0</v>
      </c>
      <c r="CQ31" s="59">
        <v>0</v>
      </c>
      <c r="CR31" s="59">
        <f>SUM(CH31:CQ31)</f>
        <v>5</v>
      </c>
    </row>
    <row r="32" spans="1:96" ht="22.5" customHeight="1" x14ac:dyDescent="0.25">
      <c r="A32" s="103">
        <v>23</v>
      </c>
      <c r="B32" s="8" t="s">
        <v>88</v>
      </c>
      <c r="C32" s="98" t="s">
        <v>89</v>
      </c>
      <c r="D32" s="99">
        <v>46028</v>
      </c>
      <c r="E32" s="112">
        <v>46235.352766203701</v>
      </c>
      <c r="F32" s="112">
        <v>46235.971215277779</v>
      </c>
      <c r="G32" s="114" t="s">
        <v>98</v>
      </c>
      <c r="H32" s="114" t="s">
        <v>98</v>
      </c>
      <c r="I32" s="112">
        <v>46237.353796296295</v>
      </c>
      <c r="J32" s="112">
        <v>46237.954618055555</v>
      </c>
      <c r="K32" s="114" t="s">
        <v>98</v>
      </c>
      <c r="L32" s="114" t="s">
        <v>98</v>
      </c>
      <c r="M32" s="112">
        <v>46239.355462962965</v>
      </c>
      <c r="N32" s="112">
        <v>46239.950254629628</v>
      </c>
      <c r="O32" s="112">
        <v>46240.354907407411</v>
      </c>
      <c r="P32" s="112">
        <v>46240.97252314815</v>
      </c>
      <c r="Q32" s="112">
        <v>46241.579768518517</v>
      </c>
      <c r="R32" s="112">
        <v>46240.97252314815</v>
      </c>
      <c r="S32" s="112">
        <v>46242.356678240743</v>
      </c>
      <c r="T32" s="112">
        <v>46242.970613425925</v>
      </c>
      <c r="U32" s="112">
        <v>46243.351979166669</v>
      </c>
      <c r="V32" s="112">
        <v>46243.949270833335</v>
      </c>
      <c r="W32" s="112">
        <v>46244.353171296294</v>
      </c>
      <c r="X32" s="112">
        <v>46244.966782407406</v>
      </c>
      <c r="Y32" s="112">
        <v>46245.353101851855</v>
      </c>
      <c r="Z32" s="112">
        <v>46245.952303240738</v>
      </c>
      <c r="AA32" s="112">
        <v>46246.35056712963</v>
      </c>
      <c r="AB32" s="112">
        <v>46246.948148148149</v>
      </c>
      <c r="AC32" s="112">
        <v>46247.355046296296</v>
      </c>
      <c r="AD32" s="112">
        <v>46247.986932870372</v>
      </c>
      <c r="AE32" s="156" t="s">
        <v>15</v>
      </c>
      <c r="AF32" s="156" t="s">
        <v>15</v>
      </c>
      <c r="AG32" s="112">
        <v>46249.350590277776</v>
      </c>
      <c r="AH32" s="112">
        <v>46249.974328703705</v>
      </c>
      <c r="AI32" s="97"/>
      <c r="AJ32" s="102">
        <v>23</v>
      </c>
      <c r="AK32" s="112">
        <v>46250.346018518518</v>
      </c>
      <c r="AL32" s="112">
        <v>0</v>
      </c>
      <c r="AM32" s="112">
        <v>46251.350081018521</v>
      </c>
      <c r="AN32" s="112">
        <v>0</v>
      </c>
      <c r="AO32" s="112">
        <v>46252.344201388885</v>
      </c>
      <c r="AP32" s="112">
        <v>0</v>
      </c>
      <c r="AQ32" s="112">
        <v>46253.346192129633</v>
      </c>
      <c r="AR32" s="112">
        <v>46253.852858796294</v>
      </c>
      <c r="AS32" s="112">
        <v>46254.330729166664</v>
      </c>
      <c r="AT32" s="112">
        <v>46254.838402777779</v>
      </c>
      <c r="AU32" s="112">
        <v>0</v>
      </c>
      <c r="AV32" s="112">
        <v>46254.838402777779</v>
      </c>
      <c r="AW32" s="112">
        <v>46256.348043981481</v>
      </c>
      <c r="AX32" s="112">
        <v>46256.844583333332</v>
      </c>
      <c r="AY32" s="112">
        <v>46257.350127314814</v>
      </c>
      <c r="AZ32" s="112">
        <v>0</v>
      </c>
      <c r="BA32" s="112">
        <v>46258.342199074075</v>
      </c>
      <c r="BB32" s="112">
        <v>46258.957789351851</v>
      </c>
      <c r="BC32" s="112">
        <v>46259.347013888888</v>
      </c>
      <c r="BD32" s="112">
        <v>0</v>
      </c>
      <c r="BE32" s="112">
        <v>46260.346435185187</v>
      </c>
      <c r="BF32" s="112">
        <v>0</v>
      </c>
      <c r="BG32" s="112">
        <v>46261.341481481482</v>
      </c>
      <c r="BH32" s="112">
        <v>0</v>
      </c>
      <c r="BI32" s="156" t="s">
        <v>15</v>
      </c>
      <c r="BJ32" s="156" t="s">
        <v>15</v>
      </c>
      <c r="BK32" s="112">
        <v>46263.346250000002</v>
      </c>
      <c r="BL32" s="112">
        <v>0</v>
      </c>
      <c r="BM32" s="112">
        <v>46264.35255787037</v>
      </c>
      <c r="BN32" s="111">
        <v>0</v>
      </c>
      <c r="BO32" s="111">
        <v>46265.351365740738</v>
      </c>
      <c r="BP32" s="111">
        <v>0</v>
      </c>
      <c r="BQ32" s="13">
        <f t="shared" si="5"/>
        <v>31</v>
      </c>
      <c r="BR32" s="52">
        <v>2</v>
      </c>
      <c r="BS32" s="14">
        <f t="shared" si="6"/>
        <v>27</v>
      </c>
      <c r="BT32" s="15">
        <f t="shared" si="19"/>
        <v>2</v>
      </c>
      <c r="BU32" s="15">
        <f t="shared" si="20"/>
        <v>0</v>
      </c>
      <c r="BV32" s="15">
        <f t="shared" si="21"/>
        <v>0</v>
      </c>
      <c r="BW32" s="15">
        <f t="shared" si="22"/>
        <v>0</v>
      </c>
      <c r="BX32" s="15">
        <f t="shared" si="23"/>
        <v>0</v>
      </c>
      <c r="BY32" s="15">
        <f t="shared" si="24"/>
        <v>0</v>
      </c>
      <c r="BZ32" s="15">
        <f t="shared" si="25"/>
        <v>2</v>
      </c>
      <c r="CA32" s="15">
        <f t="shared" si="26"/>
        <v>0</v>
      </c>
      <c r="CB32" s="15">
        <f t="shared" si="27"/>
        <v>0</v>
      </c>
      <c r="CC32" s="15">
        <f t="shared" si="28"/>
        <v>0</v>
      </c>
      <c r="CD32" s="15">
        <f t="shared" si="29"/>
        <v>0</v>
      </c>
      <c r="CE32" s="16"/>
      <c r="CH32" s="58">
        <v>0</v>
      </c>
      <c r="CI32" s="58">
        <v>0</v>
      </c>
      <c r="CJ32" s="58">
        <v>0</v>
      </c>
      <c r="CK32" s="58">
        <v>0</v>
      </c>
      <c r="CL32" s="58">
        <v>0</v>
      </c>
      <c r="CM32" s="57">
        <v>0</v>
      </c>
      <c r="CN32" s="58">
        <v>0</v>
      </c>
      <c r="CO32" s="57">
        <v>0</v>
      </c>
      <c r="CP32" s="57">
        <v>0</v>
      </c>
      <c r="CQ32" s="57">
        <v>0</v>
      </c>
      <c r="CR32" s="62">
        <f t="shared" ref="CR32" si="30">SUM(CH32:CQ32)</f>
        <v>0</v>
      </c>
    </row>
    <row r="33" spans="1:96" ht="22.5" customHeight="1" x14ac:dyDescent="0.25">
      <c r="A33" s="103">
        <v>24</v>
      </c>
      <c r="B33" s="8" t="s">
        <v>87</v>
      </c>
      <c r="C33" s="98" t="s">
        <v>90</v>
      </c>
      <c r="D33" s="99">
        <v>46028</v>
      </c>
      <c r="E33" s="112">
        <v>46235.328900462962</v>
      </c>
      <c r="F33" s="112">
        <v>46235.851053240738</v>
      </c>
      <c r="G33" s="112">
        <v>46236.330196759256</v>
      </c>
      <c r="H33" s="103">
        <v>1</v>
      </c>
      <c r="I33" s="112">
        <v>46237.327476851853</v>
      </c>
      <c r="J33" s="112">
        <v>46237.844849537039</v>
      </c>
      <c r="K33" s="112">
        <v>46238.328750000001</v>
      </c>
      <c r="L33" s="103">
        <v>1</v>
      </c>
      <c r="M33" s="112">
        <v>46239.351342592592</v>
      </c>
      <c r="N33" s="103">
        <v>1</v>
      </c>
      <c r="O33" s="112">
        <v>46240.350613425922</v>
      </c>
      <c r="P33" s="103">
        <v>1</v>
      </c>
      <c r="Q33" s="113" t="s">
        <v>15</v>
      </c>
      <c r="R33" s="113" t="s">
        <v>15</v>
      </c>
      <c r="S33" s="112">
        <v>46242.340798611112</v>
      </c>
      <c r="T33" s="112">
        <v>46242.90079861111</v>
      </c>
      <c r="U33" s="112">
        <v>46243.350069444445</v>
      </c>
      <c r="V33" s="112">
        <v>46243.839583333334</v>
      </c>
      <c r="W33" s="112">
        <v>46244.351365740738</v>
      </c>
      <c r="X33" s="103">
        <v>1</v>
      </c>
      <c r="Y33" s="112">
        <v>46245.350648148145</v>
      </c>
      <c r="Z33" s="103">
        <v>1</v>
      </c>
      <c r="AA33" s="112">
        <v>46246.355046296296</v>
      </c>
      <c r="AB33" s="103">
        <v>1</v>
      </c>
      <c r="AC33" s="112">
        <v>46247.349085648151</v>
      </c>
      <c r="AD33" s="103">
        <v>1</v>
      </c>
      <c r="AE33" s="112">
        <v>46248.581412037034</v>
      </c>
      <c r="AF33" s="112">
        <v>1</v>
      </c>
      <c r="AG33" s="112">
        <v>46249.344317129631</v>
      </c>
      <c r="AH33" s="112">
        <v>1</v>
      </c>
      <c r="AI33" s="97"/>
      <c r="AJ33" s="102">
        <v>24</v>
      </c>
      <c r="AK33" s="112">
        <v>46250.35</v>
      </c>
      <c r="AL33" s="112">
        <v>46262.94599537037</v>
      </c>
      <c r="AM33" s="112">
        <v>46251.351643518516</v>
      </c>
      <c r="AN33" s="112">
        <v>46251.955601851849</v>
      </c>
      <c r="AO33" s="112">
        <v>46252.349918981483</v>
      </c>
      <c r="AP33" s="112">
        <v>46252.950138888889</v>
      </c>
      <c r="AQ33" s="112">
        <v>46253.353020833332</v>
      </c>
      <c r="AR33" s="112">
        <v>46253.942094907405</v>
      </c>
      <c r="AS33" s="112">
        <v>46254.349421296298</v>
      </c>
      <c r="AT33" s="112">
        <v>46254.970150462963</v>
      </c>
      <c r="AU33" s="112">
        <v>0</v>
      </c>
      <c r="AV33" s="112">
        <v>46254.970150462963</v>
      </c>
      <c r="AW33" s="112">
        <v>46256.346574074072</v>
      </c>
      <c r="AX33" s="112">
        <v>46256.971041666664</v>
      </c>
      <c r="AY33" s="112">
        <v>46257.352118055554</v>
      </c>
      <c r="AZ33" s="112">
        <v>46257.946284722224</v>
      </c>
      <c r="BA33" s="112">
        <v>46258.344328703701</v>
      </c>
      <c r="BB33" s="112">
        <v>46258.944675925923</v>
      </c>
      <c r="BC33" s="112">
        <v>46259.352210648147</v>
      </c>
      <c r="BD33" s="112">
        <v>46259.949421296296</v>
      </c>
      <c r="BE33" s="112">
        <v>46260.351435185185</v>
      </c>
      <c r="BF33" s="112">
        <v>46260.957743055558</v>
      </c>
      <c r="BG33" s="112">
        <v>46261.347592592596</v>
      </c>
      <c r="BH33" s="112">
        <v>46261.964849537035</v>
      </c>
      <c r="BI33" s="112">
        <v>0</v>
      </c>
      <c r="BJ33" s="112">
        <v>46262.94599537037</v>
      </c>
      <c r="BK33" s="112">
        <v>46263.346689814818</v>
      </c>
      <c r="BL33" s="112">
        <v>46263.964606481481</v>
      </c>
      <c r="BM33" s="112">
        <v>46264.349710648145</v>
      </c>
      <c r="BN33" s="164">
        <v>46264.938657407409</v>
      </c>
      <c r="BO33" s="164">
        <v>46265.349687499998</v>
      </c>
      <c r="BP33" s="164">
        <v>46265.952106481483</v>
      </c>
      <c r="BQ33" s="13">
        <f t="shared" si="5"/>
        <v>31</v>
      </c>
      <c r="BR33" s="52">
        <v>3</v>
      </c>
      <c r="BS33" s="14">
        <f t="shared" si="6"/>
        <v>30</v>
      </c>
      <c r="BT33" s="15">
        <f t="shared" si="19"/>
        <v>1</v>
      </c>
      <c r="BU33" s="15">
        <f t="shared" si="20"/>
        <v>0</v>
      </c>
      <c r="BV33" s="15">
        <f t="shared" si="21"/>
        <v>0</v>
      </c>
      <c r="BW33" s="15">
        <f t="shared" si="22"/>
        <v>0</v>
      </c>
      <c r="BX33" s="15">
        <f t="shared" si="23"/>
        <v>0</v>
      </c>
      <c r="BY33" s="15">
        <f t="shared" si="24"/>
        <v>0</v>
      </c>
      <c r="BZ33" s="15">
        <f t="shared" si="25"/>
        <v>0</v>
      </c>
      <c r="CA33" s="15">
        <f t="shared" si="26"/>
        <v>0</v>
      </c>
      <c r="CB33" s="15">
        <f t="shared" si="27"/>
        <v>0</v>
      </c>
      <c r="CC33" s="15">
        <f t="shared" si="28"/>
        <v>0</v>
      </c>
      <c r="CD33" s="15">
        <f t="shared" si="29"/>
        <v>0</v>
      </c>
      <c r="CE33" s="16"/>
      <c r="CH33" s="59">
        <v>0</v>
      </c>
      <c r="CI33" s="59">
        <v>0</v>
      </c>
      <c r="CJ33" s="59">
        <v>0</v>
      </c>
      <c r="CK33" s="59">
        <v>0</v>
      </c>
      <c r="CL33" s="59">
        <v>0</v>
      </c>
      <c r="CM33" s="59">
        <v>0</v>
      </c>
      <c r="CN33" s="59">
        <v>0</v>
      </c>
      <c r="CO33" s="59">
        <v>0</v>
      </c>
      <c r="CP33" s="59">
        <v>0</v>
      </c>
      <c r="CQ33" s="59">
        <v>0</v>
      </c>
      <c r="CR33" s="59">
        <f>SUM(CH33:CQ33)</f>
        <v>0</v>
      </c>
    </row>
    <row r="34" spans="1:96" ht="22.5" customHeight="1" x14ac:dyDescent="0.25">
      <c r="A34" s="103">
        <v>25</v>
      </c>
      <c r="B34" s="8" t="s">
        <v>91</v>
      </c>
      <c r="C34" s="98" t="s">
        <v>92</v>
      </c>
      <c r="D34" s="99">
        <v>46075</v>
      </c>
      <c r="E34" s="112">
        <v>46235.349664351852</v>
      </c>
      <c r="F34" s="112">
        <v>46235.966400462959</v>
      </c>
      <c r="G34" s="112">
        <v>46236.349965277775</v>
      </c>
      <c r="H34" s="112">
        <v>46236.954259259262</v>
      </c>
      <c r="I34" s="112">
        <v>46237.350127314814</v>
      </c>
      <c r="J34" s="112">
        <v>46237.955138888887</v>
      </c>
      <c r="K34" s="112">
        <v>46238.350949074076</v>
      </c>
      <c r="L34" s="112">
        <v>46238.945925925924</v>
      </c>
      <c r="M34" s="112">
        <v>46239.352511574078</v>
      </c>
      <c r="N34" s="112">
        <v>46239.945162037038</v>
      </c>
      <c r="O34" s="112">
        <v>46240.351979166669</v>
      </c>
      <c r="P34" s="112">
        <v>46240.96361111111</v>
      </c>
      <c r="Q34" s="113" t="s">
        <v>15</v>
      </c>
      <c r="R34" s="113" t="s">
        <v>15</v>
      </c>
      <c r="S34" s="112">
        <v>46242.35292824074</v>
      </c>
      <c r="T34" s="112">
        <v>46242.961030092592</v>
      </c>
      <c r="U34" s="112">
        <v>46243.349189814813</v>
      </c>
      <c r="V34" s="112">
        <v>46243.940925925926</v>
      </c>
      <c r="W34" s="112">
        <v>46244.351550925923</v>
      </c>
      <c r="X34" s="112">
        <v>46244.944537037038</v>
      </c>
      <c r="Y34" s="112">
        <v>46245.350752314815</v>
      </c>
      <c r="Z34" s="112">
        <v>46245.94871527778</v>
      </c>
      <c r="AA34" s="112">
        <v>46246.348715277774</v>
      </c>
      <c r="AB34" s="112">
        <v>46246.947511574072</v>
      </c>
      <c r="AC34" s="112">
        <v>46247.351979166669</v>
      </c>
      <c r="AD34" s="112">
        <v>46247.965914351851</v>
      </c>
      <c r="AE34" s="112">
        <v>46248.580138888887</v>
      </c>
      <c r="AF34" s="112">
        <v>46248.953680555554</v>
      </c>
      <c r="AG34" s="112">
        <v>46249.345891203702</v>
      </c>
      <c r="AH34" s="112">
        <v>46249.971412037034</v>
      </c>
      <c r="AI34" s="97"/>
      <c r="AJ34" s="102">
        <v>25</v>
      </c>
      <c r="AK34" s="112">
        <v>46250.349236111113</v>
      </c>
      <c r="AL34" s="112">
        <v>0</v>
      </c>
      <c r="AM34" s="112">
        <v>46251.353993055556</v>
      </c>
      <c r="AN34" s="112">
        <v>46251.953379629631</v>
      </c>
      <c r="AO34" s="112">
        <v>46252.352280092593</v>
      </c>
      <c r="AP34" s="112">
        <v>46252.956238425926</v>
      </c>
      <c r="AQ34" s="112">
        <v>46253.355798611112</v>
      </c>
      <c r="AR34" s="112">
        <v>46253.956990740742</v>
      </c>
      <c r="AS34" s="112">
        <v>46254.351759259262</v>
      </c>
      <c r="AT34" s="112">
        <v>46254.980231481481</v>
      </c>
      <c r="AU34" s="112">
        <v>0</v>
      </c>
      <c r="AV34" s="112">
        <v>0</v>
      </c>
      <c r="AW34" s="112">
        <v>46256.34983796296</v>
      </c>
      <c r="AX34" s="112">
        <v>46256.979814814818</v>
      </c>
      <c r="AY34" s="112">
        <v>46257.351759259262</v>
      </c>
      <c r="AZ34" s="112">
        <v>46257.958541666667</v>
      </c>
      <c r="BA34" s="112">
        <v>46258.350428240738</v>
      </c>
      <c r="BB34" s="112">
        <v>46258.951192129629</v>
      </c>
      <c r="BC34" s="112">
        <v>46259.349918981483</v>
      </c>
      <c r="BD34" s="112">
        <v>46259.95988425926</v>
      </c>
      <c r="BE34" s="112">
        <v>46260.351365740738</v>
      </c>
      <c r="BF34" s="112">
        <v>46260.952569444446</v>
      </c>
      <c r="BG34" s="112">
        <v>46261.350578703707</v>
      </c>
      <c r="BH34" s="112">
        <v>46261.975949074076</v>
      </c>
      <c r="BI34" s="156" t="s">
        <v>15</v>
      </c>
      <c r="BJ34" s="156" t="s">
        <v>15</v>
      </c>
      <c r="BK34" s="112">
        <v>46263.349907407406</v>
      </c>
      <c r="BL34" s="112">
        <v>46263.971215277779</v>
      </c>
      <c r="BM34" s="112">
        <v>46264.352037037039</v>
      </c>
      <c r="BN34" s="164">
        <v>46264.950995370367</v>
      </c>
      <c r="BO34" s="164">
        <v>46265.352048611108</v>
      </c>
      <c r="BP34" s="164">
        <v>0</v>
      </c>
      <c r="BQ34" s="13">
        <f t="shared" si="5"/>
        <v>31</v>
      </c>
      <c r="BR34" s="52">
        <v>2</v>
      </c>
      <c r="BS34" s="14">
        <f t="shared" si="6"/>
        <v>29</v>
      </c>
      <c r="BT34" s="15">
        <f t="shared" si="19"/>
        <v>2</v>
      </c>
      <c r="BU34" s="15">
        <f t="shared" si="20"/>
        <v>0</v>
      </c>
      <c r="BV34" s="15">
        <f t="shared" si="21"/>
        <v>0</v>
      </c>
      <c r="BW34" s="15">
        <f t="shared" si="22"/>
        <v>0</v>
      </c>
      <c r="BX34" s="15">
        <f t="shared" si="23"/>
        <v>0</v>
      </c>
      <c r="BY34" s="15">
        <f t="shared" si="24"/>
        <v>0</v>
      </c>
      <c r="BZ34" s="15">
        <f t="shared" si="25"/>
        <v>0</v>
      </c>
      <c r="CA34" s="15">
        <f t="shared" si="26"/>
        <v>0</v>
      </c>
      <c r="CB34" s="15">
        <f t="shared" si="27"/>
        <v>0</v>
      </c>
      <c r="CC34" s="15">
        <f t="shared" si="28"/>
        <v>0</v>
      </c>
      <c r="CD34" s="15">
        <f t="shared" si="29"/>
        <v>0</v>
      </c>
      <c r="CE34" s="16"/>
      <c r="CH34" s="58">
        <v>0</v>
      </c>
      <c r="CI34" s="58">
        <v>0</v>
      </c>
      <c r="CJ34" s="58">
        <v>0</v>
      </c>
      <c r="CK34" s="58">
        <v>0</v>
      </c>
      <c r="CL34" s="58">
        <v>0</v>
      </c>
      <c r="CM34" s="57">
        <v>0</v>
      </c>
      <c r="CN34" s="58">
        <v>0</v>
      </c>
      <c r="CO34" s="57">
        <v>0</v>
      </c>
      <c r="CP34" s="57">
        <v>0</v>
      </c>
      <c r="CQ34" s="57">
        <v>0</v>
      </c>
      <c r="CR34" s="62">
        <f t="shared" ref="CR34:CR36" si="31">SUM(CH34:CQ34)</f>
        <v>0</v>
      </c>
    </row>
    <row r="35" spans="1:96" ht="22.5" customHeight="1" x14ac:dyDescent="0.25">
      <c r="A35" s="103">
        <v>26</v>
      </c>
      <c r="B35" s="8" t="s">
        <v>93</v>
      </c>
      <c r="C35" s="98" t="s">
        <v>94</v>
      </c>
      <c r="D35" s="99">
        <v>46078</v>
      </c>
      <c r="E35" s="112">
        <v>46235.352881944447</v>
      </c>
      <c r="F35" s="112">
        <v>46235.970972222225</v>
      </c>
      <c r="G35" s="112">
        <v>46236.351180555554</v>
      </c>
      <c r="H35" s="112">
        <v>46236.952291666668</v>
      </c>
      <c r="I35" s="112">
        <v>46237.35361111111</v>
      </c>
      <c r="J35" s="112">
        <v>46237.955081018517</v>
      </c>
      <c r="K35" s="112">
        <v>46238.352337962962</v>
      </c>
      <c r="L35" s="112">
        <v>46238.952199074076</v>
      </c>
      <c r="M35" s="112">
        <v>46239.355428240742</v>
      </c>
      <c r="N35" s="112">
        <v>46239.950115740743</v>
      </c>
      <c r="O35" s="112">
        <v>46240.354814814818</v>
      </c>
      <c r="P35" s="112">
        <v>46240.97246527778</v>
      </c>
      <c r="Q35" s="113" t="s">
        <v>15</v>
      </c>
      <c r="R35" s="113" t="s">
        <v>15</v>
      </c>
      <c r="S35" s="112">
        <v>46242.356631944444</v>
      </c>
      <c r="T35" s="112">
        <v>46242.970960648148</v>
      </c>
      <c r="U35" s="112">
        <v>46243.351944444446</v>
      </c>
      <c r="V35" s="112">
        <v>46243.949629629627</v>
      </c>
      <c r="W35" s="112">
        <v>46244.353680555556</v>
      </c>
      <c r="X35" s="112">
        <v>46244.967997685184</v>
      </c>
      <c r="Y35" s="112">
        <v>46245.353182870371</v>
      </c>
      <c r="Z35" s="112">
        <v>46245.956053240741</v>
      </c>
      <c r="AA35" s="112">
        <v>46246.350127314814</v>
      </c>
      <c r="AB35" s="112">
        <v>46246.948599537034</v>
      </c>
      <c r="AC35" s="112">
        <v>46247.355000000003</v>
      </c>
      <c r="AD35" s="103">
        <v>1</v>
      </c>
      <c r="AE35" s="112">
        <v>46248.581666666665</v>
      </c>
      <c r="AF35" s="112">
        <v>46248.959664351853</v>
      </c>
      <c r="AG35" s="112">
        <v>46249.350474537037</v>
      </c>
      <c r="AH35" s="112">
        <v>46249.973900462966</v>
      </c>
      <c r="AI35" s="91"/>
      <c r="AJ35" s="102">
        <v>26</v>
      </c>
      <c r="AK35" s="112">
        <v>46250.346226851849</v>
      </c>
      <c r="AL35" s="112">
        <v>0</v>
      </c>
      <c r="AM35" s="112">
        <v>46251.347766203704</v>
      </c>
      <c r="AN35" s="112">
        <v>0</v>
      </c>
      <c r="AO35" s="112">
        <v>46252.345057870371</v>
      </c>
      <c r="AP35" s="112">
        <v>0</v>
      </c>
      <c r="AQ35" s="112">
        <v>46253.345532407409</v>
      </c>
      <c r="AR35" s="112">
        <v>46253.851099537038</v>
      </c>
      <c r="AS35" s="112">
        <v>46254.343773148146</v>
      </c>
      <c r="AT35" s="112">
        <v>0</v>
      </c>
      <c r="AU35" s="112">
        <v>46255.574872685182</v>
      </c>
      <c r="AV35" s="112">
        <v>0</v>
      </c>
      <c r="AW35" s="112">
        <v>46256.349849537037</v>
      </c>
      <c r="AX35" s="112">
        <v>46256.844710648147</v>
      </c>
      <c r="AY35" s="112">
        <v>46257.350011574075</v>
      </c>
      <c r="AZ35" s="112">
        <v>0</v>
      </c>
      <c r="BA35" s="112">
        <v>46258.348333333335</v>
      </c>
      <c r="BB35" s="112">
        <v>46258.956736111111</v>
      </c>
      <c r="BC35" s="112">
        <v>46259.349907407406</v>
      </c>
      <c r="BD35" s="112">
        <v>0</v>
      </c>
      <c r="BE35" s="112">
        <v>46260.350486111114</v>
      </c>
      <c r="BF35" s="112">
        <v>0</v>
      </c>
      <c r="BG35" s="112">
        <v>46261.345486111109</v>
      </c>
      <c r="BH35" s="112">
        <v>46261.878645833334</v>
      </c>
      <c r="BI35" s="112">
        <v>46262.56927083333</v>
      </c>
      <c r="BJ35" s="112">
        <v>0</v>
      </c>
      <c r="BK35" s="112">
        <v>46263.34915509259</v>
      </c>
      <c r="BL35" s="112">
        <v>0</v>
      </c>
      <c r="BM35" s="112">
        <v>46264.352268518516</v>
      </c>
      <c r="BN35" s="111">
        <v>0</v>
      </c>
      <c r="BO35" s="111">
        <v>46265.351273148146</v>
      </c>
      <c r="BP35" s="111">
        <v>0</v>
      </c>
      <c r="BQ35" s="13">
        <f t="shared" si="5"/>
        <v>31</v>
      </c>
      <c r="BR35" s="52">
        <v>3</v>
      </c>
      <c r="BS35" s="14">
        <f t="shared" si="6"/>
        <v>30</v>
      </c>
      <c r="BT35" s="15">
        <f t="shared" si="19"/>
        <v>1</v>
      </c>
      <c r="BU35" s="15">
        <f t="shared" si="20"/>
        <v>0</v>
      </c>
      <c r="BV35" s="15">
        <f t="shared" si="21"/>
        <v>0</v>
      </c>
      <c r="BW35" s="15">
        <f t="shared" si="22"/>
        <v>0</v>
      </c>
      <c r="BX35" s="15">
        <f t="shared" si="23"/>
        <v>0</v>
      </c>
      <c r="BY35" s="15">
        <f t="shared" si="24"/>
        <v>0</v>
      </c>
      <c r="BZ35" s="15">
        <f t="shared" si="25"/>
        <v>0</v>
      </c>
      <c r="CA35" s="15">
        <f t="shared" si="26"/>
        <v>0</v>
      </c>
      <c r="CB35" s="15">
        <f t="shared" si="27"/>
        <v>0</v>
      </c>
      <c r="CC35" s="15">
        <f t="shared" si="28"/>
        <v>0</v>
      </c>
      <c r="CD35" s="15">
        <f t="shared" si="29"/>
        <v>0</v>
      </c>
      <c r="CE35" s="16"/>
      <c r="CH35" s="59">
        <v>0</v>
      </c>
      <c r="CI35" s="59">
        <v>0</v>
      </c>
      <c r="CJ35" s="59">
        <v>0</v>
      </c>
      <c r="CK35" s="59">
        <v>0</v>
      </c>
      <c r="CL35" s="59">
        <v>0</v>
      </c>
      <c r="CM35" s="59">
        <v>0</v>
      </c>
      <c r="CN35" s="59">
        <v>0</v>
      </c>
      <c r="CO35" s="59">
        <v>0</v>
      </c>
      <c r="CP35" s="59">
        <v>0</v>
      </c>
      <c r="CQ35" s="59">
        <v>0</v>
      </c>
      <c r="CR35" s="59">
        <f t="shared" si="31"/>
        <v>0</v>
      </c>
    </row>
    <row r="36" spans="1:96" ht="22.5" customHeight="1" x14ac:dyDescent="0.25">
      <c r="A36" s="103">
        <v>27</v>
      </c>
      <c r="B36" s="88" t="s">
        <v>99</v>
      </c>
      <c r="C36" s="100" t="s">
        <v>100</v>
      </c>
      <c r="D36" s="99">
        <v>46162</v>
      </c>
      <c r="E36" s="112">
        <v>46235.33153935185</v>
      </c>
      <c r="F36" s="112">
        <v>46235.851111111115</v>
      </c>
      <c r="G36" s="112">
        <v>46236.328900462962</v>
      </c>
      <c r="H36" s="103">
        <v>1</v>
      </c>
      <c r="I36" s="112">
        <v>46237.329768518517</v>
      </c>
      <c r="J36" s="112">
        <v>46237.844513888886</v>
      </c>
      <c r="K36" s="112">
        <v>46238.332233796296</v>
      </c>
      <c r="L36" s="103">
        <v>1</v>
      </c>
      <c r="M36" s="112">
        <v>46239.350081018521</v>
      </c>
      <c r="N36" s="103">
        <v>1</v>
      </c>
      <c r="O36" s="112">
        <v>46240.355844907404</v>
      </c>
      <c r="P36" s="103">
        <v>1</v>
      </c>
      <c r="Q36" s="112">
        <v>46241.581446759257</v>
      </c>
      <c r="R36" s="103">
        <v>1</v>
      </c>
      <c r="S36" s="112">
        <v>46242.349976851852</v>
      </c>
      <c r="T36" s="112">
        <v>46242.900995370372</v>
      </c>
      <c r="U36" s="112">
        <v>46243.352986111109</v>
      </c>
      <c r="V36" s="112">
        <v>46243.83966435185</v>
      </c>
      <c r="W36" s="112">
        <v>46244.350486111114</v>
      </c>
      <c r="X36" s="103">
        <v>1</v>
      </c>
      <c r="Y36" s="112">
        <v>46245.352453703701</v>
      </c>
      <c r="Z36" s="103">
        <v>1</v>
      </c>
      <c r="AA36" s="112">
        <v>46246.35056712963</v>
      </c>
      <c r="AB36" s="103">
        <v>1</v>
      </c>
      <c r="AC36" s="112">
        <v>46247.346400462964</v>
      </c>
      <c r="AD36" s="103">
        <v>1</v>
      </c>
      <c r="AE36" s="113" t="s">
        <v>15</v>
      </c>
      <c r="AF36" s="113" t="s">
        <v>15</v>
      </c>
      <c r="AG36" s="112">
        <v>46249.341504629629</v>
      </c>
      <c r="AH36" s="112">
        <v>1</v>
      </c>
      <c r="AI36" s="97"/>
      <c r="AJ36" s="102">
        <v>27</v>
      </c>
      <c r="AK36" s="112">
        <v>46250.34579861111</v>
      </c>
      <c r="AL36" s="112">
        <v>0</v>
      </c>
      <c r="AM36" s="112">
        <v>46251.342581018522</v>
      </c>
      <c r="AN36" s="112">
        <v>0</v>
      </c>
      <c r="AO36" s="112">
        <v>46252.345543981479</v>
      </c>
      <c r="AP36" s="112">
        <v>0</v>
      </c>
      <c r="AQ36" s="112">
        <v>46253.344918981478</v>
      </c>
      <c r="AR36" s="112">
        <v>46253.851886574077</v>
      </c>
      <c r="AS36" s="112">
        <v>46254.332685185182</v>
      </c>
      <c r="AT36" s="112">
        <v>0</v>
      </c>
      <c r="AU36" s="112">
        <v>46255.576249999998</v>
      </c>
      <c r="AV36" s="112">
        <v>0</v>
      </c>
      <c r="AW36" s="112">
        <v>46256.34878472222</v>
      </c>
      <c r="AX36" s="112">
        <v>46256.844768518517</v>
      </c>
      <c r="AY36" s="112">
        <v>46257.351099537038</v>
      </c>
      <c r="AZ36" s="112">
        <v>0</v>
      </c>
      <c r="BA36" s="112">
        <v>46258.338692129626</v>
      </c>
      <c r="BB36" s="112">
        <v>46258.957615740743</v>
      </c>
      <c r="BC36" s="112">
        <v>46259.404999999999</v>
      </c>
      <c r="BD36" s="112">
        <v>0</v>
      </c>
      <c r="BE36" s="112">
        <v>46260.373831018522</v>
      </c>
      <c r="BF36" s="112">
        <v>0</v>
      </c>
      <c r="BG36" s="112">
        <v>46261.34747685185</v>
      </c>
      <c r="BH36" s="112">
        <v>46261.878576388888</v>
      </c>
      <c r="BI36" s="112">
        <v>46262.579953703702</v>
      </c>
      <c r="BJ36" s="112">
        <v>0</v>
      </c>
      <c r="BK36" s="112">
        <v>46263.348275462966</v>
      </c>
      <c r="BL36" s="112">
        <v>0</v>
      </c>
      <c r="BM36" s="112">
        <v>46264.341967592591</v>
      </c>
      <c r="BN36" s="164">
        <v>0</v>
      </c>
      <c r="BO36" s="164">
        <v>46265.343958333331</v>
      </c>
      <c r="BP36" s="164">
        <v>0</v>
      </c>
      <c r="BQ36" s="13">
        <f>BS36+BT36+BU36+BV36+CA36+BY36+BZ36+CD36</f>
        <v>31</v>
      </c>
      <c r="BR36" s="52">
        <v>2</v>
      </c>
      <c r="BS36" s="14">
        <f t="shared" si="6"/>
        <v>30</v>
      </c>
      <c r="BT36" s="15">
        <f t="shared" si="19"/>
        <v>1</v>
      </c>
      <c r="BU36" s="15">
        <f t="shared" si="20"/>
        <v>0</v>
      </c>
      <c r="BV36" s="15">
        <f t="shared" si="21"/>
        <v>0</v>
      </c>
      <c r="BW36" s="15">
        <f t="shared" si="22"/>
        <v>0</v>
      </c>
      <c r="BX36" s="15">
        <f t="shared" si="23"/>
        <v>0</v>
      </c>
      <c r="BY36" s="15">
        <f t="shared" si="24"/>
        <v>0</v>
      </c>
      <c r="BZ36" s="15">
        <f t="shared" si="25"/>
        <v>0</v>
      </c>
      <c r="CA36" s="15">
        <f t="shared" si="26"/>
        <v>0</v>
      </c>
      <c r="CB36" s="15">
        <f t="shared" si="27"/>
        <v>0</v>
      </c>
      <c r="CC36" s="15">
        <f t="shared" si="28"/>
        <v>0</v>
      </c>
      <c r="CD36" s="15">
        <f t="shared" si="29"/>
        <v>0</v>
      </c>
      <c r="CE36" s="161" t="s">
        <v>134</v>
      </c>
      <c r="CH36" s="58">
        <v>0</v>
      </c>
      <c r="CI36" s="58">
        <v>0</v>
      </c>
      <c r="CJ36" s="58">
        <v>0</v>
      </c>
      <c r="CK36" s="58">
        <v>0</v>
      </c>
      <c r="CL36" s="58">
        <v>0</v>
      </c>
      <c r="CM36" s="57">
        <v>0</v>
      </c>
      <c r="CN36" s="58">
        <v>0</v>
      </c>
      <c r="CO36" s="57">
        <v>0</v>
      </c>
      <c r="CP36" s="57">
        <v>0</v>
      </c>
      <c r="CQ36" s="57">
        <v>0</v>
      </c>
      <c r="CR36" s="62">
        <f t="shared" si="31"/>
        <v>0</v>
      </c>
    </row>
    <row r="37" spans="1:96" ht="22.5" customHeight="1" x14ac:dyDescent="0.25">
      <c r="A37" s="103">
        <v>28</v>
      </c>
      <c r="B37" s="88" t="s">
        <v>114</v>
      </c>
      <c r="C37" s="100" t="s">
        <v>115</v>
      </c>
      <c r="D37" s="99">
        <v>46208</v>
      </c>
      <c r="E37" s="112">
        <v>46235.329618055555</v>
      </c>
      <c r="F37" s="112">
        <v>46235.851319444446</v>
      </c>
      <c r="G37" s="112">
        <v>46236.322870370372</v>
      </c>
      <c r="H37" s="103">
        <v>1</v>
      </c>
      <c r="I37" s="112">
        <v>46237.330983796295</v>
      </c>
      <c r="J37" s="112">
        <v>46237.844768518517</v>
      </c>
      <c r="K37" s="112">
        <v>46238.329780092594</v>
      </c>
      <c r="L37" s="103">
        <v>1</v>
      </c>
      <c r="M37" s="112">
        <v>46239.351493055554</v>
      </c>
      <c r="N37" s="103">
        <v>1</v>
      </c>
      <c r="O37" s="112">
        <v>46240.353391203702</v>
      </c>
      <c r="P37" s="103">
        <v>1</v>
      </c>
      <c r="Q37" s="112">
        <v>46241.583356481482</v>
      </c>
      <c r="R37" s="103">
        <v>1</v>
      </c>
      <c r="S37" s="112">
        <v>46242.350335648145</v>
      </c>
      <c r="T37" s="112">
        <v>46242.900879629633</v>
      </c>
      <c r="U37" s="112">
        <v>46243.351898148147</v>
      </c>
      <c r="V37" s="112">
        <v>46243.839942129627</v>
      </c>
      <c r="W37" s="112">
        <v>46244.350648148145</v>
      </c>
      <c r="X37" s="103">
        <v>1</v>
      </c>
      <c r="Y37" s="112">
        <v>46245.348969907405</v>
      </c>
      <c r="Z37" s="103">
        <v>1</v>
      </c>
      <c r="AA37" s="112">
        <v>46246.34710648148</v>
      </c>
      <c r="AB37" s="103">
        <v>1</v>
      </c>
      <c r="AC37" s="112">
        <v>46247.344930555555</v>
      </c>
      <c r="AD37" s="103">
        <v>1</v>
      </c>
      <c r="AE37" s="113" t="s">
        <v>15</v>
      </c>
      <c r="AF37" s="113" t="s">
        <v>15</v>
      </c>
      <c r="AG37" s="112">
        <v>46249.339166666665</v>
      </c>
      <c r="AH37" s="112">
        <v>1</v>
      </c>
      <c r="AI37" s="191"/>
      <c r="AJ37" s="102">
        <v>28</v>
      </c>
      <c r="AK37" s="112">
        <v>46250.351111111115</v>
      </c>
      <c r="AL37" s="112">
        <v>0</v>
      </c>
      <c r="AM37" s="112">
        <v>46251.351793981485</v>
      </c>
      <c r="AN37" s="112">
        <v>46251.956307870372</v>
      </c>
      <c r="AO37" s="112">
        <v>46252.352708333332</v>
      </c>
      <c r="AP37" s="112">
        <v>46252.949976851851</v>
      </c>
      <c r="AQ37" s="112">
        <v>46253.353263888886</v>
      </c>
      <c r="AR37" s="112">
        <v>46253.955740740741</v>
      </c>
      <c r="AS37" s="112">
        <v>46254.34952546296</v>
      </c>
      <c r="AT37" s="112">
        <v>0</v>
      </c>
      <c r="AU37" s="112">
        <v>46255.572592592594</v>
      </c>
      <c r="AV37" s="112">
        <v>46255.949988425928</v>
      </c>
      <c r="AW37" s="112">
        <v>46256.351724537039</v>
      </c>
      <c r="AX37" s="112">
        <v>46256.975057870368</v>
      </c>
      <c r="AY37" s="112">
        <v>46257.350729166668</v>
      </c>
      <c r="AZ37" s="112">
        <v>46257.951921296299</v>
      </c>
      <c r="BA37" s="112">
        <v>0</v>
      </c>
      <c r="BB37" s="112">
        <v>46258.94494212963</v>
      </c>
      <c r="BC37" s="112">
        <v>0</v>
      </c>
      <c r="BD37" s="112">
        <v>46259.956875000003</v>
      </c>
      <c r="BE37" s="112">
        <v>46260.355787037035</v>
      </c>
      <c r="BF37" s="112">
        <v>46260.957557870373</v>
      </c>
      <c r="BG37" s="112">
        <v>46261.347071759257</v>
      </c>
      <c r="BH37" s="112">
        <v>46261.962164351855</v>
      </c>
      <c r="BI37" s="112">
        <v>46262.572476851848</v>
      </c>
      <c r="BJ37" s="112">
        <v>0</v>
      </c>
      <c r="BK37" s="112">
        <v>46263.347870370373</v>
      </c>
      <c r="BL37" s="112">
        <v>46263.966469907406</v>
      </c>
      <c r="BM37" s="112">
        <v>46264.350138888891</v>
      </c>
      <c r="BN37" s="111">
        <v>46264.938576388886</v>
      </c>
      <c r="BO37" s="111">
        <v>46265.348761574074</v>
      </c>
      <c r="BP37" s="111">
        <v>46265.954074074078</v>
      </c>
      <c r="BQ37" s="13">
        <f t="shared" ref="BQ37" si="32">BS37+BT37+BU37+BV37+CA37+BY37+BZ37+CD37</f>
        <v>31</v>
      </c>
      <c r="BR37" s="52">
        <v>3</v>
      </c>
      <c r="BS37" s="14">
        <f t="shared" si="6"/>
        <v>30</v>
      </c>
      <c r="BT37" s="15">
        <f t="shared" si="19"/>
        <v>1</v>
      </c>
      <c r="BU37" s="15">
        <f t="shared" si="20"/>
        <v>0</v>
      </c>
      <c r="BV37" s="15">
        <f t="shared" si="21"/>
        <v>0</v>
      </c>
      <c r="BW37" s="15">
        <f t="shared" si="22"/>
        <v>0</v>
      </c>
      <c r="BX37" s="15">
        <f t="shared" si="23"/>
        <v>0</v>
      </c>
      <c r="BY37" s="15">
        <f t="shared" si="24"/>
        <v>0</v>
      </c>
      <c r="BZ37" s="15">
        <f t="shared" si="25"/>
        <v>0</v>
      </c>
      <c r="CA37" s="15">
        <f t="shared" si="26"/>
        <v>0</v>
      </c>
      <c r="CB37" s="15">
        <f t="shared" si="27"/>
        <v>0</v>
      </c>
      <c r="CC37" s="15">
        <f t="shared" si="28"/>
        <v>0</v>
      </c>
      <c r="CD37" s="15">
        <f t="shared" si="29"/>
        <v>0</v>
      </c>
      <c r="CE37" s="16"/>
      <c r="CH37" s="158">
        <v>0</v>
      </c>
      <c r="CI37" s="158">
        <v>0</v>
      </c>
      <c r="CJ37" s="158">
        <v>0</v>
      </c>
      <c r="CK37" s="158">
        <v>0</v>
      </c>
      <c r="CL37" s="158">
        <v>0</v>
      </c>
      <c r="CM37" s="159">
        <v>0</v>
      </c>
      <c r="CN37" s="158">
        <v>0</v>
      </c>
      <c r="CO37" s="159">
        <v>0</v>
      </c>
      <c r="CP37" s="159">
        <v>0</v>
      </c>
      <c r="CQ37" s="159">
        <v>0</v>
      </c>
      <c r="CR37" s="160">
        <f t="shared" ref="CR37" si="33">SUM(CH37:CQ37)</f>
        <v>0</v>
      </c>
    </row>
    <row r="38" spans="1:96" ht="15.75" thickBot="1" x14ac:dyDescent="0.3">
      <c r="A38" s="124"/>
      <c r="C38" s="126"/>
      <c r="AI38" s="97"/>
      <c r="AK38" s="66"/>
    </row>
    <row r="39" spans="1:96" ht="16.5" thickBot="1" x14ac:dyDescent="0.3">
      <c r="F39" s="208" t="s">
        <v>63</v>
      </c>
      <c r="G39" s="208"/>
      <c r="H39" s="208"/>
      <c r="I39" s="27"/>
      <c r="J39" s="23"/>
      <c r="K39" s="23"/>
      <c r="L39" s="24"/>
      <c r="M39" s="25"/>
      <c r="O39" s="25"/>
      <c r="P39" s="28" t="s">
        <v>64</v>
      </c>
      <c r="Q39" s="28"/>
      <c r="R39" s="24"/>
      <c r="S39" s="24"/>
      <c r="T39" s="24"/>
      <c r="U39" s="24" t="s">
        <v>83</v>
      </c>
      <c r="V39" s="24"/>
      <c r="W39" s="24"/>
      <c r="X39" s="24"/>
      <c r="Y39" s="28" t="s">
        <v>65</v>
      </c>
      <c r="Z39" s="24"/>
      <c r="AK39" s="65"/>
      <c r="BR39" s="38" t="s">
        <v>72</v>
      </c>
      <c r="BS39" s="39"/>
      <c r="BT39" s="39"/>
      <c r="BU39" s="40" t="s">
        <v>15</v>
      </c>
      <c r="BV39" s="41"/>
      <c r="BW39" s="42" t="s">
        <v>73</v>
      </c>
      <c r="BX39" s="43"/>
      <c r="BY39" s="43"/>
      <c r="BZ39" s="44"/>
      <c r="CA39" s="45" t="s">
        <v>21</v>
      </c>
    </row>
    <row r="40" spans="1:96" ht="17.25" x14ac:dyDescent="0.25">
      <c r="F40" s="29"/>
      <c r="G40" s="23"/>
      <c r="H40" s="23"/>
      <c r="I40" s="23"/>
      <c r="J40" s="23"/>
      <c r="K40" s="23"/>
      <c r="L40" s="23"/>
      <c r="M40" s="30"/>
      <c r="O40" s="30"/>
      <c r="P40" s="30"/>
      <c r="Q40" s="23"/>
      <c r="R40" s="23"/>
      <c r="S40" s="31"/>
      <c r="T40" s="31"/>
      <c r="U40" s="31"/>
      <c r="V40" s="31"/>
      <c r="W40" s="31"/>
      <c r="X40" s="31"/>
      <c r="Y40" s="32"/>
      <c r="Z40" s="32"/>
      <c r="BR40" s="38" t="s">
        <v>74</v>
      </c>
      <c r="BS40" s="39"/>
      <c r="BT40" s="39"/>
      <c r="BU40" s="40" t="s">
        <v>16</v>
      </c>
      <c r="BV40" s="41"/>
      <c r="BW40" s="46" t="s">
        <v>75</v>
      </c>
      <c r="BX40" s="47"/>
      <c r="BY40" s="47"/>
      <c r="BZ40" s="44"/>
      <c r="CA40" s="45" t="s">
        <v>22</v>
      </c>
    </row>
    <row r="41" spans="1:96" ht="17.25" x14ac:dyDescent="0.25">
      <c r="F41" s="36"/>
      <c r="G41" s="33"/>
      <c r="H41" s="23"/>
      <c r="I41" s="33"/>
      <c r="J41" s="23"/>
      <c r="K41" s="23"/>
      <c r="L41" s="33"/>
      <c r="M41" s="34"/>
      <c r="O41" s="34"/>
      <c r="P41" s="30"/>
      <c r="Q41" s="24"/>
      <c r="R41" s="33"/>
      <c r="S41" s="24"/>
      <c r="T41" s="23"/>
      <c r="U41" s="23"/>
      <c r="V41" s="23"/>
      <c r="W41" s="23"/>
      <c r="X41" s="23"/>
      <c r="Y41" s="35"/>
      <c r="Z41" s="35"/>
      <c r="BR41" s="38" t="s">
        <v>78</v>
      </c>
      <c r="BS41" s="39"/>
      <c r="BT41" s="39"/>
      <c r="BU41" s="40" t="s">
        <v>18</v>
      </c>
      <c r="BV41" s="41"/>
      <c r="BW41" s="42" t="s">
        <v>79</v>
      </c>
      <c r="BX41" s="43"/>
      <c r="BY41" s="43"/>
      <c r="BZ41" s="44"/>
      <c r="CA41" s="45" t="s">
        <v>24</v>
      </c>
    </row>
    <row r="42" spans="1:96" ht="17.25" x14ac:dyDescent="0.25">
      <c r="F42" s="207" t="s">
        <v>135</v>
      </c>
      <c r="G42" s="207"/>
      <c r="H42" s="207"/>
      <c r="I42" s="85"/>
      <c r="J42" s="81"/>
      <c r="K42" s="81"/>
      <c r="L42" s="80"/>
      <c r="M42" s="83"/>
      <c r="O42" s="82"/>
      <c r="P42" s="86" t="s">
        <v>67</v>
      </c>
      <c r="Q42" s="81"/>
      <c r="R42" s="22"/>
      <c r="S42" s="81"/>
      <c r="T42" s="81"/>
      <c r="U42" s="81"/>
      <c r="V42" s="81"/>
      <c r="W42" s="81"/>
      <c r="X42" s="81"/>
      <c r="Y42" s="86" t="s">
        <v>68</v>
      </c>
      <c r="Z42" s="84"/>
      <c r="BR42" s="38" t="s">
        <v>80</v>
      </c>
      <c r="BS42" s="39"/>
      <c r="BT42" s="39"/>
      <c r="BU42" s="40" t="s">
        <v>19</v>
      </c>
      <c r="BV42" s="41"/>
      <c r="BW42" s="42" t="s">
        <v>81</v>
      </c>
      <c r="BX42" s="43"/>
      <c r="BY42" s="43"/>
      <c r="BZ42" s="44"/>
      <c r="CA42" s="45" t="s">
        <v>25</v>
      </c>
    </row>
    <row r="43" spans="1:96" ht="17.25" x14ac:dyDescent="0.25">
      <c r="F43" s="207" t="s">
        <v>69</v>
      </c>
      <c r="G43" s="207"/>
      <c r="H43" s="207"/>
      <c r="I43" s="79"/>
      <c r="J43" s="81"/>
      <c r="K43" s="81"/>
      <c r="L43" s="86"/>
      <c r="M43" s="87"/>
      <c r="O43" s="87"/>
      <c r="P43" s="86" t="s">
        <v>70</v>
      </c>
      <c r="Q43" s="86"/>
      <c r="R43" s="22"/>
      <c r="S43" s="86"/>
      <c r="T43" s="81"/>
      <c r="U43" s="81"/>
      <c r="V43" s="81"/>
      <c r="W43" s="81"/>
      <c r="X43" s="81"/>
      <c r="Y43" s="86" t="s">
        <v>71</v>
      </c>
      <c r="Z43" s="84"/>
      <c r="BR43" s="38" t="s">
        <v>82</v>
      </c>
      <c r="BS43" s="39"/>
      <c r="BT43" s="39"/>
      <c r="BU43" s="40" t="s">
        <v>20</v>
      </c>
      <c r="BV43" s="41"/>
      <c r="BW43" s="41"/>
      <c r="BX43" s="41"/>
      <c r="BY43" s="41"/>
      <c r="BZ43" s="41"/>
      <c r="CA43" s="41"/>
    </row>
    <row r="44" spans="1:96" x14ac:dyDescent="0.25">
      <c r="AW44" t="s">
        <v>83</v>
      </c>
    </row>
    <row r="48" spans="1:96" ht="15.75" x14ac:dyDescent="0.25">
      <c r="K48" s="22"/>
      <c r="N48" s="23"/>
    </row>
    <row r="53" spans="1:96" x14ac:dyDescent="0.25">
      <c r="J53" t="s">
        <v>83</v>
      </c>
    </row>
    <row r="55" spans="1:96" s="110" customFormat="1" ht="20.25" customHeight="1" x14ac:dyDescent="0.25">
      <c r="A55" s="174">
        <v>29</v>
      </c>
      <c r="B55" s="175" t="s">
        <v>130</v>
      </c>
      <c r="C55" s="176" t="s">
        <v>128</v>
      </c>
      <c r="D55" s="177">
        <v>46258</v>
      </c>
      <c r="E55" s="194" t="s">
        <v>131</v>
      </c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6"/>
      <c r="AI55" s="178"/>
      <c r="AJ55" s="179">
        <v>29</v>
      </c>
      <c r="AK55" s="194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6"/>
      <c r="BA55" s="180">
        <v>46258.354131944441</v>
      </c>
      <c r="BB55" s="180">
        <v>46258.938576388886</v>
      </c>
      <c r="BC55" s="181">
        <v>46259.344652777778</v>
      </c>
      <c r="BD55" s="181">
        <v>46259.943530092591</v>
      </c>
      <c r="BE55" s="181">
        <v>46260.348275462966</v>
      </c>
      <c r="BF55" s="181">
        <v>46260.940057870372</v>
      </c>
      <c r="BG55" s="181">
        <v>46261.347500000003</v>
      </c>
      <c r="BH55" s="181">
        <v>46261.959432870368</v>
      </c>
      <c r="BI55" s="181">
        <v>46262.575428240743</v>
      </c>
      <c r="BJ55" s="181">
        <v>46262.940011574072</v>
      </c>
      <c r="BK55" s="181">
        <v>46263.348865740743</v>
      </c>
      <c r="BL55" s="181">
        <v>0</v>
      </c>
      <c r="BM55" s="182" t="s">
        <v>23</v>
      </c>
      <c r="BN55" s="182" t="s">
        <v>23</v>
      </c>
      <c r="BO55" s="182" t="s">
        <v>23</v>
      </c>
      <c r="BP55" s="182" t="s">
        <v>23</v>
      </c>
      <c r="BQ55" s="183">
        <f>BS55+BT55+BU55+BV55+CA55+BY55+BZ55+CD55</f>
        <v>6</v>
      </c>
      <c r="BR55" s="184">
        <v>1</v>
      </c>
      <c r="BS55" s="185">
        <f>COUNT(E55:AH55)/2+COUNT(AK55:BP55)/2</f>
        <v>6</v>
      </c>
      <c r="BT55" s="186">
        <f>COUNTIF(B55:BN55,"OFF")/2</f>
        <v>0</v>
      </c>
      <c r="BU55" s="186">
        <f>COUNTIF(B55:BN55,"MC")/2</f>
        <v>0</v>
      </c>
      <c r="BV55" s="186">
        <f>COUNTIF(B55:BN55,"EL")/2</f>
        <v>0</v>
      </c>
      <c r="BW55" s="186">
        <f>COUNTIF(B55:BN55,"AL")/2</f>
        <v>0</v>
      </c>
      <c r="BX55" s="186">
        <f>COUNTIF(B55:BN55,"SUS")/2</f>
        <v>0</v>
      </c>
      <c r="BY55" s="186">
        <f>COUNTIF(B55:BN55,"FL")/2</f>
        <v>0</v>
      </c>
      <c r="BZ55" s="186">
        <f>COUNTIF(B55:BN55,"SICK")/2</f>
        <v>0</v>
      </c>
      <c r="CA55" s="186">
        <f>COUNTIF(B55:BN55,"HD")/2</f>
        <v>0</v>
      </c>
      <c r="CB55" s="186">
        <f>COUNTIF(B55:BP55,"AB")/2</f>
        <v>2</v>
      </c>
      <c r="CC55" s="186">
        <f>COUNTIF(B55:BN55,"NL")/2</f>
        <v>0</v>
      </c>
      <c r="CD55" s="186">
        <f>COUNTIF(B55:BN55,"SP")/2</f>
        <v>0</v>
      </c>
      <c r="CE55" s="187"/>
      <c r="CH55" s="188">
        <v>0</v>
      </c>
      <c r="CI55" s="188">
        <v>0</v>
      </c>
      <c r="CJ55" s="188">
        <v>0</v>
      </c>
      <c r="CK55" s="188">
        <v>0</v>
      </c>
      <c r="CL55" s="188">
        <v>0</v>
      </c>
      <c r="CM55" s="189">
        <v>0</v>
      </c>
      <c r="CN55" s="188">
        <v>0</v>
      </c>
      <c r="CO55" s="189">
        <v>0</v>
      </c>
      <c r="CP55" s="189">
        <v>0</v>
      </c>
      <c r="CQ55" s="189">
        <v>0</v>
      </c>
      <c r="CR55" s="190">
        <f>SUM(CH55:CQ55)</f>
        <v>0</v>
      </c>
    </row>
    <row r="57" spans="1:96" ht="22.5" customHeight="1" x14ac:dyDescent="0.25">
      <c r="A57" s="7">
        <v>20</v>
      </c>
      <c r="B57" s="8" t="s">
        <v>53</v>
      </c>
      <c r="C57" s="49" t="s">
        <v>54</v>
      </c>
      <c r="D57" s="71">
        <v>45764</v>
      </c>
      <c r="E57" s="70">
        <v>0.34513888888888888</v>
      </c>
      <c r="F57" s="70">
        <v>0.82986111111111116</v>
      </c>
      <c r="G57" s="70">
        <v>0.33888888888888885</v>
      </c>
      <c r="H57" s="70">
        <v>0.82847222222222217</v>
      </c>
      <c r="I57" s="74">
        <v>0.56944444444444442</v>
      </c>
      <c r="J57" s="74">
        <v>0.82291666666666663</v>
      </c>
      <c r="K57" s="70">
        <v>0.34513888888888888</v>
      </c>
      <c r="L57" s="70">
        <v>0.83263888888888893</v>
      </c>
      <c r="M57" s="70">
        <v>0.34375</v>
      </c>
      <c r="N57" s="70">
        <v>0.91041666666666676</v>
      </c>
      <c r="O57" s="70">
        <v>0.3430555555555555</v>
      </c>
      <c r="P57" s="70">
        <v>0.9555555555555556</v>
      </c>
      <c r="Q57" s="70">
        <v>0.34652777777777777</v>
      </c>
      <c r="R57" s="70">
        <v>0.83124999999999993</v>
      </c>
      <c r="S57" s="70">
        <v>0.3430555555555555</v>
      </c>
      <c r="T57" s="70">
        <v>0.74930555555555556</v>
      </c>
      <c r="U57" s="70">
        <v>0.34097222222222223</v>
      </c>
      <c r="V57" s="70">
        <v>0.92986111111111114</v>
      </c>
      <c r="W57" s="73" t="s">
        <v>15</v>
      </c>
      <c r="X57" s="73" t="s">
        <v>15</v>
      </c>
      <c r="Y57" s="70">
        <v>0.34513888888888888</v>
      </c>
      <c r="Z57" s="70">
        <v>0.87847222222222221</v>
      </c>
      <c r="AA57" s="70">
        <v>0.3444444444444445</v>
      </c>
      <c r="AB57" s="70">
        <v>0.85902777777777783</v>
      </c>
      <c r="AC57" s="70">
        <v>0.3444444444444445</v>
      </c>
      <c r="AD57" s="70">
        <v>0.85</v>
      </c>
      <c r="AE57" s="70">
        <v>0.33680555555555558</v>
      </c>
      <c r="AF57" s="70">
        <v>0.84791666666666676</v>
      </c>
      <c r="AG57" s="70">
        <v>0.3354166666666667</v>
      </c>
      <c r="AH57" s="70">
        <v>0.82638888888888884</v>
      </c>
      <c r="AI57" s="70"/>
      <c r="AJ57" s="7">
        <v>20</v>
      </c>
      <c r="AK57" s="70">
        <v>0.34652777777777777</v>
      </c>
      <c r="AL57" s="70">
        <v>0.8354166666666667</v>
      </c>
      <c r="AM57" s="74">
        <v>0.57777777777777783</v>
      </c>
      <c r="AN57" s="74">
        <v>0.87777777777777777</v>
      </c>
      <c r="AO57" s="70">
        <v>0.33888888888888885</v>
      </c>
      <c r="AP57" s="70">
        <v>0.33958333333333335</v>
      </c>
      <c r="AQ57" s="70">
        <v>0.35138888888888892</v>
      </c>
      <c r="AR57" s="70">
        <v>0.85</v>
      </c>
      <c r="AS57" s="70">
        <v>0.3430555555555555</v>
      </c>
      <c r="AT57" s="70">
        <v>0.85486111111111107</v>
      </c>
      <c r="AU57" s="70">
        <v>0.34027777777777773</v>
      </c>
      <c r="AV57" s="70">
        <v>0.85138888888888886</v>
      </c>
      <c r="AW57" s="70">
        <v>0.33333333333333331</v>
      </c>
      <c r="AX57" s="70">
        <v>0.33333333333333331</v>
      </c>
      <c r="AY57" s="70">
        <v>0.33749999999999997</v>
      </c>
      <c r="AZ57" s="70">
        <v>0.33749999999999997</v>
      </c>
      <c r="BA57" s="73" t="s">
        <v>15</v>
      </c>
      <c r="BB57" s="73" t="s">
        <v>15</v>
      </c>
      <c r="BC57" s="70" t="s">
        <v>18</v>
      </c>
      <c r="BD57" s="70" t="s">
        <v>18</v>
      </c>
      <c r="BE57" s="70" t="s">
        <v>18</v>
      </c>
      <c r="BF57" s="70" t="s">
        <v>18</v>
      </c>
      <c r="BI57" s="64"/>
      <c r="BJ57" s="64"/>
      <c r="BK57" s="64"/>
      <c r="BL57" s="64"/>
      <c r="BM57" s="64"/>
      <c r="BN57" s="64"/>
      <c r="BO57" s="107"/>
      <c r="BP57" s="107"/>
      <c r="BQ57" s="51">
        <f>BS57+BT57+BU57+BV57+CA57+BY57+BZ57+CD57</f>
        <v>23.5</v>
      </c>
      <c r="BR57" s="52"/>
      <c r="BS57" s="14">
        <f>COUNT(E57:AD57)/2+COUNT(AG57:BN57)/2</f>
        <v>21.5</v>
      </c>
      <c r="BT57" s="15">
        <f>COUNTIF(B57:BN57,"OFF")/2</f>
        <v>2</v>
      </c>
      <c r="BU57" s="15">
        <f>COUNTIF(B57:BN57,"MC")/2</f>
        <v>0</v>
      </c>
      <c r="BV57" s="15">
        <f>COUNTIF(B57:BN57,"EL")/2</f>
        <v>0</v>
      </c>
      <c r="BW57" s="15">
        <f>COUNTIF(B57:BN57,"AL")/2</f>
        <v>2</v>
      </c>
      <c r="BX57" s="15">
        <f>COUNTIF(B57:BN57,"SUS")/2</f>
        <v>0</v>
      </c>
      <c r="BY57" s="15">
        <f>COUNTIF(B57:BN57,"FL")/2</f>
        <v>0</v>
      </c>
      <c r="BZ57" s="15">
        <f>COUNTIF(B57:BN57,"SICK")/2</f>
        <v>0</v>
      </c>
      <c r="CA57" s="15">
        <f>COUNTIF(B57:BN57,"HD")/2</f>
        <v>0</v>
      </c>
      <c r="CB57" s="15">
        <f>COUNTIF(B57:BN57,"AB")/2</f>
        <v>0</v>
      </c>
      <c r="CC57" s="15">
        <f>COUNTIF(B57:BN57,"NL")/2</f>
        <v>0</v>
      </c>
      <c r="CD57" s="15">
        <f>COUNTIF(B57:BN57,"SP")/2</f>
        <v>0</v>
      </c>
      <c r="CE57" s="16"/>
      <c r="CH57" s="58">
        <v>0</v>
      </c>
      <c r="CI57" s="58">
        <v>0</v>
      </c>
      <c r="CJ57" s="58">
        <v>0</v>
      </c>
      <c r="CK57" s="58">
        <v>0</v>
      </c>
      <c r="CL57" s="58">
        <v>0</v>
      </c>
      <c r="CM57" s="58">
        <v>0</v>
      </c>
      <c r="CN57" s="58">
        <v>0</v>
      </c>
      <c r="CO57" s="58">
        <v>0</v>
      </c>
      <c r="CP57" s="58">
        <v>0</v>
      </c>
      <c r="CQ57" s="58">
        <v>0</v>
      </c>
      <c r="CR57" s="62">
        <f>SUM(CH57:CQ57)</f>
        <v>0</v>
      </c>
    </row>
    <row r="58" spans="1:96" ht="22.5" customHeight="1" x14ac:dyDescent="0.25">
      <c r="A58" s="7">
        <v>16</v>
      </c>
      <c r="B58" s="8" t="s">
        <v>48</v>
      </c>
      <c r="C58" s="49" t="s">
        <v>49</v>
      </c>
      <c r="D58" s="71">
        <v>45616</v>
      </c>
      <c r="E58" s="77">
        <v>0.57847222222222217</v>
      </c>
      <c r="F58" s="77">
        <v>0.57847222222222217</v>
      </c>
      <c r="G58" s="70">
        <v>0.33749999999999997</v>
      </c>
      <c r="H58" s="72">
        <v>1</v>
      </c>
      <c r="I58" s="70">
        <v>0.34027777777777773</v>
      </c>
      <c r="J58" s="70">
        <v>0.87361111111111101</v>
      </c>
      <c r="K58" s="70">
        <v>0.3263888888888889</v>
      </c>
      <c r="L58" s="72">
        <v>1</v>
      </c>
      <c r="M58" s="70">
        <v>0.3215277777777778</v>
      </c>
      <c r="N58" s="70">
        <v>0.86458333333333337</v>
      </c>
      <c r="O58" s="70">
        <v>0.3354166666666667</v>
      </c>
      <c r="P58" s="70">
        <v>0.82013888888888886</v>
      </c>
      <c r="Q58" s="70">
        <v>0.32916666666666666</v>
      </c>
      <c r="R58" s="70">
        <v>0.32916666666666666</v>
      </c>
      <c r="S58" s="72" t="s">
        <v>15</v>
      </c>
      <c r="T58" s="72" t="s">
        <v>15</v>
      </c>
      <c r="U58" s="70">
        <v>0.34166666666666662</v>
      </c>
      <c r="V58" s="72">
        <v>1</v>
      </c>
      <c r="W58" s="70">
        <v>0.32500000000000001</v>
      </c>
      <c r="X58" s="70">
        <v>0.84861111111111109</v>
      </c>
      <c r="Y58" s="70">
        <v>0.31111111111111112</v>
      </c>
      <c r="Z58" s="70">
        <v>0.84375</v>
      </c>
      <c r="AA58" s="70">
        <v>0.32847222222222222</v>
      </c>
      <c r="AB58" s="70">
        <v>0.32847222222222222</v>
      </c>
      <c r="AC58" s="70">
        <v>0.32916666666666666</v>
      </c>
      <c r="AD58" s="70">
        <v>0.86041666666666661</v>
      </c>
      <c r="AE58" s="70">
        <v>0.31736111111111115</v>
      </c>
      <c r="AF58" s="72">
        <v>1</v>
      </c>
      <c r="AG58" s="77">
        <v>0.56736111111111109</v>
      </c>
      <c r="AH58" s="78">
        <v>1</v>
      </c>
      <c r="AI58" s="78"/>
      <c r="AJ58" s="7">
        <v>16</v>
      </c>
      <c r="AK58" s="70">
        <v>0.32916666666666666</v>
      </c>
      <c r="AL58" s="70">
        <v>0.80694444444444446</v>
      </c>
      <c r="AM58" s="70">
        <v>0.32500000000000001</v>
      </c>
      <c r="AN58" s="72">
        <v>1</v>
      </c>
      <c r="AO58" s="70">
        <v>0.32916666666666666</v>
      </c>
      <c r="AP58" s="70">
        <v>0.90069444444444446</v>
      </c>
      <c r="AQ58" s="70">
        <v>0.3354166666666667</v>
      </c>
      <c r="AR58" s="70">
        <v>0.83611111111111114</v>
      </c>
      <c r="AS58" s="70">
        <v>0.33680555555555558</v>
      </c>
      <c r="AT58" s="70">
        <v>0.85138888888888886</v>
      </c>
      <c r="AU58" s="70">
        <v>0.33680555555555558</v>
      </c>
      <c r="AV58" s="72">
        <v>1</v>
      </c>
      <c r="AW58" s="78" t="s">
        <v>15</v>
      </c>
      <c r="AX58" s="78" t="s">
        <v>15</v>
      </c>
      <c r="AY58" s="70">
        <v>0.35625000000000001</v>
      </c>
      <c r="AZ58" s="70">
        <v>0.84930555555555554</v>
      </c>
      <c r="BA58" s="70">
        <v>0.34236111111111112</v>
      </c>
      <c r="BB58" s="70">
        <v>0.79166666666666663</v>
      </c>
      <c r="BC58" s="70">
        <v>0.34513888888888888</v>
      </c>
      <c r="BD58" s="70">
        <v>0.8881944444444444</v>
      </c>
      <c r="BE58" s="70">
        <v>0.34722222222222227</v>
      </c>
      <c r="BF58" s="72">
        <v>1</v>
      </c>
      <c r="BG58" s="78" t="s">
        <v>15</v>
      </c>
      <c r="BH58" s="78" t="s">
        <v>15</v>
      </c>
      <c r="BI58" s="70">
        <v>0.3298611111111111</v>
      </c>
      <c r="BJ58" s="70">
        <v>0.99513888888888891</v>
      </c>
      <c r="BK58" s="77">
        <v>0.58124999999999993</v>
      </c>
      <c r="BL58" s="77">
        <v>0.58124999999999993</v>
      </c>
      <c r="BQ58" s="51">
        <f t="shared" ref="BQ58" si="34">BS58+BT58+BU58+BV58+CA58+BY58+BZ58+CD58</f>
        <v>29</v>
      </c>
      <c r="BR58" s="52">
        <v>3</v>
      </c>
      <c r="BS58" s="14">
        <f>COUNT(E58:AH58)/2+COUNT(AK58:BN58)/2</f>
        <v>26</v>
      </c>
      <c r="BT58" s="15">
        <f>COUNTIF(B58:BL58,"OFF")/2</f>
        <v>3</v>
      </c>
      <c r="BU58" s="15">
        <f>COUNTIF(B58:BL58,"MC")/2</f>
        <v>0</v>
      </c>
      <c r="BV58" s="15">
        <f>COUNTIF(B58:BL58,"EL")/2</f>
        <v>0</v>
      </c>
      <c r="BW58" s="15">
        <f>COUNTIF(B58:BL58,"AL")/2</f>
        <v>0</v>
      </c>
      <c r="BX58" s="15">
        <f>COUNTIF(B58:BL58,"SUS")/2</f>
        <v>0</v>
      </c>
      <c r="BY58" s="15">
        <f>COUNTIF(B58:BL58,"FL")/2</f>
        <v>0</v>
      </c>
      <c r="BZ58" s="15">
        <f>COUNTIF(B58:BL58,"SICK")/2</f>
        <v>0</v>
      </c>
      <c r="CA58" s="15">
        <f>COUNTIF(B58:BL58,"HD")/2</f>
        <v>0</v>
      </c>
      <c r="CB58" s="15">
        <f>COUNTIF(B58:BL58,"AB")/2</f>
        <v>0</v>
      </c>
      <c r="CC58" s="15">
        <f>COUNTIF(B58:BL58,"NL")/2</f>
        <v>0</v>
      </c>
      <c r="CD58" s="15">
        <f>COUNTIF(B58:BL58,"SP")/2</f>
        <v>0</v>
      </c>
      <c r="CE58" s="16"/>
      <c r="CH58" s="59">
        <v>0</v>
      </c>
      <c r="CI58" s="59">
        <v>0</v>
      </c>
      <c r="CJ58" s="59">
        <v>1</v>
      </c>
      <c r="CK58" s="60">
        <v>0</v>
      </c>
      <c r="CL58" s="60">
        <v>0</v>
      </c>
      <c r="CM58" s="59">
        <v>6</v>
      </c>
      <c r="CN58" s="60">
        <v>0</v>
      </c>
      <c r="CO58" s="60">
        <v>1</v>
      </c>
      <c r="CP58" s="60">
        <v>0</v>
      </c>
      <c r="CQ58" s="60">
        <v>0</v>
      </c>
      <c r="CR58" s="61">
        <f t="shared" ref="CR58" si="35">SUM(CH58:CQ58)</f>
        <v>8</v>
      </c>
    </row>
    <row r="59" spans="1:96" ht="22.5" customHeight="1" x14ac:dyDescent="0.25">
      <c r="A59" s="7">
        <v>10</v>
      </c>
      <c r="B59" s="8" t="s">
        <v>41</v>
      </c>
      <c r="C59" s="98" t="s">
        <v>42</v>
      </c>
      <c r="D59" s="99">
        <v>45382</v>
      </c>
      <c r="E59" s="64">
        <v>0.33402777777777781</v>
      </c>
      <c r="F59" s="64">
        <v>0.84791666666666676</v>
      </c>
      <c r="G59" s="64">
        <v>0.34097222222222223</v>
      </c>
      <c r="H59" s="64">
        <v>0.82430555555555562</v>
      </c>
      <c r="I59" s="90">
        <v>0.56597222222222221</v>
      </c>
      <c r="J59" s="90">
        <v>0.79652777777777783</v>
      </c>
      <c r="K59" s="64">
        <v>0.34097222222222223</v>
      </c>
      <c r="L59" s="64">
        <v>0.83611111111111114</v>
      </c>
      <c r="M59" s="64">
        <v>0.34027777777777773</v>
      </c>
      <c r="N59" s="64">
        <v>0.85069444444444453</v>
      </c>
      <c r="O59" s="64">
        <v>0.33749999999999997</v>
      </c>
      <c r="P59" s="89">
        <v>1</v>
      </c>
      <c r="Q59" s="64">
        <v>0.33333333333333331</v>
      </c>
      <c r="R59" s="64">
        <v>3.4027777777777775E-2</v>
      </c>
      <c r="S59" s="64">
        <v>0.33402777777777781</v>
      </c>
      <c r="T59" s="64">
        <v>0.8222222222222223</v>
      </c>
      <c r="U59" s="64">
        <v>0.33819444444444446</v>
      </c>
      <c r="V59" s="64">
        <v>0.81180555555555556</v>
      </c>
      <c r="W59" s="78" t="s">
        <v>15</v>
      </c>
      <c r="X59" s="78" t="s">
        <v>15</v>
      </c>
      <c r="Y59" s="64">
        <v>0.33749999999999997</v>
      </c>
      <c r="Z59" s="64">
        <v>1</v>
      </c>
      <c r="AA59" s="64">
        <v>0.34791666666666665</v>
      </c>
      <c r="AB59" s="64">
        <v>0.34791666666666665</v>
      </c>
      <c r="AC59" s="64">
        <v>0.35486111111111113</v>
      </c>
      <c r="AD59" s="64">
        <v>0.35486111111111113</v>
      </c>
      <c r="AE59" s="64"/>
      <c r="AF59" s="64"/>
      <c r="AG59" s="64"/>
      <c r="AH59" s="64"/>
      <c r="AI59" s="91"/>
      <c r="AJ59" s="102">
        <v>10</v>
      </c>
      <c r="AK59" s="70"/>
      <c r="AL59" s="70"/>
      <c r="AM59" s="70"/>
      <c r="AN59" s="70"/>
      <c r="AO59" s="70"/>
      <c r="AP59" s="70"/>
      <c r="AQ59" s="77"/>
      <c r="AR59" s="77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8"/>
      <c r="BF59" s="78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13">
        <f>BS59+BT59+BU59+BV59+CA59+BY59+BZ59+CD59</f>
        <v>13</v>
      </c>
      <c r="BR59" s="52"/>
      <c r="BS59" s="14">
        <f>COUNT(E59:AD59)/2+COUNT(AK59:BN59)/2</f>
        <v>12</v>
      </c>
      <c r="BT59" s="15">
        <f>COUNTIF(B59:BJ59,"OFF")/2</f>
        <v>1</v>
      </c>
      <c r="BU59" s="15">
        <f>COUNTIF(B59:BJ59,"MC")/2</f>
        <v>0</v>
      </c>
      <c r="BV59" s="15">
        <f>COUNTIF(B59:BJ59,"EL")/2</f>
        <v>0</v>
      </c>
      <c r="BW59" s="15">
        <f>COUNTIF(B59:BJ59,"AL")/2</f>
        <v>0</v>
      </c>
      <c r="BX59" s="15">
        <f>COUNTIF(B59:BJ59,"SUS")/2</f>
        <v>0</v>
      </c>
      <c r="BY59" s="15">
        <f>COUNTIF(B59:BJ59,"FL")/2</f>
        <v>0</v>
      </c>
      <c r="BZ59" s="15">
        <f>COUNTIF(B59:BJ59,"SICK")/2</f>
        <v>0</v>
      </c>
      <c r="CA59" s="15">
        <f>COUNTIF(B59:BN59,"HD")/2</f>
        <v>0</v>
      </c>
      <c r="CB59" s="15">
        <f>COUNTIF(B59:BJ59,"AB")/2</f>
        <v>0</v>
      </c>
      <c r="CC59" s="15">
        <f>COUNTIF(B59:BJ59,"NL")/2</f>
        <v>0</v>
      </c>
      <c r="CD59" s="15">
        <f>COUNTIF(B59:BJ59,"SP")/2</f>
        <v>0</v>
      </c>
      <c r="CE59" s="16"/>
      <c r="CH59" s="58">
        <v>0</v>
      </c>
      <c r="CI59" s="58">
        <v>0</v>
      </c>
      <c r="CJ59" s="58">
        <v>0</v>
      </c>
      <c r="CK59" s="58">
        <v>0</v>
      </c>
      <c r="CL59" s="58">
        <v>0</v>
      </c>
      <c r="CM59" s="57">
        <v>3</v>
      </c>
      <c r="CN59" s="58">
        <v>0</v>
      </c>
      <c r="CO59" s="58">
        <v>0</v>
      </c>
      <c r="CP59" s="58">
        <v>0</v>
      </c>
      <c r="CQ59" s="58">
        <v>0</v>
      </c>
      <c r="CR59" s="62">
        <f>SUM(CH59:CQ59)</f>
        <v>3</v>
      </c>
    </row>
    <row r="60" spans="1:96" ht="22.5" customHeight="1" x14ac:dyDescent="0.25">
      <c r="A60" s="7">
        <v>12</v>
      </c>
      <c r="B60" s="8" t="s">
        <v>45</v>
      </c>
      <c r="C60" s="98" t="s">
        <v>103</v>
      </c>
      <c r="D60" s="99">
        <v>45387</v>
      </c>
      <c r="E60" s="64">
        <v>0.35486111111111113</v>
      </c>
      <c r="F60" s="64">
        <v>0.96597222222222223</v>
      </c>
      <c r="G60" s="64">
        <v>0.35555555555555557</v>
      </c>
      <c r="H60" s="64">
        <v>2.0833333333333332E-2</v>
      </c>
      <c r="I60" s="78" t="s">
        <v>15</v>
      </c>
      <c r="J60" s="78" t="s">
        <v>15</v>
      </c>
      <c r="K60" s="64">
        <v>0.35486111111111113</v>
      </c>
      <c r="L60" s="64">
        <v>0.99791666666666667</v>
      </c>
      <c r="M60" s="64">
        <v>0.3576388888888889</v>
      </c>
      <c r="N60" s="64">
        <v>0.95833333333333337</v>
      </c>
      <c r="O60" s="64">
        <v>0.35833333333333334</v>
      </c>
      <c r="P60" s="64">
        <v>0.94861111111111107</v>
      </c>
      <c r="Q60" s="64">
        <v>0.3576388888888889</v>
      </c>
      <c r="R60" s="64">
        <v>0.95138888888888884</v>
      </c>
      <c r="S60" s="64">
        <v>0.32500000000000001</v>
      </c>
      <c r="T60" s="64">
        <v>0.97916666666666663</v>
      </c>
      <c r="U60" s="64">
        <v>0.32430555555555557</v>
      </c>
      <c r="V60" s="64">
        <v>0.97986111111111107</v>
      </c>
      <c r="W60" s="90">
        <v>0.55208333333333337</v>
      </c>
      <c r="X60" s="90">
        <v>0.95486111111111116</v>
      </c>
      <c r="Y60" s="64">
        <v>0.3298611111111111</v>
      </c>
      <c r="Z60" s="64">
        <v>0.9902777777777777</v>
      </c>
      <c r="AA60" s="64">
        <v>0.3430555555555555</v>
      </c>
      <c r="AB60" s="64">
        <v>3.472222222222222E-3</v>
      </c>
      <c r="AC60" s="64">
        <v>0.3430555555555555</v>
      </c>
      <c r="AD60" s="64"/>
      <c r="AE60" s="64"/>
      <c r="AF60" s="64"/>
      <c r="AG60" s="64"/>
      <c r="AH60" s="64"/>
      <c r="AI60" s="97"/>
      <c r="AJ60" s="102">
        <v>12</v>
      </c>
      <c r="AK60" s="70"/>
      <c r="AL60" s="70"/>
      <c r="AM60" s="70"/>
      <c r="AN60" s="70"/>
      <c r="AO60" s="70"/>
      <c r="AP60" s="70"/>
      <c r="AQ60" s="78"/>
      <c r="AR60" s="78"/>
      <c r="AS60" s="70"/>
      <c r="AT60" s="72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13">
        <f>BS60+BT60+BU60+BV60+CA60+BY60+BZ60+CD60</f>
        <v>12.5</v>
      </c>
      <c r="BR60" s="52"/>
      <c r="BS60" s="14">
        <f>COUNT(E60:AD60)/2+COUNT(AK60:BN60)/2</f>
        <v>11.5</v>
      </c>
      <c r="BT60" s="15">
        <f>COUNTIF(B60:BJ60,"OFF")/2</f>
        <v>1</v>
      </c>
      <c r="BU60" s="15">
        <f>COUNTIF(B60:BJ60,"MC")/2</f>
        <v>0</v>
      </c>
      <c r="BV60" s="15">
        <f>COUNTIF(B60:BJ60,"EL")/2</f>
        <v>0</v>
      </c>
      <c r="BW60" s="15">
        <f>COUNTIF(B60:BJ60,"AL")/2</f>
        <v>0</v>
      </c>
      <c r="BX60" s="15">
        <f>COUNTIF(B60:BJ60,"SUS")/2</f>
        <v>0</v>
      </c>
      <c r="BY60" s="15">
        <f>COUNTIF(B60:BJ60,"FL")/2</f>
        <v>0</v>
      </c>
      <c r="BZ60" s="15">
        <f>COUNTIF(B60:BJ60,"SICK")/2</f>
        <v>0</v>
      </c>
      <c r="CA60" s="15">
        <f>COUNTIF(B60:BJ60,"HD")/2</f>
        <v>0</v>
      </c>
      <c r="CB60" s="15">
        <f>COUNTIF(B60:BJ60,"AB")/2</f>
        <v>0</v>
      </c>
      <c r="CC60" s="15">
        <f>COUNTIF(B60:BJ60,"NL")/2</f>
        <v>0</v>
      </c>
      <c r="CD60" s="15">
        <f>COUNTIF(B60:BJ60,"SP")/2</f>
        <v>0</v>
      </c>
      <c r="CE60" s="16"/>
      <c r="CH60" s="58">
        <v>0</v>
      </c>
      <c r="CI60" s="58">
        <v>0</v>
      </c>
      <c r="CJ60" s="58">
        <v>0</v>
      </c>
      <c r="CK60" s="58">
        <v>0</v>
      </c>
      <c r="CL60" s="58">
        <v>0</v>
      </c>
      <c r="CM60" s="58">
        <v>0</v>
      </c>
      <c r="CN60" s="58">
        <v>0</v>
      </c>
      <c r="CO60" s="58">
        <v>0</v>
      </c>
      <c r="CP60" s="58">
        <v>0</v>
      </c>
      <c r="CQ60" s="58">
        <v>0</v>
      </c>
      <c r="CR60" s="62">
        <f>SUM(CH60:CQ60)</f>
        <v>0</v>
      </c>
    </row>
  </sheetData>
  <mergeCells count="143">
    <mergeCell ref="F43:H43"/>
    <mergeCell ref="F39:H39"/>
    <mergeCell ref="A1:AH1"/>
    <mergeCell ref="AJ1:CE1"/>
    <mergeCell ref="A2:C3"/>
    <mergeCell ref="E2:F2"/>
    <mergeCell ref="G2:H2"/>
    <mergeCell ref="I2:J2"/>
    <mergeCell ref="K2:L2"/>
    <mergeCell ref="M2:N2"/>
    <mergeCell ref="O2:P2"/>
    <mergeCell ref="Q2:R2"/>
    <mergeCell ref="AK2:AL2"/>
    <mergeCell ref="AM2:AN2"/>
    <mergeCell ref="AO2:AP2"/>
    <mergeCell ref="AQ2:AR2"/>
    <mergeCell ref="S2:T2"/>
    <mergeCell ref="U2:V2"/>
    <mergeCell ref="W2:X2"/>
    <mergeCell ref="Y2:Z2"/>
    <mergeCell ref="AA2:AB2"/>
    <mergeCell ref="AC2:AD2"/>
    <mergeCell ref="BQ2:BQ4"/>
    <mergeCell ref="BR2:BR4"/>
    <mergeCell ref="BS2:CE2"/>
    <mergeCell ref="Q3:R3"/>
    <mergeCell ref="CH2:CQ2"/>
    <mergeCell ref="E3:F3"/>
    <mergeCell ref="G3:H3"/>
    <mergeCell ref="I3:J3"/>
    <mergeCell ref="K3:L3"/>
    <mergeCell ref="M3:N3"/>
    <mergeCell ref="O3:P3"/>
    <mergeCell ref="BE2:BF2"/>
    <mergeCell ref="BG2:BH2"/>
    <mergeCell ref="BI2:BJ2"/>
    <mergeCell ref="BK2:BL2"/>
    <mergeCell ref="BM2:BN2"/>
    <mergeCell ref="BO2:BP2"/>
    <mergeCell ref="AS2:AT2"/>
    <mergeCell ref="AU2:AV2"/>
    <mergeCell ref="AW2:AX2"/>
    <mergeCell ref="AY2:AZ2"/>
    <mergeCell ref="BA2:BB2"/>
    <mergeCell ref="BC2:BD2"/>
    <mergeCell ref="AE2:AF2"/>
    <mergeCell ref="AG2:AH2"/>
    <mergeCell ref="AG3:AH3"/>
    <mergeCell ref="AK3:AL3"/>
    <mergeCell ref="AM3:AN3"/>
    <mergeCell ref="S3:T3"/>
    <mergeCell ref="U3:V3"/>
    <mergeCell ref="W3:X3"/>
    <mergeCell ref="Y3:Z3"/>
    <mergeCell ref="AA3:AB3"/>
    <mergeCell ref="BO3:BP3"/>
    <mergeCell ref="AE3:AF3"/>
    <mergeCell ref="E13:AB13"/>
    <mergeCell ref="AO3:AP3"/>
    <mergeCell ref="BM16:BN16"/>
    <mergeCell ref="A15:AH15"/>
    <mergeCell ref="AJ15:CE15"/>
    <mergeCell ref="BI3:BJ3"/>
    <mergeCell ref="BK3:BL3"/>
    <mergeCell ref="BM3:BN3"/>
    <mergeCell ref="A16:C17"/>
    <mergeCell ref="E16:F16"/>
    <mergeCell ref="G16:H16"/>
    <mergeCell ref="I16:J16"/>
    <mergeCell ref="K16:L16"/>
    <mergeCell ref="M16:N16"/>
    <mergeCell ref="BC3:BD3"/>
    <mergeCell ref="BE3:BF3"/>
    <mergeCell ref="BG3:BH3"/>
    <mergeCell ref="AQ3:AR3"/>
    <mergeCell ref="AS3:AT3"/>
    <mergeCell ref="AU3:AV3"/>
    <mergeCell ref="AW3:AX3"/>
    <mergeCell ref="AY3:AZ3"/>
    <mergeCell ref="BA3:BB3"/>
    <mergeCell ref="AC3:AD3"/>
    <mergeCell ref="BO16:BP16"/>
    <mergeCell ref="BQ16:BQ18"/>
    <mergeCell ref="BR16:BR18"/>
    <mergeCell ref="CH16:CQ16"/>
    <mergeCell ref="E17:F17"/>
    <mergeCell ref="G17:H17"/>
    <mergeCell ref="I17:J17"/>
    <mergeCell ref="K17:L17"/>
    <mergeCell ref="M17:N17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E16:AF16"/>
    <mergeCell ref="AA16:AB16"/>
    <mergeCell ref="AC16:AD16"/>
    <mergeCell ref="O16:P16"/>
    <mergeCell ref="BM17:BN17"/>
    <mergeCell ref="BO17:BP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M17:AN17"/>
    <mergeCell ref="O17:P17"/>
    <mergeCell ref="Q17:R17"/>
    <mergeCell ref="S17:T17"/>
    <mergeCell ref="AY16:AZ16"/>
    <mergeCell ref="AA17:AB17"/>
    <mergeCell ref="AK16:AL16"/>
    <mergeCell ref="AM16:AN16"/>
    <mergeCell ref="E55:AH55"/>
    <mergeCell ref="AK55:AZ55"/>
    <mergeCell ref="AC17:AD17"/>
    <mergeCell ref="AE17:AF17"/>
    <mergeCell ref="AG17:AH17"/>
    <mergeCell ref="AK17:AL17"/>
    <mergeCell ref="AG16:AH16"/>
    <mergeCell ref="U17:V17"/>
    <mergeCell ref="W17:X17"/>
    <mergeCell ref="Y17:Z17"/>
    <mergeCell ref="Q16:R16"/>
    <mergeCell ref="S16:T16"/>
    <mergeCell ref="U16:V16"/>
    <mergeCell ref="W16:X16"/>
    <mergeCell ref="Y16:Z16"/>
    <mergeCell ref="F42:H42"/>
  </mergeCells>
  <phoneticPr fontId="17" type="noConversion"/>
  <conditionalFormatting sqref="A2 BR19:BR21 BR23:BR37 BR55">
    <cfRule type="cellIs" dxfId="389" priority="327" operator="equal">
      <formula>";"</formula>
    </cfRule>
  </conditionalFormatting>
  <conditionalFormatting sqref="A16">
    <cfRule type="cellIs" dxfId="388" priority="326" stopIfTrue="1" operator="equal">
      <formula>";"</formula>
    </cfRule>
  </conditionalFormatting>
  <conditionalFormatting sqref="C1:C21 C23:C1048576">
    <cfRule type="duplicateValues" dxfId="387" priority="3537"/>
  </conditionalFormatting>
  <conditionalFormatting sqref="C6">
    <cfRule type="duplicateValues" dxfId="386" priority="59"/>
    <cfRule type="duplicateValues" dxfId="385" priority="58"/>
  </conditionalFormatting>
  <conditionalFormatting sqref="C7 C9:C11 C1:C5 C14:C21 C23:C1048576">
    <cfRule type="duplicateValues" dxfId="384" priority="3523"/>
  </conditionalFormatting>
  <conditionalFormatting sqref="C7:C11 C1:C5 C14:C21 C23:C1048576">
    <cfRule type="duplicateValues" dxfId="383" priority="3530"/>
  </conditionalFormatting>
  <conditionalFormatting sqref="C8">
    <cfRule type="duplicateValues" dxfId="382" priority="70"/>
    <cfRule type="duplicateValues" dxfId="381" priority="71"/>
    <cfRule type="duplicateValues" dxfId="380" priority="73"/>
  </conditionalFormatting>
  <conditionalFormatting sqref="C12">
    <cfRule type="duplicateValues" dxfId="379" priority="3521"/>
    <cfRule type="duplicateValues" dxfId="378" priority="3520"/>
  </conditionalFormatting>
  <conditionalFormatting sqref="C13">
    <cfRule type="duplicateValues" dxfId="377" priority="3522"/>
  </conditionalFormatting>
  <conditionalFormatting sqref="C22">
    <cfRule type="duplicateValues" dxfId="376" priority="18"/>
  </conditionalFormatting>
  <conditionalFormatting sqref="C8:D8">
    <cfRule type="duplicateValues" dxfId="375" priority="72"/>
  </conditionalFormatting>
  <conditionalFormatting sqref="C22:D22">
    <cfRule type="duplicateValues" dxfId="374" priority="19"/>
  </conditionalFormatting>
  <conditionalFormatting sqref="D5:D6">
    <cfRule type="timePeriod" dxfId="373" priority="318" timePeriod="last7Days">
      <formula>AND(TODAY()-FLOOR(D5,1)&lt;=6,FLOOR(D5,1)&lt;=TODAY())</formula>
    </cfRule>
    <cfRule type="timePeriod" dxfId="372" priority="317" timePeriod="thisWeek">
      <formula>AND(TODAY()-ROUNDDOWN(D5,0)&lt;=WEEKDAY(TODAY())-1,ROUNDDOWN(D5,0)-TODAY()&lt;=7-WEEKDAY(TODAY()))</formula>
    </cfRule>
  </conditionalFormatting>
  <conditionalFormatting sqref="D5:D9 D14 D55">
    <cfRule type="timePeriod" dxfId="371" priority="319" timePeriod="nextWeek">
      <formula>AND(ROUNDDOWN(D5,0)-TODAY()&gt;(7-WEEKDAY(TODAY())),ROUNDDOWN(D5,0)-TODAY()&lt;(15-WEEKDAY(TODAY())))</formula>
    </cfRule>
  </conditionalFormatting>
  <conditionalFormatting sqref="D5:D14">
    <cfRule type="timePeriod" priority="32" timePeriod="nextWeek">
      <formula>AND(ROUNDDOWN(D5,0)-TODAY()&gt;(7-WEEKDAY(TODAY())),ROUNDDOWN(D5,0)-TODAY()&lt;(15-WEEKDAY(TODAY())))</formula>
    </cfRule>
  </conditionalFormatting>
  <conditionalFormatting sqref="D8">
    <cfRule type="timePeriod" dxfId="370" priority="61" timePeriod="last7Days">
      <formula>AND(TODAY()-FLOOR(D8,1)&lt;=6,FLOOR(D8,1)&lt;=TODAY())</formula>
    </cfRule>
    <cfRule type="timePeriod" dxfId="369" priority="62" timePeriod="thisWeek">
      <formula>AND(TODAY()-ROUNDDOWN(D8,0)&lt;=WEEKDAY(TODAY())-1,ROUNDDOWN(D8,0)-TODAY()&lt;=7-WEEKDAY(TODAY()))</formula>
    </cfRule>
  </conditionalFormatting>
  <conditionalFormatting sqref="D9 D55 D23:D37">
    <cfRule type="timePeriod" dxfId="368" priority="323" timePeriod="last7Days">
      <formula>AND(TODAY()-FLOOR(D9,1)&lt;=6,FLOOR(D9,1)&lt;=TODAY())</formula>
    </cfRule>
  </conditionalFormatting>
  <conditionalFormatting sqref="D9:D11 D13">
    <cfRule type="timePeriod" dxfId="367" priority="321" timePeriod="thisWeek">
      <formula>AND(TODAY()-ROUNDDOWN(D9,0)&lt;=WEEKDAY(TODAY())-1,ROUNDDOWN(D9,0)-TODAY()&lt;=7-WEEKDAY(TODAY()))</formula>
    </cfRule>
  </conditionalFormatting>
  <conditionalFormatting sqref="D10:D11 D13">
    <cfRule type="timePeriod" dxfId="366" priority="322" timePeriod="nextWeek">
      <formula>AND(ROUNDDOWN(D10,0)-TODAY()&gt;(7-WEEKDAY(TODAY())),ROUNDDOWN(D10,0)-TODAY()&lt;(15-WEEKDAY(TODAY())))</formula>
    </cfRule>
    <cfRule type="timePeriod" dxfId="365" priority="320" timePeriod="last7Days">
      <formula>AND(TODAY()-FLOOR(D10,1)&lt;=6,FLOOR(D10,1)&lt;=TODAY())</formula>
    </cfRule>
  </conditionalFormatting>
  <conditionalFormatting sqref="D12">
    <cfRule type="timePeriod" dxfId="364" priority="43" timePeriod="nextWeek">
      <formula>AND(ROUNDDOWN(D12,0)-TODAY()&gt;(7-WEEKDAY(TODAY())),ROUNDDOWN(D12,0)-TODAY()&lt;(15-WEEKDAY(TODAY())))</formula>
    </cfRule>
  </conditionalFormatting>
  <conditionalFormatting sqref="D19:D21 D57:D60">
    <cfRule type="timePeriod" dxfId="363" priority="238" timePeriod="nextWeek">
      <formula>AND(ROUNDDOWN(D19,0)-TODAY()&gt;(7-WEEKDAY(TODAY())),ROUNDDOWN(D19,0)-TODAY()&lt;(15-WEEKDAY(TODAY())))</formula>
    </cfRule>
  </conditionalFormatting>
  <conditionalFormatting sqref="D19:D37 D55">
    <cfRule type="timePeriod" dxfId="362" priority="3" timePeriod="thisWeek">
      <formula>AND(TODAY()-ROUNDDOWN(D19,0)&lt;=WEEKDAY(TODAY())-1,ROUNDDOWN(D19,0)-TODAY()&lt;=7-WEEKDAY(TODAY()))</formula>
    </cfRule>
    <cfRule type="timePeriod" priority="1" timePeriod="nextWeek">
      <formula>AND(ROUNDDOWN(D19,0)-TODAY()&gt;(7-WEEKDAY(TODAY())),ROUNDDOWN(D19,0)-TODAY()&lt;(15-WEEKDAY(TODAY())))</formula>
    </cfRule>
  </conditionalFormatting>
  <conditionalFormatting sqref="D22">
    <cfRule type="timePeriod" dxfId="361" priority="2" timePeriod="last7Days">
      <formula>AND(TODAY()-FLOOR(D22,1)&lt;=6,FLOOR(D22,1)&lt;=TODAY())</formula>
    </cfRule>
  </conditionalFormatting>
  <conditionalFormatting sqref="D22:D37">
    <cfRule type="timePeriod" dxfId="360" priority="4" timePeriod="nextWeek">
      <formula>AND(ROUNDDOWN(D22,0)-TODAY()&gt;(7-WEEKDAY(TODAY())),ROUNDDOWN(D22,0)-TODAY()&lt;(15-WEEKDAY(TODAY())))</formula>
    </cfRule>
  </conditionalFormatting>
  <conditionalFormatting sqref="D57:D60 D19:D21">
    <cfRule type="timePeriod" dxfId="359" priority="236" timePeriod="last7Days">
      <formula>AND(TODAY()-FLOOR(D19,1)&lt;=6,FLOOR(D19,1)&lt;=TODAY())</formula>
    </cfRule>
  </conditionalFormatting>
  <conditionalFormatting sqref="D57:D60">
    <cfRule type="timePeriod" priority="237" timePeriod="nextWeek">
      <formula>AND(ROUNDDOWN(D57,0)-TODAY()&gt;(7-WEEKDAY(TODAY())),ROUNDDOWN(D57,0)-TODAY()&lt;(15-WEEKDAY(TODAY())))</formula>
    </cfRule>
    <cfRule type="timePeriod" dxfId="358" priority="235" timePeriod="thisWeek">
      <formula>AND(TODAY()-ROUNDDOWN(D57,0)&lt;=WEEKDAY(TODAY())-1,ROUNDDOWN(D57,0)-TODAY()&lt;=7-WEEKDAY(TODAY()))</formula>
    </cfRule>
  </conditionalFormatting>
  <conditionalFormatting sqref="K14:N14 BE14:BF14 I60:J60 AQ60:AR60">
    <cfRule type="containsText" dxfId="357" priority="195" operator="containsText" text="SP">
      <formula>NOT(ISERROR(SEARCH("SP",I14)))</formula>
    </cfRule>
    <cfRule type="containsText" dxfId="356" priority="196" operator="containsText" text="NL">
      <formula>NOT(ISERROR(SEARCH("NL",I14)))</formula>
    </cfRule>
    <cfRule type="containsText" dxfId="355" priority="203" operator="containsText" text="AL">
      <formula>NOT(ISERROR(SEARCH("AL",I14)))</formula>
    </cfRule>
    <cfRule type="containsText" dxfId="354" priority="194" operator="containsText" text="EL">
      <formula>NOT(ISERROR(SEARCH("EL",I14)))</formula>
    </cfRule>
    <cfRule type="containsText" dxfId="353" priority="198" operator="containsText" text="SUS">
      <formula>NOT(ISERROR(SEARCH("SUS",I14)))</formula>
    </cfRule>
    <cfRule type="containsText" dxfId="352" priority="199" operator="containsText" text="FL">
      <formula>NOT(ISERROR(SEARCH("FL",I14)))</formula>
    </cfRule>
    <cfRule type="containsText" dxfId="351" priority="200" operator="containsText" text="OFF">
      <formula>NOT(ISERROR(SEARCH("OFF",I14)))</formula>
    </cfRule>
    <cfRule type="containsText" dxfId="350" priority="201" operator="containsText" text="AB">
      <formula>NOT(ISERROR(SEARCH("AB",I14)))</formula>
    </cfRule>
    <cfRule type="containsText" dxfId="349" priority="202" operator="containsText" text="SICK">
      <formula>NOT(ISERROR(SEARCH("SICK",I14)))</formula>
    </cfRule>
    <cfRule type="containsText" dxfId="348" priority="197" operator="containsText" text="MC">
      <formula>NOT(ISERROR(SEARCH("MC",I14)))</formula>
    </cfRule>
  </conditionalFormatting>
  <conditionalFormatting sqref="S58:T58">
    <cfRule type="containsText" dxfId="347" priority="227" operator="containsText" text="MC">
      <formula>NOT(ISERROR(SEARCH("MC",S58)))</formula>
    </cfRule>
    <cfRule type="containsText" dxfId="346" priority="233" operator="containsText" text="AL">
      <formula>NOT(ISERROR(SEARCH("AL",S58)))</formula>
    </cfRule>
    <cfRule type="containsText" dxfId="345" priority="231" operator="containsText" text="AB">
      <formula>NOT(ISERROR(SEARCH("AB",S58)))</formula>
    </cfRule>
    <cfRule type="containsText" dxfId="344" priority="232" operator="containsText" text="SICK">
      <formula>NOT(ISERROR(SEARCH("SICK",S58)))</formula>
    </cfRule>
    <cfRule type="containsText" dxfId="343" priority="230" operator="containsText" text="OFF">
      <formula>NOT(ISERROR(SEARCH("OFF",S58)))</formula>
    </cfRule>
    <cfRule type="containsText" dxfId="342" priority="229" operator="containsText" text="FL">
      <formula>NOT(ISERROR(SEARCH("FL",S58)))</formula>
    </cfRule>
    <cfRule type="containsText" dxfId="341" priority="228" operator="containsText" text="SUS">
      <formula>NOT(ISERROR(SEARCH("SUS",S58)))</formula>
    </cfRule>
    <cfRule type="containsText" dxfId="340" priority="226" operator="containsText" text="NL">
      <formula>NOT(ISERROR(SEARCH("NL",S58)))</formula>
    </cfRule>
    <cfRule type="containsText" dxfId="339" priority="225" operator="containsText" text="SP">
      <formula>NOT(ISERROR(SEARCH("SP",S58)))</formula>
    </cfRule>
    <cfRule type="containsText" dxfId="338" priority="224" operator="containsText" text="EL">
      <formula>NOT(ISERROR(SEARCH("EL",S58)))</formula>
    </cfRule>
  </conditionalFormatting>
  <conditionalFormatting sqref="W59:X59">
    <cfRule type="containsText" dxfId="337" priority="52" operator="containsText" text="SUS">
      <formula>NOT(ISERROR(SEARCH("SUS",W59)))</formula>
    </cfRule>
    <cfRule type="containsText" dxfId="336" priority="53" operator="containsText" text="FL">
      <formula>NOT(ISERROR(SEARCH("FL",W59)))</formula>
    </cfRule>
    <cfRule type="containsText" dxfId="335" priority="55" operator="containsText" text="AB">
      <formula>NOT(ISERROR(SEARCH("AB",W59)))</formula>
    </cfRule>
    <cfRule type="containsText" dxfId="334" priority="57" operator="containsText" text="AL">
      <formula>NOT(ISERROR(SEARCH("AL",W59)))</formula>
    </cfRule>
    <cfRule type="containsText" dxfId="333" priority="56" operator="containsText" text="SICK">
      <formula>NOT(ISERROR(SEARCH("SICK",W59)))</formula>
    </cfRule>
    <cfRule type="containsText" dxfId="332" priority="54" operator="containsText" text="OFF">
      <formula>NOT(ISERROR(SEARCH("OFF",W59)))</formula>
    </cfRule>
    <cfRule type="containsText" dxfId="331" priority="48" operator="containsText" text="EL">
      <formula>NOT(ISERROR(SEARCH("EL",W59)))</formula>
    </cfRule>
    <cfRule type="containsText" dxfId="330" priority="49" operator="containsText" text="SP">
      <formula>NOT(ISERROR(SEARCH("SP",W59)))</formula>
    </cfRule>
    <cfRule type="containsText" dxfId="329" priority="50" operator="containsText" text="NL">
      <formula>NOT(ISERROR(SEARCH("NL",W59)))</formula>
    </cfRule>
    <cfRule type="containsText" dxfId="328" priority="51" operator="containsText" text="MC">
      <formula>NOT(ISERROR(SEARCH("MC",W59)))</formula>
    </cfRule>
  </conditionalFormatting>
  <conditionalFormatting sqref="AW58:AX58">
    <cfRule type="containsText" dxfId="327" priority="223" operator="containsText" text="AL">
      <formula>NOT(ISERROR(SEARCH("AL",AW58)))</formula>
    </cfRule>
    <cfRule type="containsText" dxfId="326" priority="219" operator="containsText" text="FL">
      <formula>NOT(ISERROR(SEARCH("FL",AW58)))</formula>
    </cfRule>
    <cfRule type="containsText" dxfId="325" priority="220" operator="containsText" text="OFF">
      <formula>NOT(ISERROR(SEARCH("OFF",AW58)))</formula>
    </cfRule>
    <cfRule type="containsText" dxfId="324" priority="221" operator="containsText" text="AB">
      <formula>NOT(ISERROR(SEARCH("AB",AW58)))</formula>
    </cfRule>
    <cfRule type="containsText" dxfId="323" priority="222" operator="containsText" text="SICK">
      <formula>NOT(ISERROR(SEARCH("SICK",AW58)))</formula>
    </cfRule>
    <cfRule type="containsText" dxfId="322" priority="216" operator="containsText" text="NL">
      <formula>NOT(ISERROR(SEARCH("NL",AW58)))</formula>
    </cfRule>
    <cfRule type="containsText" dxfId="321" priority="215" operator="containsText" text="SP">
      <formula>NOT(ISERROR(SEARCH("SP",AW58)))</formula>
    </cfRule>
    <cfRule type="containsText" dxfId="320" priority="214" operator="containsText" text="EL">
      <formula>NOT(ISERROR(SEARCH("EL",AW58)))</formula>
    </cfRule>
    <cfRule type="containsText" dxfId="319" priority="217" operator="containsText" text="MC">
      <formula>NOT(ISERROR(SEARCH("MC",AW58)))</formula>
    </cfRule>
    <cfRule type="containsText" dxfId="318" priority="218" operator="containsText" text="SUS">
      <formula>NOT(ISERROR(SEARCH("SUS",AW58)))</formula>
    </cfRule>
  </conditionalFormatting>
  <conditionalFormatting sqref="BC57:BF57">
    <cfRule type="containsText" dxfId="317" priority="316" operator="containsText" text="SICK">
      <formula>NOT(ISERROR(SEARCH("SICK",BC57)))</formula>
    </cfRule>
    <cfRule type="containsText" dxfId="316" priority="315" operator="containsText" text="AB">
      <formula>NOT(ISERROR(SEARCH("AB",BC57)))</formula>
    </cfRule>
    <cfRule type="containsText" dxfId="315" priority="313" operator="containsText" text="AL">
      <formula>NOT(ISERROR(SEARCH("AL",BC57)))</formula>
    </cfRule>
    <cfRule type="cellIs" dxfId="314" priority="314" operator="between">
      <formula>0.0625</formula>
      <formula>0.1875</formula>
    </cfRule>
  </conditionalFormatting>
  <conditionalFormatting sqref="BE59:BF59">
    <cfRule type="containsText" dxfId="313" priority="126" operator="containsText" text="NL">
      <formula>NOT(ISERROR(SEARCH("NL",BE59)))</formula>
    </cfRule>
    <cfRule type="containsText" dxfId="312" priority="127" operator="containsText" text="MC">
      <formula>NOT(ISERROR(SEARCH("MC",BE59)))</formula>
    </cfRule>
    <cfRule type="containsText" dxfId="311" priority="128" operator="containsText" text="SUS">
      <formula>NOT(ISERROR(SEARCH("SUS",BE59)))</formula>
    </cfRule>
    <cfRule type="containsText" dxfId="310" priority="129" operator="containsText" text="FL">
      <formula>NOT(ISERROR(SEARCH("FL",BE59)))</formula>
    </cfRule>
    <cfRule type="containsText" dxfId="309" priority="125" operator="containsText" text="SP">
      <formula>NOT(ISERROR(SEARCH("SP",BE59)))</formula>
    </cfRule>
    <cfRule type="containsText" dxfId="308" priority="130" operator="containsText" text="OFF">
      <formula>NOT(ISERROR(SEARCH("OFF",BE59)))</formula>
    </cfRule>
    <cfRule type="containsText" dxfId="307" priority="124" operator="containsText" text="EL">
      <formula>NOT(ISERROR(SEARCH("EL",BE59)))</formula>
    </cfRule>
    <cfRule type="containsText" dxfId="306" priority="133" operator="containsText" text="AL">
      <formula>NOT(ISERROR(SEARCH("AL",BE59)))</formula>
    </cfRule>
    <cfRule type="containsText" dxfId="305" priority="132" operator="containsText" text="SICK">
      <formula>NOT(ISERROR(SEARCH("SICK",BE59)))</formula>
    </cfRule>
    <cfRule type="containsText" dxfId="304" priority="131" operator="containsText" text="AB">
      <formula>NOT(ISERROR(SEARCH("AB",BE59)))</formula>
    </cfRule>
  </conditionalFormatting>
  <conditionalFormatting sqref="BG58:BH58">
    <cfRule type="containsText" dxfId="303" priority="205" operator="containsText" text="SP">
      <formula>NOT(ISERROR(SEARCH("SP",BG58)))</formula>
    </cfRule>
    <cfRule type="containsText" dxfId="302" priority="207" operator="containsText" text="MC">
      <formula>NOT(ISERROR(SEARCH("MC",BG58)))</formula>
    </cfRule>
    <cfRule type="containsText" dxfId="301" priority="213" operator="containsText" text="AL">
      <formula>NOT(ISERROR(SEARCH("AL",BG58)))</formula>
    </cfRule>
    <cfRule type="containsText" dxfId="300" priority="212" operator="containsText" text="SICK">
      <formula>NOT(ISERROR(SEARCH("SICK",BG58)))</formula>
    </cfRule>
    <cfRule type="containsText" dxfId="299" priority="211" operator="containsText" text="AB">
      <formula>NOT(ISERROR(SEARCH("AB",BG58)))</formula>
    </cfRule>
    <cfRule type="containsText" dxfId="298" priority="209" operator="containsText" text="FL">
      <formula>NOT(ISERROR(SEARCH("FL",BG58)))</formula>
    </cfRule>
    <cfRule type="containsText" dxfId="297" priority="208" operator="containsText" text="SUS">
      <formula>NOT(ISERROR(SEARCH("SUS",BG58)))</formula>
    </cfRule>
    <cfRule type="containsText" dxfId="296" priority="206" operator="containsText" text="NL">
      <formula>NOT(ISERROR(SEARCH("NL",BG58)))</formula>
    </cfRule>
    <cfRule type="containsText" dxfId="295" priority="210" operator="containsText" text="OFF">
      <formula>NOT(ISERROR(SEARCH("OFF",BG58)))</formula>
    </cfRule>
    <cfRule type="containsText" dxfId="294" priority="204" operator="containsText" text="EL">
      <formula>NOT(ISERROR(SEARCH("EL",BG58)))</formula>
    </cfRule>
  </conditionalFormatting>
  <conditionalFormatting sqref="BQ22">
    <cfRule type="containsText" dxfId="293" priority="11" stopIfTrue="1" operator="containsText" text="SP">
      <formula>NOT(ISERROR(SEARCH("SP",BQ22)))</formula>
    </cfRule>
    <cfRule type="containsText" dxfId="292" priority="13" stopIfTrue="1" operator="containsText" text="EL">
      <formula>NOT(ISERROR(SEARCH("EL",BQ22)))</formula>
    </cfRule>
    <cfRule type="containsText" dxfId="291" priority="12" stopIfTrue="1" operator="containsText" text="AL">
      <formula>NOT(ISERROR(SEARCH("AL",BQ22)))</formula>
    </cfRule>
    <cfRule type="containsText" dxfId="290" priority="16" stopIfTrue="1" operator="containsText" text="SICK">
      <formula>NOT(ISERROR(SEARCH("SICK",BQ22)))</formula>
    </cfRule>
    <cfRule type="containsText" dxfId="289" priority="15" stopIfTrue="1" operator="containsText" text="FL">
      <formula>NOT(ISERROR(SEARCH("FL",BQ22)))</formula>
    </cfRule>
    <cfRule type="containsText" dxfId="288" priority="14" stopIfTrue="1" operator="containsText" text="AB">
      <formula>NOT(ISERROR(SEARCH("AB",BQ22)))</formula>
    </cfRule>
  </conditionalFormatting>
  <conditionalFormatting sqref="BR5:BR7 BI57:BP57">
    <cfRule type="containsText" dxfId="287" priority="324" operator="containsText" text="AB">
      <formula>NOT(ISERROR(SEARCH("AB",BI5)))</formula>
    </cfRule>
    <cfRule type="containsText" dxfId="286" priority="325" operator="containsText" text="SICK">
      <formula>NOT(ISERROR(SEARCH("SICK",BI5)))</formula>
    </cfRule>
  </conditionalFormatting>
  <conditionalFormatting sqref="BR8">
    <cfRule type="cellIs" dxfId="285" priority="69" stopIfTrue="1" operator="equal">
      <formula>";"</formula>
    </cfRule>
  </conditionalFormatting>
  <conditionalFormatting sqref="BR9:BR14 BQ14">
    <cfRule type="containsText" dxfId="284" priority="44" operator="containsText" text="AB">
      <formula>NOT(ISERROR(SEARCH("AB",BQ9)))</formula>
    </cfRule>
    <cfRule type="containsText" dxfId="283" priority="45" operator="containsText" text="SICK">
      <formula>NOT(ISERROR(SEARCH("SICK",BQ9)))</formula>
    </cfRule>
  </conditionalFormatting>
  <conditionalFormatting sqref="BR22">
    <cfRule type="cellIs" dxfId="282" priority="17" stopIfTrue="1" operator="equal">
      <formula>";"</formula>
    </cfRule>
  </conditionalFormatting>
  <conditionalFormatting sqref="BR57:BR60">
    <cfRule type="cellIs" dxfId="281" priority="234" operator="equal">
      <formula>";"</formula>
    </cfRule>
  </conditionalFormatting>
  <conditionalFormatting sqref="BT4:BZ4">
    <cfRule type="containsText" dxfId="280" priority="312" operator="containsText" text="AL">
      <formula>NOT(ISERROR(SEARCH("AL",BT4)))</formula>
    </cfRule>
    <cfRule type="containsText" dxfId="279" priority="310" operator="containsText" text="AB">
      <formula>NOT(ISERROR(SEARCH("AB",BT4)))</formula>
    </cfRule>
    <cfRule type="containsText" dxfId="278" priority="303" operator="containsText" text="EL">
      <formula>NOT(ISERROR(SEARCH("EL",BT4)))</formula>
    </cfRule>
    <cfRule type="containsText" dxfId="277" priority="304" operator="containsText" text="SP">
      <formula>NOT(ISERROR(SEARCH("SP",BT4)))</formula>
    </cfRule>
    <cfRule type="containsText" dxfId="276" priority="305" operator="containsText" text="NL">
      <formula>NOT(ISERROR(SEARCH("NL",BT4)))</formula>
    </cfRule>
    <cfRule type="containsText" dxfId="275" priority="306" operator="containsText" text="MC">
      <formula>NOT(ISERROR(SEARCH("MC",BT4)))</formula>
    </cfRule>
    <cfRule type="containsText" dxfId="274" priority="307" operator="containsText" text="SUS">
      <formula>NOT(ISERROR(SEARCH("SUS",BT4)))</formula>
    </cfRule>
    <cfRule type="containsText" dxfId="273" priority="308" operator="containsText" text="FL">
      <formula>NOT(ISERROR(SEARCH("FL",BT4)))</formula>
    </cfRule>
    <cfRule type="containsText" dxfId="272" priority="309" operator="containsText" text="OFF">
      <formula>NOT(ISERROR(SEARCH("OFF",BT4)))</formula>
    </cfRule>
    <cfRule type="containsText" dxfId="271" priority="311" operator="containsText" text="SICK">
      <formula>NOT(ISERROR(SEARCH("SICK",BT4)))</formula>
    </cfRule>
  </conditionalFormatting>
  <conditionalFormatting sqref="BT18:BZ18">
    <cfRule type="containsText" dxfId="270" priority="293" operator="containsText" text="EL">
      <formula>NOT(ISERROR(SEARCH("EL",BT18)))</formula>
    </cfRule>
    <cfRule type="containsText" dxfId="269" priority="294" operator="containsText" text="SP">
      <formula>NOT(ISERROR(SEARCH("SP",BT18)))</formula>
    </cfRule>
    <cfRule type="containsText" dxfId="268" priority="302" operator="containsText" text="AL">
      <formula>NOT(ISERROR(SEARCH("AL",BT18)))</formula>
    </cfRule>
    <cfRule type="containsText" dxfId="267" priority="295" operator="containsText" text="NL">
      <formula>NOT(ISERROR(SEARCH("NL",BT18)))</formula>
    </cfRule>
    <cfRule type="containsText" dxfId="266" priority="296" operator="containsText" text="MC">
      <formula>NOT(ISERROR(SEARCH("MC",BT18)))</formula>
    </cfRule>
    <cfRule type="containsText" dxfId="265" priority="297" operator="containsText" text="SUS">
      <formula>NOT(ISERROR(SEARCH("SUS",BT18)))</formula>
    </cfRule>
    <cfRule type="containsText" dxfId="264" priority="298" operator="containsText" text="FL">
      <formula>NOT(ISERROR(SEARCH("FL",BT18)))</formula>
    </cfRule>
    <cfRule type="containsText" dxfId="263" priority="299" operator="containsText" text="OFF">
      <formula>NOT(ISERROR(SEARCH("OFF",BT18)))</formula>
    </cfRule>
    <cfRule type="containsText" dxfId="262" priority="300" operator="containsText" text="AB">
      <formula>NOT(ISERROR(SEARCH("AB",BT18)))</formula>
    </cfRule>
    <cfRule type="containsText" dxfId="261" priority="301" operator="containsText" text="SICK">
      <formula>NOT(ISERROR(SEARCH("SICK",BT18)))</formula>
    </cfRule>
  </conditionalFormatting>
  <conditionalFormatting sqref="CB4">
    <cfRule type="containsText" dxfId="260" priority="286" operator="containsText" text="MC">
      <formula>NOT(ISERROR(SEARCH("MC",CB4)))</formula>
    </cfRule>
    <cfRule type="containsText" dxfId="259" priority="288" operator="containsText" text="FL">
      <formula>NOT(ISERROR(SEARCH("FL",CB4)))</formula>
    </cfRule>
    <cfRule type="containsText" dxfId="258" priority="289" operator="containsText" text="OFF">
      <formula>NOT(ISERROR(SEARCH("OFF",CB4)))</formula>
    </cfRule>
    <cfRule type="containsText" dxfId="257" priority="290" operator="containsText" text="AB">
      <formula>NOT(ISERROR(SEARCH("AB",CB4)))</formula>
    </cfRule>
    <cfRule type="containsText" dxfId="256" priority="291" operator="containsText" text="SICK">
      <formula>NOT(ISERROR(SEARCH("SICK",CB4)))</formula>
    </cfRule>
    <cfRule type="containsText" dxfId="255" priority="292" operator="containsText" text="AL">
      <formula>NOT(ISERROR(SEARCH("AL",CB4)))</formula>
    </cfRule>
    <cfRule type="containsText" dxfId="254" priority="285" operator="containsText" text="NL">
      <formula>NOT(ISERROR(SEARCH("NL",CB4)))</formula>
    </cfRule>
    <cfRule type="containsText" dxfId="253" priority="287" operator="containsText" text="SUS">
      <formula>NOT(ISERROR(SEARCH("SUS",CB4)))</formula>
    </cfRule>
  </conditionalFormatting>
  <conditionalFormatting sqref="CB18">
    <cfRule type="containsText" dxfId="252" priority="280" operator="containsText" text="FL">
      <formula>NOT(ISERROR(SEARCH("FL",CB18)))</formula>
    </cfRule>
    <cfRule type="containsText" dxfId="251" priority="281" operator="containsText" text="OFF">
      <formula>NOT(ISERROR(SEARCH("OFF",CB18)))</formula>
    </cfRule>
    <cfRule type="containsText" dxfId="250" priority="282" operator="containsText" text="AB">
      <formula>NOT(ISERROR(SEARCH("AB",CB18)))</formula>
    </cfRule>
    <cfRule type="containsText" dxfId="249" priority="283" operator="containsText" text="SICK">
      <formula>NOT(ISERROR(SEARCH("SICK",CB18)))</formula>
    </cfRule>
    <cfRule type="containsText" dxfId="248" priority="284" operator="containsText" text="AL">
      <formula>NOT(ISERROR(SEARCH("AL",CB18)))</formula>
    </cfRule>
    <cfRule type="containsText" dxfId="247" priority="278" operator="containsText" text="MC">
      <formula>NOT(ISERROR(SEARCH("MC",CB18)))</formula>
    </cfRule>
    <cfRule type="containsText" dxfId="246" priority="277" operator="containsText" text="NL">
      <formula>NOT(ISERROR(SEARCH("NL",CB18)))</formula>
    </cfRule>
    <cfRule type="containsText" dxfId="245" priority="279" operator="containsText" text="SUS">
      <formula>NOT(ISERROR(SEARCH("SUS",CB18)))</formula>
    </cfRule>
  </conditionalFormatting>
  <conditionalFormatting sqref="CB4:CC4">
    <cfRule type="containsText" dxfId="244" priority="268" operator="containsText" text="SP">
      <formula>NOT(ISERROR(SEARCH("SP",CB4)))</formula>
    </cfRule>
  </conditionalFormatting>
  <conditionalFormatting sqref="CB18:CC18">
    <cfRule type="containsText" dxfId="243" priority="259" operator="containsText" text="SP">
      <formula>NOT(ISERROR(SEARCH("SP",CB18)))</formula>
    </cfRule>
  </conditionalFormatting>
  <conditionalFormatting sqref="CB4:CD4">
    <cfRule type="containsText" dxfId="242" priority="249" operator="containsText" text="EL">
      <formula>NOT(ISERROR(SEARCH("EL",CB4)))</formula>
    </cfRule>
  </conditionalFormatting>
  <conditionalFormatting sqref="CB18:CD18">
    <cfRule type="containsText" dxfId="241" priority="239" operator="containsText" text="EL">
      <formula>NOT(ISERROR(SEARCH("EL",CB18)))</formula>
    </cfRule>
  </conditionalFormatting>
  <conditionalFormatting sqref="CC4">
    <cfRule type="containsText" dxfId="240" priority="271" operator="containsText" text="SUS">
      <formula>NOT(ISERROR(SEARCH("SUS",CC4)))</formula>
    </cfRule>
    <cfRule type="containsText" dxfId="239" priority="272" operator="containsText" text="FL">
      <formula>NOT(ISERROR(SEARCH("FL",CC4)))</formula>
    </cfRule>
    <cfRule type="containsText" dxfId="238" priority="273" operator="containsText" text="OFF">
      <formula>NOT(ISERROR(SEARCH("OFF",CC4)))</formula>
    </cfRule>
    <cfRule type="containsText" dxfId="237" priority="274" operator="containsText" text="AB">
      <formula>NOT(ISERROR(SEARCH("AB",CC4)))</formula>
    </cfRule>
    <cfRule type="containsText" dxfId="236" priority="275" operator="containsText" text="SICK">
      <formula>NOT(ISERROR(SEARCH("SICK",CC4)))</formula>
    </cfRule>
    <cfRule type="containsText" dxfId="235" priority="276" operator="containsText" text="AL">
      <formula>NOT(ISERROR(SEARCH("AL",CC4)))</formula>
    </cfRule>
    <cfRule type="containsText" dxfId="234" priority="270" operator="containsText" text="MC">
      <formula>NOT(ISERROR(SEARCH("MC",CC4)))</formula>
    </cfRule>
    <cfRule type="containsText" dxfId="233" priority="269" operator="containsText" text="NL">
      <formula>NOT(ISERROR(SEARCH("NL",CC4)))</formula>
    </cfRule>
  </conditionalFormatting>
  <conditionalFormatting sqref="CC18">
    <cfRule type="containsText" dxfId="232" priority="266" operator="containsText" text="SICK">
      <formula>NOT(ISERROR(SEARCH("SICK",CC18)))</formula>
    </cfRule>
    <cfRule type="containsText" dxfId="231" priority="265" operator="containsText" text="AB">
      <formula>NOT(ISERROR(SEARCH("AB",CC18)))</formula>
    </cfRule>
    <cfRule type="containsText" dxfId="230" priority="263" operator="containsText" text="FL">
      <formula>NOT(ISERROR(SEARCH("FL",CC18)))</formula>
    </cfRule>
    <cfRule type="containsText" dxfId="229" priority="262" operator="containsText" text="SUS">
      <formula>NOT(ISERROR(SEARCH("SUS",CC18)))</formula>
    </cfRule>
    <cfRule type="containsText" dxfId="228" priority="261" operator="containsText" text="MC">
      <formula>NOT(ISERROR(SEARCH("MC",CC18)))</formula>
    </cfRule>
    <cfRule type="containsText" dxfId="227" priority="260" operator="containsText" text="NL">
      <formula>NOT(ISERROR(SEARCH("NL",CC18)))</formula>
    </cfRule>
    <cfRule type="containsText" dxfId="226" priority="264" operator="containsText" text="OFF">
      <formula>NOT(ISERROR(SEARCH("OFF",CC18)))</formula>
    </cfRule>
    <cfRule type="containsText" dxfId="225" priority="267" operator="containsText" text="AL">
      <formula>NOT(ISERROR(SEARCH("AL",CC18)))</formula>
    </cfRule>
  </conditionalFormatting>
  <conditionalFormatting sqref="CD4">
    <cfRule type="containsText" dxfId="224" priority="253" operator="containsText" text="SUS">
      <formula>NOT(ISERROR(SEARCH("SUS",CD4)))</formula>
    </cfRule>
    <cfRule type="containsText" dxfId="223" priority="255" operator="containsText" text="OFF">
      <formula>NOT(ISERROR(SEARCH("OFF",CD4)))</formula>
    </cfRule>
    <cfRule type="containsText" dxfId="222" priority="256" operator="containsText" text="AB">
      <formula>NOT(ISERROR(SEARCH("AB",CD4)))</formula>
    </cfRule>
    <cfRule type="containsText" dxfId="221" priority="257" operator="containsText" text="SICK">
      <formula>NOT(ISERROR(SEARCH("SICK",CD4)))</formula>
    </cfRule>
    <cfRule type="containsText" dxfId="220" priority="258" operator="containsText" text="AL">
      <formula>NOT(ISERROR(SEARCH("AL",CD4)))</formula>
    </cfRule>
    <cfRule type="containsText" dxfId="219" priority="250" operator="containsText" text="SP">
      <formula>NOT(ISERROR(SEARCH("SP",CD4)))</formula>
    </cfRule>
    <cfRule type="containsText" dxfId="218" priority="251" operator="containsText" text="NL">
      <formula>NOT(ISERROR(SEARCH("NL",CD4)))</formula>
    </cfRule>
    <cfRule type="containsText" dxfId="217" priority="252" operator="containsText" text="MC">
      <formula>NOT(ISERROR(SEARCH("MC",CD4)))</formula>
    </cfRule>
    <cfRule type="containsText" dxfId="216" priority="254" operator="containsText" text="FL">
      <formula>NOT(ISERROR(SEARCH("FL",CD4)))</formula>
    </cfRule>
  </conditionalFormatting>
  <conditionalFormatting sqref="CD18">
    <cfRule type="containsText" dxfId="215" priority="245" operator="containsText" text="OFF">
      <formula>NOT(ISERROR(SEARCH("OFF",CD18)))</formula>
    </cfRule>
    <cfRule type="containsText" dxfId="214" priority="244" operator="containsText" text="FL">
      <formula>NOT(ISERROR(SEARCH("FL",CD18)))</formula>
    </cfRule>
    <cfRule type="containsText" dxfId="213" priority="241" operator="containsText" text="NL">
      <formula>NOT(ISERROR(SEARCH("NL",CD18)))</formula>
    </cfRule>
    <cfRule type="containsText" dxfId="212" priority="243" operator="containsText" text="SUS">
      <formula>NOT(ISERROR(SEARCH("SUS",CD18)))</formula>
    </cfRule>
    <cfRule type="containsText" dxfId="211" priority="242" operator="containsText" text="MC">
      <formula>NOT(ISERROR(SEARCH("MC",CD18)))</formula>
    </cfRule>
    <cfRule type="containsText" dxfId="210" priority="240" operator="containsText" text="SP">
      <formula>NOT(ISERROR(SEARCH("SP",CD18)))</formula>
    </cfRule>
    <cfRule type="containsText" dxfId="209" priority="248" operator="containsText" text="AL">
      <formula>NOT(ISERROR(SEARCH("AL",CD18)))</formula>
    </cfRule>
    <cfRule type="containsText" dxfId="208" priority="247" operator="containsText" text="SICK">
      <formula>NOT(ISERROR(SEARCH("SICK",CD18)))</formula>
    </cfRule>
    <cfRule type="containsText" dxfId="207" priority="246" operator="containsText" text="AB">
      <formula>NOT(ISERROR(SEARCH("AB",CD18)))</formula>
    </cfRule>
  </conditionalFormatting>
  <pageMargins left="0.7" right="0.7" top="0.75" bottom="0.75" header="0.3" footer="0.3"/>
  <pageSetup paperSize="9" scale="2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3023-844D-4A03-B17B-3AA76DEBF782}">
  <sheetPr>
    <pageSetUpPr fitToPage="1"/>
  </sheetPr>
  <dimension ref="A1:BF29"/>
  <sheetViews>
    <sheetView tabSelected="1" zoomScaleNormal="100" workbookViewId="0">
      <pane xSplit="4" ySplit="1" topLeftCell="U2" activePane="bottomRight" state="frozen"/>
      <selection pane="topRight" activeCell="E1" sqref="E1"/>
      <selection pane="bottomLeft" activeCell="A5" sqref="A5"/>
      <selection pane="bottomRight" activeCell="W22" sqref="W22"/>
    </sheetView>
  </sheetViews>
  <sheetFormatPr defaultRowHeight="15" x14ac:dyDescent="0.25"/>
  <cols>
    <col min="1" max="1" width="5" customWidth="1"/>
    <col min="2" max="2" width="10.85546875" style="18" customWidth="1"/>
    <col min="3" max="3" width="29.140625" customWidth="1"/>
    <col min="4" max="4" width="13.7109375" hidden="1" customWidth="1"/>
    <col min="5" max="30" width="6.42578125" customWidth="1"/>
    <col min="31" max="31" width="5" customWidth="1"/>
    <col min="32" max="44" width="5.140625" customWidth="1"/>
    <col min="45" max="45" width="12.7109375" customWidth="1"/>
    <col min="48" max="58" width="5.28515625" customWidth="1"/>
  </cols>
  <sheetData>
    <row r="1" spans="1:58" ht="24" customHeight="1" x14ac:dyDescent="0.25">
      <c r="A1" s="203" t="s">
        <v>111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</row>
    <row r="2" spans="1:58" ht="18.75" customHeight="1" x14ac:dyDescent="0.25">
      <c r="A2" s="204" t="s">
        <v>33</v>
      </c>
      <c r="B2" s="204"/>
      <c r="C2" s="204"/>
      <c r="D2" s="93"/>
      <c r="E2" s="206" t="s">
        <v>1</v>
      </c>
      <c r="F2" s="206"/>
      <c r="G2" s="206" t="s">
        <v>2</v>
      </c>
      <c r="H2" s="206"/>
      <c r="I2" s="206" t="s">
        <v>3</v>
      </c>
      <c r="J2" s="206"/>
      <c r="K2" s="206" t="s">
        <v>4</v>
      </c>
      <c r="L2" s="206"/>
      <c r="M2" s="206" t="s">
        <v>5</v>
      </c>
      <c r="N2" s="206"/>
      <c r="O2" s="206" t="s">
        <v>6</v>
      </c>
      <c r="P2" s="206"/>
      <c r="Q2" s="206" t="s">
        <v>7</v>
      </c>
      <c r="R2" s="206"/>
      <c r="S2" s="206" t="s">
        <v>1</v>
      </c>
      <c r="T2" s="206"/>
      <c r="U2" s="206" t="s">
        <v>2</v>
      </c>
      <c r="V2" s="206"/>
      <c r="W2" s="206" t="s">
        <v>3</v>
      </c>
      <c r="X2" s="206"/>
      <c r="Y2" s="206" t="s">
        <v>4</v>
      </c>
      <c r="Z2" s="206"/>
      <c r="AA2" s="206" t="s">
        <v>5</v>
      </c>
      <c r="AB2" s="206"/>
      <c r="AC2" s="206" t="s">
        <v>6</v>
      </c>
      <c r="AD2" s="206"/>
      <c r="AE2" s="197" t="s">
        <v>8</v>
      </c>
      <c r="AF2" s="197" t="s">
        <v>9</v>
      </c>
      <c r="AG2" s="12"/>
      <c r="AH2" s="12"/>
      <c r="AI2" s="12"/>
      <c r="AJ2" s="12"/>
      <c r="AK2" s="12"/>
      <c r="AL2" s="12"/>
      <c r="AM2" s="12"/>
      <c r="AN2" s="12"/>
      <c r="AO2" s="19"/>
      <c r="AP2" s="19"/>
      <c r="AQ2" s="12"/>
      <c r="AR2" s="20"/>
      <c r="AS2" s="20"/>
      <c r="AV2" s="198" t="s">
        <v>84</v>
      </c>
      <c r="AW2" s="198"/>
      <c r="AX2" s="198"/>
      <c r="AY2" s="198"/>
      <c r="AZ2" s="198"/>
      <c r="BA2" s="198"/>
      <c r="BB2" s="198"/>
      <c r="BC2" s="198"/>
      <c r="BD2" s="198"/>
      <c r="BE2" s="198"/>
      <c r="BF2" s="17"/>
    </row>
    <row r="3" spans="1:58" ht="18.75" customHeight="1" x14ac:dyDescent="0.25">
      <c r="A3" s="204"/>
      <c r="B3" s="204"/>
      <c r="C3" s="204"/>
      <c r="D3" s="93"/>
      <c r="E3" s="192">
        <v>46204</v>
      </c>
      <c r="F3" s="192"/>
      <c r="G3" s="192">
        <v>46205</v>
      </c>
      <c r="H3" s="192"/>
      <c r="I3" s="192">
        <v>46206</v>
      </c>
      <c r="J3" s="192"/>
      <c r="K3" s="192">
        <v>46207</v>
      </c>
      <c r="L3" s="192"/>
      <c r="M3" s="192">
        <v>46208</v>
      </c>
      <c r="N3" s="192"/>
      <c r="O3" s="192">
        <v>46209</v>
      </c>
      <c r="P3" s="192"/>
      <c r="Q3" s="192">
        <v>46210</v>
      </c>
      <c r="R3" s="192"/>
      <c r="S3" s="192">
        <v>46211</v>
      </c>
      <c r="T3" s="192"/>
      <c r="U3" s="192">
        <v>46212</v>
      </c>
      <c r="V3" s="192"/>
      <c r="W3" s="192">
        <v>46213</v>
      </c>
      <c r="X3" s="192"/>
      <c r="Y3" s="192">
        <v>46214</v>
      </c>
      <c r="Z3" s="192"/>
      <c r="AA3" s="192">
        <v>46215</v>
      </c>
      <c r="AB3" s="192"/>
      <c r="AC3" s="192">
        <v>46216</v>
      </c>
      <c r="AD3" s="192"/>
      <c r="AE3" s="197"/>
      <c r="AF3" s="197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V3" s="53" t="s">
        <v>101</v>
      </c>
      <c r="AW3" s="53"/>
      <c r="AX3" s="53"/>
      <c r="AY3" s="53"/>
      <c r="AZ3" s="53"/>
      <c r="BA3" s="53"/>
      <c r="BB3" s="53"/>
      <c r="BC3" s="53"/>
      <c r="BD3" s="53"/>
      <c r="BE3" s="53"/>
      <c r="BF3" s="17"/>
    </row>
    <row r="4" spans="1:58" ht="18.75" customHeight="1" x14ac:dyDescent="0.25">
      <c r="A4" s="4" t="s">
        <v>10</v>
      </c>
      <c r="B4" s="4" t="s">
        <v>11</v>
      </c>
      <c r="C4" s="4" t="s">
        <v>12</v>
      </c>
      <c r="D4" s="4"/>
      <c r="E4" s="10" t="s">
        <v>13</v>
      </c>
      <c r="F4" s="10" t="s">
        <v>14</v>
      </c>
      <c r="G4" s="10" t="s">
        <v>13</v>
      </c>
      <c r="H4" s="10" t="s">
        <v>14</v>
      </c>
      <c r="I4" s="10" t="s">
        <v>13</v>
      </c>
      <c r="J4" s="10" t="s">
        <v>14</v>
      </c>
      <c r="K4" s="10" t="s">
        <v>13</v>
      </c>
      <c r="L4" s="10" t="s">
        <v>14</v>
      </c>
      <c r="M4" s="10" t="s">
        <v>13</v>
      </c>
      <c r="N4" s="10" t="s">
        <v>14</v>
      </c>
      <c r="O4" s="10" t="s">
        <v>13</v>
      </c>
      <c r="P4" s="10" t="s">
        <v>14</v>
      </c>
      <c r="Q4" s="10" t="s">
        <v>13</v>
      </c>
      <c r="R4" s="10" t="s">
        <v>14</v>
      </c>
      <c r="S4" s="10" t="s">
        <v>13</v>
      </c>
      <c r="T4" s="10" t="s">
        <v>14</v>
      </c>
      <c r="U4" s="10" t="s">
        <v>13</v>
      </c>
      <c r="V4" s="10" t="s">
        <v>14</v>
      </c>
      <c r="W4" s="10" t="s">
        <v>13</v>
      </c>
      <c r="X4" s="10" t="s">
        <v>14</v>
      </c>
      <c r="Y4" s="10" t="s">
        <v>13</v>
      </c>
      <c r="Z4" s="10" t="s">
        <v>14</v>
      </c>
      <c r="AA4" s="10" t="s">
        <v>13</v>
      </c>
      <c r="AB4" s="10" t="s">
        <v>14</v>
      </c>
      <c r="AC4" s="10" t="s">
        <v>13</v>
      </c>
      <c r="AD4" s="10" t="s">
        <v>14</v>
      </c>
      <c r="AE4" s="197"/>
      <c r="AF4" s="197"/>
      <c r="AG4" s="11"/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72" t="s">
        <v>98</v>
      </c>
      <c r="AO4" s="48" t="s">
        <v>22</v>
      </c>
      <c r="AP4" s="72" t="s">
        <v>23</v>
      </c>
      <c r="AQ4" s="72" t="s">
        <v>24</v>
      </c>
      <c r="AR4" s="72" t="s">
        <v>25</v>
      </c>
      <c r="AS4" s="12" t="s">
        <v>26</v>
      </c>
      <c r="AV4" s="63" t="s">
        <v>16</v>
      </c>
      <c r="AW4" s="63" t="s">
        <v>17</v>
      </c>
      <c r="AX4" s="63" t="s">
        <v>18</v>
      </c>
      <c r="AY4" s="63" t="s">
        <v>19</v>
      </c>
      <c r="AZ4" s="63" t="s">
        <v>20</v>
      </c>
      <c r="BA4" s="63" t="s">
        <v>21</v>
      </c>
      <c r="BB4" s="63" t="s">
        <v>22</v>
      </c>
      <c r="BC4" s="63" t="s">
        <v>23</v>
      </c>
      <c r="BD4" s="63" t="s">
        <v>24</v>
      </c>
      <c r="BE4" s="63" t="s">
        <v>25</v>
      </c>
      <c r="BF4" s="63" t="s">
        <v>85</v>
      </c>
    </row>
    <row r="5" spans="1:58" ht="22.5" customHeight="1" x14ac:dyDescent="0.25">
      <c r="A5" s="7">
        <v>1</v>
      </c>
      <c r="B5" s="8" t="s">
        <v>41</v>
      </c>
      <c r="C5" s="98" t="s">
        <v>42</v>
      </c>
      <c r="D5" s="99">
        <v>45382</v>
      </c>
      <c r="E5" s="64">
        <v>0.33402777777777781</v>
      </c>
      <c r="F5" s="64">
        <v>0.84791666666666676</v>
      </c>
      <c r="G5" s="64">
        <v>0.34097222222222223</v>
      </c>
      <c r="H5" s="64">
        <v>0.82430555555555562</v>
      </c>
      <c r="I5" s="90">
        <v>0.56597222222222221</v>
      </c>
      <c r="J5" s="90">
        <v>0.79652777777777783</v>
      </c>
      <c r="K5" s="64">
        <v>0.34097222222222223</v>
      </c>
      <c r="L5" s="64">
        <v>0.83611111111111114</v>
      </c>
      <c r="M5" s="64">
        <v>0.34027777777777773</v>
      </c>
      <c r="N5" s="64">
        <v>0.85069444444444453</v>
      </c>
      <c r="O5" s="64">
        <v>0.33749999999999997</v>
      </c>
      <c r="P5" s="68">
        <v>1</v>
      </c>
      <c r="Q5" s="64">
        <v>0.33333333333333331</v>
      </c>
      <c r="R5" s="64">
        <v>3.4027777777777775E-2</v>
      </c>
      <c r="S5" s="64">
        <v>0.33402777777777781</v>
      </c>
      <c r="T5" s="64">
        <v>0.8222222222222223</v>
      </c>
      <c r="U5" s="64">
        <v>0.33819444444444446</v>
      </c>
      <c r="V5" s="64">
        <v>0.81180555555555556</v>
      </c>
      <c r="W5" s="72" t="s">
        <v>15</v>
      </c>
      <c r="X5" s="72" t="s">
        <v>15</v>
      </c>
      <c r="Y5" s="64">
        <v>0.33749999999999997</v>
      </c>
      <c r="Z5" s="68">
        <v>1</v>
      </c>
      <c r="AA5" s="68">
        <v>1</v>
      </c>
      <c r="AB5" s="68">
        <v>1</v>
      </c>
      <c r="AC5" s="68">
        <v>1</v>
      </c>
      <c r="AD5" s="68">
        <v>1</v>
      </c>
      <c r="AE5" s="13">
        <f t="shared" ref="AE5" si="0">AG5+AH5+AI5+AJ5+AO5+AM5+AN5+AR5</f>
        <v>13</v>
      </c>
      <c r="AF5" s="52">
        <v>1</v>
      </c>
      <c r="AG5" s="14">
        <f>COUNT(E5:AD5)/2+COUNT(#REF!)/2</f>
        <v>12</v>
      </c>
      <c r="AH5" s="15">
        <f>COUNTIF(B5:AD5,"OFF")/2</f>
        <v>1</v>
      </c>
      <c r="AI5" s="15">
        <f>COUNTIF(B5:AD5,"MC")/2</f>
        <v>0</v>
      </c>
      <c r="AJ5" s="15">
        <f>COUNTIF(B5:AD5,"EL")/2</f>
        <v>0</v>
      </c>
      <c r="AK5" s="15">
        <f>COUNTIF(B5:AD5,"AL")/2</f>
        <v>0</v>
      </c>
      <c r="AL5" s="15">
        <f>COUNTIF(B5:AD5,"SUS")/2</f>
        <v>0</v>
      </c>
      <c r="AM5" s="15">
        <f>COUNTIF(B5:AD5,"FL")/2</f>
        <v>0</v>
      </c>
      <c r="AN5" s="15">
        <f>COUNTIF(B5:AD5,"SICK")/2</f>
        <v>0</v>
      </c>
      <c r="AO5" s="15">
        <f>COUNTIF(B5:AD5,"HD")/2</f>
        <v>0</v>
      </c>
      <c r="AP5" s="15">
        <f>COUNTIF(B5:AD5,"AB")/2</f>
        <v>0</v>
      </c>
      <c r="AQ5" s="15">
        <f>COUNTIF(B5:AD5,"NL")/2</f>
        <v>0</v>
      </c>
      <c r="AR5" s="15">
        <f>COUNTIF(B5:AD5,"SP")/2</f>
        <v>0</v>
      </c>
      <c r="AS5" s="16"/>
      <c r="AV5" s="58">
        <v>0</v>
      </c>
      <c r="AW5" s="58">
        <v>0</v>
      </c>
      <c r="AX5" s="58">
        <v>0</v>
      </c>
      <c r="AY5" s="58">
        <v>0</v>
      </c>
      <c r="AZ5" s="58">
        <v>0</v>
      </c>
      <c r="BA5" s="57">
        <v>3</v>
      </c>
      <c r="BB5" s="58">
        <v>0</v>
      </c>
      <c r="BC5" s="58">
        <v>0</v>
      </c>
      <c r="BD5" s="58">
        <v>0</v>
      </c>
      <c r="BE5" s="58">
        <v>0</v>
      </c>
      <c r="BF5" s="62">
        <f t="shared" ref="BF5" si="1">SUM(AV5:BE5)</f>
        <v>3</v>
      </c>
    </row>
    <row r="7" spans="1:58" ht="15.75" x14ac:dyDescent="0.25">
      <c r="F7" s="109" t="s">
        <v>108</v>
      </c>
      <c r="G7" s="109"/>
      <c r="H7" s="109" t="s">
        <v>113</v>
      </c>
      <c r="I7" s="109"/>
      <c r="J7" s="109"/>
      <c r="K7" s="109"/>
      <c r="L7" s="109"/>
      <c r="M7" s="109"/>
      <c r="N7" s="110"/>
      <c r="O7" s="110"/>
      <c r="P7" s="110"/>
      <c r="Q7" s="110"/>
    </row>
    <row r="8" spans="1:58" ht="15.75" x14ac:dyDescent="0.25">
      <c r="F8" s="109" t="s">
        <v>109</v>
      </c>
      <c r="G8" s="109"/>
      <c r="H8" s="109" t="s">
        <v>110</v>
      </c>
      <c r="I8" s="109"/>
      <c r="J8" s="109"/>
      <c r="K8" s="109"/>
      <c r="L8" s="109"/>
      <c r="M8" s="109"/>
      <c r="N8" s="110"/>
      <c r="O8" s="110"/>
      <c r="P8" s="110"/>
      <c r="Q8" s="110"/>
      <c r="AF8" s="38" t="s">
        <v>72</v>
      </c>
      <c r="AG8" s="39"/>
      <c r="AH8" s="39"/>
      <c r="AI8" s="40" t="s">
        <v>15</v>
      </c>
      <c r="AJ8" s="41"/>
      <c r="AK8" s="42" t="s">
        <v>73</v>
      </c>
      <c r="AL8" s="43"/>
      <c r="AM8" s="43"/>
      <c r="AN8" s="44"/>
      <c r="AO8" s="45" t="s">
        <v>21</v>
      </c>
    </row>
    <row r="9" spans="1:58" x14ac:dyDescent="0.25">
      <c r="AF9" s="38" t="s">
        <v>74</v>
      </c>
      <c r="AG9" s="39"/>
      <c r="AH9" s="39"/>
      <c r="AI9" s="40" t="s">
        <v>16</v>
      </c>
      <c r="AJ9" s="41"/>
      <c r="AK9" s="46" t="s">
        <v>75</v>
      </c>
      <c r="AL9" s="47"/>
      <c r="AM9" s="47"/>
      <c r="AN9" s="44"/>
      <c r="AO9" s="45" t="s">
        <v>22</v>
      </c>
    </row>
    <row r="10" spans="1:58" ht="15.75" x14ac:dyDescent="0.25">
      <c r="F10" s="26"/>
      <c r="G10" s="27" t="s">
        <v>63</v>
      </c>
      <c r="H10" s="21"/>
      <c r="I10" s="27"/>
      <c r="J10" s="23"/>
      <c r="K10" s="23"/>
      <c r="L10" s="24"/>
      <c r="M10" s="25"/>
      <c r="O10" s="25"/>
      <c r="P10" s="28" t="s">
        <v>64</v>
      </c>
      <c r="Q10" s="28"/>
      <c r="R10" s="24"/>
      <c r="S10" s="24"/>
      <c r="T10" s="24"/>
      <c r="U10" s="24" t="s">
        <v>83</v>
      </c>
      <c r="V10" s="24"/>
      <c r="W10" s="24"/>
      <c r="X10" s="24"/>
      <c r="Y10" s="28" t="s">
        <v>65</v>
      </c>
      <c r="Z10" s="24"/>
      <c r="AF10" s="38" t="s">
        <v>76</v>
      </c>
      <c r="AG10" s="39"/>
      <c r="AH10" s="39"/>
      <c r="AI10" s="40" t="s">
        <v>17</v>
      </c>
      <c r="AJ10" s="41"/>
      <c r="AK10" s="46" t="s">
        <v>77</v>
      </c>
      <c r="AL10" s="47"/>
      <c r="AM10" s="47"/>
      <c r="AN10" s="44"/>
      <c r="AO10" s="45" t="s">
        <v>23</v>
      </c>
    </row>
    <row r="11" spans="1:58" ht="17.25" x14ac:dyDescent="0.25">
      <c r="F11" s="29"/>
      <c r="G11" s="23"/>
      <c r="H11" s="23"/>
      <c r="I11" s="23"/>
      <c r="J11" s="23"/>
      <c r="K11" s="23"/>
      <c r="L11" s="23"/>
      <c r="M11" s="30"/>
      <c r="O11" s="30"/>
      <c r="P11" s="30"/>
      <c r="Q11" s="23"/>
      <c r="R11" s="23"/>
      <c r="S11" s="31"/>
      <c r="T11" s="31"/>
      <c r="U11" s="31"/>
      <c r="V11" s="31"/>
      <c r="W11" s="31"/>
      <c r="X11" s="31"/>
      <c r="Y11" s="32"/>
      <c r="Z11" s="32"/>
      <c r="AF11" s="38" t="s">
        <v>78</v>
      </c>
      <c r="AG11" s="39"/>
      <c r="AH11" s="39"/>
      <c r="AI11" s="40" t="s">
        <v>18</v>
      </c>
      <c r="AJ11" s="41"/>
      <c r="AK11" s="42" t="s">
        <v>79</v>
      </c>
      <c r="AL11" s="43"/>
      <c r="AM11" s="43"/>
      <c r="AN11" s="44"/>
      <c r="AO11" s="45" t="s">
        <v>24</v>
      </c>
    </row>
    <row r="12" spans="1:58" ht="17.25" x14ac:dyDescent="0.25">
      <c r="F12" s="29"/>
      <c r="G12" s="33"/>
      <c r="H12" s="23"/>
      <c r="I12" s="33"/>
      <c r="J12" s="23"/>
      <c r="K12" s="23"/>
      <c r="L12" s="33" t="s">
        <v>83</v>
      </c>
      <c r="M12" s="34"/>
      <c r="O12" s="34"/>
      <c r="P12" s="30"/>
      <c r="Q12" s="23"/>
      <c r="R12" s="33"/>
      <c r="S12" s="24"/>
      <c r="T12" s="23"/>
      <c r="U12" s="23"/>
      <c r="V12" s="23"/>
      <c r="W12" s="23"/>
      <c r="X12" s="23"/>
      <c r="Y12" s="35"/>
      <c r="Z12" s="35"/>
      <c r="AF12" s="38" t="s">
        <v>80</v>
      </c>
      <c r="AG12" s="39"/>
      <c r="AH12" s="39"/>
      <c r="AI12" s="40" t="s">
        <v>19</v>
      </c>
      <c r="AJ12" s="41"/>
      <c r="AK12" s="42" t="s">
        <v>81</v>
      </c>
      <c r="AL12" s="43"/>
      <c r="AM12" s="43"/>
      <c r="AN12" s="44"/>
      <c r="AO12" s="45" t="s">
        <v>25</v>
      </c>
    </row>
    <row r="13" spans="1:58" ht="17.25" x14ac:dyDescent="0.25">
      <c r="F13" s="36"/>
      <c r="G13" s="33"/>
      <c r="H13" s="23"/>
      <c r="I13" s="33"/>
      <c r="J13" s="23"/>
      <c r="K13" s="23"/>
      <c r="L13" s="33"/>
      <c r="M13" s="34"/>
      <c r="O13" s="34"/>
      <c r="P13" s="30"/>
      <c r="Q13" s="24"/>
      <c r="R13" s="33"/>
      <c r="S13" s="24"/>
      <c r="T13" s="23"/>
      <c r="U13" s="23"/>
      <c r="V13" s="23"/>
      <c r="W13" s="23"/>
      <c r="X13" s="23"/>
      <c r="Y13" s="35"/>
      <c r="Z13" s="35"/>
      <c r="AF13" s="38" t="s">
        <v>82</v>
      </c>
      <c r="AG13" s="39"/>
      <c r="AH13" s="39"/>
      <c r="AI13" s="40" t="s">
        <v>20</v>
      </c>
      <c r="AJ13" s="41"/>
      <c r="AK13" s="41"/>
      <c r="AL13" s="41"/>
      <c r="AM13" s="41"/>
      <c r="AN13" s="41"/>
      <c r="AO13" s="41"/>
    </row>
    <row r="14" spans="1:58" ht="17.25" x14ac:dyDescent="0.25">
      <c r="F14" s="85" t="s">
        <v>66</v>
      </c>
      <c r="G14" s="37"/>
      <c r="H14" s="26"/>
      <c r="I14" s="85"/>
      <c r="J14" s="81"/>
      <c r="K14" s="81"/>
      <c r="L14" s="80"/>
      <c r="M14" s="83"/>
      <c r="O14" s="82"/>
      <c r="P14" s="86" t="s">
        <v>67</v>
      </c>
      <c r="Q14" s="81"/>
      <c r="R14" s="22"/>
      <c r="S14" s="81"/>
      <c r="T14" s="81"/>
      <c r="U14" s="81"/>
      <c r="V14" s="81"/>
      <c r="W14" s="81"/>
      <c r="X14" s="81"/>
      <c r="Y14" s="86" t="s">
        <v>68</v>
      </c>
      <c r="Z14" s="84"/>
    </row>
    <row r="15" spans="1:58" ht="17.25" x14ac:dyDescent="0.25">
      <c r="F15" s="85"/>
      <c r="G15" s="85" t="s">
        <v>69</v>
      </c>
      <c r="H15" s="79"/>
      <c r="I15" s="79"/>
      <c r="J15" s="81"/>
      <c r="K15" s="81"/>
      <c r="L15" s="86"/>
      <c r="M15" s="87"/>
      <c r="O15" s="87"/>
      <c r="P15" s="86" t="s">
        <v>70</v>
      </c>
      <c r="Q15" s="86"/>
      <c r="R15" s="22"/>
      <c r="S15" s="86"/>
      <c r="T15" s="81"/>
      <c r="U15" s="81"/>
      <c r="V15" s="81"/>
      <c r="W15" s="81"/>
      <c r="X15" s="81"/>
      <c r="Y15" s="86" t="s">
        <v>71</v>
      </c>
      <c r="Z15" s="84"/>
    </row>
    <row r="18" spans="1:58" ht="15.75" x14ac:dyDescent="0.25">
      <c r="K18" s="22"/>
      <c r="N18" s="23"/>
    </row>
    <row r="23" spans="1:58" x14ac:dyDescent="0.25">
      <c r="J23" t="s">
        <v>83</v>
      </c>
    </row>
    <row r="27" spans="1:58" ht="22.5" customHeight="1" x14ac:dyDescent="0.25">
      <c r="A27" s="7">
        <v>20</v>
      </c>
      <c r="B27" s="8" t="s">
        <v>53</v>
      </c>
      <c r="C27" s="49" t="s">
        <v>54</v>
      </c>
      <c r="D27" s="71">
        <v>45764</v>
      </c>
      <c r="E27" s="70">
        <v>0.34513888888888888</v>
      </c>
      <c r="F27" s="70">
        <v>0.82986111111111116</v>
      </c>
      <c r="G27" s="70">
        <v>0.33888888888888885</v>
      </c>
      <c r="H27" s="70">
        <v>0.82847222222222217</v>
      </c>
      <c r="I27" s="74">
        <v>0.56944444444444442</v>
      </c>
      <c r="J27" s="74">
        <v>0.82291666666666663</v>
      </c>
      <c r="K27" s="70">
        <v>0.34513888888888888</v>
      </c>
      <c r="L27" s="70">
        <v>0.83263888888888893</v>
      </c>
      <c r="M27" s="70">
        <v>0.34375</v>
      </c>
      <c r="N27" s="70">
        <v>0.91041666666666676</v>
      </c>
      <c r="O27" s="70">
        <v>0.3430555555555555</v>
      </c>
      <c r="P27" s="70">
        <v>0.9555555555555556</v>
      </c>
      <c r="Q27" s="70">
        <v>0.34652777777777777</v>
      </c>
      <c r="R27" s="70">
        <v>0.83124999999999993</v>
      </c>
      <c r="S27" s="70">
        <v>0.3430555555555555</v>
      </c>
      <c r="T27" s="70">
        <v>0.74930555555555556</v>
      </c>
      <c r="U27" s="70">
        <v>0.34097222222222223</v>
      </c>
      <c r="V27" s="70">
        <v>0.92986111111111114</v>
      </c>
      <c r="W27" s="73" t="s">
        <v>15</v>
      </c>
      <c r="X27" s="73" t="s">
        <v>15</v>
      </c>
      <c r="Y27" s="70">
        <v>0.34513888888888888</v>
      </c>
      <c r="Z27" s="70">
        <v>0.87847222222222221</v>
      </c>
      <c r="AA27" s="70">
        <v>0.3444444444444445</v>
      </c>
      <c r="AB27" s="70">
        <v>0.85902777777777783</v>
      </c>
      <c r="AC27" s="70">
        <v>0.3444444444444445</v>
      </c>
      <c r="AD27" s="70">
        <v>0.85</v>
      </c>
      <c r="AE27" s="51">
        <f>AG27+AH27+AI27+AJ27+AO27+AM27+AN27+AR27</f>
        <v>13</v>
      </c>
      <c r="AF27" s="52"/>
      <c r="AG27" s="14">
        <f>COUNT(E27:AD27)/2+COUNT(#REF!)/2</f>
        <v>12</v>
      </c>
      <c r="AH27" s="15">
        <f>COUNTIF(B27:AD27,"OFF")/2</f>
        <v>1</v>
      </c>
      <c r="AI27" s="15">
        <f>COUNTIF(B27:AD27,"MC")/2</f>
        <v>0</v>
      </c>
      <c r="AJ27" s="15">
        <f>COUNTIF(B27:AD27,"EL")/2</f>
        <v>0</v>
      </c>
      <c r="AK27" s="15">
        <f>COUNTIF(B27:AD27,"AL")/2</f>
        <v>0</v>
      </c>
      <c r="AL27" s="15">
        <f>COUNTIF(B27:AD27,"SUS")/2</f>
        <v>0</v>
      </c>
      <c r="AM27" s="15">
        <f>COUNTIF(B27:AD27,"FL")/2</f>
        <v>0</v>
      </c>
      <c r="AN27" s="15">
        <f>COUNTIF(B27:AD27,"SICK")/2</f>
        <v>0</v>
      </c>
      <c r="AO27" s="15">
        <f>COUNTIF(B27:AD27,"HD")/2</f>
        <v>0</v>
      </c>
      <c r="AP27" s="15">
        <f>COUNTIF(B27:AD27,"AB")/2</f>
        <v>0</v>
      </c>
      <c r="AQ27" s="15">
        <f>COUNTIF(B27:AD27,"NL")/2</f>
        <v>0</v>
      </c>
      <c r="AR27" s="15">
        <f>COUNTIF(B27:AD27,"SP")/2</f>
        <v>0</v>
      </c>
      <c r="AS27" s="16"/>
      <c r="AV27" s="58">
        <v>0</v>
      </c>
      <c r="AW27" s="58">
        <v>0</v>
      </c>
      <c r="AX27" s="58">
        <v>0</v>
      </c>
      <c r="AY27" s="58">
        <v>0</v>
      </c>
      <c r="AZ27" s="58">
        <v>0</v>
      </c>
      <c r="BA27" s="58">
        <v>0</v>
      </c>
      <c r="BB27" s="58">
        <v>0</v>
      </c>
      <c r="BC27" s="58">
        <v>0</v>
      </c>
      <c r="BD27" s="58">
        <v>0</v>
      </c>
      <c r="BE27" s="58">
        <v>0</v>
      </c>
      <c r="BF27" s="62">
        <f>SUM(AV27:BE27)</f>
        <v>0</v>
      </c>
    </row>
    <row r="28" spans="1:58" ht="22.5" customHeight="1" x14ac:dyDescent="0.25">
      <c r="A28" s="7">
        <v>16</v>
      </c>
      <c r="B28" s="8" t="s">
        <v>48</v>
      </c>
      <c r="C28" s="49" t="s">
        <v>49</v>
      </c>
      <c r="D28" s="71">
        <v>45616</v>
      </c>
      <c r="E28" s="77">
        <v>0.57847222222222217</v>
      </c>
      <c r="F28" s="77">
        <v>0.57847222222222217</v>
      </c>
      <c r="G28" s="70">
        <v>0.33749999999999997</v>
      </c>
      <c r="H28" s="72">
        <v>1</v>
      </c>
      <c r="I28" s="70">
        <v>0.34027777777777773</v>
      </c>
      <c r="J28" s="70">
        <v>0.87361111111111101</v>
      </c>
      <c r="K28" s="70">
        <v>0.3263888888888889</v>
      </c>
      <c r="L28" s="72">
        <v>1</v>
      </c>
      <c r="M28" s="70">
        <v>0.3215277777777778</v>
      </c>
      <c r="N28" s="70">
        <v>0.86458333333333337</v>
      </c>
      <c r="O28" s="70">
        <v>0.3354166666666667</v>
      </c>
      <c r="P28" s="70">
        <v>0.82013888888888886</v>
      </c>
      <c r="Q28" s="70">
        <v>0.32916666666666666</v>
      </c>
      <c r="R28" s="70">
        <v>0.32916666666666666</v>
      </c>
      <c r="S28" s="72" t="s">
        <v>15</v>
      </c>
      <c r="T28" s="72" t="s">
        <v>15</v>
      </c>
      <c r="U28" s="70">
        <v>0.34166666666666662</v>
      </c>
      <c r="V28" s="72">
        <v>1</v>
      </c>
      <c r="W28" s="70">
        <v>0.32500000000000001</v>
      </c>
      <c r="X28" s="70">
        <v>0.84861111111111109</v>
      </c>
      <c r="Y28" s="70">
        <v>0.31111111111111112</v>
      </c>
      <c r="Z28" s="70">
        <v>0.84375</v>
      </c>
      <c r="AA28" s="70">
        <v>0.32847222222222222</v>
      </c>
      <c r="AB28" s="70">
        <v>0.32847222222222222</v>
      </c>
      <c r="AC28" s="70">
        <v>0.32916666666666666</v>
      </c>
      <c r="AD28" s="70">
        <v>0.86041666666666661</v>
      </c>
      <c r="AE28" s="51">
        <f t="shared" ref="AE28" si="2">AG28+AH28+AI28+AJ28+AO28+AM28+AN28+AR28</f>
        <v>13</v>
      </c>
      <c r="AF28" s="52">
        <v>3</v>
      </c>
      <c r="AG28" s="14">
        <f>COUNT(E28:AD28)/2+COUNT(#REF!)/2</f>
        <v>12</v>
      </c>
      <c r="AH28" s="15">
        <f>COUNTIF(B28:AD28,"OFF")/2</f>
        <v>1</v>
      </c>
      <c r="AI28" s="15">
        <f>COUNTIF(B28:AD28,"MC")/2</f>
        <v>0</v>
      </c>
      <c r="AJ28" s="15">
        <f>COUNTIF(B28:AD28,"EL")/2</f>
        <v>0</v>
      </c>
      <c r="AK28" s="15">
        <f>COUNTIF(B28:AD28,"AL")/2</f>
        <v>0</v>
      </c>
      <c r="AL28" s="15">
        <f>COUNTIF(B28:AD28,"SUS")/2</f>
        <v>0</v>
      </c>
      <c r="AM28" s="15">
        <f>COUNTIF(B28:AD28,"FL")/2</f>
        <v>0</v>
      </c>
      <c r="AN28" s="15">
        <f>COUNTIF(B28:AD28,"SICK")/2</f>
        <v>0</v>
      </c>
      <c r="AO28" s="15">
        <f>COUNTIF(B28:AD28,"HD")/2</f>
        <v>0</v>
      </c>
      <c r="AP28" s="15">
        <f>COUNTIF(B28:AD28,"AB")/2</f>
        <v>0</v>
      </c>
      <c r="AQ28" s="15">
        <f>COUNTIF(B28:AD28,"NL")/2</f>
        <v>0</v>
      </c>
      <c r="AR28" s="15">
        <f>COUNTIF(B28:AD28,"SP")/2</f>
        <v>0</v>
      </c>
      <c r="AS28" s="16"/>
      <c r="AV28" s="59">
        <v>0</v>
      </c>
      <c r="AW28" s="59">
        <v>0</v>
      </c>
      <c r="AX28" s="59">
        <v>1</v>
      </c>
      <c r="AY28" s="60">
        <v>0</v>
      </c>
      <c r="AZ28" s="60">
        <v>0</v>
      </c>
      <c r="BA28" s="59">
        <v>6</v>
      </c>
      <c r="BB28" s="60">
        <v>0</v>
      </c>
      <c r="BC28" s="60">
        <v>1</v>
      </c>
      <c r="BD28" s="60">
        <v>0</v>
      </c>
      <c r="BE28" s="60">
        <v>0</v>
      </c>
      <c r="BF28" s="61">
        <f t="shared" ref="BF28" si="3">SUM(AV28:BE28)</f>
        <v>8</v>
      </c>
    </row>
    <row r="29" spans="1:58" ht="22.5" customHeight="1" x14ac:dyDescent="0.25">
      <c r="A29" s="7">
        <v>5</v>
      </c>
      <c r="B29" s="8" t="str">
        <f>'[1]Hulhumale Staffs_ Sep 2025'!B8</f>
        <v>MAD0457</v>
      </c>
      <c r="C29" s="98" t="s">
        <v>30</v>
      </c>
      <c r="D29" s="108">
        <v>44887</v>
      </c>
      <c r="E29" s="64">
        <v>0.32430555555555557</v>
      </c>
      <c r="F29" s="64">
        <v>7.6388888888888886E-3</v>
      </c>
      <c r="G29" s="64">
        <v>0.33888888888888885</v>
      </c>
      <c r="H29" s="89">
        <v>1</v>
      </c>
      <c r="I29" s="64">
        <v>0.32569444444444445</v>
      </c>
      <c r="J29" s="64">
        <v>0.58958333333333335</v>
      </c>
      <c r="K29" s="72" t="s">
        <v>18</v>
      </c>
      <c r="L29" s="72" t="s">
        <v>18</v>
      </c>
      <c r="M29" s="72" t="s">
        <v>18</v>
      </c>
      <c r="N29" s="72" t="s">
        <v>18</v>
      </c>
      <c r="S29" s="64"/>
      <c r="T29" s="64"/>
      <c r="U29" s="64"/>
      <c r="V29" s="64"/>
      <c r="W29" s="64"/>
      <c r="X29" s="64"/>
      <c r="Y29" s="64"/>
      <c r="Z29" s="64"/>
      <c r="AA29" s="90"/>
      <c r="AB29" s="90"/>
      <c r="AC29" s="64"/>
      <c r="AD29" s="64"/>
      <c r="AE29" s="13">
        <f>AG29+AH29+AI29+AJ29+AO29+AM29+AN29+AR29</f>
        <v>3</v>
      </c>
      <c r="AF29" s="68"/>
      <c r="AG29" s="14">
        <f>COUNT(E29:AD29)/2+COUNT(#REF!)/2</f>
        <v>3</v>
      </c>
      <c r="AH29" s="2">
        <f>COUNTIF(E29:AD29,"OFF")/2</f>
        <v>0</v>
      </c>
      <c r="AI29" s="15">
        <f>COUNTIF(B29:AD29,"MC")/2</f>
        <v>0</v>
      </c>
      <c r="AJ29" s="15">
        <f>COUNTIF(B29:AD29,"EL")/2</f>
        <v>0</v>
      </c>
      <c r="AK29" s="15">
        <f>COUNTIF(B29:AD29,"AL")/2</f>
        <v>2</v>
      </c>
      <c r="AL29" s="15">
        <f>COUNTIF(B29:AD29,"SUS")/2</f>
        <v>0</v>
      </c>
      <c r="AM29" s="15">
        <f>COUNTIF(B29:AD29,"FL")/2</f>
        <v>0</v>
      </c>
      <c r="AN29" s="15">
        <f>COUNTIF(B29:AD29,"SICK")/2</f>
        <v>0</v>
      </c>
      <c r="AO29" s="15">
        <f>COUNTIF(B29:AD29,"HD")/2</f>
        <v>0</v>
      </c>
      <c r="AP29" s="15">
        <f>COUNTIF(B29:AD29,"AB")/2</f>
        <v>0</v>
      </c>
      <c r="AQ29" s="15">
        <f>COUNTIF(B29:AD29,"NL")/2</f>
        <v>0</v>
      </c>
      <c r="AR29" s="15">
        <f>COUNTIF(B29:AD29,"SP")/2</f>
        <v>0</v>
      </c>
      <c r="AS29" s="67"/>
      <c r="AV29" s="58">
        <v>0</v>
      </c>
      <c r="AW29" s="58">
        <v>0</v>
      </c>
      <c r="AX29" s="58">
        <v>0</v>
      </c>
      <c r="AY29" s="58">
        <v>0</v>
      </c>
      <c r="AZ29" s="58">
        <v>0</v>
      </c>
      <c r="BA29" s="58">
        <v>0</v>
      </c>
      <c r="BB29" s="58">
        <v>0</v>
      </c>
      <c r="BC29" s="58">
        <v>0</v>
      </c>
      <c r="BD29" s="58">
        <v>0</v>
      </c>
      <c r="BE29" s="58">
        <v>0</v>
      </c>
      <c r="BF29" s="62">
        <f>SUM(AV29:BE29)</f>
        <v>0</v>
      </c>
    </row>
  </sheetData>
  <mergeCells count="32">
    <mergeCell ref="AV2:BE2"/>
    <mergeCell ref="E3:F3"/>
    <mergeCell ref="G3:H3"/>
    <mergeCell ref="I3:J3"/>
    <mergeCell ref="K3:L3"/>
    <mergeCell ref="M3:N3"/>
    <mergeCell ref="O3:P3"/>
    <mergeCell ref="AC2:AD2"/>
    <mergeCell ref="Q2:R2"/>
    <mergeCell ref="S2:T2"/>
    <mergeCell ref="U2:V2"/>
    <mergeCell ref="W2:X2"/>
    <mergeCell ref="Y2:Z2"/>
    <mergeCell ref="AA2:AB2"/>
    <mergeCell ref="AC3:AD3"/>
    <mergeCell ref="Q3:R3"/>
    <mergeCell ref="A1:AD1"/>
    <mergeCell ref="AE1:AS1"/>
    <mergeCell ref="A2:C3"/>
    <mergeCell ref="E2:F2"/>
    <mergeCell ref="G2:H2"/>
    <mergeCell ref="I2:J2"/>
    <mergeCell ref="K2:L2"/>
    <mergeCell ref="M2:N2"/>
    <mergeCell ref="O2:P2"/>
    <mergeCell ref="AE2:AE4"/>
    <mergeCell ref="AF2:AF4"/>
    <mergeCell ref="S3:T3"/>
    <mergeCell ref="U3:V3"/>
    <mergeCell ref="W3:X3"/>
    <mergeCell ref="Y3:Z3"/>
    <mergeCell ref="AA3:AB3"/>
  </mergeCells>
  <conditionalFormatting sqref="A2">
    <cfRule type="cellIs" dxfId="206" priority="469" stopIfTrue="1" operator="equal">
      <formula>";"</formula>
    </cfRule>
  </conditionalFormatting>
  <conditionalFormatting sqref="C7:C1048576 C1:C5">
    <cfRule type="duplicateValues" dxfId="205" priority="471"/>
  </conditionalFormatting>
  <conditionalFormatting sqref="C7:C1048576">
    <cfRule type="duplicateValues" dxfId="204" priority="472"/>
  </conditionalFormatting>
  <conditionalFormatting sqref="D5 D27:D28">
    <cfRule type="timePeriod" dxfId="203" priority="379" timePeriod="last7Days">
      <formula>AND(TODAY()-FLOOR(D5,1)&lt;=6,FLOOR(D5,1)&lt;=TODAY())</formula>
    </cfRule>
    <cfRule type="timePeriod" dxfId="202" priority="378" timePeriod="thisWeek">
      <formula>AND(TODAY()-ROUNDDOWN(D5,0)&lt;=WEEKDAY(TODAY())-1,ROUNDDOWN(D5,0)-TODAY()&lt;=7-WEEKDAY(TODAY()))</formula>
    </cfRule>
  </conditionalFormatting>
  <conditionalFormatting sqref="D5 D27:D29">
    <cfRule type="timePeriod" dxfId="201" priority="381" timePeriod="nextWeek">
      <formula>AND(ROUNDDOWN(D5,0)-TODAY()&gt;(7-WEEKDAY(TODAY())),ROUNDDOWN(D5,0)-TODAY()&lt;(15-WEEKDAY(TODAY())))</formula>
    </cfRule>
  </conditionalFormatting>
  <conditionalFormatting sqref="D5">
    <cfRule type="timePeriod" priority="380" timePeriod="nextWeek">
      <formula>AND(ROUNDDOWN(D5,0)-TODAY()&gt;(7-WEEKDAY(TODAY())),ROUNDDOWN(D5,0)-TODAY()&lt;(15-WEEKDAY(TODAY())))</formula>
    </cfRule>
  </conditionalFormatting>
  <conditionalFormatting sqref="D27:D29">
    <cfRule type="timePeriod" priority="123" timePeriod="nextWeek">
      <formula>AND(ROUNDDOWN(D27,0)-TODAY()&gt;(7-WEEKDAY(TODAY())),ROUNDDOWN(D27,0)-TODAY()&lt;(15-WEEKDAY(TODAY())))</formula>
    </cfRule>
  </conditionalFormatting>
  <conditionalFormatting sqref="K29:N29">
    <cfRule type="containsText" dxfId="200" priority="119" operator="containsText" text="SICK">
      <formula>NOT(ISERROR(SEARCH("SICK",K29)))</formula>
    </cfRule>
    <cfRule type="containsText" dxfId="199" priority="120" operator="containsText" text="AL">
      <formula>NOT(ISERROR(SEARCH("AL",K29)))</formula>
    </cfRule>
    <cfRule type="containsText" dxfId="198" priority="111" operator="containsText" text="EL">
      <formula>NOT(ISERROR(SEARCH("EL",K29)))</formula>
    </cfRule>
    <cfRule type="containsText" dxfId="197" priority="112" operator="containsText" text="SP">
      <formula>NOT(ISERROR(SEARCH("SP",K29)))</formula>
    </cfRule>
    <cfRule type="containsText" dxfId="196" priority="113" operator="containsText" text="NL">
      <formula>NOT(ISERROR(SEARCH("NL",K29)))</formula>
    </cfRule>
    <cfRule type="containsText" dxfId="195" priority="114" operator="containsText" text="MC">
      <formula>NOT(ISERROR(SEARCH("MC",K29)))</formula>
    </cfRule>
    <cfRule type="containsText" dxfId="194" priority="115" operator="containsText" text="SUS">
      <formula>NOT(ISERROR(SEARCH("SUS",K29)))</formula>
    </cfRule>
    <cfRule type="containsText" dxfId="193" priority="116" operator="containsText" text="FL">
      <formula>NOT(ISERROR(SEARCH("FL",K29)))</formula>
    </cfRule>
    <cfRule type="containsText" dxfId="192" priority="117" operator="containsText" text="OFF">
      <formula>NOT(ISERROR(SEARCH("OFF",K29)))</formula>
    </cfRule>
    <cfRule type="containsText" dxfId="191" priority="118" operator="containsText" text="AB">
      <formula>NOT(ISERROR(SEARCH("AB",K29)))</formula>
    </cfRule>
  </conditionalFormatting>
  <conditionalFormatting sqref="S28:T28">
    <cfRule type="containsText" dxfId="190" priority="374" operator="containsText" text="AB">
      <formula>NOT(ISERROR(SEARCH("AB",S28)))</formula>
    </cfRule>
    <cfRule type="containsText" dxfId="189" priority="375" operator="containsText" text="SICK">
      <formula>NOT(ISERROR(SEARCH("SICK",S28)))</formula>
    </cfRule>
    <cfRule type="containsText" dxfId="188" priority="376" operator="containsText" text="AL">
      <formula>NOT(ISERROR(SEARCH("AL",S28)))</formula>
    </cfRule>
    <cfRule type="containsText" dxfId="187" priority="367" operator="containsText" text="EL">
      <formula>NOT(ISERROR(SEARCH("EL",S28)))</formula>
    </cfRule>
    <cfRule type="containsText" dxfId="186" priority="368" operator="containsText" text="SP">
      <formula>NOT(ISERROR(SEARCH("SP",S28)))</formula>
    </cfRule>
    <cfRule type="containsText" dxfId="185" priority="369" operator="containsText" text="NL">
      <formula>NOT(ISERROR(SEARCH("NL",S28)))</formula>
    </cfRule>
    <cfRule type="containsText" dxfId="184" priority="370" operator="containsText" text="MC">
      <formula>NOT(ISERROR(SEARCH("MC",S28)))</formula>
    </cfRule>
    <cfRule type="containsText" dxfId="183" priority="371" operator="containsText" text="SUS">
      <formula>NOT(ISERROR(SEARCH("SUS",S28)))</formula>
    </cfRule>
    <cfRule type="containsText" dxfId="182" priority="372" operator="containsText" text="FL">
      <formula>NOT(ISERROR(SEARCH("FL",S28)))</formula>
    </cfRule>
    <cfRule type="containsText" dxfId="181" priority="373" operator="containsText" text="OFF">
      <formula>NOT(ISERROR(SEARCH("OFF",S28)))</formula>
    </cfRule>
  </conditionalFormatting>
  <conditionalFormatting sqref="W5:X5">
    <cfRule type="containsText" dxfId="180" priority="2" operator="containsText" text="SP">
      <formula>NOT(ISERROR(SEARCH("SP",W5)))</formula>
    </cfRule>
    <cfRule type="containsText" dxfId="179" priority="3" operator="containsText" text="NL">
      <formula>NOT(ISERROR(SEARCH("NL",W5)))</formula>
    </cfRule>
    <cfRule type="containsText" dxfId="178" priority="4" operator="containsText" text="MC">
      <formula>NOT(ISERROR(SEARCH("MC",W5)))</formula>
    </cfRule>
    <cfRule type="containsText" dxfId="177" priority="10" operator="containsText" text="AL">
      <formula>NOT(ISERROR(SEARCH("AL",W5)))</formula>
    </cfRule>
    <cfRule type="containsText" dxfId="176" priority="6" operator="containsText" text="FL">
      <formula>NOT(ISERROR(SEARCH("FL",W5)))</formula>
    </cfRule>
    <cfRule type="containsText" dxfId="175" priority="1" operator="containsText" text="EL">
      <formula>NOT(ISERROR(SEARCH("EL",W5)))</formula>
    </cfRule>
    <cfRule type="containsText" dxfId="174" priority="9" operator="containsText" text="SICK">
      <formula>NOT(ISERROR(SEARCH("SICK",W5)))</formula>
    </cfRule>
    <cfRule type="containsText" dxfId="173" priority="8" operator="containsText" text="AB">
      <formula>NOT(ISERROR(SEARCH("AB",W5)))</formula>
    </cfRule>
    <cfRule type="containsText" dxfId="172" priority="7" operator="containsText" text="OFF">
      <formula>NOT(ISERROR(SEARCH("OFF",W5)))</formula>
    </cfRule>
    <cfRule type="containsText" dxfId="171" priority="5" operator="containsText" text="SUS">
      <formula>NOT(ISERROR(SEARCH("SUS",W5)))</formula>
    </cfRule>
  </conditionalFormatting>
  <conditionalFormatting sqref="AF5">
    <cfRule type="cellIs" dxfId="170" priority="470" operator="equal">
      <formula>";"</formula>
    </cfRule>
  </conditionalFormatting>
  <conditionalFormatting sqref="AF27:AF28">
    <cfRule type="cellIs" dxfId="169" priority="377" operator="equal">
      <formula>";"</formula>
    </cfRule>
  </conditionalFormatting>
  <conditionalFormatting sqref="AF29">
    <cfRule type="containsText" dxfId="168" priority="467" operator="containsText" text="AB">
      <formula>NOT(ISERROR(SEARCH("AB",AF29)))</formula>
    </cfRule>
    <cfRule type="containsText" dxfId="167" priority="468" operator="containsText" text="SICK">
      <formula>NOT(ISERROR(SEARCH("SICK",AF29)))</formula>
    </cfRule>
  </conditionalFormatting>
  <conditionalFormatting sqref="AH4:AN4">
    <cfRule type="containsText" dxfId="166" priority="438" operator="containsText" text="NL">
      <formula>NOT(ISERROR(SEARCH("NL",AH4)))</formula>
    </cfRule>
    <cfRule type="containsText" dxfId="165" priority="439" operator="containsText" text="MC">
      <formula>NOT(ISERROR(SEARCH("MC",AH4)))</formula>
    </cfRule>
    <cfRule type="containsText" dxfId="164" priority="440" operator="containsText" text="SUS">
      <formula>NOT(ISERROR(SEARCH("SUS",AH4)))</formula>
    </cfRule>
    <cfRule type="containsText" dxfId="163" priority="441" operator="containsText" text="FL">
      <formula>NOT(ISERROR(SEARCH("FL",AH4)))</formula>
    </cfRule>
    <cfRule type="containsText" dxfId="162" priority="443" operator="containsText" text="AB">
      <formula>NOT(ISERROR(SEARCH("AB",AH4)))</formula>
    </cfRule>
    <cfRule type="containsText" dxfId="161" priority="444" operator="containsText" text="SICK">
      <formula>NOT(ISERROR(SEARCH("SICK",AH4)))</formula>
    </cfRule>
    <cfRule type="containsText" dxfId="160" priority="445" operator="containsText" text="AL">
      <formula>NOT(ISERROR(SEARCH("AL",AH4)))</formula>
    </cfRule>
    <cfRule type="containsText" dxfId="159" priority="442" operator="containsText" text="OFF">
      <formula>NOT(ISERROR(SEARCH("OFF",AH4)))</formula>
    </cfRule>
    <cfRule type="containsText" dxfId="158" priority="436" operator="containsText" text="EL">
      <formula>NOT(ISERROR(SEARCH("EL",AH4)))</formula>
    </cfRule>
    <cfRule type="containsText" dxfId="157" priority="437" operator="containsText" text="SP">
      <formula>NOT(ISERROR(SEARCH("SP",AH4)))</formula>
    </cfRule>
  </conditionalFormatting>
  <conditionalFormatting sqref="AP4">
    <cfRule type="containsText" dxfId="156" priority="420" operator="containsText" text="NL">
      <formula>NOT(ISERROR(SEARCH("NL",AP4)))</formula>
    </cfRule>
    <cfRule type="containsText" dxfId="155" priority="421" operator="containsText" text="MC">
      <formula>NOT(ISERROR(SEARCH("MC",AP4)))</formula>
    </cfRule>
    <cfRule type="containsText" dxfId="154" priority="422" operator="containsText" text="SUS">
      <formula>NOT(ISERROR(SEARCH("SUS",AP4)))</formula>
    </cfRule>
    <cfRule type="containsText" dxfId="153" priority="423" operator="containsText" text="FL">
      <formula>NOT(ISERROR(SEARCH("FL",AP4)))</formula>
    </cfRule>
    <cfRule type="containsText" dxfId="152" priority="424" operator="containsText" text="OFF">
      <formula>NOT(ISERROR(SEARCH("OFF",AP4)))</formula>
    </cfRule>
    <cfRule type="containsText" dxfId="151" priority="426" operator="containsText" text="SICK">
      <formula>NOT(ISERROR(SEARCH("SICK",AP4)))</formula>
    </cfRule>
    <cfRule type="containsText" dxfId="150" priority="427" operator="containsText" text="AL">
      <formula>NOT(ISERROR(SEARCH("AL",AP4)))</formula>
    </cfRule>
    <cfRule type="containsText" dxfId="149" priority="425" operator="containsText" text="AB">
      <formula>NOT(ISERROR(SEARCH("AB",AP4)))</formula>
    </cfRule>
  </conditionalFormatting>
  <conditionalFormatting sqref="AP4:AQ4">
    <cfRule type="containsText" dxfId="148" priority="402" operator="containsText" text="SP">
      <formula>NOT(ISERROR(SEARCH("SP",AP4)))</formula>
    </cfRule>
  </conditionalFormatting>
  <conditionalFormatting sqref="AP4:AR4">
    <cfRule type="containsText" dxfId="147" priority="382" operator="containsText" text="EL">
      <formula>NOT(ISERROR(SEARCH("EL",AP4)))</formula>
    </cfRule>
  </conditionalFormatting>
  <conditionalFormatting sqref="AQ4">
    <cfRule type="containsText" dxfId="146" priority="408" operator="containsText" text="AB">
      <formula>NOT(ISERROR(SEARCH("AB",AQ4)))</formula>
    </cfRule>
    <cfRule type="containsText" dxfId="145" priority="409" operator="containsText" text="SICK">
      <formula>NOT(ISERROR(SEARCH("SICK",AQ4)))</formula>
    </cfRule>
    <cfRule type="containsText" dxfId="144" priority="410" operator="containsText" text="AL">
      <formula>NOT(ISERROR(SEARCH("AL",AQ4)))</formula>
    </cfRule>
    <cfRule type="containsText" dxfId="143" priority="404" operator="containsText" text="MC">
      <formula>NOT(ISERROR(SEARCH("MC",AQ4)))</formula>
    </cfRule>
    <cfRule type="containsText" dxfId="142" priority="403" operator="containsText" text="NL">
      <formula>NOT(ISERROR(SEARCH("NL",AQ4)))</formula>
    </cfRule>
    <cfRule type="containsText" dxfId="141" priority="405" operator="containsText" text="SUS">
      <formula>NOT(ISERROR(SEARCH("SUS",AQ4)))</formula>
    </cfRule>
    <cfRule type="containsText" dxfId="140" priority="406" operator="containsText" text="FL">
      <formula>NOT(ISERROR(SEARCH("FL",AQ4)))</formula>
    </cfRule>
    <cfRule type="containsText" dxfId="139" priority="407" operator="containsText" text="OFF">
      <formula>NOT(ISERROR(SEARCH("OFF",AQ4)))</formula>
    </cfRule>
  </conditionalFormatting>
  <conditionalFormatting sqref="AR4">
    <cfRule type="containsText" dxfId="138" priority="384" operator="containsText" text="NL">
      <formula>NOT(ISERROR(SEARCH("NL",AR4)))</formula>
    </cfRule>
    <cfRule type="containsText" dxfId="137" priority="386" operator="containsText" text="SUS">
      <formula>NOT(ISERROR(SEARCH("SUS",AR4)))</formula>
    </cfRule>
    <cfRule type="containsText" dxfId="136" priority="387" operator="containsText" text="FL">
      <formula>NOT(ISERROR(SEARCH("FL",AR4)))</formula>
    </cfRule>
    <cfRule type="containsText" dxfId="135" priority="388" operator="containsText" text="OFF">
      <formula>NOT(ISERROR(SEARCH("OFF",AR4)))</formula>
    </cfRule>
    <cfRule type="containsText" dxfId="134" priority="389" operator="containsText" text="AB">
      <formula>NOT(ISERROR(SEARCH("AB",AR4)))</formula>
    </cfRule>
    <cfRule type="containsText" dxfId="133" priority="390" operator="containsText" text="SICK">
      <formula>NOT(ISERROR(SEARCH("SICK",AR4)))</formula>
    </cfRule>
    <cfRule type="containsText" dxfId="132" priority="391" operator="containsText" text="AL">
      <formula>NOT(ISERROR(SEARCH("AL",AR4)))</formula>
    </cfRule>
    <cfRule type="containsText" dxfId="131" priority="385" operator="containsText" text="MC">
      <formula>NOT(ISERROR(SEARCH("MC",AR4)))</formula>
    </cfRule>
    <cfRule type="containsText" dxfId="130" priority="383" operator="containsText" text="SP">
      <formula>NOT(ISERROR(SEARCH("SP",AR4)))</formula>
    </cfRule>
  </conditionalFormatting>
  <pageMargins left="0.7" right="0.7" top="0.75" bottom="0.75" header="0.3" footer="0.3"/>
  <pageSetup paperSize="9" scale="3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7EDA-6FB4-4C73-A9B6-3A84DEB578F4}">
  <sheetPr>
    <pageSetUpPr fitToPage="1"/>
  </sheetPr>
  <dimension ref="A1:BF29"/>
  <sheetViews>
    <sheetView zoomScaleNormal="100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X10" sqref="X10:AA16"/>
    </sheetView>
  </sheetViews>
  <sheetFormatPr defaultRowHeight="15" x14ac:dyDescent="0.25"/>
  <cols>
    <col min="1" max="1" width="5" customWidth="1"/>
    <col min="2" max="2" width="10.85546875" style="18" customWidth="1"/>
    <col min="3" max="3" width="29.140625" customWidth="1"/>
    <col min="4" max="4" width="13.7109375" hidden="1" customWidth="1"/>
    <col min="5" max="30" width="6.42578125" customWidth="1"/>
    <col min="31" max="31" width="5" customWidth="1"/>
    <col min="32" max="44" width="5.140625" customWidth="1"/>
    <col min="45" max="45" width="12.7109375" customWidth="1"/>
    <col min="48" max="58" width="5.28515625" customWidth="1"/>
  </cols>
  <sheetData>
    <row r="1" spans="1:58" ht="24" customHeight="1" x14ac:dyDescent="0.25">
      <c r="A1" s="203" t="s">
        <v>111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</row>
    <row r="2" spans="1:58" ht="18.75" customHeight="1" x14ac:dyDescent="0.25">
      <c r="A2" s="204" t="s">
        <v>33</v>
      </c>
      <c r="B2" s="204"/>
      <c r="C2" s="204"/>
      <c r="D2" s="93"/>
      <c r="E2" s="206" t="s">
        <v>1</v>
      </c>
      <c r="F2" s="206"/>
      <c r="G2" s="206" t="s">
        <v>2</v>
      </c>
      <c r="H2" s="206"/>
      <c r="I2" s="206" t="s">
        <v>3</v>
      </c>
      <c r="J2" s="206"/>
      <c r="K2" s="206" t="s">
        <v>4</v>
      </c>
      <c r="L2" s="206"/>
      <c r="M2" s="206" t="s">
        <v>5</v>
      </c>
      <c r="N2" s="206"/>
      <c r="O2" s="206" t="s">
        <v>6</v>
      </c>
      <c r="P2" s="206"/>
      <c r="Q2" s="206" t="s">
        <v>7</v>
      </c>
      <c r="R2" s="206"/>
      <c r="S2" s="206" t="s">
        <v>1</v>
      </c>
      <c r="T2" s="206"/>
      <c r="U2" s="206" t="s">
        <v>2</v>
      </c>
      <c r="V2" s="206"/>
      <c r="W2" s="206" t="s">
        <v>3</v>
      </c>
      <c r="X2" s="206"/>
      <c r="Y2" s="206" t="s">
        <v>4</v>
      </c>
      <c r="Z2" s="206"/>
      <c r="AA2" s="206" t="s">
        <v>5</v>
      </c>
      <c r="AB2" s="206"/>
      <c r="AC2" s="206" t="s">
        <v>6</v>
      </c>
      <c r="AD2" s="206"/>
      <c r="AE2" s="197" t="s">
        <v>8</v>
      </c>
      <c r="AF2" s="197" t="s">
        <v>9</v>
      </c>
      <c r="AG2" s="12"/>
      <c r="AH2" s="12"/>
      <c r="AI2" s="12"/>
      <c r="AJ2" s="12"/>
      <c r="AK2" s="12"/>
      <c r="AL2" s="12"/>
      <c r="AM2" s="12"/>
      <c r="AN2" s="12"/>
      <c r="AO2" s="19"/>
      <c r="AP2" s="19"/>
      <c r="AQ2" s="12"/>
      <c r="AR2" s="20"/>
      <c r="AS2" s="20"/>
      <c r="AV2" s="198" t="s">
        <v>84</v>
      </c>
      <c r="AW2" s="198"/>
      <c r="AX2" s="198"/>
      <c r="AY2" s="198"/>
      <c r="AZ2" s="198"/>
      <c r="BA2" s="198"/>
      <c r="BB2" s="198"/>
      <c r="BC2" s="198"/>
      <c r="BD2" s="198"/>
      <c r="BE2" s="198"/>
      <c r="BF2" s="17"/>
    </row>
    <row r="3" spans="1:58" ht="18.75" customHeight="1" x14ac:dyDescent="0.25">
      <c r="A3" s="204"/>
      <c r="B3" s="204"/>
      <c r="C3" s="204"/>
      <c r="D3" s="93"/>
      <c r="E3" s="192">
        <v>46204</v>
      </c>
      <c r="F3" s="192"/>
      <c r="G3" s="192">
        <v>46205</v>
      </c>
      <c r="H3" s="192"/>
      <c r="I3" s="192">
        <v>46206</v>
      </c>
      <c r="J3" s="192"/>
      <c r="K3" s="192">
        <v>46207</v>
      </c>
      <c r="L3" s="192"/>
      <c r="M3" s="192">
        <v>46208</v>
      </c>
      <c r="N3" s="192"/>
      <c r="O3" s="192">
        <v>46209</v>
      </c>
      <c r="P3" s="192"/>
      <c r="Q3" s="192">
        <v>46210</v>
      </c>
      <c r="R3" s="192"/>
      <c r="S3" s="192">
        <v>46211</v>
      </c>
      <c r="T3" s="192"/>
      <c r="U3" s="192">
        <v>46212</v>
      </c>
      <c r="V3" s="192"/>
      <c r="W3" s="192">
        <v>46213</v>
      </c>
      <c r="X3" s="192"/>
      <c r="Y3" s="192">
        <v>46214</v>
      </c>
      <c r="Z3" s="192"/>
      <c r="AA3" s="192">
        <v>46215</v>
      </c>
      <c r="AB3" s="192"/>
      <c r="AC3" s="192">
        <v>46216</v>
      </c>
      <c r="AD3" s="192"/>
      <c r="AE3" s="197"/>
      <c r="AF3" s="197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V3" s="53" t="s">
        <v>101</v>
      </c>
      <c r="AW3" s="53"/>
      <c r="AX3" s="53"/>
      <c r="AY3" s="53"/>
      <c r="AZ3" s="53"/>
      <c r="BA3" s="53"/>
      <c r="BB3" s="53"/>
      <c r="BC3" s="53"/>
      <c r="BD3" s="53"/>
      <c r="BE3" s="53"/>
      <c r="BF3" s="17"/>
    </row>
    <row r="4" spans="1:58" ht="18.75" customHeight="1" x14ac:dyDescent="0.25">
      <c r="A4" s="4" t="s">
        <v>10</v>
      </c>
      <c r="B4" s="4" t="s">
        <v>11</v>
      </c>
      <c r="C4" s="4" t="s">
        <v>12</v>
      </c>
      <c r="D4" s="4"/>
      <c r="E4" s="10" t="s">
        <v>13</v>
      </c>
      <c r="F4" s="10" t="s">
        <v>14</v>
      </c>
      <c r="G4" s="10" t="s">
        <v>13</v>
      </c>
      <c r="H4" s="10" t="s">
        <v>14</v>
      </c>
      <c r="I4" s="10" t="s">
        <v>13</v>
      </c>
      <c r="J4" s="10" t="s">
        <v>14</v>
      </c>
      <c r="K4" s="10" t="s">
        <v>13</v>
      </c>
      <c r="L4" s="10" t="s">
        <v>14</v>
      </c>
      <c r="M4" s="10" t="s">
        <v>13</v>
      </c>
      <c r="N4" s="10" t="s">
        <v>14</v>
      </c>
      <c r="O4" s="10" t="s">
        <v>13</v>
      </c>
      <c r="P4" s="10" t="s">
        <v>14</v>
      </c>
      <c r="Q4" s="10" t="s">
        <v>13</v>
      </c>
      <c r="R4" s="10" t="s">
        <v>14</v>
      </c>
      <c r="S4" s="10" t="s">
        <v>13</v>
      </c>
      <c r="T4" s="10" t="s">
        <v>14</v>
      </c>
      <c r="U4" s="10" t="s">
        <v>13</v>
      </c>
      <c r="V4" s="10" t="s">
        <v>14</v>
      </c>
      <c r="W4" s="10" t="s">
        <v>13</v>
      </c>
      <c r="X4" s="10" t="s">
        <v>14</v>
      </c>
      <c r="Y4" s="10" t="s">
        <v>13</v>
      </c>
      <c r="Z4" s="10" t="s">
        <v>14</v>
      </c>
      <c r="AA4" s="10" t="s">
        <v>13</v>
      </c>
      <c r="AB4" s="10" t="s">
        <v>14</v>
      </c>
      <c r="AC4" s="10" t="s">
        <v>13</v>
      </c>
      <c r="AD4" s="10" t="s">
        <v>14</v>
      </c>
      <c r="AE4" s="197"/>
      <c r="AF4" s="197"/>
      <c r="AG4" s="11"/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72" t="s">
        <v>98</v>
      </c>
      <c r="AO4" s="48" t="s">
        <v>22</v>
      </c>
      <c r="AP4" s="72" t="s">
        <v>23</v>
      </c>
      <c r="AQ4" s="72" t="s">
        <v>24</v>
      </c>
      <c r="AR4" s="72" t="s">
        <v>25</v>
      </c>
      <c r="AS4" s="12" t="s">
        <v>26</v>
      </c>
      <c r="AV4" s="63" t="s">
        <v>16</v>
      </c>
      <c r="AW4" s="63" t="s">
        <v>17</v>
      </c>
      <c r="AX4" s="63" t="s">
        <v>18</v>
      </c>
      <c r="AY4" s="63" t="s">
        <v>19</v>
      </c>
      <c r="AZ4" s="63" t="s">
        <v>20</v>
      </c>
      <c r="BA4" s="63" t="s">
        <v>21</v>
      </c>
      <c r="BB4" s="63" t="s">
        <v>22</v>
      </c>
      <c r="BC4" s="63" t="s">
        <v>23</v>
      </c>
      <c r="BD4" s="63" t="s">
        <v>24</v>
      </c>
      <c r="BE4" s="63" t="s">
        <v>25</v>
      </c>
      <c r="BF4" s="63" t="s">
        <v>85</v>
      </c>
    </row>
    <row r="5" spans="1:58" ht="22.5" customHeight="1" x14ac:dyDescent="0.25">
      <c r="A5" s="7">
        <v>1</v>
      </c>
      <c r="B5" s="8" t="s">
        <v>45</v>
      </c>
      <c r="C5" s="98" t="s">
        <v>103</v>
      </c>
      <c r="D5" s="99">
        <v>45387</v>
      </c>
      <c r="E5" s="64">
        <v>0.35486111111111113</v>
      </c>
      <c r="F5" s="64">
        <v>0.96597222222222223</v>
      </c>
      <c r="G5" s="64">
        <v>0.35555555555555557</v>
      </c>
      <c r="H5" s="64">
        <v>2.0833333333333332E-2</v>
      </c>
      <c r="I5" s="72" t="s">
        <v>15</v>
      </c>
      <c r="J5" s="72" t="s">
        <v>15</v>
      </c>
      <c r="K5" s="64">
        <v>0.35486111111111113</v>
      </c>
      <c r="L5" s="64">
        <v>0.99791666666666667</v>
      </c>
      <c r="M5" s="64">
        <v>0.3576388888888889</v>
      </c>
      <c r="N5" s="64">
        <v>0.95833333333333337</v>
      </c>
      <c r="O5" s="64">
        <v>0.35833333333333334</v>
      </c>
      <c r="P5" s="64">
        <v>0.94861111111111107</v>
      </c>
      <c r="Q5" s="64">
        <v>0.3576388888888889</v>
      </c>
      <c r="R5" s="64">
        <v>0.95138888888888884</v>
      </c>
      <c r="S5" s="64">
        <v>0.32500000000000001</v>
      </c>
      <c r="T5" s="64">
        <v>0.97916666666666663</v>
      </c>
      <c r="U5" s="64">
        <v>0.32430555555555557</v>
      </c>
      <c r="V5" s="64">
        <v>0.97986111111111107</v>
      </c>
      <c r="W5" s="64">
        <v>0.55208333333333337</v>
      </c>
      <c r="X5" s="64">
        <v>0.95486111111111116</v>
      </c>
      <c r="Y5" s="64">
        <v>0.3298611111111111</v>
      </c>
      <c r="Z5" s="64">
        <v>0.9902777777777777</v>
      </c>
      <c r="AA5" s="68">
        <v>1</v>
      </c>
      <c r="AB5" s="68">
        <v>1</v>
      </c>
      <c r="AC5" s="68">
        <v>1</v>
      </c>
      <c r="AD5" s="68">
        <v>1</v>
      </c>
      <c r="AE5" s="13">
        <f t="shared" ref="AE5" si="0">AG5+AH5+AI5+AJ5+AO5+AM5+AN5+AR5</f>
        <v>13</v>
      </c>
      <c r="AF5" s="52">
        <v>1</v>
      </c>
      <c r="AG5" s="14">
        <f>COUNT(E5:AD5)/2+COUNT(#REF!)/2</f>
        <v>12</v>
      </c>
      <c r="AH5" s="15">
        <f>COUNTIF(B5:AD5,"OFF")/2</f>
        <v>1</v>
      </c>
      <c r="AI5" s="15">
        <f>COUNTIF(B5:AD5,"MC")/2</f>
        <v>0</v>
      </c>
      <c r="AJ5" s="15">
        <f>COUNTIF(B5:AD5,"EL")/2</f>
        <v>0</v>
      </c>
      <c r="AK5" s="15">
        <f>COUNTIF(B5:AD5,"AL")/2</f>
        <v>0</v>
      </c>
      <c r="AL5" s="15">
        <f>COUNTIF(B5:AD5,"SUS")/2</f>
        <v>0</v>
      </c>
      <c r="AM5" s="15">
        <f>COUNTIF(B5:AD5,"FL")/2</f>
        <v>0</v>
      </c>
      <c r="AN5" s="15">
        <f>COUNTIF(B5:AD5,"SICK")/2</f>
        <v>0</v>
      </c>
      <c r="AO5" s="15">
        <f>COUNTIF(B5:AD5,"HD")/2</f>
        <v>0</v>
      </c>
      <c r="AP5" s="15">
        <f>COUNTIF(B5:AD5,"AB")/2</f>
        <v>0</v>
      </c>
      <c r="AQ5" s="15">
        <f>COUNTIF(B5:AD5,"NL")/2</f>
        <v>0</v>
      </c>
      <c r="AR5" s="15">
        <f>COUNTIF(B5:AD5,"SP")/2</f>
        <v>0</v>
      </c>
      <c r="AS5" s="16"/>
      <c r="AV5" s="58">
        <v>0</v>
      </c>
      <c r="AW5" s="58">
        <v>0</v>
      </c>
      <c r="AX5" s="58">
        <v>0</v>
      </c>
      <c r="AY5" s="58">
        <v>0</v>
      </c>
      <c r="AZ5" s="58">
        <v>0</v>
      </c>
      <c r="BA5" s="57">
        <v>3</v>
      </c>
      <c r="BB5" s="58">
        <v>0</v>
      </c>
      <c r="BC5" s="58">
        <v>0</v>
      </c>
      <c r="BD5" s="58">
        <v>0</v>
      </c>
      <c r="BE5" s="58">
        <v>0</v>
      </c>
      <c r="BF5" s="62">
        <f t="shared" ref="BF5" si="1">SUM(AV5:BE5)</f>
        <v>3</v>
      </c>
    </row>
    <row r="7" spans="1:58" ht="15.75" x14ac:dyDescent="0.25">
      <c r="F7" s="109" t="s">
        <v>108</v>
      </c>
      <c r="G7" s="109"/>
      <c r="H7" s="109" t="s">
        <v>113</v>
      </c>
      <c r="I7" s="109"/>
      <c r="J7" s="109"/>
      <c r="K7" s="109"/>
      <c r="L7" s="109"/>
      <c r="M7" s="109"/>
      <c r="N7" s="110"/>
      <c r="O7" s="110"/>
      <c r="P7" s="110"/>
      <c r="Q7" s="110"/>
    </row>
    <row r="8" spans="1:58" ht="15.75" x14ac:dyDescent="0.25">
      <c r="F8" s="109" t="s">
        <v>109</v>
      </c>
      <c r="G8" s="109"/>
      <c r="H8" s="109" t="s">
        <v>112</v>
      </c>
      <c r="I8" s="109"/>
      <c r="J8" s="109"/>
      <c r="K8" s="109"/>
      <c r="L8" s="109"/>
      <c r="M8" s="109"/>
      <c r="N8" s="110"/>
      <c r="O8" s="110"/>
      <c r="P8" s="110"/>
      <c r="Q8" s="110"/>
      <c r="AF8" s="38" t="s">
        <v>72</v>
      </c>
      <c r="AG8" s="39"/>
      <c r="AH8" s="39"/>
      <c r="AI8" s="40" t="s">
        <v>15</v>
      </c>
      <c r="AJ8" s="41"/>
      <c r="AK8" s="42" t="s">
        <v>73</v>
      </c>
      <c r="AL8" s="43"/>
      <c r="AM8" s="43"/>
      <c r="AN8" s="44"/>
      <c r="AO8" s="45" t="s">
        <v>21</v>
      </c>
    </row>
    <row r="9" spans="1:58" x14ac:dyDescent="0.25">
      <c r="AF9" s="38" t="s">
        <v>74</v>
      </c>
      <c r="AG9" s="39"/>
      <c r="AH9" s="39"/>
      <c r="AI9" s="40" t="s">
        <v>16</v>
      </c>
      <c r="AJ9" s="41"/>
      <c r="AK9" s="46" t="s">
        <v>75</v>
      </c>
      <c r="AL9" s="47"/>
      <c r="AM9" s="47"/>
      <c r="AN9" s="44"/>
      <c r="AO9" s="45" t="s">
        <v>22</v>
      </c>
    </row>
    <row r="10" spans="1:58" ht="15.75" x14ac:dyDescent="0.25">
      <c r="F10" s="26"/>
      <c r="G10" s="27" t="s">
        <v>63</v>
      </c>
      <c r="H10" s="21"/>
      <c r="I10" s="27"/>
      <c r="J10" s="23"/>
      <c r="K10" s="23"/>
      <c r="L10" s="24"/>
      <c r="M10" s="25"/>
      <c r="O10" s="25"/>
      <c r="P10" s="28" t="s">
        <v>64</v>
      </c>
      <c r="Q10" s="28"/>
      <c r="R10" s="24"/>
      <c r="S10" s="24"/>
      <c r="T10" s="24"/>
      <c r="U10" s="24" t="s">
        <v>83</v>
      </c>
      <c r="V10" s="24"/>
      <c r="W10" s="24"/>
      <c r="X10" s="24"/>
      <c r="Y10" s="28" t="s">
        <v>65</v>
      </c>
      <c r="Z10" s="24"/>
      <c r="AF10" s="38" t="s">
        <v>76</v>
      </c>
      <c r="AG10" s="39"/>
      <c r="AH10" s="39"/>
      <c r="AI10" s="40" t="s">
        <v>17</v>
      </c>
      <c r="AJ10" s="41"/>
      <c r="AK10" s="46" t="s">
        <v>77</v>
      </c>
      <c r="AL10" s="47"/>
      <c r="AM10" s="47"/>
      <c r="AN10" s="44"/>
      <c r="AO10" s="45" t="s">
        <v>23</v>
      </c>
    </row>
    <row r="11" spans="1:58" ht="17.25" x14ac:dyDescent="0.25">
      <c r="F11" s="29"/>
      <c r="G11" s="23"/>
      <c r="H11" s="23"/>
      <c r="I11" s="23"/>
      <c r="J11" s="23"/>
      <c r="K11" s="23"/>
      <c r="L11" s="23"/>
      <c r="M11" s="30"/>
      <c r="O11" s="30"/>
      <c r="P11" s="30"/>
      <c r="Q11" s="23"/>
      <c r="R11" s="23"/>
      <c r="S11" s="31"/>
      <c r="T11" s="31"/>
      <c r="U11" s="31"/>
      <c r="V11" s="31"/>
      <c r="W11" s="31"/>
      <c r="X11" s="31"/>
      <c r="Y11" s="32"/>
      <c r="Z11" s="32"/>
      <c r="AF11" s="38" t="s">
        <v>78</v>
      </c>
      <c r="AG11" s="39"/>
      <c r="AH11" s="39"/>
      <c r="AI11" s="40" t="s">
        <v>18</v>
      </c>
      <c r="AJ11" s="41"/>
      <c r="AK11" s="42" t="s">
        <v>79</v>
      </c>
      <c r="AL11" s="43"/>
      <c r="AM11" s="43"/>
      <c r="AN11" s="44"/>
      <c r="AO11" s="45" t="s">
        <v>24</v>
      </c>
    </row>
    <row r="12" spans="1:58" ht="17.25" x14ac:dyDescent="0.25">
      <c r="F12" s="29"/>
      <c r="G12" s="33"/>
      <c r="H12" s="23"/>
      <c r="I12" s="33"/>
      <c r="J12" s="23"/>
      <c r="K12" s="23"/>
      <c r="L12" s="33" t="s">
        <v>83</v>
      </c>
      <c r="M12" s="34"/>
      <c r="O12" s="34"/>
      <c r="P12" s="30"/>
      <c r="Q12" s="23"/>
      <c r="R12" s="33"/>
      <c r="S12" s="24"/>
      <c r="T12" s="23"/>
      <c r="U12" s="23"/>
      <c r="V12" s="23"/>
      <c r="W12" s="23"/>
      <c r="X12" s="23"/>
      <c r="Y12" s="35"/>
      <c r="Z12" s="35"/>
      <c r="AF12" s="38" t="s">
        <v>80</v>
      </c>
      <c r="AG12" s="39"/>
      <c r="AH12" s="39"/>
      <c r="AI12" s="40" t="s">
        <v>19</v>
      </c>
      <c r="AJ12" s="41"/>
      <c r="AK12" s="42" t="s">
        <v>81</v>
      </c>
      <c r="AL12" s="43"/>
      <c r="AM12" s="43"/>
      <c r="AN12" s="44"/>
      <c r="AO12" s="45" t="s">
        <v>25</v>
      </c>
    </row>
    <row r="13" spans="1:58" ht="17.25" x14ac:dyDescent="0.25">
      <c r="F13" s="36"/>
      <c r="G13" s="33"/>
      <c r="H13" s="23"/>
      <c r="I13" s="33"/>
      <c r="J13" s="23"/>
      <c r="K13" s="23"/>
      <c r="L13" s="33"/>
      <c r="M13" s="34"/>
      <c r="O13" s="34"/>
      <c r="P13" s="30"/>
      <c r="Q13" s="24"/>
      <c r="R13" s="33"/>
      <c r="S13" s="24"/>
      <c r="T13" s="23"/>
      <c r="U13" s="23"/>
      <c r="V13" s="23"/>
      <c r="W13" s="23"/>
      <c r="X13" s="23"/>
      <c r="Y13" s="35"/>
      <c r="Z13" s="35"/>
      <c r="AF13" s="38" t="s">
        <v>82</v>
      </c>
      <c r="AG13" s="39"/>
      <c r="AH13" s="39"/>
      <c r="AI13" s="40" t="s">
        <v>20</v>
      </c>
      <c r="AJ13" s="41"/>
      <c r="AK13" s="41"/>
      <c r="AL13" s="41"/>
      <c r="AM13" s="41"/>
      <c r="AN13" s="41"/>
      <c r="AO13" s="41"/>
    </row>
    <row r="14" spans="1:58" ht="17.25" x14ac:dyDescent="0.25">
      <c r="F14" s="85" t="s">
        <v>66</v>
      </c>
      <c r="G14" s="37"/>
      <c r="H14" s="26"/>
      <c r="I14" s="85"/>
      <c r="J14" s="81"/>
      <c r="K14" s="81"/>
      <c r="L14" s="80"/>
      <c r="M14" s="83"/>
      <c r="O14" s="82"/>
      <c r="P14" s="86" t="s">
        <v>67</v>
      </c>
      <c r="Q14" s="81"/>
      <c r="R14" s="22"/>
      <c r="S14" s="81"/>
      <c r="T14" s="81"/>
      <c r="U14" s="81"/>
      <c r="V14" s="81"/>
      <c r="W14" s="81"/>
      <c r="X14" s="81"/>
      <c r="Y14" s="86" t="s">
        <v>68</v>
      </c>
      <c r="Z14" s="84"/>
    </row>
    <row r="15" spans="1:58" ht="17.25" x14ac:dyDescent="0.25">
      <c r="F15" s="85"/>
      <c r="G15" s="85" t="s">
        <v>69</v>
      </c>
      <c r="H15" s="79"/>
      <c r="I15" s="79"/>
      <c r="J15" s="81"/>
      <c r="K15" s="81"/>
      <c r="L15" s="86"/>
      <c r="M15" s="87"/>
      <c r="O15" s="87"/>
      <c r="P15" s="86" t="s">
        <v>70</v>
      </c>
      <c r="Q15" s="86"/>
      <c r="R15" s="22"/>
      <c r="S15" s="86"/>
      <c r="T15" s="81"/>
      <c r="U15" s="81"/>
      <c r="V15" s="81"/>
      <c r="W15" s="81"/>
      <c r="X15" s="81"/>
      <c r="Y15" s="86" t="s">
        <v>71</v>
      </c>
      <c r="Z15" s="84"/>
    </row>
    <row r="18" spans="1:58" ht="15.75" x14ac:dyDescent="0.25">
      <c r="K18" s="22"/>
      <c r="N18" s="23"/>
    </row>
    <row r="23" spans="1:58" x14ac:dyDescent="0.25">
      <c r="J23" t="s">
        <v>83</v>
      </c>
    </row>
    <row r="27" spans="1:58" ht="22.5" customHeight="1" x14ac:dyDescent="0.25">
      <c r="A27" s="7">
        <v>20</v>
      </c>
      <c r="B27" s="8" t="s">
        <v>53</v>
      </c>
      <c r="C27" s="49" t="s">
        <v>54</v>
      </c>
      <c r="D27" s="71">
        <v>45764</v>
      </c>
      <c r="E27" s="70">
        <v>0.34513888888888888</v>
      </c>
      <c r="F27" s="70">
        <v>0.82986111111111116</v>
      </c>
      <c r="G27" s="70">
        <v>0.33888888888888885</v>
      </c>
      <c r="H27" s="70">
        <v>0.82847222222222217</v>
      </c>
      <c r="I27" s="74">
        <v>0.56944444444444442</v>
      </c>
      <c r="J27" s="74">
        <v>0.82291666666666663</v>
      </c>
      <c r="K27" s="70">
        <v>0.34513888888888888</v>
      </c>
      <c r="L27" s="70">
        <v>0.83263888888888893</v>
      </c>
      <c r="M27" s="70">
        <v>0.34375</v>
      </c>
      <c r="N27" s="70">
        <v>0.91041666666666676</v>
      </c>
      <c r="O27" s="70">
        <v>0.3430555555555555</v>
      </c>
      <c r="P27" s="70">
        <v>0.9555555555555556</v>
      </c>
      <c r="Q27" s="70">
        <v>0.34652777777777777</v>
      </c>
      <c r="R27" s="70">
        <v>0.83124999999999993</v>
      </c>
      <c r="S27" s="70">
        <v>0.3430555555555555</v>
      </c>
      <c r="T27" s="70">
        <v>0.74930555555555556</v>
      </c>
      <c r="U27" s="70">
        <v>0.34097222222222223</v>
      </c>
      <c r="V27" s="70">
        <v>0.92986111111111114</v>
      </c>
      <c r="W27" s="73" t="s">
        <v>15</v>
      </c>
      <c r="X27" s="73" t="s">
        <v>15</v>
      </c>
      <c r="Y27" s="70">
        <v>0.34513888888888888</v>
      </c>
      <c r="Z27" s="70">
        <v>0.87847222222222221</v>
      </c>
      <c r="AA27" s="70">
        <v>0.3444444444444445</v>
      </c>
      <c r="AB27" s="70">
        <v>0.85902777777777783</v>
      </c>
      <c r="AC27" s="70">
        <v>0.3444444444444445</v>
      </c>
      <c r="AD27" s="70">
        <v>0.85</v>
      </c>
      <c r="AE27" s="51">
        <f>AG27+AH27+AI27+AJ27+AO27+AM27+AN27+AR27</f>
        <v>13</v>
      </c>
      <c r="AF27" s="52"/>
      <c r="AG27" s="14">
        <f>COUNT(E27:AD27)/2+COUNT(#REF!)/2</f>
        <v>12</v>
      </c>
      <c r="AH27" s="15">
        <f>COUNTIF(B27:AD27,"OFF")/2</f>
        <v>1</v>
      </c>
      <c r="AI27" s="15">
        <f>COUNTIF(B27:AD27,"MC")/2</f>
        <v>0</v>
      </c>
      <c r="AJ27" s="15">
        <f>COUNTIF(B27:AD27,"EL")/2</f>
        <v>0</v>
      </c>
      <c r="AK27" s="15">
        <f>COUNTIF(B27:AD27,"AL")/2</f>
        <v>0</v>
      </c>
      <c r="AL27" s="15">
        <f>COUNTIF(B27:AD27,"SUS")/2</f>
        <v>0</v>
      </c>
      <c r="AM27" s="15">
        <f>COUNTIF(B27:AD27,"FL")/2</f>
        <v>0</v>
      </c>
      <c r="AN27" s="15">
        <f>COUNTIF(B27:AD27,"SICK")/2</f>
        <v>0</v>
      </c>
      <c r="AO27" s="15">
        <f>COUNTIF(B27:AD27,"HD")/2</f>
        <v>0</v>
      </c>
      <c r="AP27" s="15">
        <f>COUNTIF(B27:AD27,"AB")/2</f>
        <v>0</v>
      </c>
      <c r="AQ27" s="15">
        <f>COUNTIF(B27:AD27,"NL")/2</f>
        <v>0</v>
      </c>
      <c r="AR27" s="15">
        <f>COUNTIF(B27:AD27,"SP")/2</f>
        <v>0</v>
      </c>
      <c r="AS27" s="16"/>
      <c r="AV27" s="58">
        <v>0</v>
      </c>
      <c r="AW27" s="58">
        <v>0</v>
      </c>
      <c r="AX27" s="58">
        <v>0</v>
      </c>
      <c r="AY27" s="58">
        <v>0</v>
      </c>
      <c r="AZ27" s="58">
        <v>0</v>
      </c>
      <c r="BA27" s="58">
        <v>0</v>
      </c>
      <c r="BB27" s="58">
        <v>0</v>
      </c>
      <c r="BC27" s="58">
        <v>0</v>
      </c>
      <c r="BD27" s="58">
        <v>0</v>
      </c>
      <c r="BE27" s="58">
        <v>0</v>
      </c>
      <c r="BF27" s="62">
        <f>SUM(AV27:BE27)</f>
        <v>0</v>
      </c>
    </row>
    <row r="28" spans="1:58" ht="22.5" customHeight="1" x14ac:dyDescent="0.25">
      <c r="A28" s="7">
        <v>16</v>
      </c>
      <c r="B28" s="8" t="s">
        <v>48</v>
      </c>
      <c r="C28" s="49" t="s">
        <v>49</v>
      </c>
      <c r="D28" s="71">
        <v>45616</v>
      </c>
      <c r="E28" s="77">
        <v>0.57847222222222217</v>
      </c>
      <c r="F28" s="77">
        <v>0.57847222222222217</v>
      </c>
      <c r="G28" s="70">
        <v>0.33749999999999997</v>
      </c>
      <c r="H28" s="72">
        <v>1</v>
      </c>
      <c r="I28" s="70">
        <v>0.34027777777777773</v>
      </c>
      <c r="J28" s="70">
        <v>0.87361111111111101</v>
      </c>
      <c r="K28" s="70">
        <v>0.3263888888888889</v>
      </c>
      <c r="L28" s="72">
        <v>1</v>
      </c>
      <c r="M28" s="70">
        <v>0.3215277777777778</v>
      </c>
      <c r="N28" s="70">
        <v>0.86458333333333337</v>
      </c>
      <c r="O28" s="70">
        <v>0.3354166666666667</v>
      </c>
      <c r="P28" s="70">
        <v>0.82013888888888886</v>
      </c>
      <c r="Q28" s="70">
        <v>0.32916666666666666</v>
      </c>
      <c r="R28" s="70">
        <v>0.32916666666666666</v>
      </c>
      <c r="S28" s="72" t="s">
        <v>15</v>
      </c>
      <c r="T28" s="72" t="s">
        <v>15</v>
      </c>
      <c r="U28" s="70">
        <v>0.34166666666666662</v>
      </c>
      <c r="V28" s="72">
        <v>1</v>
      </c>
      <c r="W28" s="70">
        <v>0.32500000000000001</v>
      </c>
      <c r="X28" s="70">
        <v>0.84861111111111109</v>
      </c>
      <c r="Y28" s="70">
        <v>0.31111111111111112</v>
      </c>
      <c r="Z28" s="70">
        <v>0.84375</v>
      </c>
      <c r="AA28" s="70">
        <v>0.32847222222222222</v>
      </c>
      <c r="AB28" s="70">
        <v>0.32847222222222222</v>
      </c>
      <c r="AC28" s="70">
        <v>0.32916666666666666</v>
      </c>
      <c r="AD28" s="70">
        <v>0.86041666666666661</v>
      </c>
      <c r="AE28" s="51">
        <f t="shared" ref="AE28" si="2">AG28+AH28+AI28+AJ28+AO28+AM28+AN28+AR28</f>
        <v>13</v>
      </c>
      <c r="AF28" s="52">
        <v>3</v>
      </c>
      <c r="AG28" s="14">
        <f>COUNT(E28:AD28)/2+COUNT(#REF!)/2</f>
        <v>12</v>
      </c>
      <c r="AH28" s="15">
        <f>COUNTIF(B28:AD28,"OFF")/2</f>
        <v>1</v>
      </c>
      <c r="AI28" s="15">
        <f>COUNTIF(B28:AD28,"MC")/2</f>
        <v>0</v>
      </c>
      <c r="AJ28" s="15">
        <f>COUNTIF(B28:AD28,"EL")/2</f>
        <v>0</v>
      </c>
      <c r="AK28" s="15">
        <f>COUNTIF(B28:AD28,"AL")/2</f>
        <v>0</v>
      </c>
      <c r="AL28" s="15">
        <f>COUNTIF(B28:AD28,"SUS")/2</f>
        <v>0</v>
      </c>
      <c r="AM28" s="15">
        <f>COUNTIF(B28:AD28,"FL")/2</f>
        <v>0</v>
      </c>
      <c r="AN28" s="15">
        <f>COUNTIF(B28:AD28,"SICK")/2</f>
        <v>0</v>
      </c>
      <c r="AO28" s="15">
        <f>COUNTIF(B28:AD28,"HD")/2</f>
        <v>0</v>
      </c>
      <c r="AP28" s="15">
        <f>COUNTIF(B28:AD28,"AB")/2</f>
        <v>0</v>
      </c>
      <c r="AQ28" s="15">
        <f>COUNTIF(B28:AD28,"NL")/2</f>
        <v>0</v>
      </c>
      <c r="AR28" s="15">
        <f>COUNTIF(B28:AD28,"SP")/2</f>
        <v>0</v>
      </c>
      <c r="AS28" s="16"/>
      <c r="AV28" s="59">
        <v>0</v>
      </c>
      <c r="AW28" s="59">
        <v>0</v>
      </c>
      <c r="AX28" s="59">
        <v>1</v>
      </c>
      <c r="AY28" s="60">
        <v>0</v>
      </c>
      <c r="AZ28" s="60">
        <v>0</v>
      </c>
      <c r="BA28" s="59">
        <v>6</v>
      </c>
      <c r="BB28" s="60">
        <v>0</v>
      </c>
      <c r="BC28" s="60">
        <v>1</v>
      </c>
      <c r="BD28" s="60">
        <v>0</v>
      </c>
      <c r="BE28" s="60">
        <v>0</v>
      </c>
      <c r="BF28" s="61">
        <f t="shared" ref="BF28" si="3">SUM(AV28:BE28)</f>
        <v>8</v>
      </c>
    </row>
    <row r="29" spans="1:58" ht="22.5" customHeight="1" x14ac:dyDescent="0.25">
      <c r="A29" s="7">
        <v>5</v>
      </c>
      <c r="B29" s="8" t="str">
        <f>'[1]Hulhumale Staffs_ Sep 2025'!B8</f>
        <v>MAD0457</v>
      </c>
      <c r="C29" s="98" t="s">
        <v>30</v>
      </c>
      <c r="D29" s="108">
        <v>44887</v>
      </c>
      <c r="E29" s="64">
        <v>0.32430555555555557</v>
      </c>
      <c r="F29" s="64">
        <v>7.6388888888888886E-3</v>
      </c>
      <c r="G29" s="64">
        <v>0.33888888888888885</v>
      </c>
      <c r="H29" s="89">
        <v>1</v>
      </c>
      <c r="I29" s="64">
        <v>0.32569444444444445</v>
      </c>
      <c r="J29" s="64">
        <v>0.58958333333333335</v>
      </c>
      <c r="K29" s="72" t="s">
        <v>18</v>
      </c>
      <c r="L29" s="72" t="s">
        <v>18</v>
      </c>
      <c r="M29" s="72" t="s">
        <v>18</v>
      </c>
      <c r="N29" s="72" t="s">
        <v>18</v>
      </c>
      <c r="S29" s="64"/>
      <c r="T29" s="64"/>
      <c r="U29" s="64"/>
      <c r="V29" s="64"/>
      <c r="W29" s="64"/>
      <c r="X29" s="64"/>
      <c r="Y29" s="64"/>
      <c r="Z29" s="64"/>
      <c r="AA29" s="90"/>
      <c r="AB29" s="90"/>
      <c r="AC29" s="64"/>
      <c r="AD29" s="64"/>
      <c r="AE29" s="13">
        <f>AG29+AH29+AI29+AJ29+AO29+AM29+AN29+AR29</f>
        <v>3</v>
      </c>
      <c r="AF29" s="68"/>
      <c r="AG29" s="14">
        <f>COUNT(E29:AD29)/2+COUNT(#REF!)/2</f>
        <v>3</v>
      </c>
      <c r="AH29" s="2">
        <f>COUNTIF(E29:AD29,"OFF")/2</f>
        <v>0</v>
      </c>
      <c r="AI29" s="15">
        <f>COUNTIF(B29:AD29,"MC")/2</f>
        <v>0</v>
      </c>
      <c r="AJ29" s="15">
        <f>COUNTIF(B29:AD29,"EL")/2</f>
        <v>0</v>
      </c>
      <c r="AK29" s="15">
        <f>COUNTIF(B29:AD29,"AL")/2</f>
        <v>2</v>
      </c>
      <c r="AL29" s="15">
        <f>COUNTIF(B29:AD29,"SUS")/2</f>
        <v>0</v>
      </c>
      <c r="AM29" s="15">
        <f>COUNTIF(B29:AD29,"FL")/2</f>
        <v>0</v>
      </c>
      <c r="AN29" s="15">
        <f>COUNTIF(B29:AD29,"SICK")/2</f>
        <v>0</v>
      </c>
      <c r="AO29" s="15">
        <f>COUNTIF(B29:AD29,"HD")/2</f>
        <v>0</v>
      </c>
      <c r="AP29" s="15">
        <f>COUNTIF(B29:AD29,"AB")/2</f>
        <v>0</v>
      </c>
      <c r="AQ29" s="15">
        <f>COUNTIF(B29:AD29,"NL")/2</f>
        <v>0</v>
      </c>
      <c r="AR29" s="15">
        <f>COUNTIF(B29:AD29,"SP")/2</f>
        <v>0</v>
      </c>
      <c r="AS29" s="67"/>
      <c r="AV29" s="58">
        <v>0</v>
      </c>
      <c r="AW29" s="58">
        <v>0</v>
      </c>
      <c r="AX29" s="58">
        <v>0</v>
      </c>
      <c r="AY29" s="58">
        <v>0</v>
      </c>
      <c r="AZ29" s="58">
        <v>0</v>
      </c>
      <c r="BA29" s="58">
        <v>0</v>
      </c>
      <c r="BB29" s="58">
        <v>0</v>
      </c>
      <c r="BC29" s="58">
        <v>0</v>
      </c>
      <c r="BD29" s="58">
        <v>0</v>
      </c>
      <c r="BE29" s="58">
        <v>0</v>
      </c>
      <c r="BF29" s="62">
        <f>SUM(AV29:BE29)</f>
        <v>0</v>
      </c>
    </row>
  </sheetData>
  <mergeCells count="32">
    <mergeCell ref="AV2:BE2"/>
    <mergeCell ref="E3:F3"/>
    <mergeCell ref="G3:H3"/>
    <mergeCell ref="I3:J3"/>
    <mergeCell ref="K3:L3"/>
    <mergeCell ref="M3:N3"/>
    <mergeCell ref="O3:P3"/>
    <mergeCell ref="Q3:R3"/>
    <mergeCell ref="S2:T2"/>
    <mergeCell ref="U2:V2"/>
    <mergeCell ref="W2:X2"/>
    <mergeCell ref="Y2:Z2"/>
    <mergeCell ref="AA2:AB2"/>
    <mergeCell ref="S3:T3"/>
    <mergeCell ref="U3:V3"/>
    <mergeCell ref="W3:X3"/>
    <mergeCell ref="AC2:AD2"/>
    <mergeCell ref="A1:AD1"/>
    <mergeCell ref="AE1:AS1"/>
    <mergeCell ref="A2:C3"/>
    <mergeCell ref="E2:F2"/>
    <mergeCell ref="G2:H2"/>
    <mergeCell ref="I2:J2"/>
    <mergeCell ref="K2:L2"/>
    <mergeCell ref="M2:N2"/>
    <mergeCell ref="O2:P2"/>
    <mergeCell ref="Q2:R2"/>
    <mergeCell ref="AC3:AD3"/>
    <mergeCell ref="AE2:AE4"/>
    <mergeCell ref="AF2:AF4"/>
    <mergeCell ref="Y3:Z3"/>
    <mergeCell ref="AA3:AB3"/>
  </mergeCells>
  <conditionalFormatting sqref="A2">
    <cfRule type="cellIs" dxfId="129" priority="93" stopIfTrue="1" operator="equal">
      <formula>";"</formula>
    </cfRule>
  </conditionalFormatting>
  <conditionalFormatting sqref="C5">
    <cfRule type="duplicateValues" dxfId="128" priority="15"/>
    <cfRule type="duplicateValues" dxfId="127" priority="16"/>
  </conditionalFormatting>
  <conditionalFormatting sqref="C7:C1048576 C1:C4">
    <cfRule type="duplicateValues" dxfId="126" priority="95"/>
  </conditionalFormatting>
  <conditionalFormatting sqref="C7:C1048576">
    <cfRule type="duplicateValues" dxfId="125" priority="96"/>
  </conditionalFormatting>
  <conditionalFormatting sqref="D5">
    <cfRule type="timePeriod" dxfId="124" priority="11" timePeriod="thisWeek">
      <formula>AND(TODAY()-ROUNDDOWN(D5,0)&lt;=WEEKDAY(TODAY())-1,ROUNDDOWN(D5,0)-TODAY()&lt;=7-WEEKDAY(TODAY()))</formula>
    </cfRule>
    <cfRule type="timePeriod" dxfId="123" priority="14" timePeriod="nextWeek">
      <formula>AND(ROUNDDOWN(D5,0)-TODAY()&gt;(7-WEEKDAY(TODAY())),ROUNDDOWN(D5,0)-TODAY()&lt;(15-WEEKDAY(TODAY())))</formula>
    </cfRule>
    <cfRule type="timePeriod" dxfId="122" priority="12" timePeriod="last7Days">
      <formula>AND(TODAY()-FLOOR(D5,1)&lt;=6,FLOOR(D5,1)&lt;=TODAY())</formula>
    </cfRule>
    <cfRule type="timePeriod" priority="13" timePeriod="nextWeek">
      <formula>AND(ROUNDDOWN(D5,0)-TODAY()&gt;(7-WEEKDAY(TODAY())),ROUNDDOWN(D5,0)-TODAY()&lt;(15-WEEKDAY(TODAY())))</formula>
    </cfRule>
  </conditionalFormatting>
  <conditionalFormatting sqref="D27:D28">
    <cfRule type="timePeriod" dxfId="121" priority="50" timePeriod="last7Days">
      <formula>AND(TODAY()-FLOOR(D27,1)&lt;=6,FLOOR(D27,1)&lt;=TODAY())</formula>
    </cfRule>
    <cfRule type="timePeriod" dxfId="120" priority="49" timePeriod="thisWeek">
      <formula>AND(TODAY()-ROUNDDOWN(D27,0)&lt;=WEEKDAY(TODAY())-1,ROUNDDOWN(D27,0)-TODAY()&lt;=7-WEEKDAY(TODAY()))</formula>
    </cfRule>
  </conditionalFormatting>
  <conditionalFormatting sqref="D27:D29">
    <cfRule type="timePeriod" priority="37" timePeriod="nextWeek">
      <formula>AND(ROUNDDOWN(D27,0)-TODAY()&gt;(7-WEEKDAY(TODAY())),ROUNDDOWN(D27,0)-TODAY()&lt;(15-WEEKDAY(TODAY())))</formula>
    </cfRule>
    <cfRule type="timePeriod" dxfId="119" priority="52" timePeriod="nextWeek">
      <formula>AND(ROUNDDOWN(D27,0)-TODAY()&gt;(7-WEEKDAY(TODAY())),ROUNDDOWN(D27,0)-TODAY()&lt;(15-WEEKDAY(TODAY())))</formula>
    </cfRule>
  </conditionalFormatting>
  <conditionalFormatting sqref="I5:J5">
    <cfRule type="containsText" dxfId="118" priority="2" operator="containsText" text="SP">
      <formula>NOT(ISERROR(SEARCH("SP",I5)))</formula>
    </cfRule>
    <cfRule type="containsText" dxfId="117" priority="3" operator="containsText" text="NL">
      <formula>NOT(ISERROR(SEARCH("NL",I5)))</formula>
    </cfRule>
    <cfRule type="containsText" dxfId="116" priority="4" operator="containsText" text="MC">
      <formula>NOT(ISERROR(SEARCH("MC",I5)))</formula>
    </cfRule>
    <cfRule type="containsText" dxfId="115" priority="5" operator="containsText" text="SUS">
      <formula>NOT(ISERROR(SEARCH("SUS",I5)))</formula>
    </cfRule>
    <cfRule type="containsText" dxfId="114" priority="7" operator="containsText" text="OFF">
      <formula>NOT(ISERROR(SEARCH("OFF",I5)))</formula>
    </cfRule>
    <cfRule type="containsText" dxfId="113" priority="8" operator="containsText" text="AB">
      <formula>NOT(ISERROR(SEARCH("AB",I5)))</formula>
    </cfRule>
    <cfRule type="containsText" dxfId="112" priority="9" operator="containsText" text="SICK">
      <formula>NOT(ISERROR(SEARCH("SICK",I5)))</formula>
    </cfRule>
    <cfRule type="containsText" dxfId="111" priority="10" operator="containsText" text="AL">
      <formula>NOT(ISERROR(SEARCH("AL",I5)))</formula>
    </cfRule>
    <cfRule type="containsText" dxfId="110" priority="1" operator="containsText" text="EL">
      <formula>NOT(ISERROR(SEARCH("EL",I5)))</formula>
    </cfRule>
    <cfRule type="containsText" dxfId="109" priority="6" operator="containsText" text="FL">
      <formula>NOT(ISERROR(SEARCH("FL",I5)))</formula>
    </cfRule>
  </conditionalFormatting>
  <conditionalFormatting sqref="K29:N29">
    <cfRule type="containsText" dxfId="108" priority="27" operator="containsText" text="EL">
      <formula>NOT(ISERROR(SEARCH("EL",K29)))</formula>
    </cfRule>
    <cfRule type="containsText" dxfId="107" priority="35" operator="containsText" text="SICK">
      <formula>NOT(ISERROR(SEARCH("SICK",K29)))</formula>
    </cfRule>
    <cfRule type="containsText" dxfId="106" priority="36" operator="containsText" text="AL">
      <formula>NOT(ISERROR(SEARCH("AL",K29)))</formula>
    </cfRule>
    <cfRule type="containsText" dxfId="105" priority="33" operator="containsText" text="OFF">
      <formula>NOT(ISERROR(SEARCH("OFF",K29)))</formula>
    </cfRule>
    <cfRule type="containsText" dxfId="104" priority="32" operator="containsText" text="FL">
      <formula>NOT(ISERROR(SEARCH("FL",K29)))</formula>
    </cfRule>
    <cfRule type="containsText" dxfId="103" priority="31" operator="containsText" text="SUS">
      <formula>NOT(ISERROR(SEARCH("SUS",K29)))</formula>
    </cfRule>
    <cfRule type="containsText" dxfId="102" priority="30" operator="containsText" text="MC">
      <formula>NOT(ISERROR(SEARCH("MC",K29)))</formula>
    </cfRule>
    <cfRule type="containsText" dxfId="101" priority="29" operator="containsText" text="NL">
      <formula>NOT(ISERROR(SEARCH("NL",K29)))</formula>
    </cfRule>
    <cfRule type="containsText" dxfId="100" priority="34" operator="containsText" text="AB">
      <formula>NOT(ISERROR(SEARCH("AB",K29)))</formula>
    </cfRule>
    <cfRule type="containsText" dxfId="99" priority="28" operator="containsText" text="SP">
      <formula>NOT(ISERROR(SEARCH("SP",K29)))</formula>
    </cfRule>
  </conditionalFormatting>
  <conditionalFormatting sqref="S28:T28">
    <cfRule type="containsText" dxfId="98" priority="38" operator="containsText" text="EL">
      <formula>NOT(ISERROR(SEARCH("EL",S28)))</formula>
    </cfRule>
    <cfRule type="containsText" dxfId="97" priority="39" operator="containsText" text="SP">
      <formula>NOT(ISERROR(SEARCH("SP",S28)))</formula>
    </cfRule>
    <cfRule type="containsText" dxfId="96" priority="40" operator="containsText" text="NL">
      <formula>NOT(ISERROR(SEARCH("NL",S28)))</formula>
    </cfRule>
    <cfRule type="containsText" dxfId="95" priority="41" operator="containsText" text="MC">
      <formula>NOT(ISERROR(SEARCH("MC",S28)))</formula>
    </cfRule>
    <cfRule type="containsText" dxfId="94" priority="42" operator="containsText" text="SUS">
      <formula>NOT(ISERROR(SEARCH("SUS",S28)))</formula>
    </cfRule>
    <cfRule type="containsText" dxfId="93" priority="43" operator="containsText" text="FL">
      <formula>NOT(ISERROR(SEARCH("FL",S28)))</formula>
    </cfRule>
    <cfRule type="containsText" dxfId="92" priority="44" operator="containsText" text="OFF">
      <formula>NOT(ISERROR(SEARCH("OFF",S28)))</formula>
    </cfRule>
    <cfRule type="containsText" dxfId="91" priority="45" operator="containsText" text="AB">
      <formula>NOT(ISERROR(SEARCH("AB",S28)))</formula>
    </cfRule>
    <cfRule type="containsText" dxfId="90" priority="46" operator="containsText" text="SICK">
      <formula>NOT(ISERROR(SEARCH("SICK",S28)))</formula>
    </cfRule>
    <cfRule type="containsText" dxfId="89" priority="47" operator="containsText" text="AL">
      <formula>NOT(ISERROR(SEARCH("AL",S28)))</formula>
    </cfRule>
  </conditionalFormatting>
  <conditionalFormatting sqref="AF5">
    <cfRule type="cellIs" dxfId="88" priority="94" operator="equal">
      <formula>";"</formula>
    </cfRule>
  </conditionalFormatting>
  <conditionalFormatting sqref="AF27:AF28">
    <cfRule type="cellIs" dxfId="87" priority="48" operator="equal">
      <formula>";"</formula>
    </cfRule>
  </conditionalFormatting>
  <conditionalFormatting sqref="AF29">
    <cfRule type="containsText" dxfId="86" priority="91" operator="containsText" text="AB">
      <formula>NOT(ISERROR(SEARCH("AB",AF29)))</formula>
    </cfRule>
    <cfRule type="containsText" dxfId="85" priority="92" operator="containsText" text="SICK">
      <formula>NOT(ISERROR(SEARCH("SICK",AF29)))</formula>
    </cfRule>
  </conditionalFormatting>
  <conditionalFormatting sqref="AH4:AN4">
    <cfRule type="containsText" dxfId="84" priority="84" operator="containsText" text="SUS">
      <formula>NOT(ISERROR(SEARCH("SUS",AH4)))</formula>
    </cfRule>
    <cfRule type="containsText" dxfId="83" priority="86" operator="containsText" text="OFF">
      <formula>NOT(ISERROR(SEARCH("OFF",AH4)))</formula>
    </cfRule>
    <cfRule type="containsText" dxfId="82" priority="87" operator="containsText" text="AB">
      <formula>NOT(ISERROR(SEARCH("AB",AH4)))</formula>
    </cfRule>
    <cfRule type="containsText" dxfId="81" priority="88" operator="containsText" text="SICK">
      <formula>NOT(ISERROR(SEARCH("SICK",AH4)))</formula>
    </cfRule>
    <cfRule type="containsText" dxfId="80" priority="89" operator="containsText" text="AL">
      <formula>NOT(ISERROR(SEARCH("AL",AH4)))</formula>
    </cfRule>
    <cfRule type="containsText" dxfId="79" priority="85" operator="containsText" text="FL">
      <formula>NOT(ISERROR(SEARCH("FL",AH4)))</formula>
    </cfRule>
    <cfRule type="containsText" dxfId="78" priority="80" operator="containsText" text="EL">
      <formula>NOT(ISERROR(SEARCH("EL",AH4)))</formula>
    </cfRule>
    <cfRule type="containsText" dxfId="77" priority="81" operator="containsText" text="SP">
      <formula>NOT(ISERROR(SEARCH("SP",AH4)))</formula>
    </cfRule>
    <cfRule type="containsText" dxfId="76" priority="82" operator="containsText" text="NL">
      <formula>NOT(ISERROR(SEARCH("NL",AH4)))</formula>
    </cfRule>
    <cfRule type="containsText" dxfId="75" priority="83" operator="containsText" text="MC">
      <formula>NOT(ISERROR(SEARCH("MC",AH4)))</formula>
    </cfRule>
  </conditionalFormatting>
  <conditionalFormatting sqref="AP4">
    <cfRule type="containsText" dxfId="74" priority="72" operator="containsText" text="NL">
      <formula>NOT(ISERROR(SEARCH("NL",AP4)))</formula>
    </cfRule>
    <cfRule type="containsText" dxfId="73" priority="73" operator="containsText" text="MC">
      <formula>NOT(ISERROR(SEARCH("MC",AP4)))</formula>
    </cfRule>
    <cfRule type="containsText" dxfId="72" priority="74" operator="containsText" text="SUS">
      <formula>NOT(ISERROR(SEARCH("SUS",AP4)))</formula>
    </cfRule>
    <cfRule type="containsText" dxfId="71" priority="76" operator="containsText" text="OFF">
      <formula>NOT(ISERROR(SEARCH("OFF",AP4)))</formula>
    </cfRule>
    <cfRule type="containsText" dxfId="70" priority="77" operator="containsText" text="AB">
      <formula>NOT(ISERROR(SEARCH("AB",AP4)))</formula>
    </cfRule>
    <cfRule type="containsText" dxfId="69" priority="78" operator="containsText" text="SICK">
      <formula>NOT(ISERROR(SEARCH("SICK",AP4)))</formula>
    </cfRule>
    <cfRule type="containsText" dxfId="68" priority="79" operator="containsText" text="AL">
      <formula>NOT(ISERROR(SEARCH("AL",AP4)))</formula>
    </cfRule>
    <cfRule type="containsText" dxfId="67" priority="75" operator="containsText" text="FL">
      <formula>NOT(ISERROR(SEARCH("FL",AP4)))</formula>
    </cfRule>
  </conditionalFormatting>
  <conditionalFormatting sqref="AP4:AQ4">
    <cfRule type="containsText" dxfId="66" priority="63" operator="containsText" text="SP">
      <formula>NOT(ISERROR(SEARCH("SP",AP4)))</formula>
    </cfRule>
  </conditionalFormatting>
  <conditionalFormatting sqref="AP4:AR4">
    <cfRule type="containsText" dxfId="65" priority="53" operator="containsText" text="EL">
      <formula>NOT(ISERROR(SEARCH("EL",AP4)))</formula>
    </cfRule>
  </conditionalFormatting>
  <conditionalFormatting sqref="AQ4">
    <cfRule type="containsText" dxfId="64" priority="69" operator="containsText" text="AB">
      <formula>NOT(ISERROR(SEARCH("AB",AQ4)))</formula>
    </cfRule>
    <cfRule type="containsText" dxfId="63" priority="70" operator="containsText" text="SICK">
      <formula>NOT(ISERROR(SEARCH("SICK",AQ4)))</formula>
    </cfRule>
    <cfRule type="containsText" dxfId="62" priority="71" operator="containsText" text="AL">
      <formula>NOT(ISERROR(SEARCH("AL",AQ4)))</formula>
    </cfRule>
    <cfRule type="containsText" dxfId="61" priority="64" operator="containsText" text="NL">
      <formula>NOT(ISERROR(SEARCH("NL",AQ4)))</formula>
    </cfRule>
    <cfRule type="containsText" dxfId="60" priority="65" operator="containsText" text="MC">
      <formula>NOT(ISERROR(SEARCH("MC",AQ4)))</formula>
    </cfRule>
    <cfRule type="containsText" dxfId="59" priority="66" operator="containsText" text="SUS">
      <formula>NOT(ISERROR(SEARCH("SUS",AQ4)))</formula>
    </cfRule>
    <cfRule type="containsText" dxfId="58" priority="67" operator="containsText" text="FL">
      <formula>NOT(ISERROR(SEARCH("FL",AQ4)))</formula>
    </cfRule>
    <cfRule type="containsText" dxfId="57" priority="68" operator="containsText" text="OFF">
      <formula>NOT(ISERROR(SEARCH("OFF",AQ4)))</formula>
    </cfRule>
  </conditionalFormatting>
  <conditionalFormatting sqref="AR4">
    <cfRule type="containsText" dxfId="56" priority="55" operator="containsText" text="NL">
      <formula>NOT(ISERROR(SEARCH("NL",AR4)))</formula>
    </cfRule>
    <cfRule type="containsText" dxfId="55" priority="56" operator="containsText" text="MC">
      <formula>NOT(ISERROR(SEARCH("MC",AR4)))</formula>
    </cfRule>
    <cfRule type="containsText" dxfId="54" priority="57" operator="containsText" text="SUS">
      <formula>NOT(ISERROR(SEARCH("SUS",AR4)))</formula>
    </cfRule>
    <cfRule type="containsText" dxfId="53" priority="58" operator="containsText" text="FL">
      <formula>NOT(ISERROR(SEARCH("FL",AR4)))</formula>
    </cfRule>
    <cfRule type="containsText" dxfId="52" priority="59" operator="containsText" text="OFF">
      <formula>NOT(ISERROR(SEARCH("OFF",AR4)))</formula>
    </cfRule>
    <cfRule type="containsText" dxfId="51" priority="60" operator="containsText" text="AB">
      <formula>NOT(ISERROR(SEARCH("AB",AR4)))</formula>
    </cfRule>
    <cfRule type="containsText" dxfId="50" priority="61" operator="containsText" text="SICK">
      <formula>NOT(ISERROR(SEARCH("SICK",AR4)))</formula>
    </cfRule>
    <cfRule type="containsText" dxfId="49" priority="62" operator="containsText" text="AL">
      <formula>NOT(ISERROR(SEARCH("AL",AR4)))</formula>
    </cfRule>
    <cfRule type="containsText" dxfId="48" priority="54" operator="containsText" text="SP">
      <formula>NOT(ISERROR(SEARCH("SP",AR4)))</formula>
    </cfRule>
  </conditionalFormatting>
  <pageMargins left="0.7" right="0.7" top="0.75" bottom="0.75" header="0.3" footer="0.3"/>
  <pageSetup paperSize="9" scale="3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4DB6-5D94-4EC2-BCD0-1ABFEAB66B4F}">
  <dimension ref="A3:AW43"/>
  <sheetViews>
    <sheetView topLeftCell="A37" zoomScale="89" zoomScaleNormal="89" workbookViewId="0">
      <selection activeCell="AF14" sqref="AF14:AW14"/>
    </sheetView>
  </sheetViews>
  <sheetFormatPr defaultRowHeight="15" x14ac:dyDescent="0.25"/>
  <cols>
    <col min="2" max="2" width="0.85546875" customWidth="1"/>
    <col min="3" max="31" width="9.140625" hidden="1" customWidth="1"/>
  </cols>
  <sheetData>
    <row r="3" spans="1:49" x14ac:dyDescent="0.25">
      <c r="A3" s="213" t="s">
        <v>12</v>
      </c>
      <c r="B3" s="206" t="s">
        <v>4</v>
      </c>
      <c r="C3" s="206"/>
      <c r="D3" s="206" t="s">
        <v>5</v>
      </c>
      <c r="E3" s="206"/>
      <c r="F3" s="206" t="s">
        <v>6</v>
      </c>
      <c r="G3" s="206"/>
      <c r="H3" s="206" t="s">
        <v>7</v>
      </c>
      <c r="I3" s="206"/>
      <c r="J3" s="206" t="s">
        <v>1</v>
      </c>
      <c r="K3" s="206"/>
      <c r="L3" s="206" t="s">
        <v>2</v>
      </c>
      <c r="M3" s="206"/>
      <c r="N3" s="206" t="s">
        <v>3</v>
      </c>
      <c r="O3" s="206"/>
      <c r="P3" s="206" t="s">
        <v>4</v>
      </c>
      <c r="Q3" s="206"/>
      <c r="R3" s="206" t="s">
        <v>5</v>
      </c>
      <c r="S3" s="206"/>
      <c r="T3" s="206" t="s">
        <v>6</v>
      </c>
      <c r="U3" s="206"/>
      <c r="V3" s="206" t="s">
        <v>7</v>
      </c>
      <c r="W3" s="206"/>
      <c r="X3" s="206" t="s">
        <v>1</v>
      </c>
      <c r="Y3" s="206"/>
      <c r="Z3" s="206" t="s">
        <v>2</v>
      </c>
      <c r="AA3" s="206"/>
      <c r="AB3" s="206" t="s">
        <v>3</v>
      </c>
      <c r="AC3" s="206"/>
      <c r="AD3" s="206" t="s">
        <v>4</v>
      </c>
      <c r="AE3" s="206"/>
      <c r="AF3" s="206" t="s">
        <v>5</v>
      </c>
      <c r="AG3" s="206"/>
      <c r="AH3" s="206" t="s">
        <v>6</v>
      </c>
      <c r="AI3" s="206"/>
      <c r="AJ3" s="206" t="s">
        <v>7</v>
      </c>
      <c r="AK3" s="206"/>
      <c r="AL3" s="206" t="s">
        <v>1</v>
      </c>
      <c r="AM3" s="206"/>
      <c r="AN3" s="206" t="s">
        <v>2</v>
      </c>
      <c r="AO3" s="206"/>
      <c r="AP3" s="206" t="s">
        <v>3</v>
      </c>
      <c r="AQ3" s="206"/>
      <c r="AR3" s="206" t="s">
        <v>4</v>
      </c>
      <c r="AS3" s="206"/>
      <c r="AT3" s="206" t="s">
        <v>5</v>
      </c>
      <c r="AU3" s="206"/>
      <c r="AV3" s="206" t="s">
        <v>6</v>
      </c>
      <c r="AW3" s="206"/>
    </row>
    <row r="4" spans="1:49" x14ac:dyDescent="0.25">
      <c r="A4" s="214"/>
      <c r="B4" s="211">
        <v>46235</v>
      </c>
      <c r="C4" s="211"/>
      <c r="D4" s="211">
        <v>46236</v>
      </c>
      <c r="E4" s="211"/>
      <c r="F4" s="211">
        <v>46237</v>
      </c>
      <c r="G4" s="211"/>
      <c r="H4" s="211">
        <v>46238</v>
      </c>
      <c r="I4" s="211"/>
      <c r="J4" s="211">
        <v>46239</v>
      </c>
      <c r="K4" s="211"/>
      <c r="L4" s="211">
        <v>46240</v>
      </c>
      <c r="M4" s="211"/>
      <c r="N4" s="211">
        <v>46241</v>
      </c>
      <c r="O4" s="211"/>
      <c r="P4" s="211">
        <v>46242</v>
      </c>
      <c r="Q4" s="211"/>
      <c r="R4" s="211">
        <v>46243</v>
      </c>
      <c r="S4" s="211"/>
      <c r="T4" s="211">
        <v>46244</v>
      </c>
      <c r="U4" s="211"/>
      <c r="V4" s="211">
        <v>46245</v>
      </c>
      <c r="W4" s="211"/>
      <c r="X4" s="211">
        <v>46246</v>
      </c>
      <c r="Y4" s="211"/>
      <c r="Z4" s="211">
        <v>46247</v>
      </c>
      <c r="AA4" s="211"/>
      <c r="AB4" s="211">
        <v>46248</v>
      </c>
      <c r="AC4" s="211"/>
      <c r="AD4" s="211">
        <v>46249</v>
      </c>
      <c r="AE4" s="211"/>
      <c r="AF4" s="211">
        <v>46250</v>
      </c>
      <c r="AG4" s="211"/>
      <c r="AH4" s="211">
        <v>46251</v>
      </c>
      <c r="AI4" s="211"/>
      <c r="AJ4" s="211">
        <v>46252</v>
      </c>
      <c r="AK4" s="211"/>
      <c r="AL4" s="211">
        <v>46253</v>
      </c>
      <c r="AM4" s="211"/>
      <c r="AN4" s="211">
        <v>46254</v>
      </c>
      <c r="AO4" s="211"/>
      <c r="AP4" s="211">
        <v>46255</v>
      </c>
      <c r="AQ4" s="211"/>
      <c r="AR4" s="211">
        <v>46256</v>
      </c>
      <c r="AS4" s="211"/>
      <c r="AT4" s="211">
        <v>46257</v>
      </c>
      <c r="AU4" s="211"/>
      <c r="AV4" s="211">
        <v>46258</v>
      </c>
      <c r="AW4" s="211"/>
    </row>
    <row r="5" spans="1:49" x14ac:dyDescent="0.25">
      <c r="A5" s="215"/>
      <c r="B5" s="148" t="s">
        <v>13</v>
      </c>
      <c r="C5" s="148" t="s">
        <v>14</v>
      </c>
      <c r="D5" s="148" t="s">
        <v>13</v>
      </c>
      <c r="E5" s="148" t="s">
        <v>14</v>
      </c>
      <c r="F5" s="148" t="s">
        <v>13</v>
      </c>
      <c r="G5" s="148" t="s">
        <v>14</v>
      </c>
      <c r="H5" s="148" t="s">
        <v>13</v>
      </c>
      <c r="I5" s="148" t="s">
        <v>14</v>
      </c>
      <c r="J5" s="148" t="s">
        <v>13</v>
      </c>
      <c r="K5" s="148" t="s">
        <v>14</v>
      </c>
      <c r="L5" s="148" t="s">
        <v>13</v>
      </c>
      <c r="M5" s="148" t="s">
        <v>14</v>
      </c>
      <c r="N5" s="148" t="s">
        <v>13</v>
      </c>
      <c r="O5" s="148" t="s">
        <v>14</v>
      </c>
      <c r="P5" s="148" t="s">
        <v>13</v>
      </c>
      <c r="Q5" s="148" t="s">
        <v>14</v>
      </c>
      <c r="R5" s="148" t="s">
        <v>13</v>
      </c>
      <c r="S5" s="148" t="s">
        <v>14</v>
      </c>
      <c r="T5" s="148" t="s">
        <v>13</v>
      </c>
      <c r="U5" s="148" t="s">
        <v>14</v>
      </c>
      <c r="V5" s="148" t="s">
        <v>13</v>
      </c>
      <c r="W5" s="148" t="s">
        <v>14</v>
      </c>
      <c r="X5" s="148" t="s">
        <v>13</v>
      </c>
      <c r="Y5" s="148" t="s">
        <v>14</v>
      </c>
      <c r="Z5" s="148" t="s">
        <v>13</v>
      </c>
      <c r="AA5" s="148" t="s">
        <v>14</v>
      </c>
      <c r="AB5" s="148" t="s">
        <v>13</v>
      </c>
      <c r="AC5" s="148" t="s">
        <v>14</v>
      </c>
      <c r="AD5" s="148" t="s">
        <v>13</v>
      </c>
      <c r="AE5" s="148" t="s">
        <v>14</v>
      </c>
      <c r="AF5" s="148" t="s">
        <v>13</v>
      </c>
      <c r="AG5" s="148" t="s">
        <v>14</v>
      </c>
      <c r="AH5" s="148" t="s">
        <v>13</v>
      </c>
      <c r="AI5" s="148" t="s">
        <v>14</v>
      </c>
      <c r="AJ5" s="148" t="s">
        <v>13</v>
      </c>
      <c r="AK5" s="148" t="s">
        <v>14</v>
      </c>
      <c r="AL5" s="148" t="s">
        <v>13</v>
      </c>
      <c r="AM5" s="148" t="s">
        <v>14</v>
      </c>
      <c r="AN5" s="148" t="s">
        <v>13</v>
      </c>
      <c r="AO5" s="148" t="s">
        <v>14</v>
      </c>
      <c r="AP5" s="148" t="s">
        <v>13</v>
      </c>
      <c r="AQ5" s="148" t="s">
        <v>14</v>
      </c>
      <c r="AR5" s="148" t="s">
        <v>13</v>
      </c>
      <c r="AS5" s="148" t="s">
        <v>14</v>
      </c>
      <c r="AT5" s="148" t="s">
        <v>13</v>
      </c>
      <c r="AU5" s="148" t="s">
        <v>14</v>
      </c>
      <c r="AV5" s="148" t="s">
        <v>13</v>
      </c>
      <c r="AW5" s="148" t="s">
        <v>14</v>
      </c>
    </row>
    <row r="6" spans="1:49" x14ac:dyDescent="0.25">
      <c r="A6" s="149" t="s">
        <v>29</v>
      </c>
      <c r="B6" s="112">
        <v>46235.333958333336</v>
      </c>
      <c r="C6" s="112">
        <v>1</v>
      </c>
      <c r="D6" s="112">
        <v>46236.33121527778</v>
      </c>
      <c r="E6" s="112">
        <v>46236.985000000001</v>
      </c>
      <c r="F6" s="112">
        <v>46237.333298611113</v>
      </c>
      <c r="G6" s="112">
        <v>1</v>
      </c>
      <c r="H6" s="112">
        <v>46238.332615740743</v>
      </c>
      <c r="I6" s="112">
        <v>1</v>
      </c>
      <c r="J6" s="112">
        <v>46239.33048611111</v>
      </c>
      <c r="K6" s="112">
        <v>1</v>
      </c>
      <c r="L6" s="112">
        <v>46240.328761574077</v>
      </c>
      <c r="M6" s="112">
        <v>46240.995972222219</v>
      </c>
      <c r="N6" s="113" t="s">
        <v>15</v>
      </c>
      <c r="O6" s="113" t="s">
        <v>15</v>
      </c>
      <c r="P6" s="112">
        <v>46242.347372685188</v>
      </c>
      <c r="Q6" s="112">
        <v>46242.992314814815</v>
      </c>
      <c r="R6" s="112">
        <v>46243.330381944441</v>
      </c>
      <c r="S6" s="112">
        <v>1</v>
      </c>
      <c r="T6" s="112">
        <v>46244.331863425927</v>
      </c>
      <c r="U6" s="112">
        <v>46244.988749999997</v>
      </c>
      <c r="V6" s="112">
        <v>46245.330416666664</v>
      </c>
      <c r="W6" s="112">
        <v>1</v>
      </c>
      <c r="X6" s="112">
        <v>46246.33021990741</v>
      </c>
      <c r="Y6" s="112">
        <v>1</v>
      </c>
      <c r="Z6" s="112">
        <v>46247.332615740743</v>
      </c>
      <c r="AA6" s="112">
        <v>1</v>
      </c>
      <c r="AB6" s="112">
        <v>46248.562650462962</v>
      </c>
      <c r="AC6" s="112">
        <v>1</v>
      </c>
      <c r="AD6" s="112">
        <v>46249.329050925924</v>
      </c>
      <c r="AE6" s="112">
        <v>1</v>
      </c>
      <c r="AF6" s="112">
        <v>46250.330590277779</v>
      </c>
      <c r="AG6" s="112"/>
      <c r="AH6" s="112">
        <v>46251.337395833332</v>
      </c>
      <c r="AI6" s="112"/>
      <c r="AJ6" s="112">
        <v>46252.330740740741</v>
      </c>
      <c r="AK6" s="112"/>
      <c r="AL6" s="112">
        <v>46253.336655092593</v>
      </c>
      <c r="AM6" s="112"/>
      <c r="AN6" s="112">
        <v>46254.33289351852</v>
      </c>
      <c r="AO6" s="112"/>
      <c r="AP6" s="112" t="e">
        <v>#N/A</v>
      </c>
      <c r="AQ6" s="112"/>
      <c r="AR6" s="112">
        <v>46256.330729166664</v>
      </c>
      <c r="AS6" s="112"/>
      <c r="AT6" s="112">
        <v>46257.332777777781</v>
      </c>
      <c r="AU6" s="112"/>
      <c r="AV6" s="112">
        <v>46258.330972222226</v>
      </c>
      <c r="AW6" s="112"/>
    </row>
    <row r="7" spans="1:49" ht="24" x14ac:dyDescent="0.25">
      <c r="A7" s="149" t="s">
        <v>28</v>
      </c>
      <c r="B7" s="112">
        <v>46235.352430555555</v>
      </c>
      <c r="C7" s="112">
        <v>46236.000115740739</v>
      </c>
      <c r="D7" s="112">
        <v>46236.354745370372</v>
      </c>
      <c r="E7" s="112">
        <v>46236.988611111112</v>
      </c>
      <c r="F7" s="112">
        <v>46237.351666666669</v>
      </c>
      <c r="G7" s="112">
        <v>46237.988865740743</v>
      </c>
      <c r="H7" s="112">
        <v>46238.351655092592</v>
      </c>
      <c r="I7" s="112">
        <v>46238.976863425924</v>
      </c>
      <c r="J7" s="112">
        <v>46239.354756944442</v>
      </c>
      <c r="K7" s="112">
        <v>46239.981006944443</v>
      </c>
      <c r="L7" s="112">
        <v>46240.3512962963</v>
      </c>
      <c r="M7" s="112">
        <v>46240.99722222222</v>
      </c>
      <c r="N7" s="112">
        <v>46241.560312499998</v>
      </c>
      <c r="O7" s="112">
        <v>46241.998796296299</v>
      </c>
      <c r="P7" s="112">
        <v>46242.35465277778</v>
      </c>
      <c r="Q7" s="112">
        <v>46242.994143518517</v>
      </c>
      <c r="R7" s="112">
        <v>46243.352129629631</v>
      </c>
      <c r="S7" s="112">
        <v>46243.974143518521</v>
      </c>
      <c r="T7" s="112">
        <v>46244.354942129627</v>
      </c>
      <c r="U7" s="112">
        <v>46244.994421296295</v>
      </c>
      <c r="V7" s="112">
        <v>46245.353900462964</v>
      </c>
      <c r="W7" s="112">
        <v>46245.980567129627</v>
      </c>
      <c r="X7" s="112">
        <v>46246.353136574071</v>
      </c>
      <c r="Y7" s="112">
        <v>46246.978506944448</v>
      </c>
      <c r="Z7" s="112">
        <v>46247.353067129632</v>
      </c>
      <c r="AA7" s="112">
        <v>46248.01</v>
      </c>
      <c r="AB7" s="113" t="s">
        <v>15</v>
      </c>
      <c r="AC7" s="113" t="s">
        <v>15</v>
      </c>
      <c r="AD7" s="112">
        <v>46249.352337962962</v>
      </c>
      <c r="AE7" s="112">
        <v>46250.008159722223</v>
      </c>
      <c r="AF7" s="112">
        <v>46250.353680555556</v>
      </c>
      <c r="AG7" s="112"/>
      <c r="AH7" s="112">
        <v>46251.352361111109</v>
      </c>
      <c r="AI7" s="112"/>
      <c r="AJ7" s="112">
        <v>46252.353483796294</v>
      </c>
      <c r="AK7" s="112"/>
      <c r="AL7" s="112">
        <v>46253.354131944441</v>
      </c>
      <c r="AM7" s="112"/>
      <c r="AN7" s="112">
        <v>46254.353854166664</v>
      </c>
      <c r="AO7" s="112"/>
      <c r="AP7" s="112" t="s">
        <v>18</v>
      </c>
      <c r="AQ7" s="112"/>
      <c r="AR7" s="112" t="s">
        <v>18</v>
      </c>
      <c r="AS7" s="112"/>
      <c r="AT7" s="112" t="s">
        <v>18</v>
      </c>
      <c r="AU7" s="112"/>
      <c r="AV7" s="112" t="s">
        <v>18</v>
      </c>
      <c r="AW7" s="112"/>
    </row>
    <row r="8" spans="1:49" ht="24" x14ac:dyDescent="0.25">
      <c r="A8" s="149" t="s">
        <v>27</v>
      </c>
      <c r="B8" s="112">
        <v>46235.330254629633</v>
      </c>
      <c r="C8" s="112">
        <v>1</v>
      </c>
      <c r="D8" s="112">
        <v>46236.331875000003</v>
      </c>
      <c r="E8" s="112">
        <v>1</v>
      </c>
      <c r="F8" s="112">
        <v>46237.330821759257</v>
      </c>
      <c r="G8" s="112">
        <v>1</v>
      </c>
      <c r="H8" s="112">
        <v>46238.334328703706</v>
      </c>
      <c r="I8" s="112">
        <v>46238.975370370368</v>
      </c>
      <c r="J8" s="112">
        <v>46239.35564814815</v>
      </c>
      <c r="K8" s="112">
        <v>1</v>
      </c>
      <c r="L8" s="112">
        <v>46240.353217592594</v>
      </c>
      <c r="M8" s="112">
        <v>1</v>
      </c>
      <c r="N8" s="113" t="s">
        <v>15</v>
      </c>
      <c r="O8" s="113" t="s">
        <v>15</v>
      </c>
      <c r="P8" s="112">
        <v>46242.354733796295</v>
      </c>
      <c r="Q8" s="112">
        <v>1</v>
      </c>
      <c r="R8" s="112">
        <v>46243.354421296295</v>
      </c>
      <c r="S8" s="112">
        <v>1</v>
      </c>
      <c r="T8" s="112">
        <v>46244.354629629626</v>
      </c>
      <c r="U8" s="112">
        <v>1</v>
      </c>
      <c r="V8" s="112">
        <v>46245.353750000002</v>
      </c>
      <c r="W8" s="112">
        <v>1</v>
      </c>
      <c r="X8" s="112">
        <v>46246.351990740739</v>
      </c>
      <c r="Y8" s="112">
        <v>1</v>
      </c>
      <c r="Z8" s="112">
        <v>46247.351284722223</v>
      </c>
      <c r="AA8" s="112">
        <v>1</v>
      </c>
      <c r="AB8" s="112">
        <v>46248.581828703704</v>
      </c>
      <c r="AC8" s="112">
        <v>1</v>
      </c>
      <c r="AD8" s="112">
        <v>46249.35361111111</v>
      </c>
      <c r="AE8" s="112">
        <v>1</v>
      </c>
      <c r="AF8" s="112">
        <v>46250.350706018522</v>
      </c>
      <c r="AG8" s="112"/>
      <c r="AH8" s="150">
        <v>46251.34915509259</v>
      </c>
      <c r="AI8" s="112"/>
      <c r="AJ8" s="112">
        <v>46252.349270833336</v>
      </c>
      <c r="AK8" s="112"/>
      <c r="AL8" s="112">
        <v>46253.350497685184</v>
      </c>
      <c r="AM8" s="112"/>
      <c r="AN8" s="112">
        <v>46254.348935185182</v>
      </c>
      <c r="AO8" s="112"/>
      <c r="AP8" s="112">
        <v>46255.559930555559</v>
      </c>
      <c r="AQ8" s="112"/>
      <c r="AR8" s="112">
        <v>46256.32775462963</v>
      </c>
      <c r="AS8" s="112"/>
      <c r="AT8" s="112" t="e">
        <v>#N/A</v>
      </c>
      <c r="AU8" s="112"/>
      <c r="AV8" s="112">
        <v>46258.332592592589</v>
      </c>
      <c r="AW8" s="112"/>
    </row>
    <row r="9" spans="1:49" ht="36" x14ac:dyDescent="0.25">
      <c r="A9" s="149" t="s">
        <v>30</v>
      </c>
      <c r="B9" s="146" t="s">
        <v>18</v>
      </c>
      <c r="C9" s="146" t="s">
        <v>18</v>
      </c>
      <c r="D9" s="146" t="s">
        <v>18</v>
      </c>
      <c r="E9" s="146" t="s">
        <v>18</v>
      </c>
      <c r="F9" s="146" t="s">
        <v>18</v>
      </c>
      <c r="G9" s="146" t="s">
        <v>18</v>
      </c>
      <c r="H9" s="146" t="s">
        <v>18</v>
      </c>
      <c r="I9" s="146" t="s">
        <v>18</v>
      </c>
      <c r="J9" s="147">
        <v>46239.358622685184</v>
      </c>
      <c r="K9" s="147">
        <v>1</v>
      </c>
      <c r="L9" s="147">
        <v>46240.02553240741</v>
      </c>
      <c r="M9" s="147">
        <v>1</v>
      </c>
      <c r="N9" s="147">
        <v>46241.581053240741</v>
      </c>
      <c r="O9" s="147">
        <v>1</v>
      </c>
      <c r="P9" s="147">
        <v>46242.371099537035</v>
      </c>
      <c r="Q9" s="112">
        <v>1</v>
      </c>
      <c r="R9" s="112">
        <v>46243.331875000003</v>
      </c>
      <c r="S9" s="112">
        <v>1</v>
      </c>
      <c r="T9" s="112">
        <v>46244.346979166665</v>
      </c>
      <c r="U9" s="112">
        <v>1</v>
      </c>
      <c r="V9" s="112">
        <v>46245.352349537039</v>
      </c>
      <c r="W9" s="112">
        <v>1</v>
      </c>
      <c r="X9" s="112">
        <v>46246.352430555555</v>
      </c>
      <c r="Y9" s="112">
        <v>46247.052685185183</v>
      </c>
      <c r="Z9" s="112">
        <v>46247.376238425924</v>
      </c>
      <c r="AA9" s="112">
        <v>1</v>
      </c>
      <c r="AB9" s="112">
        <v>46248.369652777779</v>
      </c>
      <c r="AC9" s="112">
        <v>1</v>
      </c>
      <c r="AD9" s="112">
        <v>46249.358854166669</v>
      </c>
      <c r="AE9" s="112">
        <v>46250.039803240739</v>
      </c>
      <c r="AF9" s="112">
        <v>46250.344756944447</v>
      </c>
      <c r="AG9" s="112"/>
      <c r="AH9" s="150">
        <v>46251.348298611112</v>
      </c>
      <c r="AI9" s="112"/>
      <c r="AJ9" s="112">
        <v>46252.350902777776</v>
      </c>
      <c r="AK9" s="112"/>
      <c r="AL9" s="112">
        <v>46253.356215277781</v>
      </c>
      <c r="AM9" s="112"/>
      <c r="AN9" s="112">
        <v>46254.256030092591</v>
      </c>
      <c r="AO9" s="112"/>
      <c r="AP9" s="112">
        <v>46255.572395833333</v>
      </c>
      <c r="AQ9" s="112"/>
      <c r="AR9" s="112">
        <v>46256.343935185185</v>
      </c>
      <c r="AS9" s="112"/>
      <c r="AT9" s="112">
        <v>46257.351863425924</v>
      </c>
      <c r="AU9" s="112"/>
      <c r="AV9" s="112">
        <v>46258.345069444447</v>
      </c>
      <c r="AW9" s="112"/>
    </row>
    <row r="10" spans="1:49" ht="24" x14ac:dyDescent="0.25">
      <c r="A10" s="149" t="s">
        <v>121</v>
      </c>
      <c r="B10" s="112">
        <v>1</v>
      </c>
      <c r="C10" s="112">
        <v>46235.85732638889</v>
      </c>
      <c r="D10" s="112">
        <v>46237.355497685188</v>
      </c>
      <c r="E10" s="112">
        <v>46236.835856481484</v>
      </c>
      <c r="F10" s="112">
        <v>46237.355497685188</v>
      </c>
      <c r="G10" s="112">
        <v>46237.837118055555</v>
      </c>
      <c r="H10" s="112">
        <v>46238.358888888892</v>
      </c>
      <c r="I10" s="112">
        <v>46238.865983796299</v>
      </c>
      <c r="J10" s="112">
        <v>46239.379467592589</v>
      </c>
      <c r="K10" s="112">
        <v>46239.849212962959</v>
      </c>
      <c r="L10" s="112">
        <v>46240.37572916667</v>
      </c>
      <c r="M10" s="112">
        <v>46240.890706018516</v>
      </c>
      <c r="N10" s="112">
        <v>46241.332974537036</v>
      </c>
      <c r="O10" s="112">
        <v>46241.860162037039</v>
      </c>
      <c r="P10" s="112">
        <v>46242.376388888886</v>
      </c>
      <c r="Q10" s="112">
        <v>46242.851921296293</v>
      </c>
      <c r="R10" s="112">
        <v>46243.372928240744</v>
      </c>
      <c r="S10" s="112">
        <v>46243.865370370368</v>
      </c>
      <c r="T10" s="112">
        <v>46244.403009259258</v>
      </c>
      <c r="U10" s="112">
        <v>46244.855381944442</v>
      </c>
      <c r="V10" s="112">
        <v>46245.402094907404</v>
      </c>
      <c r="W10" s="112">
        <v>46245.854699074072</v>
      </c>
      <c r="X10" s="112">
        <v>46246.396909722222</v>
      </c>
      <c r="Y10" s="112">
        <v>46246.851493055554</v>
      </c>
      <c r="Z10" s="112">
        <v>46247.384664351855</v>
      </c>
      <c r="AA10" s="103">
        <v>1</v>
      </c>
      <c r="AB10" s="112">
        <v>46248.852314814816</v>
      </c>
      <c r="AC10" s="112">
        <v>46248.852314814816</v>
      </c>
      <c r="AD10" s="112">
        <v>46249.375891203701</v>
      </c>
      <c r="AE10" s="112">
        <v>46249.858067129629</v>
      </c>
      <c r="AF10" s="112">
        <v>46250.374224537038</v>
      </c>
      <c r="AG10" s="112"/>
      <c r="AH10" s="112">
        <v>46251.412187499998</v>
      </c>
      <c r="AI10" s="112"/>
      <c r="AJ10" s="112">
        <v>46252.379050925927</v>
      </c>
      <c r="AK10" s="112"/>
      <c r="AL10" s="112">
        <v>46253.392337962963</v>
      </c>
      <c r="AM10" s="112"/>
      <c r="AN10" s="112">
        <v>46254.434999999998</v>
      </c>
      <c r="AO10" s="112"/>
      <c r="AP10" s="112" t="e">
        <v>#N/A</v>
      </c>
      <c r="AQ10" s="112"/>
      <c r="AR10" s="112">
        <v>46256.391006944446</v>
      </c>
      <c r="AS10" s="112"/>
      <c r="AT10" s="112">
        <v>46257.371701388889</v>
      </c>
      <c r="AU10" s="112"/>
      <c r="AV10" s="112">
        <v>46258.372604166667</v>
      </c>
      <c r="AW10" s="112"/>
    </row>
    <row r="11" spans="1:49" ht="36" x14ac:dyDescent="0.25">
      <c r="A11" s="149" t="s">
        <v>31</v>
      </c>
      <c r="B11" s="112">
        <v>46235.286041666666</v>
      </c>
      <c r="C11" s="112">
        <v>46235.857002314813</v>
      </c>
      <c r="D11" s="112">
        <v>46236.315011574072</v>
      </c>
      <c r="E11" s="112">
        <v>46236.840196759258</v>
      </c>
      <c r="F11" s="112">
        <v>46237.310266203705</v>
      </c>
      <c r="G11" s="112">
        <v>46237.842245370368</v>
      </c>
      <c r="H11" s="112">
        <v>46238.271770833337</v>
      </c>
      <c r="I11" s="112">
        <v>46238.932557870372</v>
      </c>
      <c r="J11" s="112">
        <v>46239.352939814817</v>
      </c>
      <c r="K11" s="112">
        <v>46239.899884259263</v>
      </c>
      <c r="L11" s="112">
        <v>46240.338125000002</v>
      </c>
      <c r="M11" s="112">
        <v>46240.968090277776</v>
      </c>
      <c r="N11" s="112">
        <v>46241.320590277777</v>
      </c>
      <c r="O11" s="103">
        <v>1</v>
      </c>
      <c r="P11" s="112">
        <v>46242.333807870367</v>
      </c>
      <c r="Q11" s="112">
        <v>46242.908391203702</v>
      </c>
      <c r="R11" s="112">
        <v>46243.332291666666</v>
      </c>
      <c r="S11" s="112">
        <v>46243.873888888891</v>
      </c>
      <c r="T11" s="112">
        <v>46244.325219907405</v>
      </c>
      <c r="U11" s="103">
        <v>1</v>
      </c>
      <c r="V11" s="112">
        <v>46245.329409722224</v>
      </c>
      <c r="W11" s="112">
        <v>46245.884004629632</v>
      </c>
      <c r="X11" s="112">
        <v>46246.329189814816</v>
      </c>
      <c r="Y11" s="112">
        <v>46246.913263888891</v>
      </c>
      <c r="Z11" s="112">
        <v>46247.344421296293</v>
      </c>
      <c r="AA11" s="112">
        <v>46247.875775462962</v>
      </c>
      <c r="AB11" s="112">
        <v>46248.596458333333</v>
      </c>
      <c r="AC11" s="103">
        <v>1</v>
      </c>
      <c r="AD11" s="112">
        <v>46249.34138888889</v>
      </c>
      <c r="AE11" s="112">
        <v>46249.891631944447</v>
      </c>
      <c r="AF11" s="112">
        <v>46250.32739583333</v>
      </c>
      <c r="AG11" s="112"/>
      <c r="AH11" s="112">
        <v>46251.328321759262</v>
      </c>
      <c r="AI11" s="112"/>
      <c r="AJ11" s="112">
        <v>46252.334131944444</v>
      </c>
      <c r="AK11" s="112"/>
      <c r="AL11" s="112">
        <v>46253.338240740741</v>
      </c>
      <c r="AM11" s="112"/>
      <c r="AN11" s="112">
        <v>46254.319537037038</v>
      </c>
      <c r="AO11" s="112"/>
      <c r="AP11" s="112" t="e">
        <v>#N/A</v>
      </c>
      <c r="AQ11" s="112"/>
      <c r="AR11" s="112">
        <v>46256.3203125</v>
      </c>
      <c r="AS11" s="112"/>
      <c r="AT11" s="112">
        <v>46257.323981481481</v>
      </c>
      <c r="AU11" s="112"/>
      <c r="AV11" s="112">
        <v>46258.327303240738</v>
      </c>
      <c r="AW11" s="112"/>
    </row>
    <row r="12" spans="1:49" ht="36" x14ac:dyDescent="0.25">
      <c r="A12" s="149" t="s">
        <v>106</v>
      </c>
      <c r="B12" s="112">
        <v>46235.332175925927</v>
      </c>
      <c r="C12" s="112">
        <v>46235.971076388887</v>
      </c>
      <c r="D12" s="114" t="s">
        <v>98</v>
      </c>
      <c r="E12" s="114" t="s">
        <v>98</v>
      </c>
      <c r="F12" s="112">
        <v>46237.33152777778</v>
      </c>
      <c r="G12" s="112">
        <v>46237.95752314815</v>
      </c>
      <c r="H12" s="103">
        <v>1</v>
      </c>
      <c r="I12" s="103">
        <v>1</v>
      </c>
      <c r="J12" s="112">
        <v>46239.371944386578</v>
      </c>
      <c r="K12" s="112">
        <v>46239.981122685182</v>
      </c>
      <c r="L12" s="112">
        <v>46240.333171296297</v>
      </c>
      <c r="M12" s="103">
        <v>1</v>
      </c>
      <c r="N12" s="112">
        <v>46241.580914351849</v>
      </c>
      <c r="O12" s="112">
        <v>46241.990543981483</v>
      </c>
      <c r="P12" s="112">
        <v>46242.339641203704</v>
      </c>
      <c r="Q12" s="112">
        <v>46242.992581018516</v>
      </c>
      <c r="R12" s="112">
        <v>46243.329976851855</v>
      </c>
      <c r="S12" s="103">
        <v>1</v>
      </c>
      <c r="T12" s="112">
        <v>46244.332314814812</v>
      </c>
      <c r="U12" s="112">
        <v>46244.989710648151</v>
      </c>
      <c r="V12" s="112">
        <v>46245.331145833334</v>
      </c>
      <c r="W12" s="112">
        <v>46245.977789351855</v>
      </c>
      <c r="X12" s="112">
        <v>46246.330694444441</v>
      </c>
      <c r="Y12" s="103">
        <v>1</v>
      </c>
      <c r="Z12" s="112">
        <v>46247.336412037039</v>
      </c>
      <c r="AA12" s="112">
        <v>46248.008414351854</v>
      </c>
      <c r="AB12" s="113" t="s">
        <v>15</v>
      </c>
      <c r="AC12" s="113" t="s">
        <v>15</v>
      </c>
      <c r="AD12" s="112">
        <v>46249.331238425926</v>
      </c>
      <c r="AE12" s="112">
        <v>46249.973668981482</v>
      </c>
      <c r="AF12" s="112">
        <v>46250.328125</v>
      </c>
      <c r="AG12" s="112"/>
      <c r="AH12" s="112">
        <v>46251.330972222226</v>
      </c>
      <c r="AI12" s="112"/>
      <c r="AJ12" s="112">
        <v>46252.328472222223</v>
      </c>
      <c r="AK12" s="112"/>
      <c r="AL12" s="112">
        <v>46253.335636574076</v>
      </c>
      <c r="AM12" s="112"/>
      <c r="AN12" s="112">
        <v>46254.331990740742</v>
      </c>
      <c r="AO12" s="112"/>
      <c r="AP12" s="112" t="e">
        <v>#N/A</v>
      </c>
      <c r="AQ12" s="112"/>
      <c r="AR12" s="112">
        <v>46256.416655092595</v>
      </c>
      <c r="AS12" s="112"/>
      <c r="AT12" s="112">
        <v>46257.372569444444</v>
      </c>
      <c r="AU12" s="112"/>
      <c r="AV12" s="112">
        <v>46258.372546296298</v>
      </c>
      <c r="AW12" s="112"/>
    </row>
    <row r="13" spans="1:49" ht="36" x14ac:dyDescent="0.25">
      <c r="A13" s="151" t="s">
        <v>32</v>
      </c>
      <c r="B13" s="112">
        <v>46235.319837962961</v>
      </c>
      <c r="C13" s="112">
        <v>1</v>
      </c>
      <c r="D13" s="112">
        <v>46236.321655092594</v>
      </c>
      <c r="E13" s="112">
        <v>1</v>
      </c>
      <c r="F13" s="112">
        <v>46237.320405092592</v>
      </c>
      <c r="G13" s="112">
        <v>1</v>
      </c>
      <c r="H13" s="112">
        <v>46238.320081018515</v>
      </c>
      <c r="I13" s="112">
        <v>1</v>
      </c>
      <c r="J13" s="112">
        <v>46239.344907407409</v>
      </c>
      <c r="K13" s="112">
        <v>1</v>
      </c>
      <c r="L13" s="112">
        <v>46240.344317129631</v>
      </c>
      <c r="M13" s="112">
        <v>1</v>
      </c>
      <c r="N13" s="112">
        <v>46241.583090277774</v>
      </c>
      <c r="O13" s="112">
        <v>1</v>
      </c>
      <c r="P13" s="112">
        <v>46242.343935185185</v>
      </c>
      <c r="Q13" s="112">
        <v>1</v>
      </c>
      <c r="R13" s="112">
        <v>46243.342430555553</v>
      </c>
      <c r="S13" s="112">
        <v>1</v>
      </c>
      <c r="T13" s="112">
        <v>46244.349108796298</v>
      </c>
      <c r="U13" s="112">
        <v>1</v>
      </c>
      <c r="V13" s="112">
        <v>46245.335092592592</v>
      </c>
      <c r="W13" s="112">
        <v>1</v>
      </c>
      <c r="X13" s="112">
        <v>46246.342488425929</v>
      </c>
      <c r="Y13" s="112">
        <v>1</v>
      </c>
      <c r="Z13" s="112">
        <v>46247.343449074076</v>
      </c>
      <c r="AA13" s="112">
        <v>1</v>
      </c>
      <c r="AB13" s="113" t="s">
        <v>15</v>
      </c>
      <c r="AC13" s="113" t="s">
        <v>15</v>
      </c>
      <c r="AD13" s="112">
        <v>46249.335706018515</v>
      </c>
      <c r="AE13" s="112">
        <v>1</v>
      </c>
      <c r="AF13" s="112">
        <v>46250.338680555556</v>
      </c>
      <c r="AG13" s="112"/>
      <c r="AH13" s="112">
        <v>46251.33734953704</v>
      </c>
      <c r="AI13" s="112"/>
      <c r="AJ13" s="112">
        <v>46252.337384259263</v>
      </c>
      <c r="AK13" s="112"/>
      <c r="AL13" s="112">
        <v>46253.338495370372</v>
      </c>
      <c r="AM13" s="112"/>
      <c r="AN13" s="112">
        <v>46254.344548611109</v>
      </c>
      <c r="AO13" s="112"/>
      <c r="AP13" s="112">
        <v>46255.580520833333</v>
      </c>
      <c r="AQ13" s="112"/>
      <c r="AR13" s="112">
        <v>46256.353819444441</v>
      </c>
      <c r="AS13" s="112"/>
      <c r="AT13" s="112">
        <v>46257.351620370369</v>
      </c>
      <c r="AU13" s="112"/>
      <c r="AV13" s="112">
        <v>46258.354189814818</v>
      </c>
      <c r="AW13" s="112"/>
    </row>
    <row r="14" spans="1:49" ht="24" x14ac:dyDescent="0.25">
      <c r="A14" s="152" t="s">
        <v>119</v>
      </c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112">
        <v>46247.32576388889</v>
      </c>
      <c r="AA14" s="112">
        <v>1</v>
      </c>
      <c r="AB14" s="112">
        <v>46248.568888888891</v>
      </c>
      <c r="AC14" s="112">
        <v>1</v>
      </c>
      <c r="AD14" s="112">
        <v>46249.338912037034</v>
      </c>
      <c r="AE14" s="112">
        <v>1</v>
      </c>
      <c r="AF14" s="112">
        <v>46250.347199074073</v>
      </c>
      <c r="AG14" s="112"/>
      <c r="AH14" s="112">
        <v>46251.345729166664</v>
      </c>
      <c r="AI14" s="112"/>
      <c r="AJ14" s="153">
        <v>46252.343229166669</v>
      </c>
      <c r="AK14" s="112"/>
      <c r="AL14" s="153">
        <v>46253.346076388887</v>
      </c>
      <c r="AM14" s="112"/>
      <c r="AN14" s="153">
        <v>46254.344849537039</v>
      </c>
      <c r="AO14" s="153"/>
      <c r="AP14" s="153">
        <v>46255.579652777778</v>
      </c>
      <c r="AQ14" s="153"/>
      <c r="AR14" s="153">
        <v>46256.350347222222</v>
      </c>
      <c r="AS14" s="112"/>
      <c r="AT14" s="112">
        <v>46257.349768518521</v>
      </c>
      <c r="AU14" s="112"/>
      <c r="AV14" s="112">
        <v>46258.350578703707</v>
      </c>
      <c r="AW14" s="112"/>
    </row>
    <row r="18" spans="1:49" x14ac:dyDescent="0.25">
      <c r="A18" s="213" t="s">
        <v>12</v>
      </c>
      <c r="B18" s="206" t="s">
        <v>4</v>
      </c>
      <c r="C18" s="206"/>
      <c r="D18" s="206" t="s">
        <v>5</v>
      </c>
      <c r="E18" s="206"/>
      <c r="F18" s="206" t="s">
        <v>6</v>
      </c>
      <c r="G18" s="206"/>
      <c r="H18" s="206" t="s">
        <v>7</v>
      </c>
      <c r="I18" s="206"/>
      <c r="J18" s="206" t="s">
        <v>1</v>
      </c>
      <c r="K18" s="206"/>
      <c r="L18" s="206" t="s">
        <v>2</v>
      </c>
      <c r="M18" s="206"/>
      <c r="N18" s="206" t="s">
        <v>3</v>
      </c>
      <c r="O18" s="206"/>
      <c r="P18" s="206" t="s">
        <v>4</v>
      </c>
      <c r="Q18" s="206"/>
      <c r="R18" s="206" t="s">
        <v>5</v>
      </c>
      <c r="S18" s="206"/>
      <c r="T18" s="206" t="s">
        <v>6</v>
      </c>
      <c r="U18" s="206"/>
      <c r="V18" s="206" t="s">
        <v>7</v>
      </c>
      <c r="W18" s="206"/>
      <c r="X18" s="206" t="s">
        <v>1</v>
      </c>
      <c r="Y18" s="206"/>
      <c r="Z18" s="206" t="s">
        <v>2</v>
      </c>
      <c r="AA18" s="206"/>
      <c r="AB18" s="206" t="s">
        <v>3</v>
      </c>
      <c r="AC18" s="206"/>
      <c r="AD18" s="206" t="s">
        <v>4</v>
      </c>
      <c r="AE18" s="206"/>
      <c r="AF18" s="206" t="s">
        <v>5</v>
      </c>
      <c r="AG18" s="206"/>
      <c r="AH18" s="206" t="s">
        <v>6</v>
      </c>
      <c r="AI18" s="206"/>
      <c r="AJ18" s="206" t="s">
        <v>7</v>
      </c>
      <c r="AK18" s="206"/>
      <c r="AL18" s="206" t="s">
        <v>1</v>
      </c>
      <c r="AM18" s="206"/>
      <c r="AN18" s="206" t="s">
        <v>2</v>
      </c>
      <c r="AO18" s="206"/>
      <c r="AP18" s="206" t="s">
        <v>3</v>
      </c>
      <c r="AQ18" s="206"/>
      <c r="AR18" s="206" t="s">
        <v>4</v>
      </c>
      <c r="AS18" s="206"/>
      <c r="AT18" s="206" t="s">
        <v>5</v>
      </c>
      <c r="AU18" s="206"/>
      <c r="AV18" s="206" t="s">
        <v>6</v>
      </c>
      <c r="AW18" s="206"/>
    </row>
    <row r="19" spans="1:49" x14ac:dyDescent="0.25">
      <c r="A19" s="214"/>
      <c r="B19" s="211">
        <v>46235</v>
      </c>
      <c r="C19" s="211"/>
      <c r="D19" s="211">
        <v>46236</v>
      </c>
      <c r="E19" s="211"/>
      <c r="F19" s="211">
        <v>46237</v>
      </c>
      <c r="G19" s="211"/>
      <c r="H19" s="211">
        <v>46238</v>
      </c>
      <c r="I19" s="211"/>
      <c r="J19" s="211">
        <v>46239</v>
      </c>
      <c r="K19" s="211"/>
      <c r="L19" s="211">
        <v>46240</v>
      </c>
      <c r="M19" s="211"/>
      <c r="N19" s="211">
        <v>46241</v>
      </c>
      <c r="O19" s="211"/>
      <c r="P19" s="211">
        <v>46242</v>
      </c>
      <c r="Q19" s="211"/>
      <c r="R19" s="211">
        <v>46243</v>
      </c>
      <c r="S19" s="211"/>
      <c r="T19" s="211">
        <v>46244</v>
      </c>
      <c r="U19" s="211"/>
      <c r="V19" s="211">
        <v>46245</v>
      </c>
      <c r="W19" s="211"/>
      <c r="X19" s="211">
        <v>46246</v>
      </c>
      <c r="Y19" s="211"/>
      <c r="Z19" s="211">
        <v>46247</v>
      </c>
      <c r="AA19" s="211"/>
      <c r="AB19" s="211">
        <v>46248</v>
      </c>
      <c r="AC19" s="211"/>
      <c r="AD19" s="211">
        <v>46249</v>
      </c>
      <c r="AE19" s="211"/>
      <c r="AF19" s="211">
        <v>46250</v>
      </c>
      <c r="AG19" s="211"/>
      <c r="AH19" s="211">
        <v>46251</v>
      </c>
      <c r="AI19" s="211"/>
      <c r="AJ19" s="211">
        <v>46252</v>
      </c>
      <c r="AK19" s="211"/>
      <c r="AL19" s="211">
        <v>46253</v>
      </c>
      <c r="AM19" s="211"/>
      <c r="AN19" s="211">
        <v>46254</v>
      </c>
      <c r="AO19" s="211"/>
      <c r="AP19" s="211">
        <v>46255</v>
      </c>
      <c r="AQ19" s="211"/>
      <c r="AR19" s="211">
        <v>46256</v>
      </c>
      <c r="AS19" s="211"/>
      <c r="AT19" s="211">
        <v>46257</v>
      </c>
      <c r="AU19" s="211"/>
      <c r="AV19" s="211">
        <v>46258</v>
      </c>
      <c r="AW19" s="211"/>
    </row>
    <row r="20" spans="1:49" x14ac:dyDescent="0.25">
      <c r="A20" s="215"/>
      <c r="B20" s="148" t="s">
        <v>13</v>
      </c>
      <c r="C20" s="148" t="s">
        <v>14</v>
      </c>
      <c r="D20" s="148" t="s">
        <v>13</v>
      </c>
      <c r="E20" s="148" t="s">
        <v>14</v>
      </c>
      <c r="F20" s="148" t="s">
        <v>13</v>
      </c>
      <c r="G20" s="148" t="s">
        <v>14</v>
      </c>
      <c r="H20" s="148" t="s">
        <v>13</v>
      </c>
      <c r="I20" s="148" t="s">
        <v>14</v>
      </c>
      <c r="J20" s="148" t="s">
        <v>13</v>
      </c>
      <c r="K20" s="148" t="s">
        <v>14</v>
      </c>
      <c r="L20" s="148" t="s">
        <v>13</v>
      </c>
      <c r="M20" s="148" t="s">
        <v>14</v>
      </c>
      <c r="N20" s="148" t="s">
        <v>13</v>
      </c>
      <c r="O20" s="148" t="s">
        <v>14</v>
      </c>
      <c r="P20" s="148" t="s">
        <v>13</v>
      </c>
      <c r="Q20" s="148" t="s">
        <v>14</v>
      </c>
      <c r="R20" s="148" t="s">
        <v>13</v>
      </c>
      <c r="S20" s="148" t="s">
        <v>14</v>
      </c>
      <c r="T20" s="148" t="s">
        <v>13</v>
      </c>
      <c r="U20" s="148" t="s">
        <v>14</v>
      </c>
      <c r="V20" s="148" t="s">
        <v>13</v>
      </c>
      <c r="W20" s="148" t="s">
        <v>14</v>
      </c>
      <c r="X20" s="148" t="s">
        <v>13</v>
      </c>
      <c r="Y20" s="148" t="s">
        <v>14</v>
      </c>
      <c r="Z20" s="148" t="s">
        <v>13</v>
      </c>
      <c r="AA20" s="148" t="s">
        <v>14</v>
      </c>
      <c r="AB20" s="148" t="s">
        <v>13</v>
      </c>
      <c r="AC20" s="148" t="s">
        <v>14</v>
      </c>
      <c r="AD20" s="148" t="s">
        <v>13</v>
      </c>
      <c r="AE20" s="148" t="s">
        <v>14</v>
      </c>
      <c r="AF20" s="148" t="s">
        <v>13</v>
      </c>
      <c r="AG20" s="148" t="s">
        <v>14</v>
      </c>
      <c r="AH20" s="148" t="s">
        <v>13</v>
      </c>
      <c r="AI20" s="148" t="s">
        <v>14</v>
      </c>
      <c r="AJ20" s="148" t="s">
        <v>13</v>
      </c>
      <c r="AK20" s="148" t="s">
        <v>14</v>
      </c>
      <c r="AL20" s="148" t="s">
        <v>13</v>
      </c>
      <c r="AM20" s="148" t="s">
        <v>14</v>
      </c>
      <c r="AN20" s="148" t="s">
        <v>13</v>
      </c>
      <c r="AO20" s="148" t="s">
        <v>14</v>
      </c>
      <c r="AP20" s="148" t="s">
        <v>13</v>
      </c>
      <c r="AQ20" s="148" t="s">
        <v>14</v>
      </c>
      <c r="AR20" s="148" t="s">
        <v>13</v>
      </c>
      <c r="AS20" s="148" t="s">
        <v>14</v>
      </c>
      <c r="AT20" s="148" t="s">
        <v>13</v>
      </c>
      <c r="AU20" s="148" t="s">
        <v>14</v>
      </c>
      <c r="AV20" s="148" t="s">
        <v>13</v>
      </c>
      <c r="AW20" s="148" t="s">
        <v>14</v>
      </c>
    </row>
    <row r="21" spans="1:49" ht="24" x14ac:dyDescent="0.25">
      <c r="A21" s="149" t="s">
        <v>54</v>
      </c>
      <c r="B21" s="146" t="s">
        <v>18</v>
      </c>
      <c r="C21" s="146" t="s">
        <v>18</v>
      </c>
      <c r="D21" s="146" t="s">
        <v>18</v>
      </c>
      <c r="E21" s="146" t="s">
        <v>18</v>
      </c>
      <c r="F21" s="146" t="s">
        <v>18</v>
      </c>
      <c r="G21" s="146" t="s">
        <v>18</v>
      </c>
      <c r="H21" s="146" t="s">
        <v>18</v>
      </c>
      <c r="I21" s="146" t="s">
        <v>18</v>
      </c>
      <c r="J21" s="146" t="s">
        <v>18</v>
      </c>
      <c r="K21" s="146" t="s">
        <v>18</v>
      </c>
      <c r="L21" s="146" t="s">
        <v>18</v>
      </c>
      <c r="M21" s="146" t="s">
        <v>18</v>
      </c>
      <c r="N21" s="146" t="s">
        <v>18</v>
      </c>
      <c r="O21" s="146" t="s">
        <v>18</v>
      </c>
      <c r="P21" s="146" t="s">
        <v>18</v>
      </c>
      <c r="Q21" s="146" t="s">
        <v>18</v>
      </c>
      <c r="R21" s="146" t="s">
        <v>18</v>
      </c>
      <c r="S21" s="146" t="s">
        <v>18</v>
      </c>
      <c r="T21" s="146" t="s">
        <v>18</v>
      </c>
      <c r="U21" s="146" t="s">
        <v>18</v>
      </c>
      <c r="V21" s="146" t="s">
        <v>18</v>
      </c>
      <c r="W21" s="146" t="s">
        <v>18</v>
      </c>
      <c r="X21" s="146" t="s">
        <v>18</v>
      </c>
      <c r="Y21" s="146" t="s">
        <v>18</v>
      </c>
      <c r="Z21" s="146" t="s">
        <v>18</v>
      </c>
      <c r="AA21" s="146" t="s">
        <v>18</v>
      </c>
      <c r="AB21" s="146" t="s">
        <v>18</v>
      </c>
      <c r="AC21" s="146" t="s">
        <v>18</v>
      </c>
      <c r="AD21" s="146" t="s">
        <v>18</v>
      </c>
      <c r="AE21" s="146" t="s">
        <v>18</v>
      </c>
      <c r="AF21" s="146" t="s">
        <v>18</v>
      </c>
      <c r="AG21" s="146"/>
      <c r="AH21" s="146" t="s">
        <v>18</v>
      </c>
      <c r="AI21" s="146"/>
      <c r="AJ21" s="146" t="s">
        <v>18</v>
      </c>
      <c r="AK21" s="146"/>
      <c r="AL21" s="146" t="s">
        <v>18</v>
      </c>
      <c r="AM21" s="146"/>
      <c r="AN21" s="146" t="s">
        <v>18</v>
      </c>
      <c r="AO21" s="146"/>
      <c r="AP21" s="112">
        <v>46255.565057870372</v>
      </c>
      <c r="AQ21" s="112"/>
      <c r="AR21" s="112">
        <v>46256.347187500003</v>
      </c>
      <c r="AS21" s="112"/>
      <c r="AT21" s="112">
        <v>46257.346342592595</v>
      </c>
      <c r="AU21" s="112"/>
      <c r="AV21" s="112">
        <v>46258.347858796296</v>
      </c>
      <c r="AW21" s="112"/>
    </row>
    <row r="22" spans="1:49" ht="24" x14ac:dyDescent="0.25">
      <c r="A22" s="149" t="s">
        <v>35</v>
      </c>
      <c r="B22" s="112">
        <v>46235.32953703704</v>
      </c>
      <c r="C22" s="112">
        <v>46235.997719907406</v>
      </c>
      <c r="D22" s="112">
        <v>46236.327847222223</v>
      </c>
      <c r="E22" s="103">
        <v>1</v>
      </c>
      <c r="F22" s="112">
        <v>46237.331076388888</v>
      </c>
      <c r="G22" s="103">
        <v>1</v>
      </c>
      <c r="H22" s="112">
        <v>46238.331504629627</v>
      </c>
      <c r="I22" s="112">
        <v>46238.999166666668</v>
      </c>
      <c r="J22" s="112">
        <v>46239.35365740741</v>
      </c>
      <c r="K22" s="103">
        <v>1</v>
      </c>
      <c r="L22" s="112">
        <v>46240.351018518515</v>
      </c>
      <c r="M22" s="103">
        <v>1</v>
      </c>
      <c r="N22" s="113" t="s">
        <v>15</v>
      </c>
      <c r="O22" s="113" t="s">
        <v>15</v>
      </c>
      <c r="P22" s="112">
        <v>46242.354456018518</v>
      </c>
      <c r="Q22" s="103">
        <v>1</v>
      </c>
      <c r="R22" s="112">
        <v>46243.354155092595</v>
      </c>
      <c r="S22" s="112">
        <v>46243.994050925925</v>
      </c>
      <c r="T22" s="112">
        <v>46244.354270833333</v>
      </c>
      <c r="U22" s="103">
        <v>1</v>
      </c>
      <c r="V22" s="112">
        <v>46245.34878472222</v>
      </c>
      <c r="W22" s="103">
        <v>1</v>
      </c>
      <c r="X22" s="112">
        <v>46246.34574074074</v>
      </c>
      <c r="Y22" s="103">
        <v>1</v>
      </c>
      <c r="Z22" s="112">
        <v>46247.354247685187</v>
      </c>
      <c r="AA22" s="103">
        <v>1</v>
      </c>
      <c r="AB22" s="112">
        <v>46248.578761574077</v>
      </c>
      <c r="AC22" s="103">
        <v>1</v>
      </c>
      <c r="AD22" s="112">
        <v>46249.34784722222</v>
      </c>
      <c r="AE22" s="112">
        <v>1</v>
      </c>
      <c r="AF22" s="112">
        <v>46250.351122685184</v>
      </c>
      <c r="AG22" s="112"/>
      <c r="AH22" s="150">
        <v>46251.350891203707</v>
      </c>
      <c r="AI22" s="112"/>
      <c r="AJ22" s="112">
        <v>46252.347685185188</v>
      </c>
      <c r="AK22" s="112"/>
      <c r="AL22" s="112">
        <v>46253.351898148147</v>
      </c>
      <c r="AM22" s="112"/>
      <c r="AN22" s="112">
        <v>46254.351076388892</v>
      </c>
      <c r="AO22" s="112"/>
      <c r="AP22" s="112" t="e">
        <v>#N/A</v>
      </c>
      <c r="AQ22" s="112"/>
      <c r="AR22" s="112">
        <v>46256.353263888886</v>
      </c>
      <c r="AS22" s="112"/>
      <c r="AT22" s="112">
        <v>46257.355439814812</v>
      </c>
      <c r="AU22" s="112"/>
      <c r="AV22" s="112">
        <v>46258.351863425924</v>
      </c>
      <c r="AW22" s="112"/>
    </row>
    <row r="23" spans="1:49" ht="48" x14ac:dyDescent="0.25">
      <c r="A23" s="149" t="s">
        <v>37</v>
      </c>
      <c r="B23" s="112">
        <v>46235.348402777781</v>
      </c>
      <c r="C23" s="112">
        <v>46235.96261574074</v>
      </c>
      <c r="D23" s="112">
        <v>46236.347800925927</v>
      </c>
      <c r="E23" s="112">
        <v>46236.945983796293</v>
      </c>
      <c r="F23" s="112">
        <v>46237.348483796297</v>
      </c>
      <c r="G23" s="112">
        <v>46237.948113425926</v>
      </c>
      <c r="H23" s="112">
        <v>46238.349224537036</v>
      </c>
      <c r="I23" s="112">
        <v>46238.944131944445</v>
      </c>
      <c r="J23" s="112">
        <v>46239.352164351854</v>
      </c>
      <c r="K23" s="112">
        <v>46239.943124999998</v>
      </c>
      <c r="L23" s="112">
        <v>46240.351840277777</v>
      </c>
      <c r="M23" s="112">
        <v>46240.964166666665</v>
      </c>
      <c r="N23" s="112">
        <v>46241.577002314814</v>
      </c>
      <c r="O23" s="112">
        <v>46241.950150462966</v>
      </c>
      <c r="P23" s="112">
        <v>46242.352685185186</v>
      </c>
      <c r="Q23" s="112">
        <v>46242.964236111111</v>
      </c>
      <c r="R23" s="112">
        <v>46243.348379629628</v>
      </c>
      <c r="S23" s="112">
        <v>46243.943402777775</v>
      </c>
      <c r="T23" s="112">
        <v>46244.349097222221</v>
      </c>
      <c r="U23" s="112">
        <v>46244.943113425928</v>
      </c>
      <c r="V23" s="112">
        <v>46245.349699074075</v>
      </c>
      <c r="W23" s="112">
        <v>46245.945671296293</v>
      </c>
      <c r="X23" s="112">
        <v>46246.34578703704</v>
      </c>
      <c r="Y23" s="112">
        <v>46246.945567129631</v>
      </c>
      <c r="Z23" s="112">
        <v>46247.351736111108</v>
      </c>
      <c r="AA23" s="112">
        <v>46247.962476851855</v>
      </c>
      <c r="AB23" s="113" t="s">
        <v>15</v>
      </c>
      <c r="AC23" s="113" t="s">
        <v>15</v>
      </c>
      <c r="AD23" s="112">
        <v>46249.344710648147</v>
      </c>
      <c r="AE23" s="112">
        <v>46249.971134259256</v>
      </c>
      <c r="AF23" s="112">
        <v>46250.346585648149</v>
      </c>
      <c r="AG23" s="112"/>
      <c r="AH23" s="112">
        <v>46251.351435185185</v>
      </c>
      <c r="AI23" s="112"/>
      <c r="AJ23" s="112">
        <v>46252.34915509259</v>
      </c>
      <c r="AK23" s="112"/>
      <c r="AL23" s="112">
        <v>46253.352847222224</v>
      </c>
      <c r="AM23" s="112"/>
      <c r="AN23" s="112">
        <v>46254.348761574074</v>
      </c>
      <c r="AO23" s="112"/>
      <c r="AP23" s="112" t="e">
        <v>#N/A</v>
      </c>
      <c r="AQ23" s="112"/>
      <c r="AR23" s="112">
        <v>46256.335462962961</v>
      </c>
      <c r="AS23" s="112"/>
      <c r="AT23" s="112">
        <v>46257.340474537035</v>
      </c>
      <c r="AU23" s="112"/>
      <c r="AV23" s="112">
        <v>46258.328182870369</v>
      </c>
      <c r="AW23" s="112"/>
    </row>
    <row r="24" spans="1:49" ht="24" x14ac:dyDescent="0.25">
      <c r="A24" s="149" t="s">
        <v>40</v>
      </c>
      <c r="B24" s="112">
        <v>46235.354247685187</v>
      </c>
      <c r="C24" s="112">
        <v>46235.977418981478</v>
      </c>
      <c r="D24" s="112">
        <v>46236.355266203704</v>
      </c>
      <c r="E24" s="112">
        <v>46236.967233796298</v>
      </c>
      <c r="F24" s="112">
        <v>46237.350659722222</v>
      </c>
      <c r="G24" s="112">
        <v>46237.956030092595</v>
      </c>
      <c r="H24" s="112">
        <v>46238.353773148148</v>
      </c>
      <c r="I24" s="112">
        <v>46238.956828703704</v>
      </c>
      <c r="J24" s="112">
        <v>46239.352708333332</v>
      </c>
      <c r="K24" s="103">
        <v>1</v>
      </c>
      <c r="L24" s="112">
        <v>46240.352592592593</v>
      </c>
      <c r="M24" s="112">
        <v>46240.976157407407</v>
      </c>
      <c r="N24" s="113" t="s">
        <v>15</v>
      </c>
      <c r="O24" s="113" t="s">
        <v>15</v>
      </c>
      <c r="P24" s="112">
        <v>46242.351863425924</v>
      </c>
      <c r="Q24" s="112">
        <v>46242.972766203704</v>
      </c>
      <c r="R24" s="112">
        <v>46243.354398148149</v>
      </c>
      <c r="S24" s="112">
        <v>46243.955266203702</v>
      </c>
      <c r="T24" s="112">
        <v>46244.354849537034</v>
      </c>
      <c r="U24" s="112">
        <v>46244.95621527778</v>
      </c>
      <c r="V24" s="112">
        <v>46245.353113425925</v>
      </c>
      <c r="W24" s="112">
        <v>46245.954780092594</v>
      </c>
      <c r="X24" s="112">
        <v>46246.382592592592</v>
      </c>
      <c r="Y24" s="112">
        <v>46246.952951388892</v>
      </c>
      <c r="Z24" s="112">
        <v>46247.352372685185</v>
      </c>
      <c r="AA24" s="112">
        <v>46247.980312500003</v>
      </c>
      <c r="AB24" s="112">
        <v>46248.578611111108</v>
      </c>
      <c r="AC24" s="112">
        <v>46248.954259259262</v>
      </c>
      <c r="AD24" s="112">
        <v>46249.355451388888</v>
      </c>
      <c r="AE24" s="112">
        <v>1</v>
      </c>
      <c r="AF24" s="112">
        <v>46250.350416666668</v>
      </c>
      <c r="AG24" s="112"/>
      <c r="AH24" s="112">
        <v>46251.354675925926</v>
      </c>
      <c r="AI24" s="112"/>
      <c r="AJ24" s="112">
        <v>46252.350231481483</v>
      </c>
      <c r="AK24" s="112"/>
      <c r="AL24" s="112">
        <v>46253.355300925927</v>
      </c>
      <c r="AM24" s="112"/>
      <c r="AN24" s="112">
        <v>46254.346319444441</v>
      </c>
      <c r="AO24" s="112"/>
      <c r="AP24" s="112" t="e">
        <v>#N/A</v>
      </c>
      <c r="AQ24" s="112"/>
      <c r="AR24" s="112">
        <v>46256.352118055554</v>
      </c>
      <c r="AS24" s="112"/>
      <c r="AT24" s="112">
        <v>46257.349502314813</v>
      </c>
      <c r="AU24" s="112"/>
      <c r="AV24" s="112">
        <v>46258.354444444441</v>
      </c>
      <c r="AW24" s="112"/>
    </row>
    <row r="25" spans="1:49" ht="24" x14ac:dyDescent="0.25">
      <c r="A25" s="149" t="s">
        <v>122</v>
      </c>
      <c r="B25" s="146" t="s">
        <v>18</v>
      </c>
      <c r="C25" s="146" t="s">
        <v>18</v>
      </c>
      <c r="D25" s="146" t="s">
        <v>18</v>
      </c>
      <c r="E25" s="146" t="s">
        <v>18</v>
      </c>
      <c r="F25" s="146" t="s">
        <v>18</v>
      </c>
      <c r="G25" s="146" t="s">
        <v>18</v>
      </c>
      <c r="H25" s="146" t="s">
        <v>18</v>
      </c>
      <c r="I25" s="146" t="s">
        <v>18</v>
      </c>
      <c r="J25" s="146" t="s">
        <v>18</v>
      </c>
      <c r="K25" s="146" t="s">
        <v>18</v>
      </c>
      <c r="L25" s="146" t="s">
        <v>18</v>
      </c>
      <c r="M25" s="146" t="s">
        <v>18</v>
      </c>
      <c r="N25" s="146" t="s">
        <v>18</v>
      </c>
      <c r="O25" s="146" t="s">
        <v>18</v>
      </c>
      <c r="P25" s="146" t="s">
        <v>18</v>
      </c>
      <c r="Q25" s="146" t="s">
        <v>18</v>
      </c>
      <c r="R25" s="146" t="s">
        <v>18</v>
      </c>
      <c r="S25" s="146" t="s">
        <v>18</v>
      </c>
      <c r="T25" s="146" t="s">
        <v>18</v>
      </c>
      <c r="U25" s="146" t="s">
        <v>18</v>
      </c>
      <c r="V25" s="146" t="s">
        <v>18</v>
      </c>
      <c r="W25" s="146" t="s">
        <v>18</v>
      </c>
      <c r="X25" s="146" t="s">
        <v>18</v>
      </c>
      <c r="Y25" s="146" t="s">
        <v>18</v>
      </c>
      <c r="Z25" s="146" t="s">
        <v>18</v>
      </c>
      <c r="AA25" s="146" t="s">
        <v>18</v>
      </c>
      <c r="AB25" s="146" t="s">
        <v>18</v>
      </c>
      <c r="AC25" s="146" t="s">
        <v>18</v>
      </c>
      <c r="AD25" s="146" t="s">
        <v>18</v>
      </c>
      <c r="AE25" s="146" t="s">
        <v>18</v>
      </c>
      <c r="AF25" s="146" t="s">
        <v>18</v>
      </c>
      <c r="AG25" s="146"/>
      <c r="AH25" s="146" t="s">
        <v>18</v>
      </c>
      <c r="AI25" s="112"/>
      <c r="AJ25" s="112" t="s">
        <v>18</v>
      </c>
      <c r="AK25" s="112"/>
      <c r="AL25" s="112" t="s">
        <v>18</v>
      </c>
      <c r="AM25" s="112"/>
      <c r="AN25" s="112" t="s">
        <v>18</v>
      </c>
      <c r="AO25" s="112"/>
      <c r="AP25" s="112">
        <v>46255.563877314817</v>
      </c>
      <c r="AQ25" s="112"/>
      <c r="AR25" s="112">
        <v>46256.319178240738</v>
      </c>
      <c r="AS25" s="112"/>
      <c r="AT25" s="112">
        <v>46257.322222222225</v>
      </c>
      <c r="AU25" s="112"/>
      <c r="AV25" s="112">
        <v>46258.321550925924</v>
      </c>
      <c r="AW25" s="112"/>
    </row>
    <row r="26" spans="1:49" ht="24" x14ac:dyDescent="0.25">
      <c r="A26" s="149" t="s">
        <v>44</v>
      </c>
      <c r="B26" s="112">
        <v>46235.355879629627</v>
      </c>
      <c r="C26" s="112">
        <v>46235.962407407409</v>
      </c>
      <c r="D26" s="112">
        <v>46236.348379629628</v>
      </c>
      <c r="E26" s="112">
        <v>46236.959074074075</v>
      </c>
      <c r="F26" s="112">
        <v>46237.349733796298</v>
      </c>
      <c r="G26" s="112">
        <v>46237.954375000001</v>
      </c>
      <c r="H26" s="112">
        <v>46238.351319444446</v>
      </c>
      <c r="I26" s="112">
        <v>46238.951840277776</v>
      </c>
      <c r="J26" s="112">
        <v>46239.358252314814</v>
      </c>
      <c r="K26" s="103">
        <v>1</v>
      </c>
      <c r="L26" s="112">
        <v>46240.353182870371</v>
      </c>
      <c r="M26" s="112">
        <v>46240.966261574074</v>
      </c>
      <c r="N26" s="113" t="s">
        <v>15</v>
      </c>
      <c r="O26" s="113" t="s">
        <v>15</v>
      </c>
      <c r="P26" s="112">
        <v>46242.353564814817</v>
      </c>
      <c r="Q26" s="103">
        <v>1</v>
      </c>
      <c r="R26" s="112">
        <v>46243.350381944445</v>
      </c>
      <c r="S26" s="112">
        <v>46243.941030092596</v>
      </c>
      <c r="T26" s="112">
        <v>46244.349930555552</v>
      </c>
      <c r="U26" s="103">
        <v>1</v>
      </c>
      <c r="V26" s="112">
        <v>46245.354270833333</v>
      </c>
      <c r="W26" s="103">
        <v>1</v>
      </c>
      <c r="X26" s="112">
        <v>46246.345914351848</v>
      </c>
      <c r="Y26" s="112">
        <v>46246.945717592593</v>
      </c>
      <c r="Z26" s="112">
        <v>46247.351898148147</v>
      </c>
      <c r="AA26" s="112">
        <v>46247.969143518516</v>
      </c>
      <c r="AB26" s="112">
        <v>46248.580231481479</v>
      </c>
      <c r="AC26" s="103">
        <v>1</v>
      </c>
      <c r="AD26" s="112">
        <v>46249.344895833332</v>
      </c>
      <c r="AE26" s="112">
        <v>46249.972395833334</v>
      </c>
      <c r="AF26" s="112">
        <v>46250.348715277774</v>
      </c>
      <c r="AG26" s="112"/>
      <c r="AH26" s="112">
        <v>46251.352476851855</v>
      </c>
      <c r="AI26" s="112"/>
      <c r="AJ26" s="112">
        <v>46252.349479166667</v>
      </c>
      <c r="AK26" s="112"/>
      <c r="AL26" s="112">
        <v>46253.353125000001</v>
      </c>
      <c r="AM26" s="112"/>
      <c r="AN26" s="112">
        <v>46254.348923611113</v>
      </c>
      <c r="AO26" s="112"/>
      <c r="AP26" s="112" t="e">
        <v>#N/A</v>
      </c>
      <c r="AQ26" s="112"/>
      <c r="AR26" s="112">
        <v>46256.348935185182</v>
      </c>
      <c r="AS26" s="112"/>
      <c r="AT26" s="112">
        <v>46257.348067129627</v>
      </c>
      <c r="AU26" s="112"/>
      <c r="AV26" s="112">
        <v>46258.349710648145</v>
      </c>
      <c r="AW26" s="112"/>
    </row>
    <row r="27" spans="1:49" ht="24" x14ac:dyDescent="0.25">
      <c r="A27" s="149" t="s">
        <v>123</v>
      </c>
      <c r="B27" s="146" t="s">
        <v>18</v>
      </c>
      <c r="C27" s="146" t="s">
        <v>18</v>
      </c>
      <c r="D27" s="146" t="s">
        <v>18</v>
      </c>
      <c r="E27" s="146" t="s">
        <v>18</v>
      </c>
      <c r="F27" s="146" t="s">
        <v>18</v>
      </c>
      <c r="G27" s="146" t="s">
        <v>18</v>
      </c>
      <c r="H27" s="146" t="s">
        <v>18</v>
      </c>
      <c r="I27" s="146" t="s">
        <v>18</v>
      </c>
      <c r="J27" s="146" t="s">
        <v>18</v>
      </c>
      <c r="K27" s="146" t="s">
        <v>18</v>
      </c>
      <c r="L27" s="146" t="s">
        <v>18</v>
      </c>
      <c r="M27" s="146" t="s">
        <v>18</v>
      </c>
      <c r="N27" s="146" t="s">
        <v>18</v>
      </c>
      <c r="O27" s="146" t="s">
        <v>18</v>
      </c>
      <c r="P27" s="146" t="s">
        <v>18</v>
      </c>
      <c r="Q27" s="146" t="s">
        <v>18</v>
      </c>
      <c r="R27" s="146" t="s">
        <v>18</v>
      </c>
      <c r="S27" s="146" t="s">
        <v>18</v>
      </c>
      <c r="T27" s="146" t="s">
        <v>18</v>
      </c>
      <c r="U27" s="146" t="s">
        <v>18</v>
      </c>
      <c r="V27" s="146" t="s">
        <v>18</v>
      </c>
      <c r="W27" s="146" t="s">
        <v>18</v>
      </c>
      <c r="X27" s="146" t="s">
        <v>18</v>
      </c>
      <c r="Y27" s="146" t="s">
        <v>18</v>
      </c>
      <c r="Z27" s="146" t="s">
        <v>18</v>
      </c>
      <c r="AA27" s="146" t="s">
        <v>18</v>
      </c>
      <c r="AB27" s="146" t="s">
        <v>18</v>
      </c>
      <c r="AC27" s="146" t="s">
        <v>18</v>
      </c>
      <c r="AD27" s="146" t="s">
        <v>18</v>
      </c>
      <c r="AE27" s="146" t="s">
        <v>18</v>
      </c>
      <c r="AF27" s="146" t="s">
        <v>18</v>
      </c>
      <c r="AG27" s="146"/>
      <c r="AH27" s="146" t="s">
        <v>18</v>
      </c>
      <c r="AI27" s="112"/>
      <c r="AJ27" s="112" t="s">
        <v>18</v>
      </c>
      <c r="AK27" s="112"/>
      <c r="AL27" s="112" t="s">
        <v>18</v>
      </c>
      <c r="AM27" s="112"/>
      <c r="AN27" s="112" t="s">
        <v>18</v>
      </c>
      <c r="AO27" s="112"/>
      <c r="AP27" s="112" t="e">
        <v>#N/A</v>
      </c>
      <c r="AQ27" s="112"/>
      <c r="AR27" s="112">
        <v>46256.35328703704</v>
      </c>
      <c r="AS27" s="112"/>
      <c r="AT27" s="112">
        <v>46257.35365740741</v>
      </c>
      <c r="AU27" s="112"/>
      <c r="AV27" s="112">
        <v>46258.354016203702</v>
      </c>
      <c r="AW27" s="112"/>
    </row>
    <row r="28" spans="1:49" ht="24" x14ac:dyDescent="0.25">
      <c r="A28" s="149" t="s">
        <v>47</v>
      </c>
      <c r="B28" s="112">
        <v>46235.348749999997</v>
      </c>
      <c r="C28" s="112">
        <v>46235.96329861111</v>
      </c>
      <c r="D28" s="112">
        <v>46236.347986111112</v>
      </c>
      <c r="E28" s="112">
        <v>46236.946435185186</v>
      </c>
      <c r="F28" s="112">
        <v>46237.348703703705</v>
      </c>
      <c r="G28" s="112">
        <v>46237.955347222225</v>
      </c>
      <c r="H28" s="112">
        <v>46238.349398148152</v>
      </c>
      <c r="I28" s="112">
        <v>46238.939409722225</v>
      </c>
      <c r="J28" s="112">
        <v>46239.352256944447</v>
      </c>
      <c r="K28" s="112">
        <v>46239.943749999999</v>
      </c>
      <c r="L28" s="112">
        <v>46240.352083333331</v>
      </c>
      <c r="M28" s="112">
        <v>46240.964317129627</v>
      </c>
      <c r="N28" s="112">
        <v>46241.576412037037</v>
      </c>
      <c r="O28" s="112">
        <v>46241.946388888886</v>
      </c>
      <c r="P28" s="112">
        <v>46242.352777777778</v>
      </c>
      <c r="Q28" s="112">
        <v>46242.966851851852</v>
      </c>
      <c r="R28" s="112">
        <v>46243.348553240743</v>
      </c>
      <c r="S28" s="112">
        <v>46243.941458333335</v>
      </c>
      <c r="T28" s="112">
        <v>46244.349247685182</v>
      </c>
      <c r="U28" s="112">
        <v>46244.954456018517</v>
      </c>
      <c r="V28" s="112">
        <v>46245.353194444448</v>
      </c>
      <c r="W28" s="112">
        <v>46245.944212962961</v>
      </c>
      <c r="X28" s="112">
        <v>46246.349641203706</v>
      </c>
      <c r="Y28" s="112">
        <v>46246.946180555555</v>
      </c>
      <c r="Z28" s="112">
        <v>46247.352083333331</v>
      </c>
      <c r="AA28" s="112">
        <v>46247.968171296299</v>
      </c>
      <c r="AB28" s="113" t="s">
        <v>15</v>
      </c>
      <c r="AC28" s="113" t="s">
        <v>15</v>
      </c>
      <c r="AD28" s="112">
        <v>46249.345023148147</v>
      </c>
      <c r="AE28" s="112">
        <v>46249.971319444441</v>
      </c>
      <c r="AF28" s="112">
        <v>46250.34715277778</v>
      </c>
      <c r="AG28" s="112"/>
      <c r="AH28" s="112">
        <v>46251.354907407411</v>
      </c>
      <c r="AI28" s="112"/>
      <c r="AJ28" s="112">
        <v>46252.349317129629</v>
      </c>
      <c r="AK28" s="112"/>
      <c r="AL28" s="112">
        <v>46253.35292824074</v>
      </c>
      <c r="AM28" s="112"/>
      <c r="AN28" s="112">
        <v>46254.349108796298</v>
      </c>
      <c r="AO28" s="112"/>
      <c r="AP28" s="112">
        <v>46255.580462962964</v>
      </c>
      <c r="AQ28" s="112"/>
      <c r="AR28" s="112">
        <v>46256.354745370372</v>
      </c>
      <c r="AS28" s="112"/>
      <c r="AT28" s="112">
        <v>46257.35496527778</v>
      </c>
      <c r="AU28" s="112"/>
      <c r="AV28" s="112" t="e">
        <v>#N/A</v>
      </c>
      <c r="AW28" s="112"/>
    </row>
    <row r="29" spans="1:49" ht="24" x14ac:dyDescent="0.25">
      <c r="A29" s="149" t="s">
        <v>124</v>
      </c>
      <c r="B29" s="112">
        <v>46235.326840277776</v>
      </c>
      <c r="C29" s="112">
        <v>46235.891342592593</v>
      </c>
      <c r="D29" s="112">
        <v>46236.32068287037</v>
      </c>
      <c r="E29" s="112">
        <v>46236.882881944446</v>
      </c>
      <c r="F29" s="112">
        <v>46237.308842592596</v>
      </c>
      <c r="G29" s="112">
        <v>46237.8825462963</v>
      </c>
      <c r="H29" s="112">
        <v>46238.334016203706</v>
      </c>
      <c r="I29" s="112">
        <v>46238.921875</v>
      </c>
      <c r="J29" s="112">
        <v>46239.364027777781</v>
      </c>
      <c r="K29" s="112">
        <v>46239.909814814811</v>
      </c>
      <c r="L29" s="112">
        <v>46240.330729166664</v>
      </c>
      <c r="M29" s="112">
        <v>46240.922384259262</v>
      </c>
      <c r="N29" s="113" t="s">
        <v>15</v>
      </c>
      <c r="O29" s="113" t="s">
        <v>15</v>
      </c>
      <c r="P29" s="112">
        <v>46242.335601851853</v>
      </c>
      <c r="Q29" s="112">
        <v>46242.902337962965</v>
      </c>
      <c r="R29" s="112">
        <v>46243.344733796293</v>
      </c>
      <c r="S29" s="112">
        <v>46243.901226851849</v>
      </c>
      <c r="T29" s="112">
        <v>46244.353310185186</v>
      </c>
      <c r="U29" s="112">
        <v>46244.90185185185</v>
      </c>
      <c r="V29" s="112">
        <v>46245.330659722225</v>
      </c>
      <c r="W29" s="112">
        <v>46245.903043981481</v>
      </c>
      <c r="X29" s="112">
        <v>46246.33321759259</v>
      </c>
      <c r="Y29" s="103">
        <v>1</v>
      </c>
      <c r="Z29" s="112">
        <v>46247.32136574074</v>
      </c>
      <c r="AA29" s="103">
        <v>1</v>
      </c>
      <c r="AB29" s="112">
        <v>46248.570381944446</v>
      </c>
      <c r="AC29" s="103">
        <v>1</v>
      </c>
      <c r="AD29" s="112">
        <v>46249.334374999999</v>
      </c>
      <c r="AE29" s="112">
        <v>1</v>
      </c>
      <c r="AF29" s="112">
        <v>46250.337256944447</v>
      </c>
      <c r="AG29" s="112"/>
      <c r="AH29" s="112">
        <v>46251.338333333333</v>
      </c>
      <c r="AI29" s="112"/>
      <c r="AJ29" s="112">
        <v>46252.325995370367</v>
      </c>
      <c r="AK29" s="112"/>
      <c r="AL29" s="112">
        <v>46253.324733796297</v>
      </c>
      <c r="AM29" s="112"/>
      <c r="AN29" s="112">
        <v>46254.343680555554</v>
      </c>
      <c r="AO29" s="112"/>
      <c r="AP29" s="112">
        <v>46255.559629629628</v>
      </c>
      <c r="AQ29" s="112"/>
      <c r="AR29" s="112">
        <v>46256.328981481478</v>
      </c>
      <c r="AS29" s="112"/>
      <c r="AT29" s="112">
        <v>46257.333136574074</v>
      </c>
      <c r="AU29" s="112"/>
      <c r="AV29" s="112">
        <v>46258.331192129626</v>
      </c>
      <c r="AW29" s="112"/>
    </row>
    <row r="30" spans="1:49" ht="24" x14ac:dyDescent="0.25">
      <c r="A30" s="149" t="s">
        <v>49</v>
      </c>
      <c r="B30" s="146" t="s">
        <v>18</v>
      </c>
      <c r="C30" s="146" t="s">
        <v>18</v>
      </c>
      <c r="D30" s="146" t="s">
        <v>18</v>
      </c>
      <c r="E30" s="146" t="s">
        <v>18</v>
      </c>
      <c r="F30" s="146" t="s">
        <v>18</v>
      </c>
      <c r="G30" s="146" t="s">
        <v>18</v>
      </c>
      <c r="H30" s="146" t="s">
        <v>18</v>
      </c>
      <c r="I30" s="146" t="s">
        <v>18</v>
      </c>
      <c r="J30" s="146" t="s">
        <v>18</v>
      </c>
      <c r="K30" s="146" t="s">
        <v>18</v>
      </c>
      <c r="L30" s="146" t="s">
        <v>18</v>
      </c>
      <c r="M30" s="146" t="s">
        <v>18</v>
      </c>
      <c r="N30" s="146" t="s">
        <v>18</v>
      </c>
      <c r="O30" s="146" t="s">
        <v>18</v>
      </c>
      <c r="P30" s="146" t="s">
        <v>18</v>
      </c>
      <c r="Q30" s="146" t="s">
        <v>18</v>
      </c>
      <c r="R30" s="146" t="s">
        <v>18</v>
      </c>
      <c r="S30" s="146" t="s">
        <v>18</v>
      </c>
      <c r="T30" s="146" t="s">
        <v>18</v>
      </c>
      <c r="U30" s="146" t="s">
        <v>18</v>
      </c>
      <c r="V30" s="146" t="s">
        <v>18</v>
      </c>
      <c r="W30" s="146" t="s">
        <v>18</v>
      </c>
      <c r="X30" s="146" t="s">
        <v>18</v>
      </c>
      <c r="Y30" s="146" t="s">
        <v>18</v>
      </c>
      <c r="Z30" s="146" t="s">
        <v>18</v>
      </c>
      <c r="AA30" s="146" t="s">
        <v>18</v>
      </c>
      <c r="AB30" s="146" t="s">
        <v>18</v>
      </c>
      <c r="AC30" s="146" t="s">
        <v>18</v>
      </c>
      <c r="AD30" s="146" t="s">
        <v>18</v>
      </c>
      <c r="AE30" s="146" t="s">
        <v>18</v>
      </c>
      <c r="AF30" s="146" t="s">
        <v>18</v>
      </c>
      <c r="AG30" s="146"/>
      <c r="AH30" s="146" t="s">
        <v>18</v>
      </c>
      <c r="AI30" s="112"/>
      <c r="AJ30" s="112" t="s">
        <v>18</v>
      </c>
      <c r="AK30" s="112"/>
      <c r="AL30" s="112" t="s">
        <v>18</v>
      </c>
      <c r="AM30" s="112"/>
      <c r="AN30" s="112" t="s">
        <v>18</v>
      </c>
      <c r="AO30" s="112"/>
      <c r="AP30" s="112">
        <v>46255.348124999997</v>
      </c>
      <c r="AQ30" s="112"/>
      <c r="AR30" s="112">
        <v>46256.34920138889</v>
      </c>
      <c r="AS30" s="112"/>
      <c r="AT30" s="112">
        <v>46257.34579861111</v>
      </c>
      <c r="AU30" s="112"/>
      <c r="AV30" s="112">
        <v>46258.342233796298</v>
      </c>
      <c r="AW30" s="112"/>
    </row>
    <row r="31" spans="1:49" ht="36" x14ac:dyDescent="0.25">
      <c r="A31" s="149" t="s">
        <v>125</v>
      </c>
      <c r="B31" s="112">
        <v>46235.333402777775</v>
      </c>
      <c r="C31" s="112">
        <v>1</v>
      </c>
      <c r="D31" s="112">
        <v>46236.322650462964</v>
      </c>
      <c r="E31" s="112">
        <v>1</v>
      </c>
      <c r="F31" s="112">
        <v>46237.332638888889</v>
      </c>
      <c r="G31" s="112">
        <v>1</v>
      </c>
      <c r="H31" s="112">
        <v>46238.332870370374</v>
      </c>
      <c r="I31" s="112">
        <v>1</v>
      </c>
      <c r="J31" s="112">
        <v>46239.364803240744</v>
      </c>
      <c r="K31" s="112">
        <v>1</v>
      </c>
      <c r="L31" s="114" t="s">
        <v>98</v>
      </c>
      <c r="M31" s="114" t="s">
        <v>98</v>
      </c>
      <c r="N31" s="114" t="s">
        <v>98</v>
      </c>
      <c r="O31" s="114" t="s">
        <v>98</v>
      </c>
      <c r="P31" s="112">
        <v>46242.349236111113</v>
      </c>
      <c r="Q31" s="112">
        <v>1</v>
      </c>
      <c r="R31" s="112">
        <v>46243.352303240739</v>
      </c>
      <c r="S31" s="112">
        <v>1</v>
      </c>
      <c r="T31" s="112">
        <v>46244.325150462966</v>
      </c>
      <c r="U31" s="112">
        <v>1</v>
      </c>
      <c r="V31" s="112">
        <v>46245.356550925928</v>
      </c>
      <c r="W31" s="112">
        <v>1</v>
      </c>
      <c r="X31" s="112">
        <v>46246.35224537037</v>
      </c>
      <c r="Y31" s="112">
        <v>1</v>
      </c>
      <c r="Z31" s="112">
        <v>46247.358171296299</v>
      </c>
      <c r="AA31" s="112">
        <v>1</v>
      </c>
      <c r="AB31" s="112">
        <v>1</v>
      </c>
      <c r="AC31" s="112">
        <v>1</v>
      </c>
      <c r="AD31" s="112">
        <v>46249.337210648147</v>
      </c>
      <c r="AE31" s="112">
        <v>1</v>
      </c>
      <c r="AF31" s="112">
        <v>46250.341608796298</v>
      </c>
      <c r="AG31" s="112"/>
      <c r="AH31" s="112">
        <v>46251.339259259257</v>
      </c>
      <c r="AI31" s="112"/>
      <c r="AJ31" s="112">
        <v>46252.335810185185</v>
      </c>
      <c r="AK31" s="112"/>
      <c r="AL31" s="112">
        <v>46253.340682870374</v>
      </c>
      <c r="AM31" s="112"/>
      <c r="AN31" s="112">
        <v>46254.339016203703</v>
      </c>
      <c r="AO31" s="112"/>
      <c r="AP31" s="112">
        <v>46255.566516203704</v>
      </c>
      <c r="AQ31" s="112"/>
      <c r="AR31" s="112">
        <v>46256.336342592593</v>
      </c>
      <c r="AS31" s="112"/>
      <c r="AT31" s="112">
        <v>46257.343460648146</v>
      </c>
      <c r="AU31" s="112"/>
      <c r="AV31" s="112">
        <v>46258.343298611115</v>
      </c>
      <c r="AW31" s="112"/>
    </row>
    <row r="32" spans="1:49" ht="36" x14ac:dyDescent="0.25">
      <c r="A32" s="149" t="s">
        <v>126</v>
      </c>
      <c r="B32" s="112" t="s">
        <v>127</v>
      </c>
      <c r="C32" s="112">
        <v>46235.971631944441</v>
      </c>
      <c r="D32" s="112">
        <v>46236.350995370369</v>
      </c>
      <c r="E32" s="112">
        <v>46236.953958333332</v>
      </c>
      <c r="F32" s="112">
        <v>46237.353460648148</v>
      </c>
      <c r="G32" s="112">
        <v>46237.956944444442</v>
      </c>
      <c r="H32" s="112">
        <v>46238.352175925924</v>
      </c>
      <c r="I32" s="112">
        <v>46238.952256944445</v>
      </c>
      <c r="J32" s="112">
        <v>46239.355358796296</v>
      </c>
      <c r="K32" s="112">
        <v>46239.95103009259</v>
      </c>
      <c r="L32" s="112">
        <v>46240.354780092595</v>
      </c>
      <c r="M32" s="112">
        <v>46240.972569444442</v>
      </c>
      <c r="N32" s="113" t="s">
        <v>15</v>
      </c>
      <c r="O32" s="113" t="s">
        <v>15</v>
      </c>
      <c r="P32" s="112">
        <v>46242.356400462966</v>
      </c>
      <c r="Q32" s="112">
        <v>46242.971180555556</v>
      </c>
      <c r="R32" s="112">
        <v>46243.352037037039</v>
      </c>
      <c r="S32" s="112">
        <v>46243.951493055552</v>
      </c>
      <c r="T32" s="112">
        <v>46244.347268518519</v>
      </c>
      <c r="U32" s="103">
        <v>1</v>
      </c>
      <c r="V32" s="112">
        <v>46245.35328703704</v>
      </c>
      <c r="W32" s="112">
        <v>46245.956030092595</v>
      </c>
      <c r="X32" s="112">
        <v>46246.349930555552</v>
      </c>
      <c r="Y32" s="112">
        <v>46246.952280092592</v>
      </c>
      <c r="Z32" s="112">
        <v>46247.354756944442</v>
      </c>
      <c r="AA32" s="112">
        <v>46247.983298611114</v>
      </c>
      <c r="AB32" s="112">
        <v>46248.581550925926</v>
      </c>
      <c r="AC32" s="112">
        <v>46248.959398148145</v>
      </c>
      <c r="AD32" s="112">
        <v>46249.35019675926</v>
      </c>
      <c r="AE32" s="112">
        <v>46249.974120370367</v>
      </c>
      <c r="AF32" s="112">
        <v>46250.349004629628</v>
      </c>
      <c r="AG32" s="112"/>
      <c r="AH32" s="150">
        <v>46251.353807870371</v>
      </c>
      <c r="AI32" s="112"/>
      <c r="AJ32" s="112">
        <v>46252.352164351854</v>
      </c>
      <c r="AK32" s="112"/>
      <c r="AL32" s="112">
        <v>46253.355636574073</v>
      </c>
      <c r="AM32" s="112"/>
      <c r="AN32" s="112">
        <v>46254.351550925923</v>
      </c>
      <c r="AO32" s="112"/>
      <c r="AP32" s="112" t="e">
        <v>#N/A</v>
      </c>
      <c r="AQ32" s="112"/>
      <c r="AR32" s="112">
        <v>46256.35365740741</v>
      </c>
      <c r="AS32" s="112"/>
      <c r="AT32" s="112">
        <v>46257.353310185186</v>
      </c>
      <c r="AU32" s="112"/>
      <c r="AV32" s="112">
        <v>46258.353379629632</v>
      </c>
      <c r="AW32" s="112"/>
    </row>
    <row r="33" spans="1:49" ht="24" x14ac:dyDescent="0.25">
      <c r="A33" s="151" t="s">
        <v>56</v>
      </c>
      <c r="B33" s="112">
        <v>46235.331828703704</v>
      </c>
      <c r="C33" s="112">
        <v>46235.851898148147</v>
      </c>
      <c r="D33" s="112">
        <v>46236.32708333333</v>
      </c>
      <c r="E33" s="103">
        <v>1</v>
      </c>
      <c r="F33" s="112">
        <v>46237.32880787037</v>
      </c>
      <c r="G33" s="112">
        <v>46237.844699074078</v>
      </c>
      <c r="H33" s="112">
        <v>46238.329699074071</v>
      </c>
      <c r="I33" s="103">
        <v>1</v>
      </c>
      <c r="J33" s="112">
        <v>46239.350023148145</v>
      </c>
      <c r="K33" s="103">
        <v>1</v>
      </c>
      <c r="L33" s="112">
        <v>46240.355636574073</v>
      </c>
      <c r="M33" s="103">
        <v>1</v>
      </c>
      <c r="N33" s="113" t="s">
        <v>15</v>
      </c>
      <c r="O33" s="113" t="s">
        <v>15</v>
      </c>
      <c r="P33" s="112">
        <v>46242.347141203703</v>
      </c>
      <c r="Q33" s="112">
        <v>46242.900555555556</v>
      </c>
      <c r="R33" s="112">
        <v>46243.351469907408</v>
      </c>
      <c r="S33" s="112">
        <v>46243.839745370373</v>
      </c>
      <c r="T33" s="112">
        <v>46244.351446759261</v>
      </c>
      <c r="U33" s="103">
        <v>1</v>
      </c>
      <c r="V33" s="112">
        <v>46245.351863425924</v>
      </c>
      <c r="W33" s="103">
        <v>1</v>
      </c>
      <c r="X33" s="112">
        <v>46246.348877314813</v>
      </c>
      <c r="Y33" s="103">
        <v>1</v>
      </c>
      <c r="Z33" s="112">
        <v>46247.349479166667</v>
      </c>
      <c r="AA33" s="103">
        <v>1</v>
      </c>
      <c r="AB33" s="112">
        <v>46248.581226851849</v>
      </c>
      <c r="AC33" s="103">
        <v>1</v>
      </c>
      <c r="AD33" s="112">
        <v>46249.345104166663</v>
      </c>
      <c r="AE33" s="112">
        <v>1</v>
      </c>
      <c r="AF33" s="112">
        <v>46250.34375</v>
      </c>
      <c r="AG33" s="112"/>
      <c r="AH33" s="112">
        <v>46251.347094907411</v>
      </c>
      <c r="AI33" s="112"/>
      <c r="AJ33" s="112">
        <v>46252.341481481482</v>
      </c>
      <c r="AK33" s="112"/>
      <c r="AL33" s="112">
        <v>46253.343252314815</v>
      </c>
      <c r="AM33" s="112"/>
      <c r="AN33" s="112">
        <v>46254.342534722222</v>
      </c>
      <c r="AO33" s="112"/>
      <c r="AP33" s="112">
        <v>46256.349907407406</v>
      </c>
      <c r="AQ33" s="112"/>
      <c r="AR33" s="112">
        <v>46256.349907407406</v>
      </c>
      <c r="AS33" s="112"/>
      <c r="AT33" s="112">
        <v>46256.349907407406</v>
      </c>
      <c r="AU33" s="112"/>
      <c r="AV33" s="112">
        <v>46256.349907407406</v>
      </c>
      <c r="AW33" s="112"/>
    </row>
    <row r="34" spans="1:49" ht="24" x14ac:dyDescent="0.25">
      <c r="A34" s="151" t="s">
        <v>58</v>
      </c>
      <c r="B34" s="112">
        <v>46235.352453703701</v>
      </c>
      <c r="C34" s="112">
        <v>46235.971562500003</v>
      </c>
      <c r="D34" s="112">
        <v>46236.351319444446</v>
      </c>
      <c r="E34" s="112">
        <v>46236.9528125</v>
      </c>
      <c r="F34" s="112">
        <v>46237.353819444441</v>
      </c>
      <c r="G34" s="112">
        <v>46237.955428240741</v>
      </c>
      <c r="H34" s="112">
        <v>46238.352256944447</v>
      </c>
      <c r="I34" s="112">
        <v>46238.952372685184</v>
      </c>
      <c r="J34" s="112">
        <v>46239.355706018519</v>
      </c>
      <c r="K34" s="112">
        <v>46239.950532407405</v>
      </c>
      <c r="L34" s="112">
        <v>46240.355023148149</v>
      </c>
      <c r="M34" s="103">
        <v>1</v>
      </c>
      <c r="N34" s="112">
        <v>46241.592893518522</v>
      </c>
      <c r="O34" s="112">
        <v>46241.959722222222</v>
      </c>
      <c r="P34" s="112">
        <v>46242.356504629628</v>
      </c>
      <c r="Q34" s="103">
        <v>1</v>
      </c>
      <c r="R34" s="112">
        <v>46243.352175925924</v>
      </c>
      <c r="S34" s="112">
        <v>46243.949733796297</v>
      </c>
      <c r="T34" s="112">
        <v>46244.352962962963</v>
      </c>
      <c r="U34" s="112">
        <v>46244.967013888891</v>
      </c>
      <c r="V34" s="112">
        <v>46245.352962962963</v>
      </c>
      <c r="W34" s="103">
        <v>1</v>
      </c>
      <c r="X34" s="112">
        <v>46246.35019675926</v>
      </c>
      <c r="Y34" s="112">
        <v>46246.948379629626</v>
      </c>
      <c r="Z34" s="112">
        <v>46247.354872685188</v>
      </c>
      <c r="AA34" s="112">
        <v>46247.98641203704</v>
      </c>
      <c r="AB34" s="113" t="s">
        <v>15</v>
      </c>
      <c r="AC34" s="113" t="s">
        <v>15</v>
      </c>
      <c r="AD34" s="112">
        <v>46249.350752314815</v>
      </c>
      <c r="AE34" s="112">
        <v>1</v>
      </c>
      <c r="AF34" s="112">
        <v>46250.349074074074</v>
      </c>
      <c r="AG34" s="112"/>
      <c r="AH34" s="112">
        <v>46251.353831018518</v>
      </c>
      <c r="AI34" s="112"/>
      <c r="AJ34" s="112">
        <v>46252.352337962962</v>
      </c>
      <c r="AK34" s="112"/>
      <c r="AL34" s="112">
        <v>46253.355763888889</v>
      </c>
      <c r="AM34" s="112"/>
      <c r="AN34" s="112">
        <v>46254.351712962962</v>
      </c>
      <c r="AO34" s="112"/>
      <c r="AP34" s="112" t="e">
        <v>#N/A</v>
      </c>
      <c r="AQ34" s="112"/>
      <c r="AR34" s="112">
        <v>46256.350023148145</v>
      </c>
      <c r="AS34" s="112"/>
      <c r="AT34" s="112">
        <v>46257.349745370368</v>
      </c>
      <c r="AU34" s="112"/>
      <c r="AV34" s="112">
        <v>46258.347939814812</v>
      </c>
      <c r="AW34" s="112"/>
    </row>
    <row r="35" spans="1:49" ht="24" x14ac:dyDescent="0.25">
      <c r="A35" s="151" t="s">
        <v>60</v>
      </c>
      <c r="B35" s="112">
        <v>46235.353530092594</v>
      </c>
      <c r="C35" s="112">
        <v>1</v>
      </c>
      <c r="D35" s="112">
        <v>46236.358043981483</v>
      </c>
      <c r="E35" s="112">
        <v>1</v>
      </c>
      <c r="F35" s="112">
        <v>46237.35087962963</v>
      </c>
      <c r="G35" s="112">
        <v>1</v>
      </c>
      <c r="H35" s="112">
        <v>46238.353344907409</v>
      </c>
      <c r="I35" s="112">
        <v>1</v>
      </c>
      <c r="J35" s="112">
        <v>46239.352766203701</v>
      </c>
      <c r="K35" s="112">
        <v>1</v>
      </c>
      <c r="L35" s="112">
        <v>46240.354166666664</v>
      </c>
      <c r="M35" s="112">
        <v>1</v>
      </c>
      <c r="N35" s="112">
        <v>46241.575798611113</v>
      </c>
      <c r="O35" s="112">
        <v>1</v>
      </c>
      <c r="P35" s="112">
        <v>46242.34747685185</v>
      </c>
      <c r="Q35" s="112">
        <v>46242.976319444446</v>
      </c>
      <c r="R35" s="112">
        <v>46243.354456018518</v>
      </c>
      <c r="S35" s="112">
        <v>46243.941157407404</v>
      </c>
      <c r="T35" s="112">
        <v>46244.354942129627</v>
      </c>
      <c r="U35" s="112">
        <v>1</v>
      </c>
      <c r="V35" s="112">
        <v>46245.352881944447</v>
      </c>
      <c r="W35" s="112">
        <v>1</v>
      </c>
      <c r="X35" s="112">
        <v>46246.348935185182</v>
      </c>
      <c r="Y35" s="112">
        <v>1</v>
      </c>
      <c r="Z35" s="112">
        <v>46247.351655092592</v>
      </c>
      <c r="AA35" s="112">
        <v>1</v>
      </c>
      <c r="AB35" s="112">
        <v>1</v>
      </c>
      <c r="AC35" s="112">
        <v>1</v>
      </c>
      <c r="AD35" s="112">
        <v>46249.355509259258</v>
      </c>
      <c r="AE35" s="112">
        <v>1</v>
      </c>
      <c r="AF35" s="112">
        <v>46250.351840277777</v>
      </c>
      <c r="AG35" s="112"/>
      <c r="AH35" s="112">
        <v>46251.354537037034</v>
      </c>
      <c r="AI35" s="112"/>
      <c r="AJ35" s="112">
        <v>46252.353078703702</v>
      </c>
      <c r="AK35" s="112"/>
      <c r="AL35" s="112">
        <v>46253.355358796296</v>
      </c>
      <c r="AM35" s="112"/>
      <c r="AN35" s="112">
        <v>46254.354131944441</v>
      </c>
      <c r="AO35" s="112"/>
      <c r="AP35" s="112">
        <v>46255.569768518515</v>
      </c>
      <c r="AQ35" s="112"/>
      <c r="AR35" s="112">
        <v>46256.311967592592</v>
      </c>
      <c r="AS35" s="112"/>
      <c r="AT35" s="112">
        <v>46257.322268518517</v>
      </c>
      <c r="AU35" s="112"/>
      <c r="AV35" s="112">
        <v>46258.321585648147</v>
      </c>
      <c r="AW35" s="112"/>
    </row>
    <row r="36" spans="1:49" ht="24" x14ac:dyDescent="0.25">
      <c r="A36" s="151" t="s">
        <v>62</v>
      </c>
      <c r="B36" s="112">
        <v>46235.352766203701</v>
      </c>
      <c r="C36" s="112">
        <v>46235.971215277779</v>
      </c>
      <c r="D36" s="114" t="s">
        <v>98</v>
      </c>
      <c r="E36" s="114" t="s">
        <v>98</v>
      </c>
      <c r="F36" s="112">
        <v>46237.353796296295</v>
      </c>
      <c r="G36" s="112">
        <v>46237.954618055555</v>
      </c>
      <c r="H36" s="114" t="s">
        <v>98</v>
      </c>
      <c r="I36" s="114" t="s">
        <v>98</v>
      </c>
      <c r="J36" s="112">
        <v>46239.355462962965</v>
      </c>
      <c r="K36" s="112">
        <v>46239.950254629628</v>
      </c>
      <c r="L36" s="112">
        <v>46240.354907407411</v>
      </c>
      <c r="M36" s="112">
        <v>46240.97252314815</v>
      </c>
      <c r="N36" s="112">
        <v>46241.579768518517</v>
      </c>
      <c r="O36" s="112">
        <v>46240.97252314815</v>
      </c>
      <c r="P36" s="112">
        <v>46242.356678240743</v>
      </c>
      <c r="Q36" s="112">
        <v>46242.970613425925</v>
      </c>
      <c r="R36" s="112">
        <v>46243.351979166669</v>
      </c>
      <c r="S36" s="112">
        <v>46243.949270833335</v>
      </c>
      <c r="T36" s="112">
        <v>46244.353171296294</v>
      </c>
      <c r="U36" s="112">
        <v>46244.966782407406</v>
      </c>
      <c r="V36" s="112">
        <v>46245.353101851855</v>
      </c>
      <c r="W36" s="112">
        <v>46245.952303240738</v>
      </c>
      <c r="X36" s="112">
        <v>46246.35056712963</v>
      </c>
      <c r="Y36" s="112">
        <v>46246.948148148149</v>
      </c>
      <c r="Z36" s="112">
        <v>46247.355046296296</v>
      </c>
      <c r="AA36" s="112">
        <v>46247.986932870372</v>
      </c>
      <c r="AB36" s="112">
        <v>46248.581597222219</v>
      </c>
      <c r="AC36" s="103">
        <v>1</v>
      </c>
      <c r="AD36" s="112">
        <v>46249.350590277776</v>
      </c>
      <c r="AE36" s="112">
        <v>46249.974328703705</v>
      </c>
      <c r="AF36" s="112">
        <v>46250.349108796298</v>
      </c>
      <c r="AG36" s="112"/>
      <c r="AH36" s="112">
        <v>46251.353900462964</v>
      </c>
      <c r="AI36" s="112"/>
      <c r="AJ36" s="112">
        <v>46252.352395833332</v>
      </c>
      <c r="AK36" s="112"/>
      <c r="AL36" s="112">
        <v>46253.35596064815</v>
      </c>
      <c r="AM36" s="112"/>
      <c r="AN36" s="112">
        <v>46254.3518287037</v>
      </c>
      <c r="AO36" s="112"/>
      <c r="AP36" s="112">
        <v>46255.564120370371</v>
      </c>
      <c r="AQ36" s="112"/>
      <c r="AR36" s="112">
        <v>46256.336273148147</v>
      </c>
      <c r="AS36" s="112"/>
      <c r="AT36" s="112">
        <v>46257.34578703704</v>
      </c>
      <c r="AU36" s="112"/>
      <c r="AV36" s="112">
        <v>46258.344259259262</v>
      </c>
      <c r="AW36" s="112"/>
    </row>
    <row r="37" spans="1:49" x14ac:dyDescent="0.25">
      <c r="A37" s="154" t="s">
        <v>89</v>
      </c>
      <c r="B37" s="112">
        <v>46235.328900462962</v>
      </c>
      <c r="C37" s="112">
        <v>46235.851053240738</v>
      </c>
      <c r="D37" s="112">
        <v>46236.330196759256</v>
      </c>
      <c r="E37" s="103">
        <v>1</v>
      </c>
      <c r="F37" s="112">
        <v>46237.327476851853</v>
      </c>
      <c r="G37" s="112">
        <v>46237.844849537039</v>
      </c>
      <c r="H37" s="112">
        <v>46238.328750000001</v>
      </c>
      <c r="I37" s="103">
        <v>1</v>
      </c>
      <c r="J37" s="112">
        <v>46239.351342592592</v>
      </c>
      <c r="K37" s="103">
        <v>1</v>
      </c>
      <c r="L37" s="112">
        <v>46240.350613425922</v>
      </c>
      <c r="M37" s="103">
        <v>1</v>
      </c>
      <c r="N37" s="113" t="s">
        <v>15</v>
      </c>
      <c r="O37" s="113" t="s">
        <v>15</v>
      </c>
      <c r="P37" s="112">
        <v>46242.340798611112</v>
      </c>
      <c r="Q37" s="112">
        <v>46242.90079861111</v>
      </c>
      <c r="R37" s="112">
        <v>46243.350069444445</v>
      </c>
      <c r="S37" s="112">
        <v>46243.839583333334</v>
      </c>
      <c r="T37" s="112">
        <v>46244.351365740738</v>
      </c>
      <c r="U37" s="103">
        <v>1</v>
      </c>
      <c r="V37" s="112">
        <v>46245.350648148145</v>
      </c>
      <c r="W37" s="103">
        <v>1</v>
      </c>
      <c r="X37" s="112">
        <v>46246.355046296296</v>
      </c>
      <c r="Y37" s="103">
        <v>1</v>
      </c>
      <c r="Z37" s="112">
        <v>46247.349085648151</v>
      </c>
      <c r="AA37" s="103">
        <v>1</v>
      </c>
      <c r="AB37" s="112">
        <v>46248.581412037034</v>
      </c>
      <c r="AC37" s="112">
        <v>1</v>
      </c>
      <c r="AD37" s="112">
        <v>46249.344317129631</v>
      </c>
      <c r="AE37" s="112">
        <v>1</v>
      </c>
      <c r="AF37" s="112">
        <v>46250.346018518518</v>
      </c>
      <c r="AG37" s="112"/>
      <c r="AH37" s="112">
        <v>46251.350081018521</v>
      </c>
      <c r="AI37" s="112"/>
      <c r="AJ37" s="112">
        <v>46252.344201388885</v>
      </c>
      <c r="AK37" s="112"/>
      <c r="AL37" s="112">
        <v>46253.346192129633</v>
      </c>
      <c r="AM37" s="112"/>
      <c r="AN37" s="112">
        <v>46254.330729166664</v>
      </c>
      <c r="AO37" s="112"/>
      <c r="AP37" s="112">
        <v>46255.582071759258</v>
      </c>
      <c r="AQ37" s="112"/>
      <c r="AR37" s="112">
        <v>46256.343969907408</v>
      </c>
      <c r="AS37" s="112"/>
      <c r="AT37" s="112">
        <v>46257.335416666669</v>
      </c>
      <c r="AU37" s="112"/>
      <c r="AV37" s="112">
        <v>46258.344328703701</v>
      </c>
      <c r="AW37" s="112"/>
    </row>
    <row r="38" spans="1:49" ht="24" x14ac:dyDescent="0.25">
      <c r="A38" s="151" t="s">
        <v>90</v>
      </c>
      <c r="B38" s="112">
        <v>46235.349664351852</v>
      </c>
      <c r="C38" s="112">
        <v>46235.966400462959</v>
      </c>
      <c r="D38" s="112">
        <v>46236.349965277775</v>
      </c>
      <c r="E38" s="112">
        <v>46236.954259259262</v>
      </c>
      <c r="F38" s="112">
        <v>46237.350127314814</v>
      </c>
      <c r="G38" s="112">
        <v>46237.955138888887</v>
      </c>
      <c r="H38" s="112">
        <v>46238.350949074076</v>
      </c>
      <c r="I38" s="112">
        <v>46238.945925925924</v>
      </c>
      <c r="J38" s="112">
        <v>46239.352511574078</v>
      </c>
      <c r="K38" s="112">
        <v>46239.945162037038</v>
      </c>
      <c r="L38" s="112">
        <v>46240.351979166669</v>
      </c>
      <c r="M38" s="112">
        <v>46240.96361111111</v>
      </c>
      <c r="N38" s="113" t="s">
        <v>15</v>
      </c>
      <c r="O38" s="113" t="s">
        <v>15</v>
      </c>
      <c r="P38" s="112">
        <v>46242.35292824074</v>
      </c>
      <c r="Q38" s="112">
        <v>46242.961030092592</v>
      </c>
      <c r="R38" s="112">
        <v>46243.349189814813</v>
      </c>
      <c r="S38" s="112">
        <v>46243.940925925926</v>
      </c>
      <c r="T38" s="112">
        <v>46244.351550925923</v>
      </c>
      <c r="U38" s="112">
        <v>46244.944537037038</v>
      </c>
      <c r="V38" s="112">
        <v>46245.350752314815</v>
      </c>
      <c r="W38" s="112">
        <v>46245.94871527778</v>
      </c>
      <c r="X38" s="112">
        <v>46246.348715277774</v>
      </c>
      <c r="Y38" s="112">
        <v>46246.947511574072</v>
      </c>
      <c r="Z38" s="112">
        <v>46247.351979166669</v>
      </c>
      <c r="AA38" s="112">
        <v>46247.965914351851</v>
      </c>
      <c r="AB38" s="112">
        <v>46248.580138888887</v>
      </c>
      <c r="AC38" s="112">
        <v>46248.953680555554</v>
      </c>
      <c r="AD38" s="112">
        <v>46249.345891203702</v>
      </c>
      <c r="AE38" s="112">
        <v>46249.971412037034</v>
      </c>
      <c r="AF38" s="112">
        <v>46250.35</v>
      </c>
      <c r="AG38" s="112"/>
      <c r="AH38" s="112">
        <v>46251.351643518516</v>
      </c>
      <c r="AI38" s="112"/>
      <c r="AJ38" s="112">
        <v>46252.349918981483</v>
      </c>
      <c r="AK38" s="112"/>
      <c r="AL38" s="112">
        <v>46253.353020833332</v>
      </c>
      <c r="AM38" s="112"/>
      <c r="AN38" s="112">
        <v>46254.349421296298</v>
      </c>
      <c r="AO38" s="112"/>
      <c r="AP38" s="112" t="e">
        <v>#N/A</v>
      </c>
      <c r="AQ38" s="112"/>
      <c r="AR38" s="112">
        <v>46256.348043981481</v>
      </c>
      <c r="AS38" s="112"/>
      <c r="AT38" s="112">
        <v>46257.350127314814</v>
      </c>
      <c r="AU38" s="112"/>
      <c r="AV38" s="112">
        <v>46258.347858796296</v>
      </c>
      <c r="AW38" s="112"/>
    </row>
    <row r="39" spans="1:49" ht="24" x14ac:dyDescent="0.25">
      <c r="A39" s="151" t="s">
        <v>92</v>
      </c>
      <c r="B39" s="112">
        <v>46235.352881944447</v>
      </c>
      <c r="C39" s="112">
        <v>46235.970972222225</v>
      </c>
      <c r="D39" s="112">
        <v>46236.351180555554</v>
      </c>
      <c r="E39" s="112">
        <v>46236.952291666668</v>
      </c>
      <c r="F39" s="112">
        <v>46237.35361111111</v>
      </c>
      <c r="G39" s="112">
        <v>46237.955081018517</v>
      </c>
      <c r="H39" s="112">
        <v>46238.352337962962</v>
      </c>
      <c r="I39" s="112">
        <v>46238.952199074076</v>
      </c>
      <c r="J39" s="112">
        <v>46239.355428240742</v>
      </c>
      <c r="K39" s="112">
        <v>46239.950115740743</v>
      </c>
      <c r="L39" s="112">
        <v>46240.354814814818</v>
      </c>
      <c r="M39" s="112">
        <v>46240.97246527778</v>
      </c>
      <c r="N39" s="113" t="s">
        <v>15</v>
      </c>
      <c r="O39" s="113" t="s">
        <v>15</v>
      </c>
      <c r="P39" s="112">
        <v>46242.356631944444</v>
      </c>
      <c r="Q39" s="112">
        <v>46242.970960648148</v>
      </c>
      <c r="R39" s="112">
        <v>46243.351944444446</v>
      </c>
      <c r="S39" s="112">
        <v>46243.949629629627</v>
      </c>
      <c r="T39" s="112">
        <v>46244.353680555556</v>
      </c>
      <c r="U39" s="112">
        <v>46244.967997685184</v>
      </c>
      <c r="V39" s="112">
        <v>46245.353182870371</v>
      </c>
      <c r="W39" s="112">
        <v>46245.956053240741</v>
      </c>
      <c r="X39" s="112">
        <v>46246.350127314814</v>
      </c>
      <c r="Y39" s="112">
        <v>46246.948599537034</v>
      </c>
      <c r="Z39" s="112">
        <v>46247.355000000003</v>
      </c>
      <c r="AA39" s="103">
        <v>1</v>
      </c>
      <c r="AB39" s="112">
        <v>46248.581666666665</v>
      </c>
      <c r="AC39" s="112">
        <v>46248.959664351853</v>
      </c>
      <c r="AD39" s="112">
        <v>46249.350474537037</v>
      </c>
      <c r="AE39" s="112">
        <v>46249.973900462966</v>
      </c>
      <c r="AF39" s="112">
        <v>46250.349236111113</v>
      </c>
      <c r="AG39" s="112"/>
      <c r="AH39" s="112">
        <v>46251.353993055556</v>
      </c>
      <c r="AI39" s="112"/>
      <c r="AJ39" s="112">
        <v>46252.352280092593</v>
      </c>
      <c r="AK39" s="112"/>
      <c r="AL39" s="112">
        <v>46253.355798611112</v>
      </c>
      <c r="AM39" s="112"/>
      <c r="AN39" s="112">
        <v>46254.351759259262</v>
      </c>
      <c r="AO39" s="112"/>
      <c r="AP39" s="112">
        <v>46255.568032407406</v>
      </c>
      <c r="AQ39" s="112"/>
      <c r="AR39" s="112">
        <v>46256.352986111109</v>
      </c>
      <c r="AS39" s="112"/>
      <c r="AT39" s="112">
        <v>46257.352094907408</v>
      </c>
      <c r="AU39" s="112"/>
      <c r="AV39" s="112">
        <v>46258.348333333335</v>
      </c>
      <c r="AW39" s="112"/>
    </row>
    <row r="40" spans="1:49" ht="24" x14ac:dyDescent="0.25">
      <c r="A40" s="151" t="s">
        <v>94</v>
      </c>
      <c r="B40" s="112">
        <v>46235.33153935185</v>
      </c>
      <c r="C40" s="112">
        <v>46235.851111111115</v>
      </c>
      <c r="D40" s="112">
        <v>46236.328900462962</v>
      </c>
      <c r="E40" s="103">
        <v>1</v>
      </c>
      <c r="F40" s="112">
        <v>46237.329768518517</v>
      </c>
      <c r="G40" s="112">
        <v>46237.844513888886</v>
      </c>
      <c r="H40" s="112">
        <v>46238.332233796296</v>
      </c>
      <c r="I40" s="103">
        <v>1</v>
      </c>
      <c r="J40" s="112">
        <v>46239.350081018521</v>
      </c>
      <c r="K40" s="103">
        <v>1</v>
      </c>
      <c r="L40" s="112">
        <v>46240.355844907404</v>
      </c>
      <c r="M40" s="103">
        <v>1</v>
      </c>
      <c r="N40" s="112">
        <v>46241.581446759257</v>
      </c>
      <c r="O40" s="103">
        <v>1</v>
      </c>
      <c r="P40" s="112">
        <v>46242.349976851852</v>
      </c>
      <c r="Q40" s="112">
        <v>46242.900995370372</v>
      </c>
      <c r="R40" s="112">
        <v>46243.352986111109</v>
      </c>
      <c r="S40" s="112">
        <v>46243.83966435185</v>
      </c>
      <c r="T40" s="112">
        <v>46244.350486111114</v>
      </c>
      <c r="U40" s="103">
        <v>1</v>
      </c>
      <c r="V40" s="112">
        <v>46245.352453703701</v>
      </c>
      <c r="W40" s="103">
        <v>1</v>
      </c>
      <c r="X40" s="112">
        <v>46246.35056712963</v>
      </c>
      <c r="Y40" s="103">
        <v>1</v>
      </c>
      <c r="Z40" s="112">
        <v>46247.346400462964</v>
      </c>
      <c r="AA40" s="103">
        <v>1</v>
      </c>
      <c r="AB40" s="113" t="s">
        <v>15</v>
      </c>
      <c r="AC40" s="113" t="s">
        <v>15</v>
      </c>
      <c r="AD40" s="112">
        <v>46249.341504629629</v>
      </c>
      <c r="AE40" s="112">
        <v>1</v>
      </c>
      <c r="AF40" s="112">
        <v>46250.346226851849</v>
      </c>
      <c r="AG40" s="112"/>
      <c r="AH40" s="112">
        <v>46251.347766203704</v>
      </c>
      <c r="AI40" s="112"/>
      <c r="AJ40" s="112">
        <v>46252.345057870371</v>
      </c>
      <c r="AK40" s="112"/>
      <c r="AL40" s="112">
        <v>46253.345532407409</v>
      </c>
      <c r="AM40" s="112"/>
      <c r="AN40" s="112">
        <v>46254.343773148146</v>
      </c>
      <c r="AO40" s="112"/>
      <c r="AP40" s="112" t="e">
        <v>#N/A</v>
      </c>
      <c r="AQ40" s="112"/>
      <c r="AR40" s="112">
        <v>46256.34983796296</v>
      </c>
      <c r="AS40" s="112"/>
      <c r="AT40" s="112">
        <v>46257.351759259262</v>
      </c>
      <c r="AU40" s="112"/>
      <c r="AV40" s="112">
        <v>46258.349791666667</v>
      </c>
      <c r="AW40" s="112"/>
    </row>
    <row r="41" spans="1:49" ht="24" x14ac:dyDescent="0.25">
      <c r="A41" s="151" t="s">
        <v>100</v>
      </c>
      <c r="B41" s="112">
        <v>46235.329618055555</v>
      </c>
      <c r="C41" s="112">
        <v>46235.851319444446</v>
      </c>
      <c r="D41" s="112">
        <v>46236.322870370372</v>
      </c>
      <c r="E41" s="103">
        <v>1</v>
      </c>
      <c r="F41" s="112">
        <v>46237.330983796295</v>
      </c>
      <c r="G41" s="112">
        <v>46237.844768518517</v>
      </c>
      <c r="H41" s="112">
        <v>46238.329780092594</v>
      </c>
      <c r="I41" s="103">
        <v>1</v>
      </c>
      <c r="J41" s="112">
        <v>46239.351493055554</v>
      </c>
      <c r="K41" s="103">
        <v>1</v>
      </c>
      <c r="L41" s="112">
        <v>46240.353391203702</v>
      </c>
      <c r="M41" s="103">
        <v>1</v>
      </c>
      <c r="N41" s="112">
        <v>46241.583356481482</v>
      </c>
      <c r="O41" s="103">
        <v>1</v>
      </c>
      <c r="P41" s="112">
        <v>46242.350335648145</v>
      </c>
      <c r="Q41" s="112">
        <v>46242.900879629633</v>
      </c>
      <c r="R41" s="112">
        <v>46243.351898148147</v>
      </c>
      <c r="S41" s="112">
        <v>46243.839942129627</v>
      </c>
      <c r="T41" s="112">
        <v>46244.350648148145</v>
      </c>
      <c r="U41" s="103">
        <v>1</v>
      </c>
      <c r="V41" s="112">
        <v>46245.348969907405</v>
      </c>
      <c r="W41" s="103">
        <v>1</v>
      </c>
      <c r="X41" s="112">
        <v>46246.34710648148</v>
      </c>
      <c r="Y41" s="103">
        <v>1</v>
      </c>
      <c r="Z41" s="112">
        <v>46247.344930555555</v>
      </c>
      <c r="AA41" s="103">
        <v>1</v>
      </c>
      <c r="AB41" s="113" t="s">
        <v>15</v>
      </c>
      <c r="AC41" s="113" t="s">
        <v>15</v>
      </c>
      <c r="AD41" s="112">
        <v>46249.339166666665</v>
      </c>
      <c r="AE41" s="112">
        <v>1</v>
      </c>
      <c r="AF41" s="112">
        <v>46250.34579861111</v>
      </c>
      <c r="AG41" s="112"/>
      <c r="AH41" s="112">
        <v>46251.342581018522</v>
      </c>
      <c r="AI41" s="112"/>
      <c r="AJ41" s="112">
        <v>46252.345543981479</v>
      </c>
      <c r="AK41" s="112"/>
      <c r="AL41" s="112">
        <v>46253.344918981478</v>
      </c>
      <c r="AM41" s="112"/>
      <c r="AN41" s="112">
        <v>46254.332685185182</v>
      </c>
      <c r="AO41" s="112"/>
      <c r="AP41" s="112" t="e">
        <v>#N/A</v>
      </c>
      <c r="AQ41" s="112"/>
      <c r="AR41" s="112">
        <v>46256.413993055554</v>
      </c>
      <c r="AS41" s="112"/>
      <c r="AT41" s="112">
        <v>46257.375347222223</v>
      </c>
      <c r="AU41" s="112"/>
      <c r="AV41" s="112">
        <v>46258.374224537038</v>
      </c>
      <c r="AW41" s="112"/>
    </row>
    <row r="42" spans="1:49" ht="24" x14ac:dyDescent="0.25">
      <c r="A42" s="155" t="s">
        <v>115</v>
      </c>
      <c r="B42" s="112">
        <v>46235.352893518517</v>
      </c>
      <c r="C42" s="112">
        <v>46235.976053240738</v>
      </c>
      <c r="D42" s="112">
        <v>46236.352349537039</v>
      </c>
      <c r="E42" s="112">
        <v>46236.96665509259</v>
      </c>
      <c r="F42" s="112">
        <v>46237.352372685185</v>
      </c>
      <c r="G42" s="112">
        <v>46237.95553240741</v>
      </c>
      <c r="H42" s="112">
        <v>46238.351053240738</v>
      </c>
      <c r="I42" s="112">
        <v>46238.95616898148</v>
      </c>
      <c r="J42" s="112">
        <v>46239.35260416667</v>
      </c>
      <c r="K42" s="112">
        <v>46239.951145833336</v>
      </c>
      <c r="L42" s="112">
        <v>46240.352546296293</v>
      </c>
      <c r="M42" s="112">
        <v>46240.975868055553</v>
      </c>
      <c r="N42" s="112">
        <v>46241.577719907407</v>
      </c>
      <c r="O42" s="112">
        <v>46241.956377314818</v>
      </c>
      <c r="P42" s="112">
        <v>46242.355509259258</v>
      </c>
      <c r="Q42" s="112">
        <v>46242.972083333334</v>
      </c>
      <c r="R42" s="112">
        <v>46243.348819444444</v>
      </c>
      <c r="S42" s="112">
        <v>46243.954710648148</v>
      </c>
      <c r="T42" s="112">
        <v>46244.352488425924</v>
      </c>
      <c r="U42" s="112">
        <v>46244.956296296295</v>
      </c>
      <c r="V42" s="112">
        <v>46245.352083333331</v>
      </c>
      <c r="W42" s="112">
        <v>46245.954872685186</v>
      </c>
      <c r="X42" s="112">
        <v>46246.347824074073</v>
      </c>
      <c r="Y42" s="112">
        <v>46246.95239583333</v>
      </c>
      <c r="Z42" s="112">
        <v>46247.352164351854</v>
      </c>
      <c r="AA42" s="112">
        <v>46247.980196759258</v>
      </c>
      <c r="AB42" s="113" t="s">
        <v>15</v>
      </c>
      <c r="AC42" s="113" t="s">
        <v>15</v>
      </c>
      <c r="AD42" s="112">
        <v>46249.353263888886</v>
      </c>
      <c r="AE42" s="112">
        <v>46249.973067129627</v>
      </c>
      <c r="AF42" s="112">
        <v>46250.351111111115</v>
      </c>
      <c r="AG42" s="112"/>
      <c r="AH42" s="112">
        <v>46251.351793981485</v>
      </c>
      <c r="AI42" s="112"/>
      <c r="AJ42" s="112">
        <v>46252.352708333332</v>
      </c>
      <c r="AK42" s="112"/>
      <c r="AL42" s="112">
        <v>46253.353263888886</v>
      </c>
      <c r="AM42" s="112"/>
      <c r="AN42" s="112">
        <v>46254.34952546296</v>
      </c>
      <c r="AO42" s="112"/>
      <c r="AP42" s="112" t="e">
        <v>#N/A</v>
      </c>
      <c r="AQ42" s="112"/>
      <c r="AR42" s="112" t="e">
        <v>#N/A</v>
      </c>
      <c r="AS42" s="112"/>
      <c r="AT42" s="112" t="e">
        <v>#N/A</v>
      </c>
      <c r="AU42" s="112"/>
      <c r="AV42" s="112" t="e">
        <v>#N/A</v>
      </c>
      <c r="AW42" s="112"/>
    </row>
    <row r="43" spans="1:49" ht="36" x14ac:dyDescent="0.25">
      <c r="A43" s="152" t="s">
        <v>128</v>
      </c>
      <c r="B43" s="212" t="s">
        <v>129</v>
      </c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2"/>
      <c r="AV43" s="153">
        <v>46258.345347222225</v>
      </c>
      <c r="AW43" s="123"/>
    </row>
  </sheetData>
  <mergeCells count="100">
    <mergeCell ref="X3:Y3"/>
    <mergeCell ref="L3:M3"/>
    <mergeCell ref="N3:O3"/>
    <mergeCell ref="P3:Q3"/>
    <mergeCell ref="R3:S3"/>
    <mergeCell ref="T3:U3"/>
    <mergeCell ref="A3:A5"/>
    <mergeCell ref="B3:C3"/>
    <mergeCell ref="D3:E3"/>
    <mergeCell ref="F3:G3"/>
    <mergeCell ref="H3:I3"/>
    <mergeCell ref="AV3:AW3"/>
    <mergeCell ref="AL3:AM3"/>
    <mergeCell ref="AN3:AO3"/>
    <mergeCell ref="AP3:AQ3"/>
    <mergeCell ref="AR3:AS3"/>
    <mergeCell ref="AT3:AU3"/>
    <mergeCell ref="AJ3:AK3"/>
    <mergeCell ref="X4:Y4"/>
    <mergeCell ref="Z4:AA4"/>
    <mergeCell ref="AB4:AC4"/>
    <mergeCell ref="B4:C4"/>
    <mergeCell ref="D4:E4"/>
    <mergeCell ref="F4:G4"/>
    <mergeCell ref="H4:I4"/>
    <mergeCell ref="J4:K4"/>
    <mergeCell ref="Z3:AA3"/>
    <mergeCell ref="AB3:AC3"/>
    <mergeCell ref="AD3:AE3"/>
    <mergeCell ref="AF3:AG3"/>
    <mergeCell ref="AH3:AI3"/>
    <mergeCell ref="V3:W3"/>
    <mergeCell ref="J3:K3"/>
    <mergeCell ref="AR4:AS4"/>
    <mergeCell ref="AT4:AU4"/>
    <mergeCell ref="AD4:AE4"/>
    <mergeCell ref="AV4:AW4"/>
    <mergeCell ref="B14:Y14"/>
    <mergeCell ref="AN4:AO4"/>
    <mergeCell ref="AP4:AQ4"/>
    <mergeCell ref="L4:M4"/>
    <mergeCell ref="N4:O4"/>
    <mergeCell ref="P4:Q4"/>
    <mergeCell ref="R4:S4"/>
    <mergeCell ref="T4:U4"/>
    <mergeCell ref="V4:W4"/>
    <mergeCell ref="A18:A20"/>
    <mergeCell ref="B18:C18"/>
    <mergeCell ref="D18:E18"/>
    <mergeCell ref="F18:G18"/>
    <mergeCell ref="H18:I18"/>
    <mergeCell ref="J18:K18"/>
    <mergeCell ref="AF4:AG4"/>
    <mergeCell ref="AH4:AI4"/>
    <mergeCell ref="AJ4:AK4"/>
    <mergeCell ref="AL4:AM4"/>
    <mergeCell ref="AH18:AI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J19:K19"/>
    <mergeCell ref="L19:M19"/>
    <mergeCell ref="N19:O19"/>
    <mergeCell ref="P19:Q19"/>
    <mergeCell ref="R19:S19"/>
    <mergeCell ref="B43:AU43"/>
    <mergeCell ref="AF19:AG19"/>
    <mergeCell ref="AH19:AI19"/>
    <mergeCell ref="AJ19:AK19"/>
    <mergeCell ref="AL19:AM19"/>
    <mergeCell ref="AN19:AO19"/>
    <mergeCell ref="AP19:AQ19"/>
    <mergeCell ref="T19:U19"/>
    <mergeCell ref="V19:W19"/>
    <mergeCell ref="X19:Y19"/>
    <mergeCell ref="Z19:AA19"/>
    <mergeCell ref="AB19:AC19"/>
    <mergeCell ref="B19:C19"/>
    <mergeCell ref="D19:E19"/>
    <mergeCell ref="F19:G19"/>
    <mergeCell ref="H19:I19"/>
    <mergeCell ref="AD19:AE19"/>
    <mergeCell ref="AT18:AU18"/>
    <mergeCell ref="AR19:AS19"/>
    <mergeCell ref="AT19:AU19"/>
    <mergeCell ref="AV19:AW19"/>
    <mergeCell ref="AF18:AG18"/>
    <mergeCell ref="AV18:AW18"/>
    <mergeCell ref="AJ18:AK18"/>
    <mergeCell ref="AL18:AM18"/>
    <mergeCell ref="AN18:AO18"/>
    <mergeCell ref="AP18:AQ18"/>
    <mergeCell ref="AR18:AS18"/>
  </mergeCells>
  <conditionalFormatting sqref="A14">
    <cfRule type="duplicateValues" dxfId="4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2FB7-0119-46CA-AB65-C04E4CE992C1}">
  <sheetPr>
    <pageSetUpPr fitToPage="1"/>
  </sheetPr>
  <dimension ref="A1:AV23"/>
  <sheetViews>
    <sheetView zoomScaleNormal="100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N20" sqref="N20"/>
    </sheetView>
  </sheetViews>
  <sheetFormatPr defaultRowHeight="15" x14ac:dyDescent="0.25"/>
  <cols>
    <col min="1" max="1" width="5" customWidth="1"/>
    <col min="2" max="2" width="10.85546875" style="18" customWidth="1"/>
    <col min="3" max="3" width="29.140625" customWidth="1"/>
    <col min="4" max="4" width="13.7109375" hidden="1" customWidth="1"/>
    <col min="5" max="20" width="6.42578125" customWidth="1"/>
    <col min="21" max="21" width="5" customWidth="1"/>
    <col min="22" max="34" width="5.140625" customWidth="1"/>
    <col min="35" max="35" width="12.7109375" customWidth="1"/>
    <col min="38" max="48" width="5.28515625" customWidth="1"/>
  </cols>
  <sheetData>
    <row r="1" spans="1:48" ht="24" customHeight="1" x14ac:dyDescent="0.25">
      <c r="A1" s="203" t="s">
        <v>140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</row>
    <row r="2" spans="1:48" ht="18.75" customHeight="1" x14ac:dyDescent="0.25">
      <c r="A2" s="204" t="s">
        <v>33</v>
      </c>
      <c r="B2" s="204"/>
      <c r="C2" s="204"/>
      <c r="D2" s="93"/>
      <c r="E2" s="206" t="s">
        <v>6</v>
      </c>
      <c r="F2" s="206"/>
      <c r="G2" s="206" t="s">
        <v>7</v>
      </c>
      <c r="H2" s="206"/>
      <c r="I2" s="206" t="s">
        <v>1</v>
      </c>
      <c r="J2" s="206"/>
      <c r="K2" s="206" t="s">
        <v>2</v>
      </c>
      <c r="L2" s="206"/>
      <c r="M2" s="206" t="s">
        <v>3</v>
      </c>
      <c r="N2" s="206"/>
      <c r="O2" s="206" t="s">
        <v>4</v>
      </c>
      <c r="P2" s="206"/>
      <c r="Q2" s="206" t="s">
        <v>5</v>
      </c>
      <c r="R2" s="206"/>
      <c r="S2" s="206" t="s">
        <v>6</v>
      </c>
      <c r="T2" s="206"/>
      <c r="U2" s="197" t="s">
        <v>8</v>
      </c>
      <c r="V2" s="197" t="s">
        <v>9</v>
      </c>
      <c r="W2" s="12"/>
      <c r="X2" s="12"/>
      <c r="Y2" s="12"/>
      <c r="Z2" s="12"/>
      <c r="AA2" s="12"/>
      <c r="AB2" s="12"/>
      <c r="AC2" s="12"/>
      <c r="AD2" s="12"/>
      <c r="AE2" s="19"/>
      <c r="AF2" s="19"/>
      <c r="AG2" s="12"/>
      <c r="AH2" s="20"/>
      <c r="AI2" s="20"/>
      <c r="AL2" s="198" t="s">
        <v>84</v>
      </c>
      <c r="AM2" s="198"/>
      <c r="AN2" s="198"/>
      <c r="AO2" s="198"/>
      <c r="AP2" s="198"/>
      <c r="AQ2" s="198"/>
      <c r="AR2" s="198"/>
      <c r="AS2" s="198"/>
      <c r="AT2" s="198"/>
      <c r="AU2" s="198"/>
      <c r="AV2" s="17"/>
    </row>
    <row r="3" spans="1:48" ht="18.75" customHeight="1" x14ac:dyDescent="0.25">
      <c r="A3" s="204"/>
      <c r="B3" s="204"/>
      <c r="C3" s="204"/>
      <c r="D3" s="93"/>
      <c r="E3" s="192">
        <v>46258</v>
      </c>
      <c r="F3" s="192"/>
      <c r="G3" s="192">
        <v>46259</v>
      </c>
      <c r="H3" s="192"/>
      <c r="I3" s="192">
        <v>46260</v>
      </c>
      <c r="J3" s="192"/>
      <c r="K3" s="192">
        <v>46261</v>
      </c>
      <c r="L3" s="192"/>
      <c r="M3" s="192">
        <v>46262</v>
      </c>
      <c r="N3" s="192"/>
      <c r="O3" s="192">
        <v>46263</v>
      </c>
      <c r="P3" s="192"/>
      <c r="Q3" s="192">
        <v>46264</v>
      </c>
      <c r="R3" s="192"/>
      <c r="S3" s="192">
        <v>46265</v>
      </c>
      <c r="T3" s="192"/>
      <c r="U3" s="197"/>
      <c r="V3" s="197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L3" s="53" t="s">
        <v>101</v>
      </c>
      <c r="AM3" s="53"/>
      <c r="AN3" s="53"/>
      <c r="AO3" s="53"/>
      <c r="AP3" s="53"/>
      <c r="AQ3" s="53"/>
      <c r="AR3" s="53"/>
      <c r="AS3" s="53"/>
      <c r="AT3" s="53"/>
      <c r="AU3" s="53"/>
      <c r="AV3" s="17"/>
    </row>
    <row r="4" spans="1:48" ht="18.75" customHeight="1" x14ac:dyDescent="0.25">
      <c r="A4" s="4" t="s">
        <v>10</v>
      </c>
      <c r="B4" s="4" t="s">
        <v>11</v>
      </c>
      <c r="C4" s="4" t="s">
        <v>12</v>
      </c>
      <c r="D4" s="4"/>
      <c r="E4" s="10" t="s">
        <v>13</v>
      </c>
      <c r="F4" s="10" t="s">
        <v>14</v>
      </c>
      <c r="G4" s="10" t="s">
        <v>13</v>
      </c>
      <c r="H4" s="10" t="s">
        <v>14</v>
      </c>
      <c r="I4" s="10" t="s">
        <v>13</v>
      </c>
      <c r="J4" s="10" t="s">
        <v>14</v>
      </c>
      <c r="K4" s="10" t="s">
        <v>13</v>
      </c>
      <c r="L4" s="10" t="s">
        <v>14</v>
      </c>
      <c r="M4" s="10" t="s">
        <v>13</v>
      </c>
      <c r="N4" s="10" t="s">
        <v>14</v>
      </c>
      <c r="O4" s="10" t="s">
        <v>13</v>
      </c>
      <c r="P4" s="10" t="s">
        <v>14</v>
      </c>
      <c r="Q4" s="10" t="s">
        <v>13</v>
      </c>
      <c r="R4" s="10" t="s">
        <v>14</v>
      </c>
      <c r="S4" s="10" t="s">
        <v>13</v>
      </c>
      <c r="T4" s="10" t="s">
        <v>14</v>
      </c>
      <c r="U4" s="197"/>
      <c r="V4" s="197"/>
      <c r="W4" s="11"/>
      <c r="X4" s="72" t="s">
        <v>15</v>
      </c>
      <c r="Y4" s="72" t="s">
        <v>16</v>
      </c>
      <c r="Z4" s="72" t="s">
        <v>17</v>
      </c>
      <c r="AA4" s="72" t="s">
        <v>18</v>
      </c>
      <c r="AB4" s="72" t="s">
        <v>19</v>
      </c>
      <c r="AC4" s="72" t="s">
        <v>20</v>
      </c>
      <c r="AD4" s="72" t="s">
        <v>98</v>
      </c>
      <c r="AE4" s="48" t="s">
        <v>22</v>
      </c>
      <c r="AF4" s="72" t="s">
        <v>23</v>
      </c>
      <c r="AG4" s="72" t="s">
        <v>24</v>
      </c>
      <c r="AH4" s="72" t="s">
        <v>25</v>
      </c>
      <c r="AI4" s="12" t="s">
        <v>26</v>
      </c>
      <c r="AL4" s="63" t="s">
        <v>16</v>
      </c>
      <c r="AM4" s="63" t="s">
        <v>17</v>
      </c>
      <c r="AN4" s="63" t="s">
        <v>18</v>
      </c>
      <c r="AO4" s="63" t="s">
        <v>19</v>
      </c>
      <c r="AP4" s="63" t="s">
        <v>20</v>
      </c>
      <c r="AQ4" s="63" t="s">
        <v>21</v>
      </c>
      <c r="AR4" s="63" t="s">
        <v>22</v>
      </c>
      <c r="AS4" s="63" t="s">
        <v>23</v>
      </c>
      <c r="AT4" s="63" t="s">
        <v>24</v>
      </c>
      <c r="AU4" s="63" t="s">
        <v>25</v>
      </c>
      <c r="AV4" s="63" t="s">
        <v>85</v>
      </c>
    </row>
    <row r="5" spans="1:48" ht="22.5" customHeight="1" x14ac:dyDescent="0.25">
      <c r="A5" s="7">
        <v>1</v>
      </c>
      <c r="B5" s="103" t="s">
        <v>130</v>
      </c>
      <c r="C5" s="98" t="s">
        <v>128</v>
      </c>
      <c r="D5" s="99">
        <v>45387</v>
      </c>
      <c r="E5" s="112">
        <v>46258.354131944441</v>
      </c>
      <c r="F5" s="112">
        <v>46258.938576388886</v>
      </c>
      <c r="G5" s="173">
        <v>46259.344652777778</v>
      </c>
      <c r="H5" s="173">
        <v>46259.943530092591</v>
      </c>
      <c r="I5" s="173">
        <v>46260.348275462966</v>
      </c>
      <c r="J5" s="173">
        <v>46260.940057870372</v>
      </c>
      <c r="K5" s="173">
        <v>46261.347500000003</v>
      </c>
      <c r="L5" s="173">
        <v>46261.959432870368</v>
      </c>
      <c r="M5" s="173">
        <v>46262.575428240743</v>
      </c>
      <c r="N5" s="173">
        <v>46262.940011574072</v>
      </c>
      <c r="O5" s="173">
        <v>46263.348865740743</v>
      </c>
      <c r="P5" s="173">
        <v>0</v>
      </c>
      <c r="Q5" s="162" t="s">
        <v>23</v>
      </c>
      <c r="R5" s="162" t="s">
        <v>23</v>
      </c>
      <c r="S5" s="162" t="s">
        <v>23</v>
      </c>
      <c r="T5" s="162" t="s">
        <v>23</v>
      </c>
      <c r="U5" s="13">
        <f t="shared" ref="U5" si="0">W5+X5+Y5+Z5+AE5+AC5+AD5+AH5</f>
        <v>6</v>
      </c>
      <c r="V5" s="52">
        <v>1</v>
      </c>
      <c r="W5" s="14">
        <f>COUNT(E5:T5)/2+COUNT(#REF!)/2</f>
        <v>6</v>
      </c>
      <c r="X5" s="15">
        <f>COUNTIF(B5:T5,"OFF")/2</f>
        <v>0</v>
      </c>
      <c r="Y5" s="15">
        <f>COUNTIF(B5:T5,"MC")/2</f>
        <v>0</v>
      </c>
      <c r="Z5" s="15">
        <f>COUNTIF(B5:T5,"EL")/2</f>
        <v>0</v>
      </c>
      <c r="AA5" s="15">
        <f>COUNTIF(B5:T5,"AL")/2</f>
        <v>0</v>
      </c>
      <c r="AB5" s="15">
        <f>COUNTIF(B5:T5,"SUS")/2</f>
        <v>0</v>
      </c>
      <c r="AC5" s="15">
        <f>COUNTIF(B5:T5,"FL")/2</f>
        <v>0</v>
      </c>
      <c r="AD5" s="15">
        <f>COUNTIF(B5:T5,"SICK")/2</f>
        <v>0</v>
      </c>
      <c r="AE5" s="15">
        <f>COUNTIF(B5:T5,"HD")/2</f>
        <v>0</v>
      </c>
      <c r="AF5" s="15">
        <f>COUNTIF(B5:T5,"AB")/2</f>
        <v>2</v>
      </c>
      <c r="AG5" s="15">
        <f>COUNTIF(B5:T5,"NL")/2</f>
        <v>0</v>
      </c>
      <c r="AH5" s="15">
        <f>COUNTIF(B5:T5,"SP")/2</f>
        <v>0</v>
      </c>
      <c r="AI5" s="16"/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7">
        <v>3</v>
      </c>
      <c r="AR5" s="58">
        <v>0</v>
      </c>
      <c r="AS5" s="58">
        <v>0</v>
      </c>
      <c r="AT5" s="58">
        <v>0</v>
      </c>
      <c r="AU5" s="58">
        <v>0</v>
      </c>
      <c r="AV5" s="62">
        <f t="shared" ref="AV5" si="1">SUM(AL5:AU5)</f>
        <v>3</v>
      </c>
    </row>
    <row r="8" spans="1:48" x14ac:dyDescent="0.25">
      <c r="V8" s="38" t="s">
        <v>72</v>
      </c>
      <c r="W8" s="39"/>
      <c r="X8" s="39"/>
      <c r="Y8" s="40" t="s">
        <v>15</v>
      </c>
      <c r="Z8" s="41"/>
      <c r="AA8" s="42" t="s">
        <v>73</v>
      </c>
      <c r="AB8" s="43"/>
      <c r="AC8" s="43"/>
      <c r="AD8" s="44"/>
      <c r="AE8" s="45" t="s">
        <v>21</v>
      </c>
    </row>
    <row r="9" spans="1:48" x14ac:dyDescent="0.25">
      <c r="V9" s="38" t="s">
        <v>74</v>
      </c>
      <c r="W9" s="39"/>
      <c r="X9" s="39"/>
      <c r="Y9" s="40" t="s">
        <v>16</v>
      </c>
      <c r="Z9" s="41"/>
      <c r="AA9" s="46" t="s">
        <v>75</v>
      </c>
      <c r="AB9" s="47"/>
      <c r="AC9" s="47"/>
      <c r="AD9" s="44"/>
      <c r="AE9" s="45" t="s">
        <v>22</v>
      </c>
    </row>
    <row r="10" spans="1:48" ht="15.75" x14ac:dyDescent="0.25">
      <c r="F10" s="172" t="s">
        <v>108</v>
      </c>
      <c r="G10" s="172"/>
      <c r="H10" s="172" t="s">
        <v>139</v>
      </c>
      <c r="I10" s="172"/>
      <c r="J10" s="172"/>
      <c r="K10" s="172"/>
      <c r="L10" s="172"/>
      <c r="M10" s="172"/>
      <c r="R10" s="24"/>
      <c r="S10" s="24"/>
      <c r="T10" s="24"/>
      <c r="V10" s="38" t="s">
        <v>76</v>
      </c>
      <c r="W10" s="39"/>
      <c r="X10" s="39"/>
      <c r="Y10" s="40" t="s">
        <v>17</v>
      </c>
      <c r="Z10" s="41"/>
      <c r="AA10" s="46" t="s">
        <v>77</v>
      </c>
      <c r="AB10" s="47"/>
      <c r="AC10" s="47"/>
      <c r="AD10" s="44"/>
      <c r="AE10" s="45" t="s">
        <v>23</v>
      </c>
    </row>
    <row r="11" spans="1:48" ht="15.75" x14ac:dyDescent="0.25">
      <c r="J11" s="23"/>
      <c r="K11" s="23"/>
      <c r="L11" s="33" t="s">
        <v>83</v>
      </c>
      <c r="M11" s="34"/>
      <c r="R11" s="23"/>
      <c r="S11" s="31"/>
      <c r="T11" s="31"/>
      <c r="V11" s="38" t="s">
        <v>78</v>
      </c>
      <c r="W11" s="39"/>
      <c r="X11" s="39"/>
      <c r="Y11" s="40" t="s">
        <v>18</v>
      </c>
      <c r="Z11" s="41"/>
      <c r="AA11" s="42" t="s">
        <v>79</v>
      </c>
      <c r="AB11" s="43"/>
      <c r="AC11" s="43"/>
      <c r="AD11" s="44"/>
      <c r="AE11" s="45" t="s">
        <v>24</v>
      </c>
    </row>
    <row r="12" spans="1:48" ht="15.75" x14ac:dyDescent="0.25">
      <c r="J12" s="23"/>
      <c r="K12" s="23"/>
      <c r="L12" s="33" t="s">
        <v>83</v>
      </c>
      <c r="M12" s="34"/>
      <c r="R12" s="33"/>
      <c r="S12" s="24"/>
      <c r="T12" s="23"/>
      <c r="V12" s="38" t="s">
        <v>80</v>
      </c>
      <c r="W12" s="39"/>
      <c r="X12" s="39"/>
      <c r="Y12" s="40" t="s">
        <v>19</v>
      </c>
      <c r="Z12" s="41"/>
      <c r="AA12" s="42" t="s">
        <v>81</v>
      </c>
      <c r="AB12" s="43"/>
      <c r="AC12" s="43"/>
      <c r="AD12" s="44"/>
      <c r="AE12" s="45" t="s">
        <v>25</v>
      </c>
    </row>
    <row r="13" spans="1:48" ht="15.75" x14ac:dyDescent="0.25">
      <c r="J13" s="23"/>
      <c r="K13" s="23"/>
      <c r="L13" s="33"/>
      <c r="M13" s="34"/>
      <c r="R13" s="33"/>
      <c r="S13" s="24"/>
      <c r="T13" s="23"/>
      <c r="V13" s="38" t="s">
        <v>82</v>
      </c>
      <c r="W13" s="39"/>
      <c r="X13" s="39"/>
      <c r="Y13" s="40" t="s">
        <v>20</v>
      </c>
      <c r="Z13" s="41"/>
      <c r="AA13" s="41"/>
      <c r="AB13" s="41"/>
      <c r="AC13" s="41"/>
      <c r="AD13" s="41"/>
      <c r="AE13" s="41"/>
    </row>
    <row r="14" spans="1:48" ht="15.75" x14ac:dyDescent="0.25">
      <c r="J14" s="81"/>
      <c r="K14" s="81"/>
      <c r="L14" s="80"/>
      <c r="M14" s="83"/>
      <c r="R14" s="22"/>
      <c r="S14" s="81"/>
      <c r="T14" s="81"/>
    </row>
    <row r="15" spans="1:48" ht="15.75" x14ac:dyDescent="0.25">
      <c r="J15" s="81"/>
      <c r="K15" s="81"/>
      <c r="L15" s="86"/>
      <c r="M15" s="87"/>
      <c r="R15" s="22"/>
      <c r="S15" s="86"/>
      <c r="T15" s="81"/>
    </row>
    <row r="18" spans="7:29" ht="15.75" x14ac:dyDescent="0.25">
      <c r="G18" s="26"/>
      <c r="H18" s="27" t="s">
        <v>63</v>
      </c>
      <c r="I18" s="21"/>
      <c r="J18" s="27"/>
      <c r="Q18" s="25"/>
      <c r="R18" s="28" t="s">
        <v>64</v>
      </c>
      <c r="S18" s="28"/>
      <c r="AA18" s="24"/>
      <c r="AB18" s="28" t="s">
        <v>65</v>
      </c>
      <c r="AC18" s="24"/>
    </row>
    <row r="19" spans="7:29" ht="17.25" x14ac:dyDescent="0.25">
      <c r="G19" s="29"/>
      <c r="H19" s="23"/>
      <c r="I19" s="23"/>
      <c r="J19" s="23"/>
      <c r="Q19" s="30"/>
      <c r="R19" s="30"/>
      <c r="S19" s="23"/>
      <c r="AA19" s="31"/>
      <c r="AB19" s="32"/>
      <c r="AC19" s="32"/>
    </row>
    <row r="20" spans="7:29" ht="17.25" x14ac:dyDescent="0.25">
      <c r="G20" s="29"/>
      <c r="H20" s="33"/>
      <c r="I20" s="23"/>
      <c r="J20" s="33"/>
      <c r="Q20" s="34"/>
      <c r="R20" s="30"/>
      <c r="S20" s="23"/>
      <c r="AA20" s="23"/>
      <c r="AB20" s="35"/>
      <c r="AC20" s="35"/>
    </row>
    <row r="21" spans="7:29" ht="17.25" x14ac:dyDescent="0.25">
      <c r="G21" s="36"/>
      <c r="H21" s="33"/>
      <c r="I21" s="23"/>
      <c r="J21" s="33"/>
      <c r="Q21" s="34"/>
      <c r="R21" s="30"/>
      <c r="S21" s="24"/>
      <c r="AA21" s="23"/>
      <c r="AB21" s="35"/>
      <c r="AC21" s="35"/>
    </row>
    <row r="22" spans="7:29" ht="17.25" x14ac:dyDescent="0.25">
      <c r="G22" s="207" t="s">
        <v>135</v>
      </c>
      <c r="H22" s="207"/>
      <c r="I22" s="207"/>
      <c r="J22" s="207"/>
      <c r="Q22" s="82"/>
      <c r="R22" s="86" t="s">
        <v>67</v>
      </c>
      <c r="S22" s="81"/>
      <c r="AA22" s="81"/>
      <c r="AB22" s="86" t="s">
        <v>68</v>
      </c>
      <c r="AC22" s="84"/>
    </row>
    <row r="23" spans="7:29" ht="17.25" x14ac:dyDescent="0.25">
      <c r="G23" s="85"/>
      <c r="H23" s="85" t="s">
        <v>69</v>
      </c>
      <c r="I23" s="79"/>
      <c r="J23" s="79"/>
      <c r="Q23" s="87"/>
      <c r="R23" s="86" t="s">
        <v>70</v>
      </c>
      <c r="S23" s="86"/>
      <c r="AA23" s="81"/>
      <c r="AB23" s="86" t="s">
        <v>71</v>
      </c>
      <c r="AC23" s="84"/>
    </row>
  </sheetData>
  <mergeCells count="23">
    <mergeCell ref="A1:T1"/>
    <mergeCell ref="U1:AI1"/>
    <mergeCell ref="A2:C3"/>
    <mergeCell ref="E2:F2"/>
    <mergeCell ref="G2:H2"/>
    <mergeCell ref="I2:J2"/>
    <mergeCell ref="K2:L2"/>
    <mergeCell ref="M2:N2"/>
    <mergeCell ref="O2:P2"/>
    <mergeCell ref="Q2:R2"/>
    <mergeCell ref="E3:F3"/>
    <mergeCell ref="G3:H3"/>
    <mergeCell ref="I3:J3"/>
    <mergeCell ref="K3:L3"/>
    <mergeCell ref="M3:N3"/>
    <mergeCell ref="G22:J22"/>
    <mergeCell ref="S3:T3"/>
    <mergeCell ref="U2:U4"/>
    <mergeCell ref="V2:V4"/>
    <mergeCell ref="AL2:AU2"/>
    <mergeCell ref="O3:P3"/>
    <mergeCell ref="Q3:R3"/>
    <mergeCell ref="S2:T2"/>
  </mergeCells>
  <phoneticPr fontId="17" type="noConversion"/>
  <conditionalFormatting sqref="A2">
    <cfRule type="cellIs" dxfId="46" priority="84" stopIfTrue="1" operator="equal">
      <formula>";"</formula>
    </cfRule>
  </conditionalFormatting>
  <conditionalFormatting sqref="C5">
    <cfRule type="duplicateValues" dxfId="45" priority="1"/>
    <cfRule type="duplicateValues" dxfId="44" priority="2"/>
    <cfRule type="duplicateValues" dxfId="43" priority="3"/>
  </conditionalFormatting>
  <conditionalFormatting sqref="C7:C1048576 C1:C4">
    <cfRule type="duplicateValues" dxfId="42" priority="86"/>
  </conditionalFormatting>
  <conditionalFormatting sqref="C7:C1048576">
    <cfRule type="duplicateValues" dxfId="41" priority="87"/>
  </conditionalFormatting>
  <conditionalFormatting sqref="D5">
    <cfRule type="timePeriod" dxfId="40" priority="14" timePeriod="thisWeek">
      <formula>AND(TODAY()-ROUNDDOWN(D5,0)&lt;=WEEKDAY(TODAY())-1,ROUNDDOWN(D5,0)-TODAY()&lt;=7-WEEKDAY(TODAY()))</formula>
    </cfRule>
    <cfRule type="timePeriod" dxfId="39" priority="15" timePeriod="last7Days">
      <formula>AND(TODAY()-FLOOR(D5,1)&lt;=6,FLOOR(D5,1)&lt;=TODAY())</formula>
    </cfRule>
    <cfRule type="timePeriod" priority="16" timePeriod="nextWeek">
      <formula>AND(ROUNDDOWN(D5,0)-TODAY()&gt;(7-WEEKDAY(TODAY())),ROUNDDOWN(D5,0)-TODAY()&lt;(15-WEEKDAY(TODAY())))</formula>
    </cfRule>
    <cfRule type="timePeriod" dxfId="38" priority="17" timePeriod="nextWeek">
      <formula>AND(ROUNDDOWN(D5,0)-TODAY()&gt;(7-WEEKDAY(TODAY())),ROUNDDOWN(D5,0)-TODAY()&lt;(15-WEEKDAY(TODAY())))</formula>
    </cfRule>
  </conditionalFormatting>
  <conditionalFormatting sqref="V5">
    <cfRule type="cellIs" dxfId="37" priority="85" operator="equal">
      <formula>";"</formula>
    </cfRule>
  </conditionalFormatting>
  <conditionalFormatting sqref="X4:AD4">
    <cfRule type="containsText" dxfId="36" priority="80" operator="containsText" text="SICK">
      <formula>NOT(ISERROR(SEARCH("SICK",X4)))</formula>
    </cfRule>
    <cfRule type="containsText" dxfId="35" priority="81" operator="containsText" text="AL">
      <formula>NOT(ISERROR(SEARCH("AL",X4)))</formula>
    </cfRule>
    <cfRule type="containsText" dxfId="34" priority="79" operator="containsText" text="AB">
      <formula>NOT(ISERROR(SEARCH("AB",X4)))</formula>
    </cfRule>
    <cfRule type="containsText" dxfId="33" priority="73" operator="containsText" text="SP">
      <formula>NOT(ISERROR(SEARCH("SP",X4)))</formula>
    </cfRule>
    <cfRule type="containsText" dxfId="32" priority="72" operator="containsText" text="EL">
      <formula>NOT(ISERROR(SEARCH("EL",X4)))</formula>
    </cfRule>
    <cfRule type="containsText" dxfId="31" priority="74" operator="containsText" text="NL">
      <formula>NOT(ISERROR(SEARCH("NL",X4)))</formula>
    </cfRule>
    <cfRule type="containsText" dxfId="30" priority="75" operator="containsText" text="MC">
      <formula>NOT(ISERROR(SEARCH("MC",X4)))</formula>
    </cfRule>
    <cfRule type="containsText" dxfId="29" priority="76" operator="containsText" text="SUS">
      <formula>NOT(ISERROR(SEARCH("SUS",X4)))</formula>
    </cfRule>
    <cfRule type="containsText" dxfId="28" priority="77" operator="containsText" text="FL">
      <formula>NOT(ISERROR(SEARCH("FL",X4)))</formula>
    </cfRule>
    <cfRule type="containsText" dxfId="27" priority="78" operator="containsText" text="OFF">
      <formula>NOT(ISERROR(SEARCH("OFF",X4)))</formula>
    </cfRule>
  </conditionalFormatting>
  <conditionalFormatting sqref="AF4">
    <cfRule type="containsText" dxfId="26" priority="68" operator="containsText" text="OFF">
      <formula>NOT(ISERROR(SEARCH("OFF",AF4)))</formula>
    </cfRule>
    <cfRule type="containsText" dxfId="25" priority="64" operator="containsText" text="NL">
      <formula>NOT(ISERROR(SEARCH("NL",AF4)))</formula>
    </cfRule>
    <cfRule type="containsText" dxfId="24" priority="65" operator="containsText" text="MC">
      <formula>NOT(ISERROR(SEARCH("MC",AF4)))</formula>
    </cfRule>
    <cfRule type="containsText" dxfId="23" priority="66" operator="containsText" text="SUS">
      <formula>NOT(ISERROR(SEARCH("SUS",AF4)))</formula>
    </cfRule>
    <cfRule type="containsText" dxfId="22" priority="67" operator="containsText" text="FL">
      <formula>NOT(ISERROR(SEARCH("FL",AF4)))</formula>
    </cfRule>
    <cfRule type="containsText" dxfId="21" priority="69" operator="containsText" text="AB">
      <formula>NOT(ISERROR(SEARCH("AB",AF4)))</formula>
    </cfRule>
    <cfRule type="containsText" dxfId="20" priority="70" operator="containsText" text="SICK">
      <formula>NOT(ISERROR(SEARCH("SICK",AF4)))</formula>
    </cfRule>
    <cfRule type="containsText" dxfId="19" priority="71" operator="containsText" text="AL">
      <formula>NOT(ISERROR(SEARCH("AL",AF4)))</formula>
    </cfRule>
  </conditionalFormatting>
  <conditionalFormatting sqref="AF4:AG4">
    <cfRule type="containsText" dxfId="18" priority="55" operator="containsText" text="SP">
      <formula>NOT(ISERROR(SEARCH("SP",AF4)))</formula>
    </cfRule>
  </conditionalFormatting>
  <conditionalFormatting sqref="AF4:AH4">
    <cfRule type="containsText" dxfId="17" priority="45" operator="containsText" text="EL">
      <formula>NOT(ISERROR(SEARCH("EL",AF4)))</formula>
    </cfRule>
  </conditionalFormatting>
  <conditionalFormatting sqref="AG4">
    <cfRule type="containsText" dxfId="16" priority="57" operator="containsText" text="MC">
      <formula>NOT(ISERROR(SEARCH("MC",AG4)))</formula>
    </cfRule>
    <cfRule type="containsText" dxfId="15" priority="63" operator="containsText" text="AL">
      <formula>NOT(ISERROR(SEARCH("AL",AG4)))</formula>
    </cfRule>
    <cfRule type="containsText" dxfId="14" priority="61" operator="containsText" text="AB">
      <formula>NOT(ISERROR(SEARCH("AB",AG4)))</formula>
    </cfRule>
    <cfRule type="containsText" dxfId="13" priority="62" operator="containsText" text="SICK">
      <formula>NOT(ISERROR(SEARCH("SICK",AG4)))</formula>
    </cfRule>
    <cfRule type="containsText" dxfId="12" priority="56" operator="containsText" text="NL">
      <formula>NOT(ISERROR(SEARCH("NL",AG4)))</formula>
    </cfRule>
    <cfRule type="containsText" dxfId="11" priority="60" operator="containsText" text="OFF">
      <formula>NOT(ISERROR(SEARCH("OFF",AG4)))</formula>
    </cfRule>
    <cfRule type="containsText" dxfId="10" priority="59" operator="containsText" text="FL">
      <formula>NOT(ISERROR(SEARCH("FL",AG4)))</formula>
    </cfRule>
    <cfRule type="containsText" dxfId="9" priority="58" operator="containsText" text="SUS">
      <formula>NOT(ISERROR(SEARCH("SUS",AG4)))</formula>
    </cfRule>
  </conditionalFormatting>
  <conditionalFormatting sqref="AH4">
    <cfRule type="containsText" dxfId="8" priority="46" operator="containsText" text="SP">
      <formula>NOT(ISERROR(SEARCH("SP",AH4)))</formula>
    </cfRule>
    <cfRule type="containsText" dxfId="7" priority="47" operator="containsText" text="NL">
      <formula>NOT(ISERROR(SEARCH("NL",AH4)))</formula>
    </cfRule>
    <cfRule type="containsText" dxfId="6" priority="48" operator="containsText" text="MC">
      <formula>NOT(ISERROR(SEARCH("MC",AH4)))</formula>
    </cfRule>
    <cfRule type="containsText" dxfId="5" priority="49" operator="containsText" text="SUS">
      <formula>NOT(ISERROR(SEARCH("SUS",AH4)))</formula>
    </cfRule>
    <cfRule type="containsText" dxfId="4" priority="50" operator="containsText" text="FL">
      <formula>NOT(ISERROR(SEARCH("FL",AH4)))</formula>
    </cfRule>
    <cfRule type="containsText" dxfId="3" priority="51" operator="containsText" text="OFF">
      <formula>NOT(ISERROR(SEARCH("OFF",AH4)))</formula>
    </cfRule>
    <cfRule type="containsText" dxfId="2" priority="52" operator="containsText" text="AB">
      <formula>NOT(ISERROR(SEARCH("AB",AH4)))</formula>
    </cfRule>
    <cfRule type="containsText" dxfId="1" priority="53" operator="containsText" text="SICK">
      <formula>NOT(ISERROR(SEARCH("SICK",AH4)))</formula>
    </cfRule>
    <cfRule type="containsText" dxfId="0" priority="54" operator="containsText" text="AL">
      <formula>NOT(ISERROR(SEARCH("AL",AH4)))</formula>
    </cfRule>
  </conditionalFormatting>
  <pageMargins left="0.7" right="0.7" top="0.75" bottom="0.75" header="0.3" footer="0.3"/>
  <pageSetup paperSize="9"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Kabir Hossain</vt:lpstr>
      <vt:lpstr>MD Mukul Ali</vt:lpstr>
      <vt:lpstr>Sheet2</vt:lpstr>
      <vt:lpstr>Nadim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2026-09-03T10:06:01Z</cp:lastPrinted>
  <dcterms:created xsi:type="dcterms:W3CDTF">2025-11-05T07:56:06Z</dcterms:created>
  <dcterms:modified xsi:type="dcterms:W3CDTF">2026-10-30T09:52:44Z</dcterms:modified>
</cp:coreProperties>
</file>