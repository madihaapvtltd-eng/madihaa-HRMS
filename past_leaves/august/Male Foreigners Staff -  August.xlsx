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august\"/>
    </mc:Choice>
  </mc:AlternateContent>
  <xr:revisionPtr revIDLastSave="0" documentId="13_ncr:1_{A6C9E636-84A0-413D-A27C-1625D0C1C314}" xr6:coauthVersionLast="47" xr6:coauthVersionMax="47" xr10:uidLastSave="{00000000-0000-0000-0000-000000000000}"/>
  <bookViews>
    <workbookView xWindow="-120" yWindow="-120" windowWidth="29040" windowHeight="15840" tabRatio="630" xr2:uid="{7B5E2D85-C188-4C2A-B943-BB771193A8A7}"/>
  </bookViews>
  <sheets>
    <sheet name="MASTER" sheetId="1" r:id="rId1"/>
    <sheet name="Pradip Kumar" sheetId="16" r:id="rId2"/>
    <sheet name="Yabbuddin" sheetId="17" r:id="rId3"/>
    <sheet name="Rashid" sheetId="18" r:id="rId4"/>
    <sheet name="Mohihdheen" sheetId="19" r:id="rId5"/>
    <sheet name="RAM" sheetId="21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9" i="21" l="1"/>
  <c r="AE19" i="21"/>
  <c r="AD19" i="21"/>
  <c r="AC19" i="21"/>
  <c r="AA19" i="21"/>
  <c r="Z19" i="21"/>
  <c r="Y19" i="21"/>
  <c r="X19" i="21"/>
  <c r="W19" i="21"/>
  <c r="V19" i="21"/>
  <c r="BT42" i="1"/>
  <c r="BU42" i="1"/>
  <c r="BV42" i="1"/>
  <c r="BW42" i="1"/>
  <c r="BX42" i="1"/>
  <c r="BY42" i="1"/>
  <c r="BZ42" i="1"/>
  <c r="CA42" i="1"/>
  <c r="CB42" i="1"/>
  <c r="CC42" i="1"/>
  <c r="CD42" i="1"/>
  <c r="BT43" i="1"/>
  <c r="BQ43" i="1" s="1"/>
  <c r="BU43" i="1"/>
  <c r="BV43" i="1"/>
  <c r="BW43" i="1"/>
  <c r="BX43" i="1"/>
  <c r="BY43" i="1"/>
  <c r="BZ43" i="1"/>
  <c r="CA43" i="1"/>
  <c r="CB43" i="1"/>
  <c r="CC43" i="1"/>
  <c r="CD43" i="1"/>
  <c r="BT44" i="1"/>
  <c r="BQ44" i="1" s="1"/>
  <c r="BU44" i="1"/>
  <c r="BV44" i="1"/>
  <c r="BW44" i="1"/>
  <c r="BX44" i="1"/>
  <c r="BY44" i="1"/>
  <c r="BZ44" i="1"/>
  <c r="CA44" i="1"/>
  <c r="CB44" i="1"/>
  <c r="CC44" i="1"/>
  <c r="CD44" i="1"/>
  <c r="BT45" i="1"/>
  <c r="BU45" i="1"/>
  <c r="BV45" i="1"/>
  <c r="BQ45" i="1" s="1"/>
  <c r="BW45" i="1"/>
  <c r="BX45" i="1"/>
  <c r="BY45" i="1"/>
  <c r="BZ45" i="1"/>
  <c r="CA45" i="1"/>
  <c r="CB45" i="1"/>
  <c r="CC45" i="1"/>
  <c r="CD45" i="1"/>
  <c r="BT46" i="1"/>
  <c r="BU46" i="1"/>
  <c r="BV46" i="1"/>
  <c r="BQ46" i="1" s="1"/>
  <c r="BW46" i="1"/>
  <c r="BX46" i="1"/>
  <c r="BY46" i="1"/>
  <c r="BZ46" i="1"/>
  <c r="CA46" i="1"/>
  <c r="CB46" i="1"/>
  <c r="CC46" i="1"/>
  <c r="CD46" i="1"/>
  <c r="BT47" i="1"/>
  <c r="BU47" i="1"/>
  <c r="BV47" i="1"/>
  <c r="BW47" i="1"/>
  <c r="BX47" i="1"/>
  <c r="BY47" i="1"/>
  <c r="BZ47" i="1"/>
  <c r="CA47" i="1"/>
  <c r="CB47" i="1"/>
  <c r="CC47" i="1"/>
  <c r="CD47" i="1"/>
  <c r="BT48" i="1"/>
  <c r="BU48" i="1"/>
  <c r="BV48" i="1"/>
  <c r="BW48" i="1"/>
  <c r="BX48" i="1"/>
  <c r="BY48" i="1"/>
  <c r="BQ48" i="1" s="1"/>
  <c r="BZ48" i="1"/>
  <c r="CA48" i="1"/>
  <c r="CB48" i="1"/>
  <c r="CC48" i="1"/>
  <c r="CD48" i="1"/>
  <c r="BT49" i="1"/>
  <c r="BU49" i="1"/>
  <c r="BV49" i="1"/>
  <c r="BW49" i="1"/>
  <c r="BX49" i="1"/>
  <c r="BY49" i="1"/>
  <c r="BZ49" i="1"/>
  <c r="CA49" i="1"/>
  <c r="CB49" i="1"/>
  <c r="CC49" i="1"/>
  <c r="CD49" i="1"/>
  <c r="BT50" i="1"/>
  <c r="BU50" i="1"/>
  <c r="BV50" i="1"/>
  <c r="BW50" i="1"/>
  <c r="BX50" i="1"/>
  <c r="BY50" i="1"/>
  <c r="BZ50" i="1"/>
  <c r="CA50" i="1"/>
  <c r="BQ50" i="1" s="1"/>
  <c r="CB50" i="1"/>
  <c r="CC50" i="1"/>
  <c r="CD50" i="1"/>
  <c r="BT51" i="1"/>
  <c r="BU51" i="1"/>
  <c r="BV51" i="1"/>
  <c r="BW51" i="1"/>
  <c r="BX51" i="1"/>
  <c r="BY51" i="1"/>
  <c r="BZ51" i="1"/>
  <c r="CA51" i="1"/>
  <c r="BQ51" i="1" s="1"/>
  <c r="CB51" i="1"/>
  <c r="CC51" i="1"/>
  <c r="CD51" i="1"/>
  <c r="BT52" i="1"/>
  <c r="BU52" i="1"/>
  <c r="BV52" i="1"/>
  <c r="BW52" i="1"/>
  <c r="BX52" i="1"/>
  <c r="BY52" i="1"/>
  <c r="BZ52" i="1"/>
  <c r="CA52" i="1"/>
  <c r="CB52" i="1"/>
  <c r="CC52" i="1"/>
  <c r="CD52" i="1"/>
  <c r="BT53" i="1"/>
  <c r="BU53" i="1"/>
  <c r="BV53" i="1"/>
  <c r="BW53" i="1"/>
  <c r="BX53" i="1"/>
  <c r="BY53" i="1"/>
  <c r="BZ53" i="1"/>
  <c r="CA53" i="1"/>
  <c r="CB53" i="1"/>
  <c r="CC53" i="1"/>
  <c r="CD53" i="1"/>
  <c r="BT54" i="1"/>
  <c r="BU54" i="1"/>
  <c r="BV54" i="1"/>
  <c r="BW54" i="1"/>
  <c r="BX54" i="1"/>
  <c r="BY54" i="1"/>
  <c r="BZ54" i="1"/>
  <c r="CA54" i="1"/>
  <c r="CB54" i="1"/>
  <c r="CC54" i="1"/>
  <c r="CD54" i="1"/>
  <c r="BQ54" i="1" s="1"/>
  <c r="BT55" i="1"/>
  <c r="BQ55" i="1" s="1"/>
  <c r="BU55" i="1"/>
  <c r="BV55" i="1"/>
  <c r="BW55" i="1"/>
  <c r="BX55" i="1"/>
  <c r="BY55" i="1"/>
  <c r="BZ55" i="1"/>
  <c r="CA55" i="1"/>
  <c r="CB55" i="1"/>
  <c r="CC55" i="1"/>
  <c r="CD55" i="1"/>
  <c r="BT56" i="1"/>
  <c r="BQ56" i="1" s="1"/>
  <c r="BU56" i="1"/>
  <c r="BV56" i="1"/>
  <c r="BW56" i="1"/>
  <c r="BX56" i="1"/>
  <c r="BY56" i="1"/>
  <c r="BZ56" i="1"/>
  <c r="CA56" i="1"/>
  <c r="CB56" i="1"/>
  <c r="CC56" i="1"/>
  <c r="CD56" i="1"/>
  <c r="BT57" i="1"/>
  <c r="BU57" i="1"/>
  <c r="BV57" i="1"/>
  <c r="BQ57" i="1" s="1"/>
  <c r="BW57" i="1"/>
  <c r="BX57" i="1"/>
  <c r="BY57" i="1"/>
  <c r="BZ57" i="1"/>
  <c r="CA57" i="1"/>
  <c r="CB57" i="1"/>
  <c r="CC57" i="1"/>
  <c r="CD57" i="1"/>
  <c r="BT58" i="1"/>
  <c r="BU58" i="1"/>
  <c r="BV58" i="1"/>
  <c r="BQ58" i="1" s="1"/>
  <c r="BW58" i="1"/>
  <c r="BX58" i="1"/>
  <c r="BY58" i="1"/>
  <c r="BZ58" i="1"/>
  <c r="CA58" i="1"/>
  <c r="CB58" i="1"/>
  <c r="CC58" i="1"/>
  <c r="CD58" i="1"/>
  <c r="BT59" i="1"/>
  <c r="BU59" i="1"/>
  <c r="BV59" i="1"/>
  <c r="BW59" i="1"/>
  <c r="BX59" i="1"/>
  <c r="BY59" i="1"/>
  <c r="BZ59" i="1"/>
  <c r="CA59" i="1"/>
  <c r="CB59" i="1"/>
  <c r="CC59" i="1"/>
  <c r="CD59" i="1"/>
  <c r="BT60" i="1"/>
  <c r="BU60" i="1"/>
  <c r="BV60" i="1"/>
  <c r="BW60" i="1"/>
  <c r="BX60" i="1"/>
  <c r="BY60" i="1"/>
  <c r="BQ60" i="1" s="1"/>
  <c r="BZ60" i="1"/>
  <c r="CA60" i="1"/>
  <c r="CB60" i="1"/>
  <c r="CC60" i="1"/>
  <c r="CD60" i="1"/>
  <c r="BT61" i="1"/>
  <c r="BU61" i="1"/>
  <c r="BV61" i="1"/>
  <c r="BW61" i="1"/>
  <c r="BX61" i="1"/>
  <c r="BY61" i="1"/>
  <c r="BQ61" i="1" s="1"/>
  <c r="BZ61" i="1"/>
  <c r="CA61" i="1"/>
  <c r="CB61" i="1"/>
  <c r="CC61" i="1"/>
  <c r="CD61" i="1"/>
  <c r="BT62" i="1"/>
  <c r="BU62" i="1"/>
  <c r="BV62" i="1"/>
  <c r="BW62" i="1"/>
  <c r="BX62" i="1"/>
  <c r="BY62" i="1"/>
  <c r="BZ62" i="1"/>
  <c r="CA62" i="1"/>
  <c r="BQ62" i="1" s="1"/>
  <c r="CB62" i="1"/>
  <c r="CC62" i="1"/>
  <c r="CD62" i="1"/>
  <c r="BT63" i="1"/>
  <c r="BU63" i="1"/>
  <c r="BV63" i="1"/>
  <c r="BW63" i="1"/>
  <c r="BX63" i="1"/>
  <c r="BY63" i="1"/>
  <c r="BZ63" i="1"/>
  <c r="CA63" i="1"/>
  <c r="BQ63" i="1" s="1"/>
  <c r="CB63" i="1"/>
  <c r="CC63" i="1"/>
  <c r="CD63" i="1"/>
  <c r="BT64" i="1"/>
  <c r="BU64" i="1"/>
  <c r="BV64" i="1"/>
  <c r="BW64" i="1"/>
  <c r="BX64" i="1"/>
  <c r="BY64" i="1"/>
  <c r="BZ64" i="1"/>
  <c r="CA64" i="1"/>
  <c r="CB64" i="1"/>
  <c r="CC64" i="1"/>
  <c r="CD64" i="1"/>
  <c r="BT65" i="1"/>
  <c r="BU65" i="1"/>
  <c r="BV65" i="1"/>
  <c r="BW65" i="1"/>
  <c r="BX65" i="1"/>
  <c r="BY65" i="1"/>
  <c r="BZ65" i="1"/>
  <c r="CA65" i="1"/>
  <c r="CB65" i="1"/>
  <c r="CC65" i="1"/>
  <c r="CD65" i="1"/>
  <c r="BT66" i="1"/>
  <c r="BU66" i="1"/>
  <c r="BV66" i="1"/>
  <c r="BW66" i="1"/>
  <c r="BX66" i="1"/>
  <c r="BY66" i="1"/>
  <c r="BZ66" i="1"/>
  <c r="CA66" i="1"/>
  <c r="CB66" i="1"/>
  <c r="CC66" i="1"/>
  <c r="CD66" i="1"/>
  <c r="BQ66" i="1" s="1"/>
  <c r="BT67" i="1"/>
  <c r="BQ67" i="1" s="1"/>
  <c r="BU67" i="1"/>
  <c r="BV67" i="1"/>
  <c r="BW67" i="1"/>
  <c r="BX67" i="1"/>
  <c r="BY67" i="1"/>
  <c r="BZ67" i="1"/>
  <c r="CA67" i="1"/>
  <c r="CB67" i="1"/>
  <c r="CC67" i="1"/>
  <c r="CD67" i="1"/>
  <c r="BT68" i="1"/>
  <c r="BQ68" i="1" s="1"/>
  <c r="BU68" i="1"/>
  <c r="BV68" i="1"/>
  <c r="BW68" i="1"/>
  <c r="BX68" i="1"/>
  <c r="BY68" i="1"/>
  <c r="BZ68" i="1"/>
  <c r="CA68" i="1"/>
  <c r="CB68" i="1"/>
  <c r="CC68" i="1"/>
  <c r="CD68" i="1"/>
  <c r="BT69" i="1"/>
  <c r="BU69" i="1"/>
  <c r="BV69" i="1"/>
  <c r="BQ69" i="1" s="1"/>
  <c r="BW69" i="1"/>
  <c r="BX69" i="1"/>
  <c r="BY69" i="1"/>
  <c r="BZ69" i="1"/>
  <c r="CA69" i="1"/>
  <c r="CB69" i="1"/>
  <c r="CC69" i="1"/>
  <c r="CD69" i="1"/>
  <c r="BT70" i="1"/>
  <c r="BU70" i="1"/>
  <c r="BV70" i="1"/>
  <c r="BW70" i="1"/>
  <c r="BX70" i="1"/>
  <c r="BY70" i="1"/>
  <c r="BZ70" i="1"/>
  <c r="CA70" i="1"/>
  <c r="CB70" i="1"/>
  <c r="CC70" i="1"/>
  <c r="CD70" i="1"/>
  <c r="BT71" i="1"/>
  <c r="BU71" i="1"/>
  <c r="BV71" i="1"/>
  <c r="BW71" i="1"/>
  <c r="BX71" i="1"/>
  <c r="BY71" i="1"/>
  <c r="BZ71" i="1"/>
  <c r="CA71" i="1"/>
  <c r="CB71" i="1"/>
  <c r="CC71" i="1"/>
  <c r="CD71" i="1"/>
  <c r="BT72" i="1"/>
  <c r="BU72" i="1"/>
  <c r="BV72" i="1"/>
  <c r="BW72" i="1"/>
  <c r="BX72" i="1"/>
  <c r="BY72" i="1"/>
  <c r="BZ72" i="1"/>
  <c r="CA72" i="1"/>
  <c r="CB72" i="1"/>
  <c r="CC72" i="1"/>
  <c r="CD72" i="1"/>
  <c r="BT73" i="1"/>
  <c r="BU73" i="1"/>
  <c r="BV73" i="1"/>
  <c r="BW73" i="1"/>
  <c r="BX73" i="1"/>
  <c r="BY73" i="1"/>
  <c r="BQ73" i="1" s="1"/>
  <c r="BZ73" i="1"/>
  <c r="CA73" i="1"/>
  <c r="CB73" i="1"/>
  <c r="CC73" i="1"/>
  <c r="CD73" i="1"/>
  <c r="BT74" i="1"/>
  <c r="BU74" i="1"/>
  <c r="BV74" i="1"/>
  <c r="BW74" i="1"/>
  <c r="BX74" i="1"/>
  <c r="BY74" i="1"/>
  <c r="BZ74" i="1"/>
  <c r="CA74" i="1"/>
  <c r="BQ74" i="1" s="1"/>
  <c r="CB74" i="1"/>
  <c r="CC74" i="1"/>
  <c r="CD74" i="1"/>
  <c r="BT75" i="1"/>
  <c r="BU75" i="1"/>
  <c r="BV75" i="1"/>
  <c r="BW75" i="1"/>
  <c r="BX75" i="1"/>
  <c r="BY75" i="1"/>
  <c r="BZ75" i="1"/>
  <c r="CA75" i="1"/>
  <c r="BQ75" i="1" s="1"/>
  <c r="CB75" i="1"/>
  <c r="CC75" i="1"/>
  <c r="CD75" i="1"/>
  <c r="BT76" i="1"/>
  <c r="BU76" i="1"/>
  <c r="BV76" i="1"/>
  <c r="BW76" i="1"/>
  <c r="BX76" i="1"/>
  <c r="BY76" i="1"/>
  <c r="BZ76" i="1"/>
  <c r="CA76" i="1"/>
  <c r="CB76" i="1"/>
  <c r="CC76" i="1"/>
  <c r="CD76" i="1"/>
  <c r="BT77" i="1"/>
  <c r="BU77" i="1"/>
  <c r="BV77" i="1"/>
  <c r="BW77" i="1"/>
  <c r="BX77" i="1"/>
  <c r="BY77" i="1"/>
  <c r="BZ77" i="1"/>
  <c r="CA77" i="1"/>
  <c r="CB77" i="1"/>
  <c r="CC77" i="1"/>
  <c r="CD77" i="1"/>
  <c r="BQ77" i="1" s="1"/>
  <c r="BT78" i="1"/>
  <c r="BU78" i="1"/>
  <c r="BV78" i="1"/>
  <c r="BW78" i="1"/>
  <c r="BX78" i="1"/>
  <c r="BY78" i="1"/>
  <c r="BZ78" i="1"/>
  <c r="CA78" i="1"/>
  <c r="CB78" i="1"/>
  <c r="CC78" i="1"/>
  <c r="CD78" i="1"/>
  <c r="BQ78" i="1" s="1"/>
  <c r="BT79" i="1"/>
  <c r="BQ79" i="1" s="1"/>
  <c r="BU79" i="1"/>
  <c r="BV79" i="1"/>
  <c r="BW79" i="1"/>
  <c r="BX79" i="1"/>
  <c r="BY79" i="1"/>
  <c r="BZ79" i="1"/>
  <c r="CA79" i="1"/>
  <c r="CB79" i="1"/>
  <c r="CC79" i="1"/>
  <c r="CD79" i="1"/>
  <c r="BT80" i="1"/>
  <c r="BQ80" i="1" s="1"/>
  <c r="BU80" i="1"/>
  <c r="BV80" i="1"/>
  <c r="BW80" i="1"/>
  <c r="BX80" i="1"/>
  <c r="BY80" i="1"/>
  <c r="BZ80" i="1"/>
  <c r="CA80" i="1"/>
  <c r="CB80" i="1"/>
  <c r="CC80" i="1"/>
  <c r="CD80" i="1"/>
  <c r="BT81" i="1"/>
  <c r="BU81" i="1"/>
  <c r="BV81" i="1"/>
  <c r="BW81" i="1"/>
  <c r="BX81" i="1"/>
  <c r="BY81" i="1"/>
  <c r="BZ81" i="1"/>
  <c r="CA81" i="1"/>
  <c r="CB81" i="1"/>
  <c r="CC81" i="1"/>
  <c r="CD81" i="1"/>
  <c r="BT82" i="1"/>
  <c r="BU82" i="1"/>
  <c r="BV82" i="1"/>
  <c r="BW82" i="1"/>
  <c r="BX82" i="1"/>
  <c r="BY82" i="1"/>
  <c r="BZ82" i="1"/>
  <c r="CA82" i="1"/>
  <c r="CB82" i="1"/>
  <c r="CC82" i="1"/>
  <c r="CD82" i="1"/>
  <c r="BT83" i="1"/>
  <c r="BU83" i="1"/>
  <c r="BV83" i="1"/>
  <c r="BW83" i="1"/>
  <c r="BX83" i="1"/>
  <c r="BY83" i="1"/>
  <c r="BZ83" i="1"/>
  <c r="CA83" i="1"/>
  <c r="CB83" i="1"/>
  <c r="CC83" i="1"/>
  <c r="CD83" i="1"/>
  <c r="BT84" i="1"/>
  <c r="BU84" i="1"/>
  <c r="BV84" i="1"/>
  <c r="BW84" i="1"/>
  <c r="BX84" i="1"/>
  <c r="BY84" i="1"/>
  <c r="BZ84" i="1"/>
  <c r="CA84" i="1"/>
  <c r="CB84" i="1"/>
  <c r="CC84" i="1"/>
  <c r="CD84" i="1"/>
  <c r="BT85" i="1"/>
  <c r="BU85" i="1"/>
  <c r="BV85" i="1"/>
  <c r="BW85" i="1"/>
  <c r="BX85" i="1"/>
  <c r="BY85" i="1"/>
  <c r="BQ85" i="1" s="1"/>
  <c r="BZ85" i="1"/>
  <c r="CA85" i="1"/>
  <c r="CB85" i="1"/>
  <c r="CC85" i="1"/>
  <c r="CD85" i="1"/>
  <c r="BT86" i="1"/>
  <c r="BU86" i="1"/>
  <c r="BV86" i="1"/>
  <c r="BW86" i="1"/>
  <c r="BX86" i="1"/>
  <c r="BY86" i="1"/>
  <c r="BZ86" i="1"/>
  <c r="CA86" i="1"/>
  <c r="BQ86" i="1" s="1"/>
  <c r="CB86" i="1"/>
  <c r="CC86" i="1"/>
  <c r="CD86" i="1"/>
  <c r="BT87" i="1"/>
  <c r="BU87" i="1"/>
  <c r="BV87" i="1"/>
  <c r="BW87" i="1"/>
  <c r="BX87" i="1"/>
  <c r="BY87" i="1"/>
  <c r="BZ87" i="1"/>
  <c r="CA87" i="1"/>
  <c r="BQ87" i="1" s="1"/>
  <c r="CB87" i="1"/>
  <c r="CC87" i="1"/>
  <c r="CD87" i="1"/>
  <c r="BT88" i="1"/>
  <c r="BU88" i="1"/>
  <c r="BV88" i="1"/>
  <c r="BW88" i="1"/>
  <c r="BX88" i="1"/>
  <c r="BY88" i="1"/>
  <c r="BZ88" i="1"/>
  <c r="CA88" i="1"/>
  <c r="CB88" i="1"/>
  <c r="CC88" i="1"/>
  <c r="CD88" i="1"/>
  <c r="BT89" i="1"/>
  <c r="BU89" i="1"/>
  <c r="BV89" i="1"/>
  <c r="BW89" i="1"/>
  <c r="BX89" i="1"/>
  <c r="BY89" i="1"/>
  <c r="BZ89" i="1"/>
  <c r="CA89" i="1"/>
  <c r="CB89" i="1"/>
  <c r="CC89" i="1"/>
  <c r="CD89" i="1"/>
  <c r="BQ89" i="1" s="1"/>
  <c r="BT90" i="1"/>
  <c r="BU90" i="1"/>
  <c r="BV90" i="1"/>
  <c r="BW90" i="1"/>
  <c r="BX90" i="1"/>
  <c r="BY90" i="1"/>
  <c r="BZ90" i="1"/>
  <c r="CA90" i="1"/>
  <c r="CB90" i="1"/>
  <c r="CC90" i="1"/>
  <c r="CD90" i="1"/>
  <c r="BQ90" i="1" s="1"/>
  <c r="BT91" i="1"/>
  <c r="BQ91" i="1" s="1"/>
  <c r="BU91" i="1"/>
  <c r="BV91" i="1"/>
  <c r="BW91" i="1"/>
  <c r="BX91" i="1"/>
  <c r="BY91" i="1"/>
  <c r="BZ91" i="1"/>
  <c r="CA91" i="1"/>
  <c r="CB91" i="1"/>
  <c r="CC91" i="1"/>
  <c r="CD91" i="1"/>
  <c r="BT92" i="1"/>
  <c r="BQ92" i="1" s="1"/>
  <c r="BU92" i="1"/>
  <c r="BV92" i="1"/>
  <c r="BW92" i="1"/>
  <c r="BX92" i="1"/>
  <c r="BY92" i="1"/>
  <c r="BZ92" i="1"/>
  <c r="CA92" i="1"/>
  <c r="CB92" i="1"/>
  <c r="CC92" i="1"/>
  <c r="CD92" i="1"/>
  <c r="BT93" i="1"/>
  <c r="BU93" i="1"/>
  <c r="BV93" i="1"/>
  <c r="BQ93" i="1" s="1"/>
  <c r="BW93" i="1"/>
  <c r="BX93" i="1"/>
  <c r="BY93" i="1"/>
  <c r="BZ93" i="1"/>
  <c r="CA93" i="1"/>
  <c r="CB93" i="1"/>
  <c r="CC93" i="1"/>
  <c r="CD93" i="1"/>
  <c r="BT94" i="1"/>
  <c r="BU94" i="1"/>
  <c r="BV94" i="1"/>
  <c r="BW94" i="1"/>
  <c r="BX94" i="1"/>
  <c r="BY94" i="1"/>
  <c r="BZ94" i="1"/>
  <c r="CA94" i="1"/>
  <c r="CB94" i="1"/>
  <c r="CC94" i="1"/>
  <c r="CD94" i="1"/>
  <c r="BT95" i="1"/>
  <c r="BU95" i="1"/>
  <c r="BV95" i="1"/>
  <c r="BW95" i="1"/>
  <c r="BX95" i="1"/>
  <c r="BY95" i="1"/>
  <c r="BZ95" i="1"/>
  <c r="CA95" i="1"/>
  <c r="CB95" i="1"/>
  <c r="CC95" i="1"/>
  <c r="CD95" i="1"/>
  <c r="BT96" i="1"/>
  <c r="BU96" i="1"/>
  <c r="BV96" i="1"/>
  <c r="BW96" i="1"/>
  <c r="BX96" i="1"/>
  <c r="BY96" i="1"/>
  <c r="BZ96" i="1"/>
  <c r="CA96" i="1"/>
  <c r="CB96" i="1"/>
  <c r="CC96" i="1"/>
  <c r="CD96" i="1"/>
  <c r="BT97" i="1"/>
  <c r="BU97" i="1"/>
  <c r="BV97" i="1"/>
  <c r="BW97" i="1"/>
  <c r="BX97" i="1"/>
  <c r="BY97" i="1"/>
  <c r="BQ97" i="1" s="1"/>
  <c r="BZ97" i="1"/>
  <c r="CA97" i="1"/>
  <c r="CB97" i="1"/>
  <c r="CC97" i="1"/>
  <c r="CD97" i="1"/>
  <c r="BT98" i="1"/>
  <c r="BU98" i="1"/>
  <c r="BV98" i="1"/>
  <c r="BW98" i="1"/>
  <c r="BX98" i="1"/>
  <c r="BY98" i="1"/>
  <c r="BZ98" i="1"/>
  <c r="CA98" i="1"/>
  <c r="BQ98" i="1" s="1"/>
  <c r="CB98" i="1"/>
  <c r="CC98" i="1"/>
  <c r="CD98" i="1"/>
  <c r="BT99" i="1"/>
  <c r="BU99" i="1"/>
  <c r="BV99" i="1"/>
  <c r="BW99" i="1"/>
  <c r="BX99" i="1"/>
  <c r="BY99" i="1"/>
  <c r="BZ99" i="1"/>
  <c r="CA99" i="1"/>
  <c r="CB99" i="1"/>
  <c r="CC99" i="1"/>
  <c r="CD99" i="1"/>
  <c r="BT100" i="1"/>
  <c r="BU100" i="1"/>
  <c r="BV100" i="1"/>
  <c r="BW100" i="1"/>
  <c r="BX100" i="1"/>
  <c r="BY100" i="1"/>
  <c r="BZ100" i="1"/>
  <c r="CA100" i="1"/>
  <c r="CB100" i="1"/>
  <c r="CC100" i="1"/>
  <c r="CD100" i="1"/>
  <c r="BT101" i="1"/>
  <c r="BU101" i="1"/>
  <c r="BV101" i="1"/>
  <c r="BW101" i="1"/>
  <c r="BX101" i="1"/>
  <c r="BY101" i="1"/>
  <c r="BZ101" i="1"/>
  <c r="CA101" i="1"/>
  <c r="CB101" i="1"/>
  <c r="CC101" i="1"/>
  <c r="CD101" i="1"/>
  <c r="BQ101" i="1" s="1"/>
  <c r="BT102" i="1"/>
  <c r="BU102" i="1"/>
  <c r="BV102" i="1"/>
  <c r="BW102" i="1"/>
  <c r="BX102" i="1"/>
  <c r="BY102" i="1"/>
  <c r="BZ102" i="1"/>
  <c r="CA102" i="1"/>
  <c r="CB102" i="1"/>
  <c r="CC102" i="1"/>
  <c r="CD102" i="1"/>
  <c r="BQ102" i="1" s="1"/>
  <c r="BT103" i="1"/>
  <c r="BQ103" i="1" s="1"/>
  <c r="BU103" i="1"/>
  <c r="BV103" i="1"/>
  <c r="BW103" i="1"/>
  <c r="BX103" i="1"/>
  <c r="BY103" i="1"/>
  <c r="BZ103" i="1"/>
  <c r="CA103" i="1"/>
  <c r="CB103" i="1"/>
  <c r="CC103" i="1"/>
  <c r="CD103" i="1"/>
  <c r="BT104" i="1"/>
  <c r="BQ104" i="1" s="1"/>
  <c r="BU104" i="1"/>
  <c r="BV104" i="1"/>
  <c r="BW104" i="1"/>
  <c r="BX104" i="1"/>
  <c r="BY104" i="1"/>
  <c r="BZ104" i="1"/>
  <c r="CA104" i="1"/>
  <c r="CB104" i="1"/>
  <c r="CC104" i="1"/>
  <c r="CD104" i="1"/>
  <c r="BT105" i="1"/>
  <c r="BU105" i="1"/>
  <c r="BV105" i="1"/>
  <c r="BQ105" i="1" s="1"/>
  <c r="BW105" i="1"/>
  <c r="BX105" i="1"/>
  <c r="BY105" i="1"/>
  <c r="BZ105" i="1"/>
  <c r="CA105" i="1"/>
  <c r="CB105" i="1"/>
  <c r="CC105" i="1"/>
  <c r="CD105" i="1"/>
  <c r="BT106" i="1"/>
  <c r="BU106" i="1"/>
  <c r="BV106" i="1"/>
  <c r="BW106" i="1"/>
  <c r="BX106" i="1"/>
  <c r="BY106" i="1"/>
  <c r="BZ106" i="1"/>
  <c r="CA106" i="1"/>
  <c r="CB106" i="1"/>
  <c r="CC106" i="1"/>
  <c r="CD106" i="1"/>
  <c r="BT107" i="1"/>
  <c r="BU107" i="1"/>
  <c r="BV107" i="1"/>
  <c r="BW107" i="1"/>
  <c r="BX107" i="1"/>
  <c r="BY107" i="1"/>
  <c r="BZ107" i="1"/>
  <c r="CA107" i="1"/>
  <c r="CB107" i="1"/>
  <c r="CC107" i="1"/>
  <c r="CD107" i="1"/>
  <c r="BT108" i="1"/>
  <c r="BU108" i="1"/>
  <c r="BV108" i="1"/>
  <c r="BW108" i="1"/>
  <c r="BX108" i="1"/>
  <c r="BY108" i="1"/>
  <c r="BZ108" i="1"/>
  <c r="CA108" i="1"/>
  <c r="CB108" i="1"/>
  <c r="CC108" i="1"/>
  <c r="CD108" i="1"/>
  <c r="BT109" i="1"/>
  <c r="BU109" i="1"/>
  <c r="BV109" i="1"/>
  <c r="BW109" i="1"/>
  <c r="BX109" i="1"/>
  <c r="BY109" i="1"/>
  <c r="BQ109" i="1" s="1"/>
  <c r="BZ109" i="1"/>
  <c r="CA109" i="1"/>
  <c r="CB109" i="1"/>
  <c r="CC109" i="1"/>
  <c r="CD109" i="1"/>
  <c r="BT110" i="1"/>
  <c r="BU110" i="1"/>
  <c r="BV110" i="1"/>
  <c r="BW110" i="1"/>
  <c r="BX110" i="1"/>
  <c r="BY110" i="1"/>
  <c r="BZ110" i="1"/>
  <c r="CA110" i="1"/>
  <c r="CB110" i="1"/>
  <c r="CC110" i="1"/>
  <c r="CD110" i="1"/>
  <c r="BT111" i="1"/>
  <c r="BU111" i="1"/>
  <c r="BV111" i="1"/>
  <c r="BW111" i="1"/>
  <c r="BX111" i="1"/>
  <c r="BY111" i="1"/>
  <c r="BZ111" i="1"/>
  <c r="CA111" i="1"/>
  <c r="CB111" i="1"/>
  <c r="CC111" i="1"/>
  <c r="CD111" i="1"/>
  <c r="BT112" i="1"/>
  <c r="BU112" i="1"/>
  <c r="BV112" i="1"/>
  <c r="BW112" i="1"/>
  <c r="BX112" i="1"/>
  <c r="BY112" i="1"/>
  <c r="BZ112" i="1"/>
  <c r="CA112" i="1"/>
  <c r="CB112" i="1"/>
  <c r="CC112" i="1"/>
  <c r="CD112" i="1"/>
  <c r="BT113" i="1"/>
  <c r="BU113" i="1"/>
  <c r="BV113" i="1"/>
  <c r="BW113" i="1"/>
  <c r="BX113" i="1"/>
  <c r="BY113" i="1"/>
  <c r="BZ113" i="1"/>
  <c r="CA113" i="1"/>
  <c r="CB113" i="1"/>
  <c r="CC113" i="1"/>
  <c r="CD113" i="1"/>
  <c r="BT114" i="1"/>
  <c r="BU114" i="1"/>
  <c r="BV114" i="1"/>
  <c r="BW114" i="1"/>
  <c r="BX114" i="1"/>
  <c r="BY114" i="1"/>
  <c r="BZ114" i="1"/>
  <c r="CA114" i="1"/>
  <c r="CB114" i="1"/>
  <c r="CC114" i="1"/>
  <c r="CD114" i="1"/>
  <c r="BT115" i="1"/>
  <c r="BU115" i="1"/>
  <c r="BV115" i="1"/>
  <c r="BW115" i="1"/>
  <c r="BX115" i="1"/>
  <c r="BY115" i="1"/>
  <c r="BZ115" i="1"/>
  <c r="CA115" i="1"/>
  <c r="CB115" i="1"/>
  <c r="CC115" i="1"/>
  <c r="CD115" i="1"/>
  <c r="CD41" i="1"/>
  <c r="CC41" i="1"/>
  <c r="CB41" i="1"/>
  <c r="CA41" i="1"/>
  <c r="BZ41" i="1"/>
  <c r="BY41" i="1"/>
  <c r="BX41" i="1"/>
  <c r="BW41" i="1"/>
  <c r="BV41" i="1"/>
  <c r="BU41" i="1"/>
  <c r="BT41" i="1"/>
  <c r="BQ41" i="1"/>
  <c r="BT6" i="1"/>
  <c r="BU6" i="1"/>
  <c r="BV6" i="1"/>
  <c r="BW6" i="1"/>
  <c r="BX6" i="1"/>
  <c r="BY6" i="1"/>
  <c r="BZ6" i="1"/>
  <c r="CA6" i="1"/>
  <c r="CB6" i="1"/>
  <c r="CC6" i="1"/>
  <c r="CD6" i="1"/>
  <c r="BT7" i="1"/>
  <c r="BU7" i="1"/>
  <c r="BV7" i="1"/>
  <c r="BW7" i="1"/>
  <c r="BX7" i="1"/>
  <c r="BY7" i="1"/>
  <c r="BZ7" i="1"/>
  <c r="CA7" i="1"/>
  <c r="CB7" i="1"/>
  <c r="CC7" i="1"/>
  <c r="CD7" i="1"/>
  <c r="BT8" i="1"/>
  <c r="BU8" i="1"/>
  <c r="BV8" i="1"/>
  <c r="BW8" i="1"/>
  <c r="BX8" i="1"/>
  <c r="BY8" i="1"/>
  <c r="BZ8" i="1"/>
  <c r="CA8" i="1"/>
  <c r="CB8" i="1"/>
  <c r="CC8" i="1"/>
  <c r="CD8" i="1"/>
  <c r="BT9" i="1"/>
  <c r="BU9" i="1"/>
  <c r="BV9" i="1"/>
  <c r="BW9" i="1"/>
  <c r="BX9" i="1"/>
  <c r="BY9" i="1"/>
  <c r="BZ9" i="1"/>
  <c r="CA9" i="1"/>
  <c r="CB9" i="1"/>
  <c r="CC9" i="1"/>
  <c r="CD9" i="1"/>
  <c r="BT10" i="1"/>
  <c r="BU10" i="1"/>
  <c r="BV10" i="1"/>
  <c r="BW10" i="1"/>
  <c r="BX10" i="1"/>
  <c r="BY10" i="1"/>
  <c r="BZ10" i="1"/>
  <c r="CA10" i="1"/>
  <c r="CB10" i="1"/>
  <c r="CC10" i="1"/>
  <c r="CD10" i="1"/>
  <c r="BT11" i="1"/>
  <c r="BU11" i="1"/>
  <c r="BV11" i="1"/>
  <c r="BW11" i="1"/>
  <c r="BX11" i="1"/>
  <c r="BY11" i="1"/>
  <c r="BZ11" i="1"/>
  <c r="CA11" i="1"/>
  <c r="CB11" i="1"/>
  <c r="CC11" i="1"/>
  <c r="CD11" i="1"/>
  <c r="BT12" i="1"/>
  <c r="BU12" i="1"/>
  <c r="BV12" i="1"/>
  <c r="BW12" i="1"/>
  <c r="BX12" i="1"/>
  <c r="BY12" i="1"/>
  <c r="BZ12" i="1"/>
  <c r="CA12" i="1"/>
  <c r="CB12" i="1"/>
  <c r="CC12" i="1"/>
  <c r="CD12" i="1"/>
  <c r="BT13" i="1"/>
  <c r="BU13" i="1"/>
  <c r="BV13" i="1"/>
  <c r="BW13" i="1"/>
  <c r="BX13" i="1"/>
  <c r="BY13" i="1"/>
  <c r="BZ13" i="1"/>
  <c r="CA13" i="1"/>
  <c r="CB13" i="1"/>
  <c r="CC13" i="1"/>
  <c r="CD13" i="1"/>
  <c r="BT14" i="1"/>
  <c r="BU14" i="1"/>
  <c r="BV14" i="1"/>
  <c r="BW14" i="1"/>
  <c r="BX14" i="1"/>
  <c r="BY14" i="1"/>
  <c r="BZ14" i="1"/>
  <c r="CA14" i="1"/>
  <c r="CB14" i="1"/>
  <c r="CC14" i="1"/>
  <c r="CD14" i="1"/>
  <c r="BT15" i="1"/>
  <c r="BU15" i="1"/>
  <c r="BV15" i="1"/>
  <c r="BW15" i="1"/>
  <c r="BX15" i="1"/>
  <c r="BY15" i="1"/>
  <c r="BZ15" i="1"/>
  <c r="CA15" i="1"/>
  <c r="CB15" i="1"/>
  <c r="CC15" i="1"/>
  <c r="CD15" i="1"/>
  <c r="BT16" i="1"/>
  <c r="BU16" i="1"/>
  <c r="BV16" i="1"/>
  <c r="BW16" i="1"/>
  <c r="BX16" i="1"/>
  <c r="BY16" i="1"/>
  <c r="BZ16" i="1"/>
  <c r="CA16" i="1"/>
  <c r="CB16" i="1"/>
  <c r="CC16" i="1"/>
  <c r="CD16" i="1"/>
  <c r="BT17" i="1"/>
  <c r="BU17" i="1"/>
  <c r="BV17" i="1"/>
  <c r="BW17" i="1"/>
  <c r="BX17" i="1"/>
  <c r="BY17" i="1"/>
  <c r="BZ17" i="1"/>
  <c r="CA17" i="1"/>
  <c r="CB17" i="1"/>
  <c r="CC17" i="1"/>
  <c r="CD17" i="1"/>
  <c r="BT18" i="1"/>
  <c r="BU18" i="1"/>
  <c r="BV18" i="1"/>
  <c r="BW18" i="1"/>
  <c r="BX18" i="1"/>
  <c r="BY18" i="1"/>
  <c r="BZ18" i="1"/>
  <c r="CA18" i="1"/>
  <c r="CB18" i="1"/>
  <c r="CC18" i="1"/>
  <c r="CD18" i="1"/>
  <c r="BT19" i="1"/>
  <c r="BU19" i="1"/>
  <c r="BV19" i="1"/>
  <c r="BW19" i="1"/>
  <c r="BX19" i="1"/>
  <c r="BY19" i="1"/>
  <c r="BZ19" i="1"/>
  <c r="CA19" i="1"/>
  <c r="CB19" i="1"/>
  <c r="CC19" i="1"/>
  <c r="CD19" i="1"/>
  <c r="BT20" i="1"/>
  <c r="BU20" i="1"/>
  <c r="BV20" i="1"/>
  <c r="BW20" i="1"/>
  <c r="BX20" i="1"/>
  <c r="BY20" i="1"/>
  <c r="BZ20" i="1"/>
  <c r="CA20" i="1"/>
  <c r="CB20" i="1"/>
  <c r="CC20" i="1"/>
  <c r="CD20" i="1"/>
  <c r="BT21" i="1"/>
  <c r="BU21" i="1"/>
  <c r="BV21" i="1"/>
  <c r="BW21" i="1"/>
  <c r="BX21" i="1"/>
  <c r="BY21" i="1"/>
  <c r="BZ21" i="1"/>
  <c r="CA21" i="1"/>
  <c r="CB21" i="1"/>
  <c r="CC21" i="1"/>
  <c r="CD21" i="1"/>
  <c r="BT22" i="1"/>
  <c r="BU22" i="1"/>
  <c r="BV22" i="1"/>
  <c r="BW22" i="1"/>
  <c r="BX22" i="1"/>
  <c r="BY22" i="1"/>
  <c r="BZ22" i="1"/>
  <c r="CA22" i="1"/>
  <c r="CB22" i="1"/>
  <c r="CC22" i="1"/>
  <c r="CD22" i="1"/>
  <c r="BT23" i="1"/>
  <c r="BU23" i="1"/>
  <c r="BV23" i="1"/>
  <c r="BW23" i="1"/>
  <c r="BX23" i="1"/>
  <c r="BY23" i="1"/>
  <c r="BZ23" i="1"/>
  <c r="CA23" i="1"/>
  <c r="CB23" i="1"/>
  <c r="CC23" i="1"/>
  <c r="CD23" i="1"/>
  <c r="BT24" i="1"/>
  <c r="BU24" i="1"/>
  <c r="BV24" i="1"/>
  <c r="BW24" i="1"/>
  <c r="BX24" i="1"/>
  <c r="BY24" i="1"/>
  <c r="BZ24" i="1"/>
  <c r="CA24" i="1"/>
  <c r="CB24" i="1"/>
  <c r="CC24" i="1"/>
  <c r="CD24" i="1"/>
  <c r="BT25" i="1"/>
  <c r="BU25" i="1"/>
  <c r="BV25" i="1"/>
  <c r="BW25" i="1"/>
  <c r="BX25" i="1"/>
  <c r="BY25" i="1"/>
  <c r="BZ25" i="1"/>
  <c r="CA25" i="1"/>
  <c r="CB25" i="1"/>
  <c r="CC25" i="1"/>
  <c r="CD25" i="1"/>
  <c r="BT26" i="1"/>
  <c r="BU26" i="1"/>
  <c r="BV26" i="1"/>
  <c r="BW26" i="1"/>
  <c r="BX26" i="1"/>
  <c r="BY26" i="1"/>
  <c r="BZ26" i="1"/>
  <c r="CA26" i="1"/>
  <c r="CB26" i="1"/>
  <c r="CC26" i="1"/>
  <c r="CD26" i="1"/>
  <c r="BT27" i="1"/>
  <c r="BU27" i="1"/>
  <c r="BV27" i="1"/>
  <c r="BW27" i="1"/>
  <c r="BX27" i="1"/>
  <c r="BY27" i="1"/>
  <c r="BZ27" i="1"/>
  <c r="CA27" i="1"/>
  <c r="CB27" i="1"/>
  <c r="CC27" i="1"/>
  <c r="CD27" i="1"/>
  <c r="BT5" i="1"/>
  <c r="CD5" i="1"/>
  <c r="CC5" i="1"/>
  <c r="CB5" i="1"/>
  <c r="CA5" i="1"/>
  <c r="BZ5" i="1"/>
  <c r="BY5" i="1"/>
  <c r="BX5" i="1"/>
  <c r="BW5" i="1"/>
  <c r="BV5" i="1"/>
  <c r="BS5" i="1"/>
  <c r="BU5" i="1"/>
  <c r="BS43" i="1"/>
  <c r="BS27" i="1"/>
  <c r="BS22" i="1"/>
  <c r="BS13" i="1"/>
  <c r="BS61" i="1"/>
  <c r="BS62" i="1"/>
  <c r="BS63" i="1"/>
  <c r="BS64" i="1"/>
  <c r="BS65" i="1"/>
  <c r="BS66" i="1"/>
  <c r="BS67" i="1"/>
  <c r="BS68" i="1"/>
  <c r="BS69" i="1"/>
  <c r="BS70" i="1"/>
  <c r="BS71" i="1"/>
  <c r="BQ71" i="1" s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Q83" i="1" s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Q95" i="1" s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60" i="1"/>
  <c r="BQ42" i="1"/>
  <c r="BQ47" i="1"/>
  <c r="BQ52" i="1"/>
  <c r="BQ53" i="1"/>
  <c r="BQ59" i="1"/>
  <c r="BQ64" i="1"/>
  <c r="BQ65" i="1"/>
  <c r="BQ76" i="1"/>
  <c r="BQ81" i="1"/>
  <c r="BQ88" i="1"/>
  <c r="BQ99" i="1"/>
  <c r="BQ100" i="1"/>
  <c r="V19" i="19"/>
  <c r="W19" i="19"/>
  <c r="X19" i="19"/>
  <c r="Y19" i="19"/>
  <c r="Z19" i="19"/>
  <c r="AA19" i="19"/>
  <c r="AC19" i="19"/>
  <c r="AD19" i="19"/>
  <c r="AE19" i="19"/>
  <c r="AF19" i="19"/>
  <c r="BS42" i="1"/>
  <c r="BS44" i="1"/>
  <c r="BS45" i="1"/>
  <c r="BS46" i="1"/>
  <c r="BS47" i="1"/>
  <c r="BS48" i="1"/>
  <c r="BS49" i="1"/>
  <c r="BS50" i="1"/>
  <c r="BS51" i="1"/>
  <c r="BS52" i="1"/>
  <c r="BS53" i="1"/>
  <c r="BS56" i="1"/>
  <c r="BS58" i="1"/>
  <c r="BS59" i="1"/>
  <c r="BS140" i="1"/>
  <c r="BS41" i="1"/>
  <c r="BS6" i="1"/>
  <c r="BS7" i="1"/>
  <c r="BS8" i="1"/>
  <c r="BS9" i="1"/>
  <c r="BS10" i="1"/>
  <c r="BS11" i="1"/>
  <c r="BS12" i="1"/>
  <c r="BS15" i="1"/>
  <c r="BS14" i="1"/>
  <c r="BS138" i="1"/>
  <c r="BS21" i="1"/>
  <c r="BS139" i="1"/>
  <c r="BS23" i="1"/>
  <c r="BS24" i="1"/>
  <c r="BS25" i="1"/>
  <c r="BS26" i="1"/>
  <c r="BS16" i="1"/>
  <c r="BS17" i="1"/>
  <c r="BS18" i="1"/>
  <c r="BS19" i="1"/>
  <c r="BS20" i="1"/>
  <c r="BS55" i="1"/>
  <c r="BS54" i="1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E145" i="1"/>
  <c r="BV145" i="1" s="1"/>
  <c r="CQ145" i="1"/>
  <c r="BQ110" i="1" l="1"/>
  <c r="BQ108" i="1"/>
  <c r="BQ96" i="1"/>
  <c r="BQ84" i="1"/>
  <c r="BQ72" i="1"/>
  <c r="BQ107" i="1"/>
  <c r="BQ106" i="1"/>
  <c r="BQ94" i="1"/>
  <c r="BQ70" i="1"/>
  <c r="BQ82" i="1"/>
  <c r="BQ113" i="1"/>
  <c r="BQ114" i="1"/>
  <c r="BQ112" i="1"/>
  <c r="BQ115" i="1"/>
  <c r="BQ111" i="1"/>
  <c r="CC145" i="1"/>
  <c r="BU145" i="1"/>
  <c r="CB145" i="1"/>
  <c r="BX145" i="1"/>
  <c r="BT145" i="1"/>
  <c r="CA145" i="1"/>
  <c r="BW145" i="1"/>
  <c r="BS145" i="1"/>
  <c r="BY145" i="1"/>
  <c r="CD145" i="1"/>
  <c r="BZ145" i="1"/>
  <c r="BQ145" i="1" l="1"/>
  <c r="BU139" i="1" l="1"/>
  <c r="CD54" i="17"/>
  <c r="CC54" i="17"/>
  <c r="CB54" i="17"/>
  <c r="CA54" i="17"/>
  <c r="BZ54" i="17"/>
  <c r="BY54" i="17"/>
  <c r="BX54" i="17"/>
  <c r="BW54" i="17"/>
  <c r="BV54" i="17"/>
  <c r="BU54" i="17"/>
  <c r="BT54" i="17"/>
  <c r="BS54" i="17"/>
  <c r="CD53" i="17"/>
  <c r="CC53" i="17"/>
  <c r="CB53" i="17"/>
  <c r="CA53" i="17"/>
  <c r="BZ53" i="17"/>
  <c r="BY53" i="17"/>
  <c r="BX53" i="17"/>
  <c r="BW53" i="17"/>
  <c r="BV53" i="17"/>
  <c r="BU53" i="17"/>
  <c r="BT53" i="17"/>
  <c r="BS53" i="17"/>
  <c r="CQ52" i="17"/>
  <c r="CD52" i="17"/>
  <c r="CC52" i="17"/>
  <c r="CB52" i="17"/>
  <c r="CA52" i="17"/>
  <c r="BZ52" i="17"/>
  <c r="BY52" i="17"/>
  <c r="BX52" i="17"/>
  <c r="BW52" i="17"/>
  <c r="BV52" i="17"/>
  <c r="BU52" i="17"/>
  <c r="BT52" i="17"/>
  <c r="BS52" i="17"/>
  <c r="CD51" i="17"/>
  <c r="CC51" i="17"/>
  <c r="CB51" i="17"/>
  <c r="CA51" i="17"/>
  <c r="BZ51" i="17"/>
  <c r="BY51" i="17"/>
  <c r="BX51" i="17"/>
  <c r="BW51" i="17"/>
  <c r="BV51" i="17"/>
  <c r="BU51" i="17"/>
  <c r="BT51" i="17"/>
  <c r="BS51" i="17"/>
  <c r="CQ50" i="17"/>
  <c r="CD50" i="17"/>
  <c r="CC50" i="17"/>
  <c r="CB50" i="17"/>
  <c r="CA50" i="17"/>
  <c r="BZ50" i="17"/>
  <c r="BY50" i="17"/>
  <c r="BX50" i="17"/>
  <c r="BW50" i="17"/>
  <c r="BV50" i="17"/>
  <c r="BU50" i="17"/>
  <c r="BT50" i="17"/>
  <c r="BS50" i="17"/>
  <c r="CQ49" i="17"/>
  <c r="CD49" i="17"/>
  <c r="CC49" i="17"/>
  <c r="CB49" i="17"/>
  <c r="CA49" i="17"/>
  <c r="BZ49" i="17"/>
  <c r="BY49" i="17"/>
  <c r="BX49" i="17"/>
  <c r="BW49" i="17"/>
  <c r="BV49" i="17"/>
  <c r="BU49" i="17"/>
  <c r="BT49" i="17"/>
  <c r="BS49" i="17"/>
  <c r="CQ48" i="17"/>
  <c r="CD48" i="17"/>
  <c r="CC48" i="17"/>
  <c r="CB48" i="17"/>
  <c r="CA48" i="17"/>
  <c r="BZ48" i="17"/>
  <c r="BY48" i="17"/>
  <c r="BX48" i="17"/>
  <c r="BW48" i="17"/>
  <c r="BV48" i="17"/>
  <c r="BU48" i="17"/>
  <c r="BT48" i="17"/>
  <c r="BS48" i="17"/>
  <c r="CQ47" i="17"/>
  <c r="CD47" i="17"/>
  <c r="CC47" i="17"/>
  <c r="CB47" i="17"/>
  <c r="CA47" i="17"/>
  <c r="BZ47" i="17"/>
  <c r="BY47" i="17"/>
  <c r="BX47" i="17"/>
  <c r="BW47" i="17"/>
  <c r="BV47" i="17"/>
  <c r="BU47" i="17"/>
  <c r="BT47" i="17"/>
  <c r="BS47" i="17"/>
  <c r="CQ44" i="17"/>
  <c r="CQ42" i="17"/>
  <c r="CQ41" i="17"/>
  <c r="CQ40" i="17"/>
  <c r="CQ39" i="17"/>
  <c r="CQ36" i="17"/>
  <c r="CQ35" i="17"/>
  <c r="CQ34" i="17"/>
  <c r="CQ6" i="17"/>
  <c r="CD6" i="17"/>
  <c r="CC6" i="17"/>
  <c r="CB6" i="17"/>
  <c r="CA6" i="17"/>
  <c r="BZ6" i="17"/>
  <c r="BY6" i="17"/>
  <c r="BX6" i="17"/>
  <c r="BW6" i="17"/>
  <c r="BV6" i="17"/>
  <c r="BU6" i="17"/>
  <c r="BT6" i="17"/>
  <c r="BS6" i="17"/>
  <c r="BQ49" i="1"/>
  <c r="BT142" i="1"/>
  <c r="BU142" i="1"/>
  <c r="BV142" i="1"/>
  <c r="BW142" i="1"/>
  <c r="BX142" i="1"/>
  <c r="BY142" i="1"/>
  <c r="BZ142" i="1"/>
  <c r="CA142" i="1"/>
  <c r="CB142" i="1"/>
  <c r="CC142" i="1"/>
  <c r="CD142" i="1"/>
  <c r="BT141" i="1"/>
  <c r="BU141" i="1"/>
  <c r="BV141" i="1"/>
  <c r="BW141" i="1"/>
  <c r="BX141" i="1"/>
  <c r="BY141" i="1"/>
  <c r="BZ141" i="1"/>
  <c r="CA141" i="1"/>
  <c r="CB141" i="1"/>
  <c r="CC141" i="1"/>
  <c r="CD141" i="1"/>
  <c r="BT140" i="1"/>
  <c r="BU140" i="1"/>
  <c r="BV140" i="1"/>
  <c r="BW140" i="1"/>
  <c r="BX140" i="1"/>
  <c r="BY140" i="1"/>
  <c r="BZ140" i="1"/>
  <c r="CA140" i="1"/>
  <c r="CB140" i="1"/>
  <c r="CC140" i="1"/>
  <c r="CD140" i="1"/>
  <c r="BS142" i="1"/>
  <c r="BS141" i="1"/>
  <c r="CQ23" i="1"/>
  <c r="CQ108" i="1"/>
  <c r="CQ107" i="1"/>
  <c r="CQ106" i="1"/>
  <c r="CQ105" i="1"/>
  <c r="CQ103" i="1"/>
  <c r="CQ102" i="1"/>
  <c r="CQ101" i="1"/>
  <c r="CQ100" i="1"/>
  <c r="CQ99" i="1"/>
  <c r="CQ98" i="1"/>
  <c r="CQ97" i="1"/>
  <c r="CQ96" i="1"/>
  <c r="CQ95" i="1"/>
  <c r="CQ94" i="1"/>
  <c r="CQ93" i="1"/>
  <c r="CQ92" i="1"/>
  <c r="CQ91" i="1"/>
  <c r="CQ90" i="1"/>
  <c r="CQ89" i="1"/>
  <c r="CQ88" i="1"/>
  <c r="CQ87" i="1"/>
  <c r="CQ86" i="1"/>
  <c r="CQ85" i="1"/>
  <c r="CQ84" i="1"/>
  <c r="CQ83" i="1"/>
  <c r="CQ82" i="1"/>
  <c r="CQ81" i="1"/>
  <c r="CQ80" i="1"/>
  <c r="CQ79" i="1"/>
  <c r="CQ78" i="1"/>
  <c r="CQ77" i="1"/>
  <c r="CQ76" i="1"/>
  <c r="CQ75" i="1"/>
  <c r="CQ74" i="1"/>
  <c r="CQ73" i="1"/>
  <c r="CQ72" i="1"/>
  <c r="CQ71" i="1"/>
  <c r="CQ70" i="1"/>
  <c r="CQ69" i="1"/>
  <c r="CQ67" i="1"/>
  <c r="CQ66" i="1"/>
  <c r="CQ65" i="1"/>
  <c r="CQ140" i="1"/>
  <c r="CQ64" i="1"/>
  <c r="CQ63" i="1"/>
  <c r="CQ62" i="1"/>
  <c r="CQ141" i="1"/>
  <c r="CQ61" i="1"/>
  <c r="CQ60" i="1"/>
  <c r="CQ59" i="1"/>
  <c r="CQ58" i="1"/>
  <c r="CQ56" i="1"/>
  <c r="CQ142" i="1"/>
  <c r="CQ53" i="1"/>
  <c r="CQ52" i="1"/>
  <c r="CQ51" i="1"/>
  <c r="CQ49" i="1"/>
  <c r="CQ48" i="1"/>
  <c r="CQ47" i="1"/>
  <c r="CQ46" i="1"/>
  <c r="CQ45" i="1"/>
  <c r="CQ44" i="1"/>
  <c r="CQ43" i="1"/>
  <c r="CQ42" i="1"/>
  <c r="CQ41" i="1"/>
  <c r="CQ20" i="1"/>
  <c r="CQ13" i="1"/>
  <c r="CQ27" i="1"/>
  <c r="CQ19" i="1"/>
  <c r="CQ18" i="1"/>
  <c r="CQ17" i="1"/>
  <c r="CQ16" i="1"/>
  <c r="CQ26" i="1"/>
  <c r="CQ24" i="1"/>
  <c r="CQ139" i="1"/>
  <c r="CQ21" i="1"/>
  <c r="CQ138" i="1"/>
  <c r="CQ14" i="1"/>
  <c r="CQ12" i="1"/>
  <c r="CQ11" i="1"/>
  <c r="CQ10" i="1"/>
  <c r="CQ9" i="1"/>
  <c r="CQ8" i="1"/>
  <c r="CQ7" i="1"/>
  <c r="CQ6" i="1"/>
  <c r="CQ5" i="1"/>
  <c r="BQ48" i="17" l="1"/>
  <c r="BQ53" i="17"/>
  <c r="BQ6" i="17"/>
  <c r="BQ50" i="17"/>
  <c r="BQ47" i="17"/>
  <c r="BQ54" i="17"/>
  <c r="BQ49" i="17"/>
  <c r="BQ51" i="17"/>
  <c r="BQ52" i="17"/>
  <c r="CB138" i="1"/>
  <c r="BQ6" i="1"/>
  <c r="CB139" i="1"/>
  <c r="BX139" i="1"/>
  <c r="BT139" i="1"/>
  <c r="BX138" i="1"/>
  <c r="BT138" i="1"/>
  <c r="CA138" i="1"/>
  <c r="BW138" i="1"/>
  <c r="CD138" i="1"/>
  <c r="BZ138" i="1"/>
  <c r="BV138" i="1"/>
  <c r="CC138" i="1"/>
  <c r="BY138" i="1"/>
  <c r="BU138" i="1"/>
  <c r="CA139" i="1"/>
  <c r="BW139" i="1"/>
  <c r="CD139" i="1"/>
  <c r="BZ139" i="1"/>
  <c r="BV139" i="1"/>
  <c r="CC139" i="1"/>
  <c r="BY139" i="1"/>
  <c r="BQ13" i="1"/>
  <c r="BQ140" i="1"/>
  <c r="BQ141" i="1"/>
  <c r="BQ142" i="1"/>
  <c r="CQ25" i="1"/>
  <c r="BQ10" i="1" l="1"/>
  <c r="BQ20" i="1"/>
  <c r="BQ7" i="1"/>
  <c r="BQ27" i="1"/>
  <c r="BQ22" i="1"/>
  <c r="BQ14" i="1"/>
  <c r="BQ18" i="1"/>
  <c r="BQ26" i="1"/>
  <c r="BQ8" i="1"/>
  <c r="BQ9" i="1"/>
  <c r="BQ25" i="1"/>
  <c r="BQ17" i="1"/>
  <c r="BQ11" i="1"/>
  <c r="BQ23" i="1"/>
  <c r="BQ24" i="1"/>
  <c r="BQ12" i="1"/>
  <c r="BQ16" i="1"/>
  <c r="BQ19" i="1"/>
  <c r="BQ138" i="1"/>
  <c r="BQ21" i="1"/>
  <c r="BQ139" i="1"/>
  <c r="BS144" i="1"/>
  <c r="CA144" i="1"/>
  <c r="CB144" i="1"/>
  <c r="CC144" i="1"/>
  <c r="CD144" i="1"/>
  <c r="BT144" i="1"/>
  <c r="BU144" i="1"/>
  <c r="BV144" i="1"/>
  <c r="BW144" i="1"/>
  <c r="BX144" i="1"/>
  <c r="BY144" i="1"/>
  <c r="BZ144" i="1"/>
  <c r="BS143" i="1" l="1"/>
  <c r="BS57" i="1"/>
  <c r="BQ15" i="1" l="1"/>
  <c r="BT143" i="1" l="1"/>
  <c r="BU143" i="1"/>
  <c r="BV143" i="1"/>
  <c r="BW143" i="1"/>
  <c r="BX143" i="1"/>
  <c r="BY143" i="1"/>
  <c r="BZ143" i="1"/>
  <c r="CA143" i="1"/>
  <c r="CB143" i="1"/>
  <c r="CC143" i="1"/>
  <c r="CD143" i="1"/>
  <c r="BQ143" i="1" l="1"/>
  <c r="BQ144" i="1"/>
  <c r="CQ54" i="1" l="1"/>
  <c r="CQ134" i="1"/>
  <c r="CQ143" i="1"/>
  <c r="CQ57" i="1"/>
  <c r="CQ68" i="1"/>
  <c r="CQ131" i="1"/>
  <c r="CQ130" i="1"/>
  <c r="CQ136" i="1"/>
  <c r="CQ135" i="1"/>
  <c r="CQ137" i="1"/>
  <c r="BQ5" i="1" l="1"/>
  <c r="CQ129" i="1"/>
</calcChain>
</file>

<file path=xl/sharedStrings.xml><?xml version="1.0" encoding="utf-8"?>
<sst xmlns="http://schemas.openxmlformats.org/spreadsheetml/2006/main" count="1694" uniqueCount="297">
  <si>
    <t>FOREIGN SENIOR STAFFS</t>
  </si>
  <si>
    <t>Wed</t>
  </si>
  <si>
    <t>Thu</t>
  </si>
  <si>
    <t>Fri</t>
  </si>
  <si>
    <t>Sat</t>
  </si>
  <si>
    <t>Sun</t>
  </si>
  <si>
    <t>Mon</t>
  </si>
  <si>
    <t>Tue</t>
  </si>
  <si>
    <t>Present Days</t>
  </si>
  <si>
    <t>Fridays</t>
  </si>
  <si>
    <t>S NO</t>
  </si>
  <si>
    <t>User ID</t>
  </si>
  <si>
    <t>Name</t>
  </si>
  <si>
    <t>IN</t>
  </si>
  <si>
    <t>OUT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</si>
  <si>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</si>
  <si>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</si>
  <si>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</si>
  <si>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</si>
  <si>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</si>
  <si>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</si>
  <si>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</si>
  <si>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</si>
  <si>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</si>
  <si>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</si>
  <si>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</si>
  <si>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</si>
  <si>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MAD0238</t>
  </si>
  <si>
    <t>Mohammed Fais Hamsa Lebbe</t>
  </si>
  <si>
    <t>MAD0083</t>
  </si>
  <si>
    <t>Rajasekaran Selvaraj</t>
  </si>
  <si>
    <t>MAD0427</t>
  </si>
  <si>
    <t>Janakiraman Sankaralingam</t>
  </si>
  <si>
    <t>MAD0040</t>
  </si>
  <si>
    <t>Younus Miah</t>
  </si>
  <si>
    <t>MAD0029</t>
  </si>
  <si>
    <t>Nazu Ahmed</t>
  </si>
  <si>
    <t>MAD0391</t>
  </si>
  <si>
    <t>Abdul Ameen</t>
  </si>
  <si>
    <t>MAD0541</t>
  </si>
  <si>
    <t>Malini Bal</t>
  </si>
  <si>
    <t>MAD0652</t>
  </si>
  <si>
    <t>MAD0599</t>
  </si>
  <si>
    <t>Suriya krishnan</t>
  </si>
  <si>
    <t>MAD0606</t>
  </si>
  <si>
    <t>MAD0670</t>
  </si>
  <si>
    <t xml:space="preserve">Mohideen Abdul Rahuman </t>
  </si>
  <si>
    <t>MAD0700</t>
  </si>
  <si>
    <t>Subail Ahmed</t>
  </si>
  <si>
    <t>MAD0016</t>
  </si>
  <si>
    <t>Abdur Rashid</t>
  </si>
  <si>
    <t>MAD0021</t>
  </si>
  <si>
    <t>Karim</t>
  </si>
  <si>
    <t>MAD0024</t>
  </si>
  <si>
    <t>Abul Hossain</t>
  </si>
  <si>
    <t>MAD0133</t>
  </si>
  <si>
    <t>Mir Hossain</t>
  </si>
  <si>
    <t>MAD0268</t>
  </si>
  <si>
    <t>Abdul Karim</t>
  </si>
  <si>
    <t>MAD0711</t>
  </si>
  <si>
    <t>Vijayakumar Kaliaraj</t>
  </si>
  <si>
    <t>MAD0717</t>
  </si>
  <si>
    <t>Prepared By:</t>
  </si>
  <si>
    <t>Checked By:</t>
  </si>
  <si>
    <t xml:space="preserve"> </t>
  </si>
  <si>
    <t>Approved By</t>
  </si>
  <si>
    <t>Hussain Mahir</t>
  </si>
  <si>
    <t>Moosa Ahmed</t>
  </si>
  <si>
    <t>HR Executive</t>
  </si>
  <si>
    <t>Office Manager</t>
  </si>
  <si>
    <t>Chairman</t>
  </si>
  <si>
    <t>Medical Certificate</t>
  </si>
  <si>
    <t>Half-Day</t>
  </si>
  <si>
    <t>Emergency Leave</t>
  </si>
  <si>
    <t>Absent</t>
  </si>
  <si>
    <t xml:space="preserve">Annual Leave                     </t>
  </si>
  <si>
    <t xml:space="preserve">No Pay Leave        </t>
  </si>
  <si>
    <t>Suspended</t>
  </si>
  <si>
    <t>Special Leave</t>
  </si>
  <si>
    <t>Family Leave</t>
  </si>
  <si>
    <t>MAD0027</t>
  </si>
  <si>
    <t>Masom</t>
  </si>
  <si>
    <t>MAD0232</t>
  </si>
  <si>
    <t>Lokman Hossain</t>
  </si>
  <si>
    <t>MAD0098</t>
  </si>
  <si>
    <t>Dukhu Miah</t>
  </si>
  <si>
    <t>MAD0156</t>
  </si>
  <si>
    <t>Mohammad Rubel Hossain</t>
  </si>
  <si>
    <t>MAD0132</t>
  </si>
  <si>
    <t>Anwar</t>
  </si>
  <si>
    <t>MAD0251</t>
  </si>
  <si>
    <t>Mohammad Akkas Miah</t>
  </si>
  <si>
    <t>MDA0241</t>
  </si>
  <si>
    <t>MD Hafizur Rahman</t>
  </si>
  <si>
    <t>MAD0104</t>
  </si>
  <si>
    <t>Mohammad Selim Raza</t>
  </si>
  <si>
    <t>MDA0418</t>
  </si>
  <si>
    <t>Sumon</t>
  </si>
  <si>
    <t>Deepak Yadav</t>
  </si>
  <si>
    <t>MAD0507</t>
  </si>
  <si>
    <t>Nazir Hussain</t>
  </si>
  <si>
    <t>MAD0426</t>
  </si>
  <si>
    <t>Ful Sah</t>
  </si>
  <si>
    <t>MAD0445</t>
  </si>
  <si>
    <t>Mir Rajib</t>
  </si>
  <si>
    <t>MAD0515</t>
  </si>
  <si>
    <t>MAD0517</t>
  </si>
  <si>
    <t>Pradip Kumar</t>
  </si>
  <si>
    <t>MAD0535</t>
  </si>
  <si>
    <t>MAD0559</t>
  </si>
  <si>
    <t>MAD0580</t>
  </si>
  <si>
    <t>MAD0585</t>
  </si>
  <si>
    <t>Rumi Miah</t>
  </si>
  <si>
    <t>MAD0587</t>
  </si>
  <si>
    <t>MAD0586</t>
  </si>
  <si>
    <t>MAD0594</t>
  </si>
  <si>
    <t>Bimol Rajbongshe</t>
  </si>
  <si>
    <t>MAD0601</t>
  </si>
  <si>
    <t>MD Mithu Hossain</t>
  </si>
  <si>
    <t>MAD0602</t>
  </si>
  <si>
    <t>MD Rokon Uddin</t>
  </si>
  <si>
    <t>MAD0603</t>
  </si>
  <si>
    <t>MD Al Amin</t>
  </si>
  <si>
    <t>MAD0612</t>
  </si>
  <si>
    <t>MAD0613</t>
  </si>
  <si>
    <t>MAD0618</t>
  </si>
  <si>
    <t>MAD0623</t>
  </si>
  <si>
    <t>Yabuddin</t>
  </si>
  <si>
    <t>MAD0632</t>
  </si>
  <si>
    <t>Nabina Thapa</t>
  </si>
  <si>
    <t>MAD0636</t>
  </si>
  <si>
    <t>MAD0643</t>
  </si>
  <si>
    <t>NAJIR SHEKH</t>
  </si>
  <si>
    <t>MAD0668</t>
  </si>
  <si>
    <t>Arun Kumar Vettikattil</t>
  </si>
  <si>
    <t>MAD0669</t>
  </si>
  <si>
    <t>Shekh Kalamudin</t>
  </si>
  <si>
    <t>MAD0675</t>
  </si>
  <si>
    <t>Salam Shaikh</t>
  </si>
  <si>
    <t>MAD0676</t>
  </si>
  <si>
    <t>Atikur Shaikh</t>
  </si>
  <si>
    <t>MAD0677</t>
  </si>
  <si>
    <t>Abdul Odud Shaikh</t>
  </si>
  <si>
    <t>MAD0678</t>
  </si>
  <si>
    <t>Martha Ranapaheli</t>
  </si>
  <si>
    <t>MAD0680</t>
  </si>
  <si>
    <t>MD Farhad Hossain</t>
  </si>
  <si>
    <t>MAD0681</t>
  </si>
  <si>
    <t>MD Humayun Kobir</t>
  </si>
  <si>
    <t>MAD0682</t>
  </si>
  <si>
    <t>MAD0694</t>
  </si>
  <si>
    <t>Kazam Uddin</t>
  </si>
  <si>
    <t>MAD0696</t>
  </si>
  <si>
    <t>MD Milon Hossain</t>
  </si>
  <si>
    <t>MAD0701</t>
  </si>
  <si>
    <t>MAD0706</t>
  </si>
  <si>
    <t>MD Tufajjl Hosen</t>
  </si>
  <si>
    <t>MAD0713</t>
  </si>
  <si>
    <t>MD Suhel Mia</t>
  </si>
  <si>
    <t>MAD0714</t>
  </si>
  <si>
    <t>Ali Hossain</t>
  </si>
  <si>
    <t>MAD0716</t>
  </si>
  <si>
    <t>MAD0715</t>
  </si>
  <si>
    <t>Manikandan Selvaraj</t>
  </si>
  <si>
    <t>MAD0718</t>
  </si>
  <si>
    <t>Laikuzzaman Leon</t>
  </si>
  <si>
    <t>MAD0719</t>
  </si>
  <si>
    <t>Vigneshwaran kanagaraj</t>
  </si>
  <si>
    <t>MAD0723</t>
  </si>
  <si>
    <t>MD Sobuj Rana</t>
  </si>
  <si>
    <t>FOREIGN JUNIOR STAFFS</t>
  </si>
  <si>
    <t>SICK</t>
  </si>
  <si>
    <t>Biswajit Prasad Sah</t>
  </si>
  <si>
    <t>MAD0644</t>
  </si>
  <si>
    <t>Saswati Kundu Debnath</t>
  </si>
  <si>
    <t>Rinosan Muhamd</t>
  </si>
  <si>
    <t>MD Sahmad</t>
  </si>
  <si>
    <t>Anuj Mishra</t>
  </si>
  <si>
    <t>MD Ahad Gazi</t>
  </si>
  <si>
    <t>Puja Rai</t>
  </si>
  <si>
    <t>Nasir Ali</t>
  </si>
  <si>
    <t>MAD0726</t>
  </si>
  <si>
    <t>MD Tanvir Miah</t>
  </si>
  <si>
    <t>MAD0727</t>
  </si>
  <si>
    <t>MD Imran</t>
  </si>
  <si>
    <t>MAD0728</t>
  </si>
  <si>
    <t>Mushahid Mia</t>
  </si>
  <si>
    <t>MAD0731</t>
  </si>
  <si>
    <t>Nazmul Chowdhury</t>
  </si>
  <si>
    <t>Hasan Miah</t>
  </si>
  <si>
    <t>MAD0596</t>
  </si>
  <si>
    <t>Pls don’t Remove below data</t>
  </si>
  <si>
    <t>Total</t>
  </si>
  <si>
    <t>MAD0407</t>
  </si>
  <si>
    <t>Pratheesh Prasad</t>
  </si>
  <si>
    <t>MAD0733</t>
  </si>
  <si>
    <t>Sabbir Hossain</t>
  </si>
  <si>
    <t>MAD0233</t>
  </si>
  <si>
    <t>MAD0736</t>
  </si>
  <si>
    <t>MAD0737</t>
  </si>
  <si>
    <t>MD Shak Sabik</t>
  </si>
  <si>
    <t>Golam Sarowar Rubel</t>
  </si>
  <si>
    <t>MAD0739</t>
  </si>
  <si>
    <t>MD Sujon</t>
  </si>
  <si>
    <t>MAD0740</t>
  </si>
  <si>
    <t>MD Rayhan Bhuiya</t>
  </si>
  <si>
    <t>MAD0741</t>
  </si>
  <si>
    <t>MAD0742</t>
  </si>
  <si>
    <t>MD Hasana Ali</t>
  </si>
  <si>
    <t>MD Shamim Hoshen</t>
  </si>
  <si>
    <t>MAD0746</t>
  </si>
  <si>
    <t>Phoo Wai Myint</t>
  </si>
  <si>
    <t>MAD0672</t>
  </si>
  <si>
    <t>MAD0748</t>
  </si>
  <si>
    <t>MAD0749</t>
  </si>
  <si>
    <t>Pranav Muraleedharannair</t>
  </si>
  <si>
    <t>RamPrasath Ravipugal</t>
  </si>
  <si>
    <t>MAD0755</t>
  </si>
  <si>
    <t>Imran Hossian</t>
  </si>
  <si>
    <t>MAD0757</t>
  </si>
  <si>
    <t>MAD0758</t>
  </si>
  <si>
    <t>MAD0756</t>
  </si>
  <si>
    <t>MAD0759</t>
  </si>
  <si>
    <t>Shihub Mahmud</t>
  </si>
  <si>
    <t>MD Hasan Al Mamun</t>
  </si>
  <si>
    <t>MD Muktar Ali</t>
  </si>
  <si>
    <t>Vishnulal Jayalal</t>
  </si>
  <si>
    <t>Enamul Hoque</t>
  </si>
  <si>
    <t>MD Manik Hossain</t>
  </si>
  <si>
    <t>Adnan Abdul Majeed</t>
  </si>
  <si>
    <t>Thirugnanam Maruthai</t>
  </si>
  <si>
    <t>Mohammad Ajmal</t>
  </si>
  <si>
    <t>Raju Ahmed</t>
  </si>
  <si>
    <t>MD Naim Sarder</t>
  </si>
  <si>
    <t>MD Nahim Gazi</t>
  </si>
  <si>
    <t>MAD0762</t>
  </si>
  <si>
    <t>Tribhuwan Bhandari</t>
  </si>
  <si>
    <t>MAD0763</t>
  </si>
  <si>
    <t>Muneswari Sandrapalli</t>
  </si>
  <si>
    <t xml:space="preserve">Mohamed Aiyash Mohamed </t>
  </si>
  <si>
    <t>MAD0767</t>
  </si>
  <si>
    <t>Solaiappan Gurusamy</t>
  </si>
  <si>
    <t xml:space="preserve">Shahinur Alam </t>
  </si>
  <si>
    <t>MAD0769</t>
  </si>
  <si>
    <t>Prashanth Babu</t>
  </si>
  <si>
    <t>Mohammed Kalifa</t>
  </si>
  <si>
    <t xml:space="preserve">Used Leave Totals (Running Year, up to end of this month - June 2026) </t>
  </si>
  <si>
    <t>Attendance for JULY 2026   - MALE JUNIOR FOREIGN STAFFS</t>
  </si>
  <si>
    <t>MAD0396</t>
  </si>
  <si>
    <t>Note:</t>
  </si>
  <si>
    <t>Settlement For August - 2026</t>
  </si>
  <si>
    <t>OT:</t>
  </si>
  <si>
    <t xml:space="preserve">                Food Allowance for  4 days</t>
  </si>
  <si>
    <t>Alisan</t>
  </si>
  <si>
    <t>MAD0637</t>
  </si>
  <si>
    <t>MAD0773</t>
  </si>
  <si>
    <t>Nabina Sarki</t>
  </si>
  <si>
    <t>Abu Sufian Rakib</t>
  </si>
  <si>
    <t>MAD0776</t>
  </si>
  <si>
    <t>MD Habibur Rahman</t>
  </si>
  <si>
    <t>MAD0777</t>
  </si>
  <si>
    <t>Sufal Das</t>
  </si>
  <si>
    <t>MAD0775</t>
  </si>
  <si>
    <t xml:space="preserve">                Food Allowance for  7 days</t>
  </si>
  <si>
    <t>Attendance for AUGUST 2026   - MALE JUNIOR FOREIGN STAFFS</t>
  </si>
  <si>
    <t>Attendance for AUGUST 2026  - MALE SENIOR FOREIGN STAFFS</t>
  </si>
  <si>
    <t xml:space="preserve">                Food Allowance for  16 days</t>
  </si>
  <si>
    <t>Fixed OT</t>
  </si>
  <si>
    <t>Add 1st day of Sep 2026 (Leave date is 2nd Sep 2026)</t>
  </si>
  <si>
    <t>Leela Ibrahim</t>
  </si>
  <si>
    <t>Settlement for Abdur Rashid_ AUGUST / Sep 2026   - MALE JUNIOR FOREIGN STAFFS</t>
  </si>
  <si>
    <t>4 added from July</t>
  </si>
  <si>
    <t>1 added from July</t>
  </si>
  <si>
    <t>Extra 1 Paid on July</t>
  </si>
  <si>
    <t>Lila Ibrahim</t>
  </si>
  <si>
    <t>Bibi Rai</t>
  </si>
  <si>
    <t>Nitya Rai</t>
  </si>
  <si>
    <t>Deepu Yadav</t>
  </si>
  <si>
    <t>MAD0778</t>
  </si>
  <si>
    <t>MAD0779</t>
  </si>
  <si>
    <t>MAD0782</t>
  </si>
  <si>
    <t>D.O.J - 3rd August 2026</t>
  </si>
  <si>
    <t>D.O.J - 7th August 2026</t>
  </si>
  <si>
    <t>D.O.J - 16th August 2026</t>
  </si>
  <si>
    <t>D.O.J - 25th August 2026</t>
  </si>
  <si>
    <t>DOJ 25th Aug 2026</t>
  </si>
  <si>
    <t>Sick</t>
  </si>
  <si>
    <t>1 friday of Jul added</t>
  </si>
  <si>
    <t>Add 4 days of Sep 2026 (Leave date is 5th Sep 2026)</t>
  </si>
  <si>
    <t>1 Friday from July added</t>
  </si>
  <si>
    <t>Settlement for Mohideen Abdul Rahuman _ AUGUST / SEP 2026   - MALE SENIOR FOREIGN STAFFS</t>
  </si>
  <si>
    <t xml:space="preserve">                Food Allowance for  19 days</t>
  </si>
  <si>
    <t>MVR 1000.00</t>
  </si>
  <si>
    <t>Settlement for JANAKIRAMAN _ AUGUST / SEP 2026   - MALE SENIOR FOREIGN STAFFS</t>
  </si>
  <si>
    <t>Janakiraman</t>
  </si>
  <si>
    <t xml:space="preserve">                Food Allowance for  07 days</t>
  </si>
  <si>
    <t>7 days of Sep 2026 (Leave date is 8th Sep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</si>
</sst>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&quot;$&quot;#,##0.00"/>
  </numFmts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0"/>
      <color theme="1"/>
      <name val="Arial Black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Segoe UI"/>
      <family val="2"/>
    </font>
    <font>
      <b/>
      <sz val="12"/>
      <color theme="1"/>
      <name val="Segoe UI"/>
      <family val="2"/>
    </font>
    <font>
      <sz val="8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Segoe UI"/>
      <family val="2"/>
    </font>
    <font>
      <b/>
      <sz val="9"/>
      <color theme="1"/>
      <name val="Calibri"/>
      <family val="2"/>
      <scheme val="minor"/>
    </font>
    <font>
      <sz val="10"/>
      <name val="Segoe U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u/>
      <sz val="14"/>
      <color rgb="FFFF0000"/>
      <name val="Calibri"/>
      <family val="2"/>
      <scheme val="minor"/>
    </font>
    <font>
      <sz val="9.9"/>
      <color theme="1"/>
      <name val="Arial"/>
      <family val="2"/>
    </font>
    <font>
      <b/>
      <sz val="9.9"/>
      <color theme="1"/>
      <name val="Arial"/>
      <family val="2"/>
    </font>
    <font>
      <sz val="8"/>
      <color theme="1"/>
      <name val="Segoe UI"/>
      <family val="2"/>
    </font>
    <font>
      <sz val="9.9"/>
      <name val="Arial"/>
      <family val="2"/>
    </font>
    <font>
      <b/>
      <sz val="9.9"/>
      <name val="Arial"/>
      <family val="2"/>
    </font>
    <font>
      <sz val="9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indexed="64"/>
      </top>
      <bottom/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</borders>
  <cellStyleXfs count="2">
    <xf numFmtId="0" fontId="0" fillId="0" borderId="0"/>
    <xf numFmtId="0" fontId="25" fillId="0" borderId="0"/>
  </cellStyleXfs>
  <cellXfs count="252">
    <xf numFmtId="0" fontId="0" fillId="0" borderId="0" xfId="0"/>
    <xf numFmtId="1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1" fontId="7" fillId="3" borderId="3" xfId="0" applyNumberFormat="1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1" fontId="7" fillId="5" borderId="5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0" borderId="0" xfId="0" applyFont="1"/>
    <xf numFmtId="164" fontId="16" fillId="0" borderId="0" xfId="0" applyNumberFormat="1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 wrapText="1"/>
    </xf>
    <xf numFmtId="164" fontId="17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6" fillId="0" borderId="0" xfId="0" applyFont="1"/>
    <xf numFmtId="0" fontId="15" fillId="0" borderId="0" xfId="0" applyFont="1" applyAlignment="1">
      <alignment vertical="center"/>
    </xf>
    <xf numFmtId="0" fontId="19" fillId="0" borderId="0" xfId="0" applyFont="1"/>
    <xf numFmtId="164" fontId="15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 wrapText="1"/>
    </xf>
    <xf numFmtId="0" fontId="21" fillId="6" borderId="0" xfId="0" applyFont="1" applyFill="1" applyAlignment="1">
      <alignment vertical="center"/>
    </xf>
    <xf numFmtId="0" fontId="21" fillId="6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1" fillId="7" borderId="0" xfId="0" applyFont="1" applyFill="1" applyAlignment="1">
      <alignment vertical="center"/>
    </xf>
    <xf numFmtId="0" fontId="21" fillId="7" borderId="0" xfId="0" applyFont="1" applyFill="1" applyAlignment="1">
      <alignment horizontal="left" vertical="center"/>
    </xf>
    <xf numFmtId="0" fontId="13" fillId="7" borderId="0" xfId="0" applyFont="1" applyFill="1"/>
    <xf numFmtId="0" fontId="22" fillId="0" borderId="0" xfId="0" applyFont="1" applyAlignment="1">
      <alignment vertical="center"/>
    </xf>
    <xf numFmtId="49" fontId="21" fillId="7" borderId="0" xfId="0" applyNumberFormat="1" applyFont="1" applyFill="1" applyAlignment="1">
      <alignment vertical="center"/>
    </xf>
    <xf numFmtId="49" fontId="21" fillId="7" borderId="0" xfId="0" applyNumberFormat="1" applyFont="1" applyFill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0" fillId="4" borderId="0" xfId="0" applyFill="1" applyAlignment="1">
      <alignment vertical="center"/>
    </xf>
    <xf numFmtId="1" fontId="7" fillId="3" borderId="7" xfId="0" applyNumberFormat="1" applyFont="1" applyFill="1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20" fontId="27" fillId="4" borderId="3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0" fillId="4" borderId="0" xfId="0" applyFill="1"/>
    <xf numFmtId="20" fontId="30" fillId="4" borderId="3" xfId="0" applyNumberFormat="1" applyFont="1" applyFill="1" applyBorder="1" applyAlignment="1">
      <alignment horizontal="center" vertical="center" wrapText="1"/>
    </xf>
    <xf numFmtId="20" fontId="27" fillId="4" borderId="1" xfId="0" applyNumberFormat="1" applyFont="1" applyFill="1" applyBorder="1" applyAlignment="1">
      <alignment horizontal="center" vertical="center" wrapText="1"/>
    </xf>
    <xf numFmtId="0" fontId="30" fillId="4" borderId="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1" fontId="9" fillId="4" borderId="1" xfId="0" applyNumberFormat="1" applyFont="1" applyFill="1" applyBorder="1" applyAlignment="1">
      <alignment horizontal="left" vertical="center"/>
    </xf>
    <xf numFmtId="0" fontId="23" fillId="4" borderId="1" xfId="1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5" fontId="0" fillId="0" borderId="15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5" fontId="0" fillId="0" borderId="8" xfId="0" applyNumberFormat="1" applyBorder="1" applyAlignment="1">
      <alignment horizontal="center" vertical="center"/>
    </xf>
    <xf numFmtId="20" fontId="27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20" fontId="31" fillId="4" borderId="3" xfId="0" applyNumberFormat="1" applyFont="1" applyFill="1" applyBorder="1" applyAlignment="1">
      <alignment horizontal="center" vertical="center" wrapText="1"/>
    </xf>
    <xf numFmtId="0" fontId="31" fillId="4" borderId="3" xfId="0" applyFont="1" applyFill="1" applyBorder="1" applyAlignment="1">
      <alignment horizontal="center" vertical="center" wrapText="1"/>
    </xf>
    <xf numFmtId="1" fontId="31" fillId="4" borderId="3" xfId="0" applyNumberFormat="1" applyFont="1" applyFill="1" applyBorder="1" applyAlignment="1">
      <alignment horizontal="center" vertical="center" wrapText="1"/>
    </xf>
    <xf numFmtId="1" fontId="30" fillId="4" borderId="3" xfId="0" applyNumberFormat="1" applyFont="1" applyFill="1" applyBorder="1" applyAlignment="1">
      <alignment horizontal="center" vertical="center" wrapText="1"/>
    </xf>
    <xf numFmtId="1" fontId="9" fillId="4" borderId="3" xfId="0" applyNumberFormat="1" applyFont="1" applyFill="1" applyBorder="1" applyAlignment="1">
      <alignment horizontal="center" vertical="center"/>
    </xf>
    <xf numFmtId="15" fontId="0" fillId="4" borderId="8" xfId="0" applyNumberFormat="1" applyFill="1" applyBorder="1" applyAlignment="1">
      <alignment horizontal="center" vertical="center"/>
    </xf>
    <xf numFmtId="1" fontId="7" fillId="5" borderId="3" xfId="0" applyNumberFormat="1" applyFont="1" applyFill="1" applyBorder="1" applyAlignment="1">
      <alignment horizontal="center" vertical="center"/>
    </xf>
    <xf numFmtId="20" fontId="28" fillId="4" borderId="3" xfId="0" applyNumberFormat="1" applyFont="1" applyFill="1" applyBorder="1" applyAlignment="1">
      <alignment horizontal="center" vertical="center" wrapText="1"/>
    </xf>
    <xf numFmtId="0" fontId="28" fillId="4" borderId="3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20" fontId="28" fillId="4" borderId="1" xfId="0" applyNumberFormat="1" applyFont="1" applyFill="1" applyBorder="1" applyAlignment="1">
      <alignment horizontal="center" vertical="center" wrapText="1"/>
    </xf>
    <xf numFmtId="15" fontId="8" fillId="2" borderId="3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20" fontId="30" fillId="4" borderId="0" xfId="0" applyNumberFormat="1" applyFont="1" applyFill="1" applyAlignment="1">
      <alignment horizontal="center" vertical="center" wrapText="1"/>
    </xf>
    <xf numFmtId="0" fontId="27" fillId="4" borderId="0" xfId="0" applyFont="1" applyFill="1" applyAlignment="1">
      <alignment horizontal="center" vertical="center" wrapText="1"/>
    </xf>
    <xf numFmtId="20" fontId="10" fillId="4" borderId="0" xfId="0" applyNumberFormat="1" applyFont="1" applyFill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5" fontId="8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20" fontId="27" fillId="4" borderId="0" xfId="0" applyNumberFormat="1" applyFont="1" applyFill="1" applyAlignment="1">
      <alignment horizontal="center" vertical="center" wrapText="1"/>
    </xf>
    <xf numFmtId="0" fontId="30" fillId="4" borderId="0" xfId="0" applyFont="1" applyFill="1" applyAlignment="1">
      <alignment horizontal="center" vertical="center" wrapText="1"/>
    </xf>
    <xf numFmtId="20" fontId="30" fillId="4" borderId="1" xfId="0" applyNumberFormat="1" applyFont="1" applyFill="1" applyBorder="1" applyAlignment="1">
      <alignment horizontal="center" vertical="center" wrapText="1"/>
    </xf>
    <xf numFmtId="20" fontId="10" fillId="4" borderId="1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31" fillId="4" borderId="0" xfId="0" applyFont="1" applyFill="1" applyAlignment="1">
      <alignment horizontal="center" vertical="center" wrapText="1"/>
    </xf>
    <xf numFmtId="0" fontId="24" fillId="10" borderId="3" xfId="0" applyFont="1" applyFill="1" applyBorder="1" applyAlignment="1">
      <alignment horizontal="center" vertical="center"/>
    </xf>
    <xf numFmtId="0" fontId="24" fillId="10" borderId="5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4" fillId="10" borderId="4" xfId="0" applyFont="1" applyFill="1" applyBorder="1" applyAlignment="1">
      <alignment horizontal="center" vertical="center"/>
    </xf>
    <xf numFmtId="0" fontId="24" fillId="10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0" fontId="30" fillId="4" borderId="5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1" fillId="8" borderId="0" xfId="0" applyFont="1" applyFill="1"/>
    <xf numFmtId="0" fontId="1" fillId="8" borderId="0" xfId="0" applyFont="1" applyFill="1" applyAlignment="1">
      <alignment horizontal="right" vertical="center"/>
    </xf>
    <xf numFmtId="0" fontId="1" fillId="8" borderId="0" xfId="0" applyFont="1" applyFill="1" applyAlignment="1">
      <alignment horizontal="right"/>
    </xf>
    <xf numFmtId="164" fontId="0" fillId="0" borderId="3" xfId="0" applyNumberFormat="1" applyBorder="1" applyAlignment="1">
      <alignment horizontal="center" vertical="center"/>
    </xf>
    <xf numFmtId="165" fontId="0" fillId="12" borderId="3" xfId="0" applyNumberFormat="1" applyFill="1" applyBorder="1" applyAlignment="1">
      <alignment horizontal="center" vertical="center"/>
    </xf>
    <xf numFmtId="164" fontId="0" fillId="8" borderId="3" xfId="0" applyNumberFormat="1" applyFill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164" fontId="0" fillId="12" borderId="3" xfId="0" applyNumberFormat="1" applyFill="1" applyBorder="1" applyAlignment="1">
      <alignment horizontal="center" vertical="center"/>
    </xf>
    <xf numFmtId="164" fontId="32" fillId="0" borderId="17" xfId="0" applyNumberFormat="1" applyFont="1" applyBorder="1" applyAlignment="1">
      <alignment horizontal="left" vertical="top" wrapText="1"/>
    </xf>
    <xf numFmtId="164" fontId="9" fillId="0" borderId="3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11" borderId="3" xfId="0" applyNumberFormat="1" applyFill="1" applyBorder="1" applyAlignment="1">
      <alignment horizontal="center" vertical="center"/>
    </xf>
    <xf numFmtId="164" fontId="0" fillId="0" borderId="3" xfId="0" quotePrefix="1" applyNumberFormat="1" applyBorder="1" applyAlignment="1">
      <alignment horizontal="center" vertical="center"/>
    </xf>
    <xf numFmtId="164" fontId="0" fillId="0" borderId="3" xfId="0" applyNumberFormat="1" applyBorder="1" applyAlignment="1">
      <alignment vertical="center"/>
    </xf>
    <xf numFmtId="0" fontId="5" fillId="0" borderId="3" xfId="0" applyFont="1" applyBorder="1" applyAlignment="1">
      <alignment horizontal="center" vertical="center" textRotation="90" wrapText="1"/>
    </xf>
    <xf numFmtId="0" fontId="7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164" fontId="16" fillId="0" borderId="0" xfId="0" applyNumberFormat="1" applyFont="1" applyAlignment="1">
      <alignment horizontal="right" vertical="center"/>
    </xf>
    <xf numFmtId="49" fontId="21" fillId="0" borderId="0" xfId="0" applyNumberFormat="1" applyFont="1" applyAlignment="1">
      <alignment horizontal="left" vertical="center"/>
    </xf>
    <xf numFmtId="0" fontId="21" fillId="9" borderId="0" xfId="0" applyFont="1" applyFill="1" applyAlignment="1">
      <alignment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2" fillId="9" borderId="0" xfId="0" applyFont="1" applyFill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49" fontId="21" fillId="9" borderId="0" xfId="0" applyNumberFormat="1" applyFont="1" applyFill="1" applyAlignment="1">
      <alignment vertical="center"/>
    </xf>
    <xf numFmtId="0" fontId="13" fillId="9" borderId="0" xfId="0" applyFont="1" applyFill="1" applyAlignment="1">
      <alignment horizontal="center"/>
    </xf>
    <xf numFmtId="0" fontId="22" fillId="9" borderId="0" xfId="0" applyFont="1" applyFill="1" applyAlignment="1">
      <alignment vertical="center"/>
    </xf>
    <xf numFmtId="49" fontId="21" fillId="9" borderId="0" xfId="0" applyNumberFormat="1" applyFont="1" applyFill="1" applyAlignment="1">
      <alignment horizontal="left" vertical="center"/>
    </xf>
    <xf numFmtId="0" fontId="13" fillId="9" borderId="0" xfId="0" applyFont="1" applyFill="1"/>
    <xf numFmtId="0" fontId="21" fillId="9" borderId="0" xfId="0" applyFont="1" applyFill="1" applyAlignment="1">
      <alignment horizontal="left" vertical="center"/>
    </xf>
    <xf numFmtId="0" fontId="1" fillId="0" borderId="0" xfId="0" applyFont="1" applyAlignment="1">
      <alignment horizontal="left"/>
    </xf>
    <xf numFmtId="164" fontId="27" fillId="4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left" vertical="center"/>
    </xf>
    <xf numFmtId="164" fontId="0" fillId="15" borderId="3" xfId="0" applyNumberFormat="1" applyFill="1" applyBorder="1" applyAlignment="1">
      <alignment horizontal="center" vertical="center"/>
    </xf>
    <xf numFmtId="164" fontId="0" fillId="13" borderId="3" xfId="0" applyNumberFormat="1" applyFill="1" applyBorder="1" applyAlignment="1">
      <alignment horizontal="center" vertical="center"/>
    </xf>
    <xf numFmtId="164" fontId="0" fillId="14" borderId="3" xfId="0" applyNumberFormat="1" applyFill="1" applyBorder="1" applyAlignment="1">
      <alignment horizontal="center" vertical="center"/>
    </xf>
    <xf numFmtId="164" fontId="30" fillId="0" borderId="3" xfId="0" applyNumberFormat="1" applyFont="1" applyBorder="1" applyAlignment="1">
      <alignment horizontal="center" vertical="center" wrapText="1"/>
    </xf>
    <xf numFmtId="164" fontId="30" fillId="4" borderId="3" xfId="0" applyNumberFormat="1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64" fontId="30" fillId="0" borderId="1" xfId="0" applyNumberFormat="1" applyFont="1" applyBorder="1" applyAlignment="1">
      <alignment horizontal="center" vertical="center" wrapText="1"/>
    </xf>
    <xf numFmtId="164" fontId="30" fillId="4" borderId="5" xfId="0" applyNumberFormat="1" applyFont="1" applyFill="1" applyBorder="1" applyAlignment="1">
      <alignment horizontal="center" vertical="center" wrapText="1"/>
    </xf>
    <xf numFmtId="164" fontId="30" fillId="12" borderId="3" xfId="0" applyNumberFormat="1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center" textRotation="90" wrapText="1"/>
    </xf>
    <xf numFmtId="0" fontId="5" fillId="0" borderId="7" xfId="0" applyFont="1" applyBorder="1" applyAlignment="1">
      <alignment horizontal="center" vertical="center" textRotation="90" wrapText="1"/>
    </xf>
    <xf numFmtId="0" fontId="6" fillId="3" borderId="3" xfId="0" applyFont="1" applyFill="1" applyBorder="1" applyAlignment="1">
      <alignment horizontal="center" vertical="center" textRotation="90" wrapText="1"/>
    </xf>
    <xf numFmtId="0" fontId="0" fillId="8" borderId="3" xfId="0" applyFill="1" applyBorder="1" applyAlignment="1">
      <alignment horizontal="center" vertical="center"/>
    </xf>
    <xf numFmtId="1" fontId="9" fillId="8" borderId="3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15" fontId="0" fillId="8" borderId="8" xfId="0" applyNumberFormat="1" applyFill="1" applyBorder="1" applyAlignment="1">
      <alignment horizontal="center" vertical="center"/>
    </xf>
    <xf numFmtId="1" fontId="7" fillId="8" borderId="3" xfId="0" applyNumberFormat="1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1" fontId="2" fillId="8" borderId="3" xfId="0" applyNumberFormat="1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 wrapText="1"/>
    </xf>
    <xf numFmtId="0" fontId="0" fillId="8" borderId="0" xfId="0" applyFill="1"/>
    <xf numFmtId="0" fontId="24" fillId="8" borderId="5" xfId="0" applyFont="1" applyFill="1" applyBorder="1" applyAlignment="1">
      <alignment horizontal="center" vertical="center"/>
    </xf>
    <xf numFmtId="0" fontId="24" fillId="8" borderId="3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5" fontId="8" fillId="2" borderId="3" xfId="0" applyNumberFormat="1" applyFont="1" applyFill="1" applyBorder="1" applyAlignment="1">
      <alignment horizontal="center" vertical="center"/>
    </xf>
    <xf numFmtId="15" fontId="8" fillId="2" borderId="1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textRotation="90" wrapText="1"/>
    </xf>
    <xf numFmtId="0" fontId="6" fillId="3" borderId="6" xfId="0" applyFont="1" applyFill="1" applyBorder="1" applyAlignment="1">
      <alignment horizontal="center" vertical="center" textRotation="90" wrapText="1"/>
    </xf>
    <xf numFmtId="0" fontId="6" fillId="3" borderId="7" xfId="0" applyFont="1" applyFill="1" applyBorder="1" applyAlignment="1">
      <alignment horizontal="center" vertical="center" textRotation="90" wrapText="1"/>
    </xf>
    <xf numFmtId="0" fontId="7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164" fontId="0" fillId="12" borderId="1" xfId="0" applyNumberFormat="1" applyFill="1" applyBorder="1" applyAlignment="1">
      <alignment horizontal="center" vertical="center"/>
    </xf>
    <xf numFmtId="164" fontId="0" fillId="12" borderId="5" xfId="0" applyNumberFormat="1" applyFill="1" applyBorder="1" applyAlignment="1">
      <alignment horizontal="center" vertical="center"/>
    </xf>
    <xf numFmtId="164" fontId="0" fillId="12" borderId="2" xfId="0" applyNumberForma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textRotation="90" wrapText="1"/>
    </xf>
    <xf numFmtId="0" fontId="5" fillId="0" borderId="3" xfId="0" applyFont="1" applyBorder="1" applyAlignment="1">
      <alignment horizontal="center" vertical="center" textRotation="90" wrapText="1"/>
    </xf>
    <xf numFmtId="0" fontId="5" fillId="0" borderId="4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center" textRotation="90" wrapText="1"/>
    </xf>
    <xf numFmtId="0" fontId="5" fillId="0" borderId="7" xfId="0" applyFont="1" applyBorder="1" applyAlignment="1">
      <alignment horizontal="center" vertical="center" textRotation="90" wrapText="1"/>
    </xf>
    <xf numFmtId="0" fontId="4" fillId="2" borderId="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textRotation="90" wrapText="1"/>
    </xf>
    <xf numFmtId="0" fontId="5" fillId="4" borderId="3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left"/>
    </xf>
    <xf numFmtId="0" fontId="4" fillId="2" borderId="1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7" fillId="3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</cellXfs>
  <cellStyles count="2">
    <cellStyle name="Normal" xfId="0" builtinId="0"/>
    <cellStyle name="Normal 2" xfId="1" xr:uid="{A4EC3061-B914-4480-9893-F99140BDDDFD}"/>
  </cellStyles>
  <dxfs count="1826"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.%20ATTENDANCE\2026\08-August%202026\All%20Staff%20Daily%20Attendance%20-Augu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Sheet2"/>
      <sheetName val="01-08-2026"/>
      <sheetName val="02-08-2026"/>
      <sheetName val="03-08-2026"/>
      <sheetName val="04-08-2026"/>
      <sheetName val="05-08-2026"/>
      <sheetName val="06-08-2026"/>
      <sheetName val="07-08-2026"/>
      <sheetName val="08-08-2026"/>
      <sheetName val="09-08-2026"/>
      <sheetName val="10-08-2026 "/>
      <sheetName val="11-08-2026"/>
      <sheetName val="12-08-2026"/>
      <sheetName val="13-08-2026"/>
      <sheetName val="14-08-2026"/>
      <sheetName val="15-08-2026"/>
      <sheetName val="16-08-2026"/>
      <sheetName val="17-08-2026"/>
      <sheetName val="18-08-2026"/>
      <sheetName val="19-08-2026"/>
      <sheetName val="20-08-2026 "/>
      <sheetName val="21-08-2026"/>
      <sheetName val="22-08-2026"/>
      <sheetName val="23"/>
      <sheetName val="23-08-2026"/>
      <sheetName val="24-08-2026 "/>
      <sheetName val="25-08-2026)"/>
      <sheetName val="26-08-2026) "/>
      <sheetName val="27-08-2026"/>
      <sheetName val="28-08-2026"/>
      <sheetName val="29-08-2026"/>
      <sheetName val="30-08-2026 "/>
      <sheetName val="31-08-2026 "/>
      <sheetName val="Monthly"/>
      <sheetName val="Sheet1"/>
      <sheetName val="Sheet3"/>
      <sheetName val="Outti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4">
          <cell r="E4" t="str">
            <v>Male Local staff</v>
          </cell>
          <cell r="F4" t="str">
            <v>MAD0001</v>
          </cell>
          <cell r="G4" t="str">
            <v>Head Office</v>
          </cell>
          <cell r="H4" t="str">
            <v>Mohamd Ali Didi</v>
          </cell>
          <cell r="I4">
            <v>46235.321215277778</v>
          </cell>
          <cell r="J4">
            <v>1</v>
          </cell>
          <cell r="K4">
            <v>46236.322800925926</v>
          </cell>
          <cell r="L4">
            <v>1</v>
          </cell>
          <cell r="M4">
            <v>46237.351990740739</v>
          </cell>
          <cell r="N4">
            <v>1</v>
          </cell>
          <cell r="O4">
            <v>46238.323055555556</v>
          </cell>
          <cell r="P4">
            <v>1</v>
          </cell>
          <cell r="Q4">
            <v>46239.324282407404</v>
          </cell>
          <cell r="R4">
            <v>1</v>
          </cell>
          <cell r="S4">
            <v>46240.318506944444</v>
          </cell>
          <cell r="T4">
            <v>1</v>
          </cell>
          <cell r="U4">
            <v>46241.553518518522</v>
          </cell>
          <cell r="V4">
            <v>1</v>
          </cell>
          <cell r="W4">
            <v>46242.318229166667</v>
          </cell>
          <cell r="X4">
            <v>1</v>
          </cell>
          <cell r="Y4">
            <v>46243.324618055558</v>
          </cell>
          <cell r="Z4">
            <v>1</v>
          </cell>
          <cell r="AA4">
            <v>46244.319328703707</v>
          </cell>
          <cell r="AB4">
            <v>46244.733506944445</v>
          </cell>
          <cell r="AC4">
            <v>46245.323530092595</v>
          </cell>
          <cell r="AD4">
            <v>1</v>
          </cell>
          <cell r="AE4">
            <v>46246.321759259263</v>
          </cell>
        </row>
        <row r="5">
          <cell r="E5" t="str">
            <v>Male Local staff</v>
          </cell>
          <cell r="F5" t="str">
            <v>MAD0006</v>
          </cell>
          <cell r="G5" t="str">
            <v>Head Office</v>
          </cell>
          <cell r="H5" t="str">
            <v>Fathmath Hana</v>
          </cell>
          <cell r="I5" t="str">
            <v>AL</v>
          </cell>
          <cell r="J5" t="str">
            <v>AL</v>
          </cell>
          <cell r="K5" t="str">
            <v>AL</v>
          </cell>
          <cell r="L5" t="str">
            <v>AL</v>
          </cell>
          <cell r="M5" t="str">
            <v>AL</v>
          </cell>
          <cell r="N5" t="str">
            <v>AL</v>
          </cell>
          <cell r="O5" t="str">
            <v>AL</v>
          </cell>
          <cell r="P5" t="str">
            <v>AL</v>
          </cell>
          <cell r="Q5" t="str">
            <v>AL</v>
          </cell>
          <cell r="R5" t="str">
            <v>AL</v>
          </cell>
          <cell r="S5" t="str">
            <v>AL</v>
          </cell>
          <cell r="T5" t="str">
            <v>AL</v>
          </cell>
          <cell r="U5" t="str">
            <v>AL</v>
          </cell>
          <cell r="V5" t="str">
            <v>AL</v>
          </cell>
          <cell r="W5" t="str">
            <v>AL</v>
          </cell>
          <cell r="X5" t="str">
            <v>AL</v>
          </cell>
          <cell r="Y5" t="str">
            <v>AL</v>
          </cell>
          <cell r="Z5" t="str">
            <v>AL</v>
          </cell>
          <cell r="AA5" t="str">
            <v>AL</v>
          </cell>
          <cell r="AB5" t="str">
            <v>AL</v>
          </cell>
          <cell r="AC5" t="str">
            <v>AL</v>
          </cell>
          <cell r="AD5" t="str">
            <v>AL</v>
          </cell>
          <cell r="AE5" t="str">
            <v>AL</v>
          </cell>
        </row>
        <row r="6">
          <cell r="E6" t="str">
            <v>Fs male Local staff</v>
          </cell>
          <cell r="F6" t="str">
            <v>MAD0016</v>
          </cell>
          <cell r="G6" t="str">
            <v>Wholesale</v>
          </cell>
          <cell r="H6" t="str">
            <v xml:space="preserve">Abdur Rashid </v>
          </cell>
          <cell r="I6">
            <v>46235.328194444446</v>
          </cell>
          <cell r="J6">
            <v>1</v>
          </cell>
          <cell r="K6">
            <v>46236.338888888888</v>
          </cell>
          <cell r="L6">
            <v>1</v>
          </cell>
          <cell r="M6">
            <v>46237.007430555554</v>
          </cell>
          <cell r="N6">
            <v>46237.97415509259</v>
          </cell>
          <cell r="O6">
            <v>46238.349594907406</v>
          </cell>
          <cell r="P6">
            <v>1</v>
          </cell>
          <cell r="Q6">
            <v>46239.351643518516</v>
          </cell>
          <cell r="R6">
            <v>1</v>
          </cell>
          <cell r="S6">
            <v>46240.347870370373</v>
          </cell>
          <cell r="T6">
            <v>1</v>
          </cell>
          <cell r="U6" t="str">
            <v>OFF</v>
          </cell>
          <cell r="V6" t="str">
            <v>OFF</v>
          </cell>
          <cell r="W6">
            <v>46242.318229166667</v>
          </cell>
          <cell r="X6">
            <v>46242.992280092592</v>
          </cell>
          <cell r="Y6">
            <v>46243.324618055558</v>
          </cell>
          <cell r="Z6">
            <v>1</v>
          </cell>
          <cell r="AA6">
            <v>46244.319328703707</v>
          </cell>
          <cell r="AB6">
            <v>46244.97216435185</v>
          </cell>
          <cell r="AC6">
            <v>46245.329618055555</v>
          </cell>
          <cell r="AD6">
            <v>1</v>
          </cell>
          <cell r="AE6">
            <v>46246.348425925928</v>
          </cell>
        </row>
        <row r="7">
          <cell r="E7" t="str">
            <v>Fs male Local staff</v>
          </cell>
          <cell r="F7" t="str">
            <v>MAD0021</v>
          </cell>
          <cell r="G7" t="str">
            <v>Doores Godown</v>
          </cell>
          <cell r="H7" t="str">
            <v>Karim</v>
          </cell>
          <cell r="I7">
            <v>46235.348136574074</v>
          </cell>
          <cell r="J7">
            <v>46235.972638888888</v>
          </cell>
          <cell r="K7">
            <v>46236.352175925924</v>
          </cell>
          <cell r="L7">
            <v>46236.991712962961</v>
          </cell>
          <cell r="M7">
            <v>46237.34983796296</v>
          </cell>
          <cell r="N7">
            <v>46237.968460648146</v>
          </cell>
          <cell r="O7">
            <v>46238.346631944441</v>
          </cell>
          <cell r="P7">
            <v>46238.944722222222</v>
          </cell>
          <cell r="Q7">
            <v>46239.353692129633</v>
          </cell>
          <cell r="R7">
            <v>46239.965219907404</v>
          </cell>
          <cell r="S7">
            <v>46240.342418981483</v>
          </cell>
          <cell r="T7">
            <v>46240.970034722224</v>
          </cell>
          <cell r="U7" t="str">
            <v>OFF</v>
          </cell>
          <cell r="V7" t="str">
            <v>OFF</v>
          </cell>
          <cell r="W7">
            <v>46242.347175925926</v>
          </cell>
          <cell r="X7">
            <v>46242.988171296296</v>
          </cell>
          <cell r="Y7">
            <v>46243.349722222221</v>
          </cell>
          <cell r="Z7">
            <v>46243.9375</v>
          </cell>
          <cell r="AA7">
            <v>46244.346932870372</v>
          </cell>
          <cell r="AB7">
            <v>46244.965381944443</v>
          </cell>
          <cell r="AC7">
            <v>46245.345034722224</v>
          </cell>
          <cell r="AD7">
            <v>46245.927303240744</v>
          </cell>
          <cell r="AE7">
            <v>46246.342129629629</v>
          </cell>
        </row>
        <row r="8">
          <cell r="E8" t="str">
            <v>Fs male Local staff</v>
          </cell>
          <cell r="F8" t="str">
            <v>MAD0024</v>
          </cell>
          <cell r="G8" t="str">
            <v>Stock Keeper</v>
          </cell>
          <cell r="H8" t="str">
            <v>Abul Hossain</v>
          </cell>
          <cell r="I8">
            <v>46235.35261574074</v>
          </cell>
          <cell r="J8">
            <v>46235.977430555555</v>
          </cell>
          <cell r="K8">
            <v>46236.353460648148</v>
          </cell>
          <cell r="L8">
            <v>46236.99145833333</v>
          </cell>
          <cell r="M8">
            <v>46237.354224537034</v>
          </cell>
          <cell r="N8">
            <v>46237.968564814815</v>
          </cell>
          <cell r="O8">
            <v>46238.353865740741</v>
          </cell>
          <cell r="P8">
            <v>46238.959722222222</v>
          </cell>
          <cell r="Q8">
            <v>46239.353090277778</v>
          </cell>
          <cell r="R8">
            <v>46239.96974537037</v>
          </cell>
          <cell r="S8">
            <v>46240.351724537039</v>
          </cell>
          <cell r="T8">
            <v>46240.97347222222</v>
          </cell>
          <cell r="U8" t="str">
            <v>OFF</v>
          </cell>
          <cell r="V8" t="str">
            <v>OFF</v>
          </cell>
          <cell r="W8">
            <v>46242.350659722222</v>
          </cell>
          <cell r="X8">
            <v>46242.979861111111</v>
          </cell>
          <cell r="Y8">
            <v>46243.353136574071</v>
          </cell>
          <cell r="Z8">
            <v>46243.953298611108</v>
          </cell>
          <cell r="AA8">
            <v>46244.353113425925</v>
          </cell>
          <cell r="AB8">
            <v>46244.965752314813</v>
          </cell>
          <cell r="AC8">
            <v>46245.353634259256</v>
          </cell>
          <cell r="AD8">
            <v>46245.947175925925</v>
          </cell>
          <cell r="AE8">
            <v>46246.354004629633</v>
          </cell>
        </row>
        <row r="9">
          <cell r="E9" t="str">
            <v>Fj male Local staff</v>
          </cell>
          <cell r="F9" t="str">
            <v>MAD0026</v>
          </cell>
          <cell r="G9" t="str">
            <v>Retail Shop</v>
          </cell>
          <cell r="H9" t="str">
            <v>Ruhul Amin</v>
          </cell>
          <cell r="I9" t="str">
            <v>AL</v>
          </cell>
          <cell r="J9" t="str">
            <v>AL</v>
          </cell>
          <cell r="K9" t="str">
            <v>AL</v>
          </cell>
          <cell r="L9" t="str">
            <v>AL</v>
          </cell>
          <cell r="M9" t="str">
            <v>AL</v>
          </cell>
          <cell r="N9" t="str">
            <v>AL</v>
          </cell>
          <cell r="O9" t="str">
            <v>AL</v>
          </cell>
          <cell r="P9" t="str">
            <v>AL</v>
          </cell>
          <cell r="Q9" t="str">
            <v>AL</v>
          </cell>
          <cell r="R9" t="str">
            <v>AL</v>
          </cell>
          <cell r="S9" t="str">
            <v>AL</v>
          </cell>
          <cell r="T9" t="str">
            <v>AL</v>
          </cell>
          <cell r="U9" t="str">
            <v>AL</v>
          </cell>
          <cell r="V9" t="str">
            <v>AL</v>
          </cell>
          <cell r="W9" t="str">
            <v>AL</v>
          </cell>
          <cell r="X9" t="str">
            <v>AL</v>
          </cell>
          <cell r="Y9" t="str">
            <v>AL</v>
          </cell>
          <cell r="Z9" t="str">
            <v>AL</v>
          </cell>
          <cell r="AA9" t="str">
            <v>AL</v>
          </cell>
          <cell r="AB9" t="str">
            <v>AL</v>
          </cell>
          <cell r="AC9" t="str">
            <v>AL</v>
          </cell>
          <cell r="AD9" t="str">
            <v>AL</v>
          </cell>
          <cell r="AE9" t="str">
            <v>AL</v>
          </cell>
        </row>
        <row r="10">
          <cell r="E10" t="str">
            <v>FJ male Local staff</v>
          </cell>
          <cell r="F10" t="str">
            <v>MAD0027</v>
          </cell>
          <cell r="G10" t="str">
            <v>Doores Godown</v>
          </cell>
          <cell r="H10" t="str">
            <v>Masom</v>
          </cell>
          <cell r="I10">
            <v>46235.355347222219</v>
          </cell>
          <cell r="J10">
            <v>46235.969270833331</v>
          </cell>
          <cell r="K10">
            <v>46236.352060185185</v>
          </cell>
          <cell r="L10">
            <v>46236.968865740739</v>
          </cell>
          <cell r="M10">
            <v>46237.35496527778</v>
          </cell>
          <cell r="N10">
            <v>46237.968958333331</v>
          </cell>
          <cell r="O10">
            <v>46238.349641203706</v>
          </cell>
          <cell r="P10">
            <v>46238.945173611108</v>
          </cell>
          <cell r="Q10">
            <v>46239.351145833331</v>
          </cell>
          <cell r="R10">
            <v>1</v>
          </cell>
          <cell r="S10">
            <v>46240.35260416667</v>
          </cell>
          <cell r="T10">
            <v>46240.969814814816</v>
          </cell>
          <cell r="U10">
            <v>46241.578750000001</v>
          </cell>
          <cell r="V10">
            <v>46241.935370370367</v>
          </cell>
          <cell r="W10">
            <v>46242.350208333337</v>
          </cell>
          <cell r="X10">
            <v>46242.979768518519</v>
          </cell>
          <cell r="Y10">
            <v>46243.352777777778</v>
          </cell>
          <cell r="Z10">
            <v>1</v>
          </cell>
          <cell r="AA10">
            <v>46244.352812500001</v>
          </cell>
          <cell r="AB10">
            <v>1</v>
          </cell>
          <cell r="AC10">
            <v>46245.3515162037</v>
          </cell>
          <cell r="AD10">
            <v>46245.931087962963</v>
          </cell>
          <cell r="AE10">
            <v>46246.35297453704</v>
          </cell>
        </row>
        <row r="11">
          <cell r="E11" t="str">
            <v>Fs male Local staff</v>
          </cell>
          <cell r="F11" t="str">
            <v>MAD0029</v>
          </cell>
          <cell r="G11" t="str">
            <v>Bazaaru Shop</v>
          </cell>
          <cell r="H11" t="str">
            <v>Nazu Ahmed</v>
          </cell>
          <cell r="I11">
            <v>46235.382013888891</v>
          </cell>
          <cell r="J11">
            <v>46235.953645833331</v>
          </cell>
          <cell r="K11">
            <v>46236.384317129632</v>
          </cell>
          <cell r="L11">
            <v>46236.917488425926</v>
          </cell>
          <cell r="M11">
            <v>46237.379131944443</v>
          </cell>
          <cell r="N11">
            <v>1</v>
          </cell>
          <cell r="O11">
            <v>46238.362083333333</v>
          </cell>
          <cell r="P11">
            <v>46238.930474537039</v>
          </cell>
          <cell r="Q11">
            <v>46239.379189814812</v>
          </cell>
          <cell r="R11">
            <v>46239.926111111112</v>
          </cell>
          <cell r="S11">
            <v>46240.371342592596</v>
          </cell>
          <cell r="T11">
            <v>46240.95076388889</v>
          </cell>
          <cell r="U11" t="str">
            <v>OFF</v>
          </cell>
          <cell r="V11" t="str">
            <v>OFF</v>
          </cell>
          <cell r="W11">
            <v>46242.375833333332</v>
          </cell>
          <cell r="X11">
            <v>46242.941307870373</v>
          </cell>
          <cell r="Y11">
            <v>46243.369988425926</v>
          </cell>
          <cell r="Z11">
            <v>46243.921747685185</v>
          </cell>
          <cell r="AA11">
            <v>46244.352812500001</v>
          </cell>
          <cell r="AB11">
            <v>46244.924687500003</v>
          </cell>
          <cell r="AC11">
            <v>46245.378645833334</v>
          </cell>
          <cell r="AD11">
            <v>46245.93173611111</v>
          </cell>
          <cell r="AE11">
            <v>46246.362939814811</v>
          </cell>
        </row>
        <row r="12">
          <cell r="E12" t="str">
            <v>Fs male Local staff</v>
          </cell>
          <cell r="F12" t="str">
            <v>MAD0040</v>
          </cell>
          <cell r="G12" t="str">
            <v>Wholesale</v>
          </cell>
          <cell r="H12" t="str">
            <v>Younus Miah</v>
          </cell>
          <cell r="I12">
            <v>46235.354120370372</v>
          </cell>
          <cell r="J12">
            <v>46236.001458333332</v>
          </cell>
          <cell r="K12">
            <v>46236.379178240742</v>
          </cell>
          <cell r="L12">
            <v>46237.007557870369</v>
          </cell>
          <cell r="M12">
            <v>46237.007557870369</v>
          </cell>
          <cell r="N12">
            <v>46237.998553240737</v>
          </cell>
          <cell r="O12">
            <v>46238.353773148148</v>
          </cell>
          <cell r="P12">
            <v>46238.989259259259</v>
          </cell>
          <cell r="Q12">
            <v>46239.396851851852</v>
          </cell>
          <cell r="R12">
            <v>46239.985462962963</v>
          </cell>
          <cell r="S12">
            <v>46240.362500000003</v>
          </cell>
          <cell r="T12">
            <v>46241.011562500003</v>
          </cell>
          <cell r="U12">
            <v>46241.577939814815</v>
          </cell>
          <cell r="V12">
            <v>1</v>
          </cell>
          <cell r="W12">
            <v>46242.392210648148</v>
          </cell>
          <cell r="X12">
            <v>46243.003865740742</v>
          </cell>
          <cell r="Y12">
            <v>46243.368391203701</v>
          </cell>
          <cell r="Z12">
            <v>46243.985439814816</v>
          </cell>
          <cell r="AA12">
            <v>46244.355266203704</v>
          </cell>
          <cell r="AB12">
            <v>46244.994467592594</v>
          </cell>
          <cell r="AC12">
            <v>46245.388912037037</v>
          </cell>
          <cell r="AD12">
            <v>46245.987511574072</v>
          </cell>
          <cell r="AE12">
            <v>46246.35465277778</v>
          </cell>
        </row>
        <row r="13">
          <cell r="E13" t="str">
            <v>Fs male Local staff</v>
          </cell>
          <cell r="F13" t="str">
            <v>MAD0083</v>
          </cell>
          <cell r="G13" t="str">
            <v>Head Office</v>
          </cell>
          <cell r="H13" t="str">
            <v>Rajasekaran Selvaraj</v>
          </cell>
          <cell r="I13">
            <v>46235.381215277775</v>
          </cell>
          <cell r="J13">
            <v>1</v>
          </cell>
          <cell r="K13">
            <v>46236.385717592595</v>
          </cell>
          <cell r="L13">
            <v>1</v>
          </cell>
          <cell r="M13">
            <v>46237.383599537039</v>
          </cell>
          <cell r="N13">
            <v>1</v>
          </cell>
          <cell r="O13">
            <v>46238.39644675926</v>
          </cell>
          <cell r="P13">
            <v>1</v>
          </cell>
          <cell r="Q13">
            <v>46239.388067129628</v>
          </cell>
          <cell r="R13">
            <v>1</v>
          </cell>
          <cell r="S13">
            <v>46240.393622685187</v>
          </cell>
          <cell r="T13">
            <v>1</v>
          </cell>
          <cell r="U13" t="str">
            <v>OFF</v>
          </cell>
          <cell r="V13" t="str">
            <v>OFF</v>
          </cell>
          <cell r="W13">
            <v>46242.411666666667</v>
          </cell>
          <cell r="X13">
            <v>1</v>
          </cell>
          <cell r="Y13">
            <v>46243.416307870371</v>
          </cell>
          <cell r="Z13">
            <v>1</v>
          </cell>
          <cell r="AA13">
            <v>46244.420289351852</v>
          </cell>
          <cell r="AB13">
            <v>1</v>
          </cell>
          <cell r="AC13">
            <v>46245.407847222225</v>
          </cell>
          <cell r="AD13">
            <v>1</v>
          </cell>
          <cell r="AE13">
            <v>46246.415173611109</v>
          </cell>
        </row>
        <row r="14">
          <cell r="E14" t="str">
            <v>FJ male Local staff</v>
          </cell>
          <cell r="F14" t="str">
            <v>MAD0098</v>
          </cell>
          <cell r="G14" t="str">
            <v xml:space="preserve">Salas </v>
          </cell>
          <cell r="H14" t="str">
            <v>Dukhu Miah</v>
          </cell>
          <cell r="I14">
            <v>46235.346979166665</v>
          </cell>
          <cell r="J14">
            <v>46235.960532407407</v>
          </cell>
          <cell r="K14">
            <v>46236.348495370374</v>
          </cell>
          <cell r="L14">
            <v>46236.947581018518</v>
          </cell>
          <cell r="M14">
            <v>46237.349710648145</v>
          </cell>
          <cell r="N14">
            <v>46237.954351851855</v>
          </cell>
          <cell r="O14">
            <v>46238.348067129627</v>
          </cell>
          <cell r="P14">
            <v>46238.949872685182</v>
          </cell>
          <cell r="Q14">
            <v>46239.353368055556</v>
          </cell>
          <cell r="R14">
            <v>46239.943715277775</v>
          </cell>
          <cell r="S14">
            <v>46240.350312499999</v>
          </cell>
          <cell r="T14">
            <v>46240.967962962961</v>
          </cell>
          <cell r="U14" t="str">
            <v>OFF</v>
          </cell>
          <cell r="V14" t="str">
            <v>OFF</v>
          </cell>
          <cell r="W14">
            <v>46242.351203703707</v>
          </cell>
          <cell r="X14">
            <v>46242.975162037037</v>
          </cell>
          <cell r="Y14">
            <v>46243.352881944447</v>
          </cell>
          <cell r="Z14">
            <v>46243.942418981482</v>
          </cell>
          <cell r="AA14">
            <v>46244.349791666667</v>
          </cell>
          <cell r="AB14">
            <v>46244.947557870371</v>
          </cell>
          <cell r="AC14">
            <v>46245.351076388892</v>
          </cell>
          <cell r="AD14">
            <v>46245.939155092594</v>
          </cell>
          <cell r="AE14">
            <v>46246.353935185187</v>
          </cell>
        </row>
        <row r="15">
          <cell r="E15" t="str">
            <v>FJ male Local staff</v>
          </cell>
          <cell r="F15" t="str">
            <v>MAD0104</v>
          </cell>
          <cell r="G15" t="str">
            <v>Madihaa House Driver</v>
          </cell>
          <cell r="H15" t="str">
            <v>Mohammad Selim Raza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</row>
        <row r="16">
          <cell r="E16" t="str">
            <v>FJ male Local staff</v>
          </cell>
          <cell r="F16" t="str">
            <v>MAD0132</v>
          </cell>
          <cell r="G16" t="str">
            <v>Bazaaru Shop</v>
          </cell>
          <cell r="H16" t="str">
            <v>Anwar</v>
          </cell>
          <cell r="I16">
            <v>46235.348032407404</v>
          </cell>
          <cell r="J16">
            <v>46235.900497685187</v>
          </cell>
          <cell r="K16" t="str">
            <v>SICK</v>
          </cell>
          <cell r="L16" t="str">
            <v>SICK</v>
          </cell>
          <cell r="M16" t="str">
            <v>SICK</v>
          </cell>
          <cell r="N16" t="str">
            <v>SICK</v>
          </cell>
          <cell r="O16" t="str">
            <v>OFF</v>
          </cell>
          <cell r="P16" t="str">
            <v>OFF</v>
          </cell>
          <cell r="Q16">
            <v>46239.397789351853</v>
          </cell>
          <cell r="R16">
            <v>46239.915520833332</v>
          </cell>
          <cell r="S16">
            <v>46240.352951388886</v>
          </cell>
          <cell r="T16">
            <v>46240.92528935185</v>
          </cell>
          <cell r="U16">
            <v>46241.581631944442</v>
          </cell>
          <cell r="V16">
            <v>46241.893506944441</v>
          </cell>
          <cell r="W16">
            <v>46242.348553240743</v>
          </cell>
          <cell r="X16">
            <v>46242.900243055556</v>
          </cell>
          <cell r="Y16">
            <v>46243.346608796295</v>
          </cell>
          <cell r="Z16">
            <v>46243.896620370368</v>
          </cell>
          <cell r="AA16">
            <v>46244.35261574074</v>
          </cell>
          <cell r="AB16">
            <v>46244.900821759256</v>
          </cell>
          <cell r="AC16">
            <v>46245.348645833335</v>
          </cell>
          <cell r="AD16">
            <v>46245.904328703706</v>
          </cell>
          <cell r="AE16">
            <v>46246.347592592596</v>
          </cell>
        </row>
        <row r="17">
          <cell r="E17" t="str">
            <v>Fs male Local staff</v>
          </cell>
          <cell r="F17" t="str">
            <v>MAD0133</v>
          </cell>
          <cell r="G17" t="str">
            <v>Athulhu Shop</v>
          </cell>
          <cell r="H17" t="str">
            <v>Mir Hossain</v>
          </cell>
          <cell r="I17">
            <v>46235.341134259259</v>
          </cell>
          <cell r="J17">
            <v>46235.941759259258</v>
          </cell>
          <cell r="K17">
            <v>46236.337199074071</v>
          </cell>
          <cell r="L17">
            <v>46236.939398148148</v>
          </cell>
          <cell r="M17">
            <v>46237.341365740744</v>
          </cell>
          <cell r="N17">
            <v>1</v>
          </cell>
          <cell r="O17">
            <v>46238.341053240743</v>
          </cell>
          <cell r="P17">
            <v>1</v>
          </cell>
          <cell r="Q17">
            <v>46239.342662037037</v>
          </cell>
          <cell r="R17">
            <v>46239.929803240739</v>
          </cell>
          <cell r="S17">
            <v>46240.342604166668</v>
          </cell>
          <cell r="T17">
            <v>46240.939166666663</v>
          </cell>
          <cell r="U17">
            <v>46241.561226851853</v>
          </cell>
          <cell r="V17">
            <v>46241.911192129628</v>
          </cell>
          <cell r="W17">
            <v>46242.34302083333</v>
          </cell>
          <cell r="X17">
            <v>46242.942962962959</v>
          </cell>
          <cell r="Y17">
            <v>46243.343472222223</v>
          </cell>
          <cell r="Z17">
            <v>46243.936365740738</v>
          </cell>
          <cell r="AA17">
            <v>46244.342488425929</v>
          </cell>
          <cell r="AB17">
            <v>46244.917384259257</v>
          </cell>
          <cell r="AC17">
            <v>46245.341793981483</v>
          </cell>
          <cell r="AD17">
            <v>46245.916145833333</v>
          </cell>
          <cell r="AE17">
            <v>46246.342395833337</v>
          </cell>
        </row>
        <row r="18">
          <cell r="E18" t="str">
            <v>FJ male Local staff</v>
          </cell>
          <cell r="F18" t="str">
            <v>MAD0156</v>
          </cell>
          <cell r="G18" t="str">
            <v>Doores Godown</v>
          </cell>
          <cell r="H18" t="str">
            <v>Mohammad Rubel Hossain</v>
          </cell>
          <cell r="I18">
            <v>46235.348773148151</v>
          </cell>
          <cell r="J18">
            <v>1</v>
          </cell>
          <cell r="K18">
            <v>46236.346805555557</v>
          </cell>
          <cell r="L18">
            <v>1</v>
          </cell>
          <cell r="M18">
            <v>46237.343587962961</v>
          </cell>
          <cell r="N18">
            <v>1</v>
          </cell>
          <cell r="O18">
            <v>46238.345775462964</v>
          </cell>
          <cell r="P18">
            <v>1</v>
          </cell>
          <cell r="Q18">
            <v>46239.353032407409</v>
          </cell>
          <cell r="R18">
            <v>1</v>
          </cell>
          <cell r="S18">
            <v>46240.349930555552</v>
          </cell>
          <cell r="T18">
            <v>46240.970532407409</v>
          </cell>
          <cell r="U18">
            <v>46241.569398148145</v>
          </cell>
          <cell r="V18">
            <v>46241.933935185189</v>
          </cell>
          <cell r="W18">
            <v>46242.347372685188</v>
          </cell>
          <cell r="X18">
            <v>46242.985497685186</v>
          </cell>
          <cell r="Y18">
            <v>46243.348506944443</v>
          </cell>
          <cell r="Z18">
            <v>46243.936550925922</v>
          </cell>
          <cell r="AA18">
            <v>46244.349409722221</v>
          </cell>
          <cell r="AB18">
            <v>1</v>
          </cell>
          <cell r="AC18">
            <v>46245.35193287037</v>
          </cell>
          <cell r="AD18">
            <v>46245.927997685183</v>
          </cell>
          <cell r="AE18">
            <v>46246.34820601852</v>
          </cell>
        </row>
        <row r="19">
          <cell r="E19" t="str">
            <v>Hulhumale Senior staff</v>
          </cell>
          <cell r="F19" t="str">
            <v>MAD0196</v>
          </cell>
          <cell r="G19" t="str">
            <v>HM Shop1</v>
          </cell>
          <cell r="H19" t="str">
            <v>MD Rasel</v>
          </cell>
          <cell r="I19">
            <v>46235.333958333336</v>
          </cell>
          <cell r="J19">
            <v>1</v>
          </cell>
          <cell r="K19">
            <v>46236.33121527778</v>
          </cell>
          <cell r="L19">
            <v>46236.985000000001</v>
          </cell>
          <cell r="M19">
            <v>46237.333298611113</v>
          </cell>
          <cell r="N19">
            <v>1</v>
          </cell>
          <cell r="O19">
            <v>46238.332615740743</v>
          </cell>
          <cell r="P19">
            <v>1</v>
          </cell>
          <cell r="Q19">
            <v>46239.33048611111</v>
          </cell>
          <cell r="R19">
            <v>1</v>
          </cell>
          <cell r="S19">
            <v>46240.328761574077</v>
          </cell>
          <cell r="T19">
            <v>46240.995972222219</v>
          </cell>
          <cell r="U19" t="str">
            <v>OFF</v>
          </cell>
          <cell r="V19" t="str">
            <v>OFF</v>
          </cell>
          <cell r="W19">
            <v>46242.347372685188</v>
          </cell>
          <cell r="X19">
            <v>46242.992314814815</v>
          </cell>
          <cell r="Y19">
            <v>46243.330381944441</v>
          </cell>
          <cell r="Z19">
            <v>1</v>
          </cell>
          <cell r="AA19">
            <v>46244.331863425927</v>
          </cell>
          <cell r="AB19">
            <v>46244.988749999997</v>
          </cell>
          <cell r="AC19">
            <v>46245.330416666664</v>
          </cell>
          <cell r="AD19">
            <v>1</v>
          </cell>
          <cell r="AE19">
            <v>46246.33021990741</v>
          </cell>
        </row>
        <row r="20">
          <cell r="E20" t="str">
            <v>HM Junior staff</v>
          </cell>
          <cell r="F20" t="str">
            <v>MAD0207</v>
          </cell>
          <cell r="G20" t="str">
            <v>HM Site</v>
          </cell>
          <cell r="H20" t="str">
            <v>Abdul Hafiz</v>
          </cell>
          <cell r="I20" t="str">
            <v>AL</v>
          </cell>
          <cell r="J20" t="str">
            <v>AL</v>
          </cell>
          <cell r="K20" t="str">
            <v>AL</v>
          </cell>
          <cell r="L20" t="str">
            <v>AL</v>
          </cell>
          <cell r="M20" t="str">
            <v>AL</v>
          </cell>
          <cell r="N20" t="str">
            <v>AL</v>
          </cell>
          <cell r="O20" t="str">
            <v>AL</v>
          </cell>
          <cell r="P20" t="str">
            <v>AL</v>
          </cell>
          <cell r="Q20" t="str">
            <v>AL</v>
          </cell>
          <cell r="R20" t="str">
            <v>AL</v>
          </cell>
          <cell r="S20" t="str">
            <v>AL</v>
          </cell>
          <cell r="T20" t="str">
            <v>AL</v>
          </cell>
          <cell r="U20" t="str">
            <v>AL</v>
          </cell>
          <cell r="V20" t="str">
            <v>AL</v>
          </cell>
          <cell r="W20" t="str">
            <v>AL</v>
          </cell>
          <cell r="X20" t="str">
            <v>AL</v>
          </cell>
          <cell r="Y20" t="str">
            <v>AL</v>
          </cell>
          <cell r="Z20" t="str">
            <v>AL</v>
          </cell>
          <cell r="AA20" t="str">
            <v>AL</v>
          </cell>
          <cell r="AB20" t="str">
            <v>AL</v>
          </cell>
          <cell r="AC20" t="str">
            <v>AL</v>
          </cell>
          <cell r="AD20" t="str">
            <v>AL</v>
          </cell>
          <cell r="AE20" t="str">
            <v>AL</v>
          </cell>
        </row>
        <row r="21">
          <cell r="E21" t="str">
            <v>Hulhumale Senior staff</v>
          </cell>
          <cell r="F21" t="str">
            <v>MAD0226</v>
          </cell>
          <cell r="G21" t="str">
            <v>HM Shop2</v>
          </cell>
          <cell r="H21" t="str">
            <v>Akter Hossain</v>
          </cell>
          <cell r="I21">
            <v>46235.352430555555</v>
          </cell>
          <cell r="J21">
            <v>46236.000115740739</v>
          </cell>
          <cell r="K21">
            <v>46236.354745370372</v>
          </cell>
          <cell r="L21">
            <v>46236.988611111112</v>
          </cell>
          <cell r="M21">
            <v>46237.351666666669</v>
          </cell>
          <cell r="N21">
            <v>46237.988865740743</v>
          </cell>
          <cell r="O21">
            <v>46238.351655092592</v>
          </cell>
          <cell r="P21">
            <v>46238.976863425924</v>
          </cell>
          <cell r="Q21">
            <v>46239.354756944442</v>
          </cell>
          <cell r="R21">
            <v>46239.981006944443</v>
          </cell>
          <cell r="S21">
            <v>46240.3512962963</v>
          </cell>
          <cell r="T21">
            <v>46240.99722222222</v>
          </cell>
          <cell r="U21">
            <v>46241.560312499998</v>
          </cell>
          <cell r="V21">
            <v>46241.998796296299</v>
          </cell>
          <cell r="W21">
            <v>46242.35465277778</v>
          </cell>
          <cell r="X21">
            <v>46242.994143518517</v>
          </cell>
          <cell r="Y21">
            <v>46243.352129629631</v>
          </cell>
          <cell r="Z21">
            <v>46243.974143518521</v>
          </cell>
          <cell r="AA21">
            <v>46244.354942129627</v>
          </cell>
          <cell r="AB21">
            <v>46244.994421296295</v>
          </cell>
          <cell r="AC21">
            <v>46245.353900462964</v>
          </cell>
          <cell r="AD21">
            <v>46245.980567129627</v>
          </cell>
          <cell r="AE21">
            <v>46246.353136574071</v>
          </cell>
        </row>
        <row r="22">
          <cell r="E22" t="str">
            <v>FJ male Local staff</v>
          </cell>
          <cell r="F22" t="str">
            <v>MAD0232</v>
          </cell>
          <cell r="G22" t="str">
            <v>Retail Shop</v>
          </cell>
          <cell r="H22" t="str">
            <v>Lokman Hossain</v>
          </cell>
          <cell r="I22">
            <v>46235.351354166669</v>
          </cell>
          <cell r="J22">
            <v>46235.969641203701</v>
          </cell>
          <cell r="K22">
            <v>46236.351342592592</v>
          </cell>
          <cell r="L22">
            <v>46236.950162037036</v>
          </cell>
          <cell r="M22">
            <v>46237.3515162037</v>
          </cell>
          <cell r="N22">
            <v>46237.950324074074</v>
          </cell>
          <cell r="O22">
            <v>46238.351099537038</v>
          </cell>
          <cell r="P22">
            <v>46238.946585648147</v>
          </cell>
          <cell r="Q22">
            <v>46239.350821759261</v>
          </cell>
          <cell r="R22">
            <v>46239.948460648149</v>
          </cell>
          <cell r="S22">
            <v>46240.351238425923</v>
          </cell>
          <cell r="T22">
            <v>46240.977905092594</v>
          </cell>
          <cell r="U22" t="str">
            <v>OFF</v>
          </cell>
          <cell r="V22" t="str">
            <v>OFF</v>
          </cell>
          <cell r="W22">
            <v>46242.351261574076</v>
          </cell>
          <cell r="X22">
            <v>46242.972129629627</v>
          </cell>
          <cell r="Y22">
            <v>46243.351180555554</v>
          </cell>
          <cell r="Z22">
            <v>46243.963842592595</v>
          </cell>
          <cell r="AA22">
            <v>46244.351018518515</v>
          </cell>
          <cell r="AB22">
            <v>1</v>
          </cell>
          <cell r="AC22">
            <v>46245.351168981484</v>
          </cell>
          <cell r="AD22">
            <v>46245.949062500003</v>
          </cell>
          <cell r="AE22">
            <v>46246.350937499999</v>
          </cell>
        </row>
        <row r="23">
          <cell r="E23" t="str">
            <v>FJ male Local staff</v>
          </cell>
          <cell r="F23" t="str">
            <v>MAD0233</v>
          </cell>
          <cell r="G23" t="str">
            <v>Doores Godown</v>
          </cell>
          <cell r="H23" t="str">
            <v>Alam Shahinur</v>
          </cell>
          <cell r="I23">
            <v>46235.344259259262</v>
          </cell>
          <cell r="J23">
            <v>46235.968819444446</v>
          </cell>
          <cell r="K23">
            <v>46236.348738425928</v>
          </cell>
          <cell r="L23">
            <v>46236.97216435185</v>
          </cell>
          <cell r="M23">
            <v>46237.3437962963</v>
          </cell>
          <cell r="N23">
            <v>46237.968414351853</v>
          </cell>
          <cell r="O23">
            <v>46238.346539351849</v>
          </cell>
          <cell r="P23">
            <v>46238.945972222224</v>
          </cell>
          <cell r="Q23">
            <v>46239.349351851852</v>
          </cell>
          <cell r="R23">
            <v>46239.964641203704</v>
          </cell>
          <cell r="S23">
            <v>46240.349780092591</v>
          </cell>
          <cell r="T23">
            <v>46240.971331018518</v>
          </cell>
          <cell r="U23">
            <v>46241.580011574071</v>
          </cell>
          <cell r="V23">
            <v>46241.942569444444</v>
          </cell>
          <cell r="W23">
            <v>46242.348124999997</v>
          </cell>
          <cell r="X23">
            <v>46242.97693287037</v>
          </cell>
          <cell r="Y23">
            <v>46243.348414351851</v>
          </cell>
          <cell r="Z23">
            <v>46243.937627314815</v>
          </cell>
          <cell r="AA23">
            <v>46244.345185185186</v>
          </cell>
          <cell r="AB23">
            <v>46244.959745370368</v>
          </cell>
          <cell r="AC23">
            <v>46245.346122685187</v>
          </cell>
          <cell r="AD23">
            <v>46245.93582175926</v>
          </cell>
          <cell r="AE23">
            <v>46246.348599537036</v>
          </cell>
        </row>
        <row r="24">
          <cell r="E24" t="str">
            <v>Fs male Local staff</v>
          </cell>
          <cell r="F24" t="str">
            <v>MAD0238</v>
          </cell>
          <cell r="G24" t="str">
            <v>Head Office</v>
          </cell>
          <cell r="H24" t="str">
            <v>Mohammed Fais Hamsa Lebbe</v>
          </cell>
          <cell r="I24">
            <v>1</v>
          </cell>
          <cell r="J24">
            <v>46235.730590277781</v>
          </cell>
          <cell r="K24">
            <v>46238.439583333333</v>
          </cell>
          <cell r="L24">
            <v>46236.735011574077</v>
          </cell>
          <cell r="M24">
            <v>46238.439583333333</v>
          </cell>
          <cell r="N24">
            <v>46237.728344907409</v>
          </cell>
          <cell r="O24">
            <v>46238.439583333333</v>
          </cell>
          <cell r="P24">
            <v>46238.733877314815</v>
          </cell>
          <cell r="Q24">
            <v>46239.388877314814</v>
          </cell>
          <cell r="R24">
            <v>1</v>
          </cell>
          <cell r="S24">
            <v>46240.401956018519</v>
          </cell>
          <cell r="T24">
            <v>46240.751423611109</v>
          </cell>
          <cell r="U24" t="str">
            <v>OFF</v>
          </cell>
          <cell r="V24" t="str">
            <v>OFF</v>
          </cell>
          <cell r="W24">
            <v>0.43958333333333338</v>
          </cell>
          <cell r="X24">
            <v>46242.751273148147</v>
          </cell>
          <cell r="Y24">
            <v>46243.387245370373</v>
          </cell>
          <cell r="Z24">
            <v>46243.742337962962</v>
          </cell>
          <cell r="AA24">
            <v>46244.386342592596</v>
          </cell>
          <cell r="AB24">
            <v>46244.743773148148</v>
          </cell>
          <cell r="AC24">
            <v>46245.387870370374</v>
          </cell>
          <cell r="AD24">
            <v>46245.72042824074</v>
          </cell>
          <cell r="AE24">
            <v>46246.386030092595</v>
          </cell>
        </row>
        <row r="25">
          <cell r="E25" t="str">
            <v>FJ male Local staff</v>
          </cell>
          <cell r="F25" t="str">
            <v>MAD0241</v>
          </cell>
          <cell r="G25" t="str">
            <v>Doores Godown</v>
          </cell>
          <cell r="H25" t="str">
            <v xml:space="preserve"> MD Hafizur Rahman</v>
          </cell>
          <cell r="I25">
            <v>46235.334849537037</v>
          </cell>
          <cell r="J25">
            <v>1</v>
          </cell>
          <cell r="K25">
            <v>46236.333657407406</v>
          </cell>
          <cell r="L25">
            <v>46236.962500000001</v>
          </cell>
          <cell r="M25">
            <v>46237.356666666667</v>
          </cell>
          <cell r="N25">
            <v>46237.945497685185</v>
          </cell>
          <cell r="O25">
            <v>46238.331111111111</v>
          </cell>
          <cell r="P25">
            <v>46238.957372685189</v>
          </cell>
          <cell r="Q25">
            <v>46239.334930555553</v>
          </cell>
          <cell r="R25">
            <v>46239.94872685185</v>
          </cell>
          <cell r="S25">
            <v>46240.330578703702</v>
          </cell>
          <cell r="T25">
            <v>1</v>
          </cell>
          <cell r="U25">
            <v>46241.565601851849</v>
          </cell>
          <cell r="V25">
            <v>1</v>
          </cell>
          <cell r="W25">
            <v>46242.330810185187</v>
          </cell>
          <cell r="X25">
            <v>46242.948275462964</v>
          </cell>
          <cell r="Y25">
            <v>46243.332199074073</v>
          </cell>
          <cell r="Z25">
            <v>1</v>
          </cell>
          <cell r="AA25">
            <v>46244.329756944448</v>
          </cell>
          <cell r="AB25">
            <v>1</v>
          </cell>
          <cell r="AC25">
            <v>46245.337384259263</v>
          </cell>
          <cell r="AD25">
            <v>46245.972777777781</v>
          </cell>
          <cell r="AE25">
            <v>46246.328611111108</v>
          </cell>
        </row>
        <row r="26">
          <cell r="E26" t="str">
            <v>Hulhumale Senior staff</v>
          </cell>
          <cell r="F26" t="str">
            <v>MAD0244</v>
          </cell>
          <cell r="G26" t="str">
            <v>HM Site</v>
          </cell>
          <cell r="H26" t="str">
            <v>MD Al Amin</v>
          </cell>
          <cell r="I26">
            <v>46235.330254629633</v>
          </cell>
          <cell r="J26">
            <v>1</v>
          </cell>
          <cell r="K26">
            <v>46236.331875000003</v>
          </cell>
          <cell r="L26">
            <v>1</v>
          </cell>
          <cell r="M26">
            <v>46237.330821759257</v>
          </cell>
          <cell r="N26">
            <v>1</v>
          </cell>
          <cell r="O26">
            <v>46238.334328703706</v>
          </cell>
          <cell r="P26">
            <v>46238.975370370368</v>
          </cell>
          <cell r="Q26">
            <v>46239.35564814815</v>
          </cell>
          <cell r="R26">
            <v>1</v>
          </cell>
          <cell r="S26">
            <v>46240.353217592594</v>
          </cell>
          <cell r="T26">
            <v>1</v>
          </cell>
          <cell r="U26" t="str">
            <v>OFF</v>
          </cell>
          <cell r="V26" t="str">
            <v>OFF</v>
          </cell>
          <cell r="W26">
            <v>46242.354733796295</v>
          </cell>
          <cell r="X26">
            <v>1</v>
          </cell>
          <cell r="Y26">
            <v>46243.354421296295</v>
          </cell>
          <cell r="Z26">
            <v>1</v>
          </cell>
          <cell r="AA26">
            <v>46244.354629629626</v>
          </cell>
          <cell r="AB26">
            <v>1</v>
          </cell>
          <cell r="AC26">
            <v>46245.353750000002</v>
          </cell>
          <cell r="AD26">
            <v>1</v>
          </cell>
          <cell r="AE26">
            <v>46246.351990740739</v>
          </cell>
        </row>
        <row r="27">
          <cell r="E27" t="str">
            <v>HM Junior staff</v>
          </cell>
          <cell r="F27" t="str">
            <v>MAD0246</v>
          </cell>
          <cell r="G27" t="str">
            <v>HM Shop1</v>
          </cell>
          <cell r="H27" t="str">
            <v>Sharif Uddin</v>
          </cell>
          <cell r="I27">
            <v>46235.32953703704</v>
          </cell>
          <cell r="J27">
            <v>46235.997719907406</v>
          </cell>
          <cell r="K27">
            <v>46236.327847222223</v>
          </cell>
          <cell r="L27">
            <v>1</v>
          </cell>
          <cell r="M27">
            <v>46237.331076388888</v>
          </cell>
          <cell r="N27">
            <v>1</v>
          </cell>
          <cell r="O27">
            <v>46238.331504629627</v>
          </cell>
          <cell r="P27">
            <v>46238.999166666668</v>
          </cell>
          <cell r="Q27">
            <v>46239.35365740741</v>
          </cell>
          <cell r="R27">
            <v>1</v>
          </cell>
          <cell r="S27">
            <v>46240.351018518515</v>
          </cell>
          <cell r="T27">
            <v>1</v>
          </cell>
          <cell r="U27" t="str">
            <v>OFF</v>
          </cell>
          <cell r="V27" t="str">
            <v>OFF</v>
          </cell>
          <cell r="W27">
            <v>46242.354456018518</v>
          </cell>
          <cell r="X27">
            <v>1</v>
          </cell>
          <cell r="Y27">
            <v>46243.354155092595</v>
          </cell>
          <cell r="Z27">
            <v>46243.994050925925</v>
          </cell>
          <cell r="AA27">
            <v>46244.354270833333</v>
          </cell>
          <cell r="AB27">
            <v>1</v>
          </cell>
          <cell r="AC27">
            <v>46245.34878472222</v>
          </cell>
          <cell r="AD27">
            <v>1</v>
          </cell>
          <cell r="AE27">
            <v>46246.34574074074</v>
          </cell>
        </row>
        <row r="28">
          <cell r="E28" t="str">
            <v>Male Local staff</v>
          </cell>
          <cell r="F28" t="str">
            <v>MAD0248</v>
          </cell>
          <cell r="G28" t="str">
            <v>Retail Shop</v>
          </cell>
          <cell r="H28" t="str">
            <v>Abdulla Aboobakuru</v>
          </cell>
          <cell r="I28">
            <v>46235.343900462962</v>
          </cell>
          <cell r="J28">
            <v>0.97569444444444453</v>
          </cell>
          <cell r="K28" t="str">
            <v>AL</v>
          </cell>
          <cell r="L28" t="str">
            <v>AL</v>
          </cell>
          <cell r="M28" t="str">
            <v>AL</v>
          </cell>
          <cell r="N28" t="str">
            <v>AL</v>
          </cell>
          <cell r="O28" t="str">
            <v>AL</v>
          </cell>
          <cell r="P28" t="str">
            <v>AL</v>
          </cell>
          <cell r="Q28" t="str">
            <v>AL</v>
          </cell>
          <cell r="R28" t="str">
            <v>AL</v>
          </cell>
          <cell r="S28" t="str">
            <v>AL</v>
          </cell>
          <cell r="T28" t="str">
            <v>AL</v>
          </cell>
          <cell r="U28" t="str">
            <v>AL</v>
          </cell>
          <cell r="V28" t="str">
            <v>AL</v>
          </cell>
          <cell r="W28" t="str">
            <v>AL</v>
          </cell>
          <cell r="X28" t="str">
            <v>AL</v>
          </cell>
          <cell r="Y28" t="str">
            <v>AL</v>
          </cell>
          <cell r="Z28" t="str">
            <v>AL</v>
          </cell>
          <cell r="AA28" t="str">
            <v>AL</v>
          </cell>
          <cell r="AB28" t="str">
            <v>AL</v>
          </cell>
          <cell r="AC28" t="str">
            <v>AL</v>
          </cell>
          <cell r="AD28" t="str">
            <v>AL</v>
          </cell>
          <cell r="AE28" t="str">
            <v>AL</v>
          </cell>
        </row>
        <row r="29">
          <cell r="E29" t="str">
            <v>FJ male Local staff</v>
          </cell>
          <cell r="F29" t="str">
            <v>MAD0251</v>
          </cell>
          <cell r="G29" t="str">
            <v>Doores Godown</v>
          </cell>
          <cell r="H29" t="str">
            <v>Mohammad Akkas Miah</v>
          </cell>
          <cell r="I29">
            <v>46235.344074074077</v>
          </cell>
          <cell r="J29">
            <v>46235.980115740742</v>
          </cell>
          <cell r="K29">
            <v>46236.343865740739</v>
          </cell>
          <cell r="L29">
            <v>46236.992268518516</v>
          </cell>
          <cell r="M29">
            <v>46237.343715277777</v>
          </cell>
          <cell r="N29">
            <v>46237.968564814815</v>
          </cell>
          <cell r="O29">
            <v>46238.343854166669</v>
          </cell>
          <cell r="P29">
            <v>46238.948506944442</v>
          </cell>
          <cell r="Q29">
            <v>46239.344768518517</v>
          </cell>
          <cell r="R29">
            <v>46239.964571759258</v>
          </cell>
          <cell r="S29">
            <v>46240.344247685185</v>
          </cell>
          <cell r="T29">
            <v>46240.969143518516</v>
          </cell>
          <cell r="U29">
            <v>46241.581435185188</v>
          </cell>
          <cell r="V29">
            <v>46241.917060185187</v>
          </cell>
          <cell r="W29">
            <v>46242.323738425926</v>
          </cell>
          <cell r="X29">
            <v>46242.9375462963</v>
          </cell>
          <cell r="Y29">
            <v>46243.328148148146</v>
          </cell>
          <cell r="Z29">
            <v>46243.920787037037</v>
          </cell>
          <cell r="AA29">
            <v>46244.32545138889</v>
          </cell>
          <cell r="AB29">
            <v>46244.917986111112</v>
          </cell>
          <cell r="AC29">
            <v>46245.329699074071</v>
          </cell>
          <cell r="AD29">
            <v>46245.92895833333</v>
          </cell>
          <cell r="AE29">
            <v>46246.325150462966</v>
          </cell>
        </row>
        <row r="30">
          <cell r="E30" t="str">
            <v>Male Local staff</v>
          </cell>
          <cell r="F30" t="str">
            <v>MAD0257</v>
          </cell>
          <cell r="G30" t="str">
            <v>Head Office</v>
          </cell>
          <cell r="H30" t="str">
            <v>Hussain Mahir</v>
          </cell>
          <cell r="I30" t="str">
            <v>AL</v>
          </cell>
          <cell r="J30">
            <v>46236.001400462963</v>
          </cell>
          <cell r="K30">
            <v>46236.371620370373</v>
          </cell>
          <cell r="L30">
            <v>46236.769016203703</v>
          </cell>
          <cell r="M30">
            <v>46237.008240740739</v>
          </cell>
          <cell r="N30">
            <v>46237.88726851852</v>
          </cell>
          <cell r="O30">
            <v>46238.364803240744</v>
          </cell>
          <cell r="P30">
            <v>46238.989664351851</v>
          </cell>
          <cell r="Q30">
            <v>46239.37699074074</v>
          </cell>
          <cell r="R30">
            <v>46239.776944444442</v>
          </cell>
          <cell r="S30">
            <v>46240.378240740742</v>
          </cell>
          <cell r="T30">
            <v>46241.012974537036</v>
          </cell>
          <cell r="U30">
            <v>46241.581238425926</v>
          </cell>
          <cell r="V30">
            <v>46241.999328703707</v>
          </cell>
          <cell r="W30">
            <v>1</v>
          </cell>
          <cell r="X30">
            <v>46243.004201388889</v>
          </cell>
          <cell r="Y30">
            <v>46243.004201388889</v>
          </cell>
          <cell r="Z30">
            <v>46243.98574074074</v>
          </cell>
          <cell r="AA30">
            <v>1</v>
          </cell>
          <cell r="AB30">
            <v>46244.995115740741</v>
          </cell>
          <cell r="AC30">
            <v>46245.381840277776</v>
          </cell>
          <cell r="AD30">
            <v>46245.74800925926</v>
          </cell>
          <cell r="AE30">
            <v>46246.378645833334</v>
          </cell>
        </row>
        <row r="31">
          <cell r="E31" t="str">
            <v>Fs male Local staff</v>
          </cell>
          <cell r="F31" t="str">
            <v>MAD0268</v>
          </cell>
          <cell r="G31" t="str">
            <v>Galolhu Shop</v>
          </cell>
          <cell r="H31" t="str">
            <v>Abdul Karim</v>
          </cell>
          <cell r="I31">
            <v>46235.352916666663</v>
          </cell>
          <cell r="J31">
            <v>1</v>
          </cell>
          <cell r="K31">
            <v>46236.351875</v>
          </cell>
          <cell r="L31">
            <v>1</v>
          </cell>
          <cell r="M31">
            <v>46237.353217592594</v>
          </cell>
          <cell r="N31">
            <v>1</v>
          </cell>
          <cell r="O31">
            <v>1.0416666666666701</v>
          </cell>
          <cell r="P31">
            <v>1.0833333333333299</v>
          </cell>
          <cell r="Q31">
            <v>1.125</v>
          </cell>
          <cell r="R31">
            <v>1.1666666666666701</v>
          </cell>
          <cell r="S31">
            <v>1.2083333333333299</v>
          </cell>
          <cell r="T31">
            <v>1.25</v>
          </cell>
          <cell r="U31">
            <v>1.2916666666666701</v>
          </cell>
          <cell r="V31">
            <v>1.3333333333333299</v>
          </cell>
          <cell r="W31">
            <v>1.375</v>
          </cell>
          <cell r="X31">
            <v>1.4166666666666701</v>
          </cell>
          <cell r="Y31">
            <v>1.4583333333333299</v>
          </cell>
          <cell r="Z31">
            <v>1.5</v>
          </cell>
          <cell r="AA31">
            <v>1.5416666666666701</v>
          </cell>
          <cell r="AB31">
            <v>1.5833333333333299</v>
          </cell>
          <cell r="AC31">
            <v>1.625</v>
          </cell>
          <cell r="AD31">
            <v>1.6666666666666701</v>
          </cell>
          <cell r="AE31">
            <v>1.7083333333333299</v>
          </cell>
        </row>
        <row r="32">
          <cell r="E32" t="str">
            <v>Fs male Local staff</v>
          </cell>
          <cell r="F32" t="str">
            <v>MAD0391</v>
          </cell>
          <cell r="G32" t="str">
            <v>Head Office</v>
          </cell>
          <cell r="H32" t="str">
            <v>Abdul Ameen</v>
          </cell>
          <cell r="I32" t="str">
            <v>Going Madi Grand</v>
          </cell>
          <cell r="J32">
            <v>1</v>
          </cell>
          <cell r="K32">
            <v>46236.367719907408</v>
          </cell>
          <cell r="L32">
            <v>46236.733611111114</v>
          </cell>
          <cell r="M32">
            <v>46237.369016203702</v>
          </cell>
          <cell r="N32">
            <v>1</v>
          </cell>
          <cell r="O32">
            <v>46238.372997685183</v>
          </cell>
          <cell r="P32">
            <v>46238.734976851854</v>
          </cell>
          <cell r="Q32">
            <v>46239.373599537037</v>
          </cell>
          <cell r="R32">
            <v>46239.742430555554</v>
          </cell>
          <cell r="S32">
            <v>46240.374594907407</v>
          </cell>
          <cell r="T32">
            <v>46240.737291666665</v>
          </cell>
          <cell r="U32" t="str">
            <v>OFF</v>
          </cell>
          <cell r="V32" t="str">
            <v>OFF</v>
          </cell>
          <cell r="W32">
            <v>46242.41642361111</v>
          </cell>
          <cell r="X32">
            <v>46242.715902777774</v>
          </cell>
          <cell r="Y32" t="str">
            <v>SICK</v>
          </cell>
          <cell r="Z32" t="str">
            <v>SICK</v>
          </cell>
          <cell r="AA32">
            <v>46244.363321759258</v>
          </cell>
          <cell r="AB32">
            <v>46244.745428240742</v>
          </cell>
          <cell r="AC32">
            <v>46245.349699074075</v>
          </cell>
          <cell r="AD32">
            <v>46245.721053240741</v>
          </cell>
          <cell r="AE32">
            <v>46246.366076388891</v>
          </cell>
        </row>
        <row r="33">
          <cell r="E33" t="str">
            <v>Male Local staff</v>
          </cell>
          <cell r="F33" t="str">
            <v>MAD0393</v>
          </cell>
          <cell r="G33" t="str">
            <v>Wholesale</v>
          </cell>
          <cell r="H33" t="str">
            <v>Mariyam Hameedha</v>
          </cell>
          <cell r="I33" t="str">
            <v>SICK</v>
          </cell>
          <cell r="J33" t="str">
            <v>SICK</v>
          </cell>
          <cell r="K33">
            <v>46236.344930555555</v>
          </cell>
          <cell r="L33">
            <v>1</v>
          </cell>
          <cell r="M33">
            <v>46237.350138888891</v>
          </cell>
          <cell r="N33">
            <v>1</v>
          </cell>
          <cell r="O33">
            <v>46238.354745370372</v>
          </cell>
          <cell r="P33">
            <v>1</v>
          </cell>
          <cell r="Q33">
            <v>46239.351967592593</v>
          </cell>
          <cell r="R33">
            <v>1</v>
          </cell>
          <cell r="S33">
            <v>46240.345590277779</v>
          </cell>
          <cell r="T33">
            <v>46240.959224537037</v>
          </cell>
          <cell r="U33" t="str">
            <v>OFF</v>
          </cell>
          <cell r="V33" t="str">
            <v>OFF</v>
          </cell>
          <cell r="W33">
            <v>46242.345393518517</v>
          </cell>
          <cell r="X33">
            <v>46242.954027777778</v>
          </cell>
          <cell r="Y33">
            <v>46243.351550925923</v>
          </cell>
          <cell r="Z33">
            <v>1</v>
          </cell>
          <cell r="AA33">
            <v>46244.351701388892</v>
          </cell>
          <cell r="AB33">
            <v>1</v>
          </cell>
          <cell r="AC33">
            <v>46245.353715277779</v>
          </cell>
          <cell r="AD33">
            <v>46245.960532407407</v>
          </cell>
          <cell r="AE33">
            <v>46246.353703703702</v>
          </cell>
        </row>
        <row r="34">
          <cell r="E34" t="str">
            <v>FJ male Local staff</v>
          </cell>
          <cell r="F34" t="str">
            <v>MAD0396</v>
          </cell>
          <cell r="G34" t="str">
            <v>Bazaaru Shop</v>
          </cell>
          <cell r="H34" t="str">
            <v>Deepak Yadav</v>
          </cell>
          <cell r="I34">
            <v>46235.349224537036</v>
          </cell>
          <cell r="J34">
            <v>46235.940266203703</v>
          </cell>
          <cell r="K34">
            <v>46236.350335648145</v>
          </cell>
          <cell r="L34">
            <v>46236.915335648147</v>
          </cell>
          <cell r="M34">
            <v>46237.350219907406</v>
          </cell>
          <cell r="N34">
            <v>46237.927488425928</v>
          </cell>
          <cell r="O34">
            <v>46238.350659722222</v>
          </cell>
          <cell r="P34">
            <v>46238.925763888888</v>
          </cell>
          <cell r="Q34">
            <v>46239.349861111114</v>
          </cell>
          <cell r="R34">
            <v>46239.92150462963</v>
          </cell>
          <cell r="S34">
            <v>46240.350983796299</v>
          </cell>
          <cell r="T34">
            <v>46240.945</v>
          </cell>
          <cell r="U34" t="str">
            <v>OFF</v>
          </cell>
          <cell r="V34" t="str">
            <v>OFF</v>
          </cell>
          <cell r="W34">
            <v>46242.347974537035</v>
          </cell>
          <cell r="X34">
            <v>46242.936990740738</v>
          </cell>
          <cell r="Y34">
            <v>46243.35019675926</v>
          </cell>
          <cell r="Z34">
            <v>46243.921354166669</v>
          </cell>
          <cell r="AA34">
            <v>46244.34851851852</v>
          </cell>
          <cell r="AB34">
            <v>46244.920034722221</v>
          </cell>
          <cell r="AC34">
            <v>46245.346238425926</v>
          </cell>
          <cell r="AD34">
            <v>46245.926134259258</v>
          </cell>
          <cell r="AE34">
            <v>46246.347280092596</v>
          </cell>
        </row>
        <row r="35">
          <cell r="E35" t="str">
            <v>FJ male Local staff</v>
          </cell>
          <cell r="F35" t="str">
            <v>MAD0407</v>
          </cell>
          <cell r="G35" t="str">
            <v>Galolhu Shop</v>
          </cell>
          <cell r="H35" t="str">
            <v>Pratheesh Prasad</v>
          </cell>
          <cell r="I35">
            <v>46235.354629629626</v>
          </cell>
          <cell r="J35">
            <v>46235.973055555558</v>
          </cell>
          <cell r="K35">
            <v>46236.353692129633</v>
          </cell>
          <cell r="L35">
            <v>46236.950983796298</v>
          </cell>
          <cell r="M35">
            <v>46237.353634259256</v>
          </cell>
          <cell r="N35">
            <v>46237.950509259259</v>
          </cell>
          <cell r="O35">
            <v>46238.354537037034</v>
          </cell>
          <cell r="P35">
            <v>46238.953287037039</v>
          </cell>
          <cell r="Q35">
            <v>46239.354641203703</v>
          </cell>
          <cell r="R35">
            <v>46239.951238425929</v>
          </cell>
          <cell r="S35">
            <v>46240.352465277778</v>
          </cell>
          <cell r="T35">
            <v>1</v>
          </cell>
          <cell r="U35" t="str">
            <v>OFF</v>
          </cell>
          <cell r="V35" t="str">
            <v>OFF</v>
          </cell>
          <cell r="W35">
            <v>46242.352314814816</v>
          </cell>
          <cell r="X35">
            <v>1</v>
          </cell>
          <cell r="Y35">
            <v>46243.352824074071</v>
          </cell>
          <cell r="Z35">
            <v>1</v>
          </cell>
          <cell r="AA35">
            <v>46244.354189814818</v>
          </cell>
          <cell r="AB35">
            <v>1</v>
          </cell>
          <cell r="AC35">
            <v>46245.353865740741</v>
          </cell>
          <cell r="AD35">
            <v>1</v>
          </cell>
          <cell r="AE35">
            <v>46246.352407407408</v>
          </cell>
        </row>
        <row r="36">
          <cell r="E36" t="str">
            <v>FJ male Local staff</v>
          </cell>
          <cell r="F36" t="str">
            <v>MAD0418</v>
          </cell>
          <cell r="G36" t="str">
            <v xml:space="preserve">Salas </v>
          </cell>
          <cell r="H36" t="str">
            <v>Sumon</v>
          </cell>
          <cell r="I36" t="str">
            <v>AL</v>
          </cell>
          <cell r="J36" t="str">
            <v>AL</v>
          </cell>
          <cell r="K36" t="str">
            <v>AL</v>
          </cell>
          <cell r="L36" t="str">
            <v>AL</v>
          </cell>
          <cell r="M36" t="str">
            <v>AL</v>
          </cell>
          <cell r="N36" t="str">
            <v>AL</v>
          </cell>
          <cell r="O36" t="str">
            <v>AL</v>
          </cell>
          <cell r="P36" t="str">
            <v>AL</v>
          </cell>
          <cell r="Q36" t="str">
            <v>AL</v>
          </cell>
          <cell r="R36" t="str">
            <v>AL</v>
          </cell>
          <cell r="S36" t="str">
            <v>AL</v>
          </cell>
          <cell r="T36" t="str">
            <v>AL</v>
          </cell>
          <cell r="U36" t="str">
            <v>AL</v>
          </cell>
          <cell r="V36" t="str">
            <v>AL</v>
          </cell>
          <cell r="W36" t="str">
            <v>AL</v>
          </cell>
          <cell r="X36" t="str">
            <v>AL</v>
          </cell>
          <cell r="Y36" t="str">
            <v>AL</v>
          </cell>
          <cell r="Z36" t="str">
            <v>AL</v>
          </cell>
          <cell r="AA36" t="str">
            <v>AL</v>
          </cell>
          <cell r="AB36" t="str">
            <v>AL</v>
          </cell>
          <cell r="AC36" t="str">
            <v>AL</v>
          </cell>
          <cell r="AD36" t="str">
            <v>AL</v>
          </cell>
          <cell r="AE36" t="str">
            <v>AL</v>
          </cell>
        </row>
        <row r="37">
          <cell r="E37" t="str">
            <v>FJ male Local staff</v>
          </cell>
          <cell r="F37" t="str">
            <v>MAD0426</v>
          </cell>
          <cell r="G37" t="str">
            <v>Doores Godown</v>
          </cell>
          <cell r="H37" t="str">
            <v>Ful Sah</v>
          </cell>
          <cell r="I37">
            <v>46235.350868055553</v>
          </cell>
          <cell r="J37">
            <v>46235.972453703704</v>
          </cell>
          <cell r="K37">
            <v>46236.351793981485</v>
          </cell>
          <cell r="L37">
            <v>46236.991886574076</v>
          </cell>
          <cell r="M37">
            <v>46237.351018518515</v>
          </cell>
          <cell r="N37">
            <v>46237.968321759261</v>
          </cell>
          <cell r="O37">
            <v>46238.344583333332</v>
          </cell>
          <cell r="P37">
            <v>46238.944479166668</v>
          </cell>
          <cell r="Q37">
            <v>46239.356828703705</v>
          </cell>
          <cell r="R37">
            <v>46239.965682870374</v>
          </cell>
          <cell r="S37">
            <v>46240.352673611109</v>
          </cell>
          <cell r="T37">
            <v>46240.970138888886</v>
          </cell>
          <cell r="U37">
            <v>46241.579953703702</v>
          </cell>
          <cell r="V37">
            <v>46241.934108796297</v>
          </cell>
          <cell r="W37">
            <v>46242.345856481479</v>
          </cell>
          <cell r="X37">
            <v>46242.988020833334</v>
          </cell>
          <cell r="Y37">
            <v>46243.348171296297</v>
          </cell>
          <cell r="Z37">
            <v>46243.937152777777</v>
          </cell>
          <cell r="AA37">
            <v>46244.352662037039</v>
          </cell>
          <cell r="AB37">
            <v>46244.965150462966</v>
          </cell>
          <cell r="AC37">
            <v>46245.346863425926</v>
          </cell>
          <cell r="AD37">
            <v>46245.918611111112</v>
          </cell>
          <cell r="AE37">
            <v>46246.353032407409</v>
          </cell>
        </row>
        <row r="38">
          <cell r="E38" t="str">
            <v>Fs male Local staff</v>
          </cell>
          <cell r="F38" t="str">
            <v>MAD0427</v>
          </cell>
          <cell r="G38" t="str">
            <v>Head Office</v>
          </cell>
          <cell r="H38" t="str">
            <v>Janakiraman Sankaralingam</v>
          </cell>
          <cell r="I38" t="str">
            <v>EL</v>
          </cell>
          <cell r="J38" t="str">
            <v>EL</v>
          </cell>
          <cell r="K38" t="str">
            <v>EL</v>
          </cell>
          <cell r="L38">
            <v>1</v>
          </cell>
          <cell r="M38" t="str">
            <v>EL</v>
          </cell>
          <cell r="N38">
            <v>1</v>
          </cell>
          <cell r="O38" t="str">
            <v>EL</v>
          </cell>
          <cell r="P38">
            <v>1</v>
          </cell>
          <cell r="Q38" t="str">
            <v>EL</v>
          </cell>
          <cell r="R38">
            <v>1</v>
          </cell>
          <cell r="S38">
            <v>46240.373935185184</v>
          </cell>
          <cell r="T38">
            <v>46240.765763888892</v>
          </cell>
          <cell r="U38">
            <v>46241.583587962959</v>
          </cell>
          <cell r="V38">
            <v>46241.768738425926</v>
          </cell>
          <cell r="W38">
            <v>1</v>
          </cell>
          <cell r="X38">
            <v>46242.767083333332</v>
          </cell>
          <cell r="Y38">
            <v>46243.373900462961</v>
          </cell>
          <cell r="Z38">
            <v>46243.750925925924</v>
          </cell>
          <cell r="AA38">
            <v>46244.373692129629</v>
          </cell>
          <cell r="AB38">
            <v>46244.756666666668</v>
          </cell>
          <cell r="AC38">
            <v>46245.376192129632</v>
          </cell>
          <cell r="AD38">
            <v>46245.987870370373</v>
          </cell>
          <cell r="AE38">
            <v>46246.37023148148</v>
          </cell>
        </row>
        <row r="39">
          <cell r="E39" t="str">
            <v>FJ male Local staff</v>
          </cell>
          <cell r="F39" t="str">
            <v>MAD0445</v>
          </cell>
          <cell r="G39" t="str">
            <v>Doores Godown</v>
          </cell>
          <cell r="H39" t="str">
            <v>Mir Rajib</v>
          </cell>
          <cell r="I39">
            <v>46235.353437500002</v>
          </cell>
          <cell r="J39">
            <v>46235.961840277778</v>
          </cell>
          <cell r="K39">
            <v>46236.352939814817</v>
          </cell>
          <cell r="L39">
            <v>46236.938414351855</v>
          </cell>
          <cell r="M39">
            <v>46237.351226851853</v>
          </cell>
          <cell r="N39">
            <v>46237.934432870374</v>
          </cell>
          <cell r="O39">
            <v>46238.352083333331</v>
          </cell>
          <cell r="P39">
            <v>1</v>
          </cell>
          <cell r="Q39">
            <v>46239.354907407411</v>
          </cell>
          <cell r="R39">
            <v>46239.943240740744</v>
          </cell>
          <cell r="S39">
            <v>46240.351817129631</v>
          </cell>
          <cell r="T39">
            <v>46240.916701388887</v>
          </cell>
          <cell r="U39">
            <v>46241.560474537036</v>
          </cell>
          <cell r="V39">
            <v>46241.923171296294</v>
          </cell>
          <cell r="W39">
            <v>46242.353483796294</v>
          </cell>
          <cell r="X39">
            <v>46242.958564814813</v>
          </cell>
          <cell r="Y39">
            <v>46243.354537037034</v>
          </cell>
          <cell r="Z39">
            <v>46243.936631944445</v>
          </cell>
          <cell r="AA39">
            <v>46244.354502314818</v>
          </cell>
          <cell r="AB39">
            <v>46244.918229166666</v>
          </cell>
          <cell r="AC39">
            <v>46245.350092592591</v>
          </cell>
          <cell r="AD39">
            <v>46245.921041666668</v>
          </cell>
          <cell r="AE39">
            <v>46246.35564814815</v>
          </cell>
        </row>
        <row r="40">
          <cell r="E40" t="str">
            <v>Male Local staff</v>
          </cell>
          <cell r="F40" t="str">
            <v>MAD0449</v>
          </cell>
          <cell r="G40" t="str">
            <v>Retail Shop</v>
          </cell>
          <cell r="H40" t="str">
            <v>Hassan Sameer</v>
          </cell>
          <cell r="I40">
            <v>46235.325289351851</v>
          </cell>
          <cell r="J40">
            <v>1</v>
          </cell>
          <cell r="K40">
            <v>46236.334444444445</v>
          </cell>
          <cell r="L40">
            <v>1</v>
          </cell>
          <cell r="M40">
            <v>46237.350011574075</v>
          </cell>
          <cell r="N40">
            <v>1</v>
          </cell>
          <cell r="O40">
            <v>46238.335289351853</v>
          </cell>
          <cell r="P40">
            <v>1</v>
          </cell>
          <cell r="Q40">
            <v>46239.351006944446</v>
          </cell>
          <cell r="R40">
            <v>1</v>
          </cell>
          <cell r="S40">
            <v>46240.323530092595</v>
          </cell>
          <cell r="T40">
            <v>1</v>
          </cell>
          <cell r="U40" t="str">
            <v>OFF</v>
          </cell>
          <cell r="V40" t="str">
            <v>OFF</v>
          </cell>
          <cell r="W40">
            <v>46242.329108796293</v>
          </cell>
          <cell r="X40">
            <v>1</v>
          </cell>
          <cell r="Y40">
            <v>46243.348993055559</v>
          </cell>
          <cell r="Z40">
            <v>1</v>
          </cell>
          <cell r="AA40">
            <v>46244.325636574074</v>
          </cell>
          <cell r="AB40">
            <v>1</v>
          </cell>
          <cell r="AC40">
            <v>46245.341087962966</v>
          </cell>
          <cell r="AD40">
            <v>46245.944791666669</v>
          </cell>
          <cell r="AE40">
            <v>46246.341874999998</v>
          </cell>
        </row>
        <row r="41">
          <cell r="E41" t="str">
            <v>HM Junior staff</v>
          </cell>
          <cell r="F41" t="str">
            <v>MAD0454</v>
          </cell>
          <cell r="G41" t="str">
            <v>HM Shop1</v>
          </cell>
          <cell r="H41" t="str">
            <v>Mohamed Hidayathulla Abdeen</v>
          </cell>
          <cell r="I41">
            <v>46235.348402777781</v>
          </cell>
          <cell r="J41">
            <v>46235.96261574074</v>
          </cell>
          <cell r="K41">
            <v>46236.347800925927</v>
          </cell>
          <cell r="L41">
            <v>46236.945983796293</v>
          </cell>
          <cell r="M41">
            <v>46237.348483796297</v>
          </cell>
          <cell r="N41">
            <v>46237.948113425926</v>
          </cell>
          <cell r="O41">
            <v>46238.349224537036</v>
          </cell>
          <cell r="P41">
            <v>46238.944131944445</v>
          </cell>
          <cell r="Q41">
            <v>46239.352164351854</v>
          </cell>
          <cell r="R41">
            <v>46239.943124999998</v>
          </cell>
          <cell r="S41">
            <v>46240.351840277777</v>
          </cell>
          <cell r="T41">
            <v>46240.964166666665</v>
          </cell>
          <cell r="U41">
            <v>46241.577002314814</v>
          </cell>
          <cell r="V41">
            <v>46241.950150462966</v>
          </cell>
          <cell r="W41">
            <v>46242.352685185186</v>
          </cell>
          <cell r="X41">
            <v>46242.964236111111</v>
          </cell>
          <cell r="Y41">
            <v>46243.348379629628</v>
          </cell>
          <cell r="Z41">
            <v>46243.943402777775</v>
          </cell>
          <cell r="AA41">
            <v>46244.349097222221</v>
          </cell>
          <cell r="AB41">
            <v>46244.943113425928</v>
          </cell>
          <cell r="AC41">
            <v>46245.349699074075</v>
          </cell>
          <cell r="AD41">
            <v>46245.945671296293</v>
          </cell>
          <cell r="AE41">
            <v>46246.34578703704</v>
          </cell>
        </row>
        <row r="42">
          <cell r="E42" t="str">
            <v>Hulhumale Senior staff</v>
          </cell>
          <cell r="F42" t="str">
            <v>MAD0457</v>
          </cell>
          <cell r="G42" t="str">
            <v>HM Site</v>
          </cell>
          <cell r="H42" t="str">
            <v>Mohamed Rameez Kariapper</v>
          </cell>
          <cell r="I42" t="str">
            <v>AL</v>
          </cell>
          <cell r="J42" t="str">
            <v>AL</v>
          </cell>
          <cell r="K42" t="str">
            <v>AL</v>
          </cell>
          <cell r="L42" t="str">
            <v>AL</v>
          </cell>
          <cell r="M42" t="str">
            <v>AL</v>
          </cell>
          <cell r="N42" t="str">
            <v>AL</v>
          </cell>
          <cell r="O42" t="str">
            <v>AL</v>
          </cell>
          <cell r="P42" t="str">
            <v>AL</v>
          </cell>
          <cell r="Q42">
            <v>46239.358622685184</v>
          </cell>
          <cell r="R42">
            <v>1</v>
          </cell>
          <cell r="S42">
            <v>46240.02553240741</v>
          </cell>
          <cell r="T42">
            <v>1</v>
          </cell>
          <cell r="U42">
            <v>46241.581053240741</v>
          </cell>
          <cell r="V42">
            <v>1</v>
          </cell>
          <cell r="W42">
            <v>46242.371099537035</v>
          </cell>
          <cell r="X42">
            <v>1</v>
          </cell>
          <cell r="Y42">
            <v>46243.331875000003</v>
          </cell>
          <cell r="Z42">
            <v>1</v>
          </cell>
          <cell r="AA42">
            <v>46244.346979166665</v>
          </cell>
          <cell r="AB42">
            <v>1</v>
          </cell>
          <cell r="AC42">
            <v>46245.352349537039</v>
          </cell>
          <cell r="AD42">
            <v>1</v>
          </cell>
          <cell r="AE42">
            <v>46246.352430555555</v>
          </cell>
        </row>
        <row r="43">
          <cell r="E43" t="str">
            <v>FJ male Local staff</v>
          </cell>
          <cell r="F43" t="str">
            <v>MAD0507</v>
          </cell>
          <cell r="G43" t="str">
            <v>Doores Godown</v>
          </cell>
          <cell r="H43" t="str">
            <v>Nazir Hussain</v>
          </cell>
          <cell r="I43">
            <v>46235.349791666667</v>
          </cell>
          <cell r="J43">
            <v>46235.961018518516</v>
          </cell>
          <cell r="K43">
            <v>46236.351412037038</v>
          </cell>
          <cell r="L43">
            <v>46236.960219907407</v>
          </cell>
          <cell r="M43">
            <v>46237.350277777776</v>
          </cell>
          <cell r="N43">
            <v>46237.959305555552</v>
          </cell>
          <cell r="O43">
            <v>46238.351759259262</v>
          </cell>
          <cell r="P43">
            <v>46238.939305555556</v>
          </cell>
          <cell r="Q43">
            <v>46239.353310185186</v>
          </cell>
          <cell r="R43">
            <v>46239.964062500003</v>
          </cell>
          <cell r="S43">
            <v>46240.351898148147</v>
          </cell>
          <cell r="T43">
            <v>46240.961504629631</v>
          </cell>
          <cell r="U43">
            <v>46241.580694444441</v>
          </cell>
          <cell r="V43">
            <v>1</v>
          </cell>
          <cell r="W43">
            <v>46242.353009259263</v>
          </cell>
          <cell r="X43">
            <v>46242.959826388891</v>
          </cell>
          <cell r="Y43">
            <v>46243.351122685184</v>
          </cell>
          <cell r="Z43">
            <v>46243.918009259258</v>
          </cell>
          <cell r="AA43">
            <v>46244.353043981479</v>
          </cell>
          <cell r="AB43">
            <v>1</v>
          </cell>
          <cell r="AC43">
            <v>46245.350752314815</v>
          </cell>
          <cell r="AD43">
            <v>46245.924224537041</v>
          </cell>
          <cell r="AE43">
            <v>46246.355358796296</v>
          </cell>
        </row>
        <row r="44">
          <cell r="E44" t="str">
            <v>FJ male Local staff</v>
          </cell>
          <cell r="F44" t="str">
            <v>MAD0515</v>
          </cell>
          <cell r="G44" t="str">
            <v>Athulhu Shop</v>
          </cell>
          <cell r="H44" t="str">
            <v>Anuj Mishra</v>
          </cell>
          <cell r="I44" t="str">
            <v>AL</v>
          </cell>
          <cell r="J44" t="str">
            <v>AL</v>
          </cell>
          <cell r="K44" t="str">
            <v>AL</v>
          </cell>
          <cell r="L44" t="str">
            <v>AL</v>
          </cell>
          <cell r="M44" t="str">
            <v>AL</v>
          </cell>
          <cell r="N44" t="str">
            <v>AL</v>
          </cell>
          <cell r="O44" t="str">
            <v>AL</v>
          </cell>
          <cell r="P44" t="str">
            <v>AL</v>
          </cell>
          <cell r="Q44" t="str">
            <v>AL</v>
          </cell>
          <cell r="R44" t="str">
            <v>AL</v>
          </cell>
          <cell r="S44" t="str">
            <v>AL</v>
          </cell>
          <cell r="T44" t="str">
            <v>AL</v>
          </cell>
          <cell r="U44" t="str">
            <v>AL</v>
          </cell>
          <cell r="V44" t="str">
            <v>AL</v>
          </cell>
          <cell r="W44" t="str">
            <v>AL</v>
          </cell>
          <cell r="X44" t="str">
            <v>AL</v>
          </cell>
          <cell r="Y44" t="str">
            <v>AL</v>
          </cell>
          <cell r="Z44" t="str">
            <v>AL</v>
          </cell>
          <cell r="AA44" t="str">
            <v>AL</v>
          </cell>
          <cell r="AB44" t="str">
            <v>AL</v>
          </cell>
          <cell r="AC44" t="str">
            <v>AL</v>
          </cell>
          <cell r="AD44" t="str">
            <v>AL</v>
          </cell>
          <cell r="AE44" t="str">
            <v>AL</v>
          </cell>
        </row>
        <row r="45">
          <cell r="E45" t="str">
            <v>FJ male Local staff</v>
          </cell>
          <cell r="F45" t="str">
            <v>MAD0517</v>
          </cell>
          <cell r="G45" t="str">
            <v>Doores Godown</v>
          </cell>
          <cell r="H45" t="str">
            <v>Pradip Kumar</v>
          </cell>
          <cell r="I45">
            <v>46235.353854166664</v>
          </cell>
          <cell r="J45" t="str">
            <v>AL</v>
          </cell>
          <cell r="K45">
            <v>46236.353935185187</v>
          </cell>
          <cell r="L45">
            <v>0</v>
          </cell>
          <cell r="M45">
            <v>46237.352268518516</v>
          </cell>
          <cell r="N45">
            <v>0</v>
          </cell>
          <cell r="O45">
            <v>46238.349421296298</v>
          </cell>
          <cell r="P45">
            <v>0</v>
          </cell>
          <cell r="Q45" t="str">
            <v>AL</v>
          </cell>
          <cell r="R45" t="str">
            <v>AL</v>
          </cell>
          <cell r="S45" t="str">
            <v>AL</v>
          </cell>
          <cell r="T45" t="str">
            <v>AL</v>
          </cell>
          <cell r="U45" t="str">
            <v>AL</v>
          </cell>
          <cell r="V45" t="str">
            <v>AL</v>
          </cell>
          <cell r="W45" t="str">
            <v>AL</v>
          </cell>
          <cell r="X45" t="str">
            <v>AL</v>
          </cell>
          <cell r="Y45" t="str">
            <v>AL</v>
          </cell>
          <cell r="Z45" t="str">
            <v>AL</v>
          </cell>
          <cell r="AA45" t="str">
            <v>AL</v>
          </cell>
          <cell r="AB45" t="str">
            <v>AL</v>
          </cell>
          <cell r="AC45" t="str">
            <v>AL</v>
          </cell>
          <cell r="AD45" t="str">
            <v>AL</v>
          </cell>
          <cell r="AE45" t="str">
            <v>AL</v>
          </cell>
        </row>
        <row r="46">
          <cell r="E46" t="str">
            <v>Male Local staff</v>
          </cell>
          <cell r="F46" t="str">
            <v>MAD0523</v>
          </cell>
          <cell r="G46" t="str">
            <v>HM Shop1</v>
          </cell>
          <cell r="H46" t="str">
            <v>Aishath Naeema</v>
          </cell>
          <cell r="I46">
            <v>46235.352546296293</v>
          </cell>
          <cell r="J46">
            <v>1</v>
          </cell>
          <cell r="K46">
            <v>0</v>
          </cell>
          <cell r="L46">
            <v>46236.937696759262</v>
          </cell>
          <cell r="M46">
            <v>1</v>
          </cell>
          <cell r="N46">
            <v>46237.948645833334</v>
          </cell>
          <cell r="O46">
            <v>1</v>
          </cell>
          <cell r="P46">
            <v>46238.937314814815</v>
          </cell>
          <cell r="Q46">
            <v>1</v>
          </cell>
          <cell r="R46">
            <v>46239.938240740739</v>
          </cell>
          <cell r="S46">
            <v>46240.352384259262</v>
          </cell>
          <cell r="T46">
            <v>1</v>
          </cell>
          <cell r="U46" t="str">
            <v>OFF</v>
          </cell>
          <cell r="V46" t="str">
            <v>OFF</v>
          </cell>
          <cell r="W46">
            <v>1</v>
          </cell>
          <cell r="X46">
            <v>46242.967499999999</v>
          </cell>
          <cell r="Y46">
            <v>1</v>
          </cell>
          <cell r="Z46">
            <v>46243.949479166666</v>
          </cell>
          <cell r="AA46">
            <v>0.63055555555555554</v>
          </cell>
          <cell r="AB46">
            <v>1</v>
          </cell>
          <cell r="AC46">
            <v>0.63124999999999998</v>
          </cell>
          <cell r="AD46">
            <v>1</v>
          </cell>
          <cell r="AE46">
            <v>46246.345717592594</v>
          </cell>
        </row>
        <row r="47">
          <cell r="E47" t="str">
            <v>Fs male Local staff</v>
          </cell>
          <cell r="F47" t="str">
            <v>MAD0535</v>
          </cell>
          <cell r="G47" t="str">
            <v>Head Office</v>
          </cell>
          <cell r="H47" t="str">
            <v>Md Sahmad</v>
          </cell>
          <cell r="I47" t="str">
            <v>AL</v>
          </cell>
          <cell r="J47" t="str">
            <v>AL</v>
          </cell>
          <cell r="K47" t="str">
            <v>AL</v>
          </cell>
          <cell r="L47" t="str">
            <v>AL</v>
          </cell>
          <cell r="M47" t="str">
            <v>AL</v>
          </cell>
          <cell r="N47" t="str">
            <v>AL</v>
          </cell>
          <cell r="O47" t="str">
            <v>AL</v>
          </cell>
          <cell r="P47" t="str">
            <v>AL</v>
          </cell>
          <cell r="Q47" t="str">
            <v>AL</v>
          </cell>
          <cell r="R47" t="str">
            <v>AL</v>
          </cell>
          <cell r="S47" t="str">
            <v>AL</v>
          </cell>
          <cell r="T47" t="str">
            <v>AL</v>
          </cell>
          <cell r="U47">
            <v>46241.574641203704</v>
          </cell>
          <cell r="V47">
            <v>46241.90016203704</v>
          </cell>
          <cell r="W47">
            <v>46242.345011574071</v>
          </cell>
          <cell r="X47">
            <v>46242.948229166665</v>
          </cell>
          <cell r="Y47">
            <v>46243.346307870372</v>
          </cell>
          <cell r="Z47">
            <v>46243.931354166663</v>
          </cell>
          <cell r="AA47">
            <v>46244.349675925929</v>
          </cell>
          <cell r="AB47">
            <v>46244.939479166664</v>
          </cell>
          <cell r="AC47">
            <v>46245.348182870373</v>
          </cell>
          <cell r="AD47">
            <v>46245.936666666668</v>
          </cell>
          <cell r="AE47">
            <v>46246.350324074076</v>
          </cell>
        </row>
        <row r="48">
          <cell r="E48" t="str">
            <v>Fs male Local staff</v>
          </cell>
          <cell r="F48" t="str">
            <v>MAD0541</v>
          </cell>
          <cell r="G48" t="str">
            <v>Head Office</v>
          </cell>
          <cell r="H48" t="str">
            <v>Malini</v>
          </cell>
          <cell r="I48">
            <v>46235.3828125</v>
          </cell>
          <cell r="J48">
            <v>46235.717928240738</v>
          </cell>
          <cell r="K48">
            <v>46236.362476851849</v>
          </cell>
          <cell r="L48">
            <v>46236.727002314816</v>
          </cell>
          <cell r="M48">
            <v>46237.374803240738</v>
          </cell>
          <cell r="N48">
            <v>46237.725208333337</v>
          </cell>
          <cell r="O48">
            <v>46238.362199074072</v>
          </cell>
          <cell r="P48">
            <v>46238.724398148152</v>
          </cell>
          <cell r="Q48">
            <v>46239.370416666665</v>
          </cell>
          <cell r="R48">
            <v>46239.744085648148</v>
          </cell>
          <cell r="S48">
            <v>46240.369027777779</v>
          </cell>
          <cell r="T48">
            <v>1</v>
          </cell>
          <cell r="U48" t="str">
            <v>OFF</v>
          </cell>
          <cell r="V48" t="str">
            <v>OFF</v>
          </cell>
          <cell r="W48">
            <v>46242.337083333332</v>
          </cell>
          <cell r="X48">
            <v>46242.750694444447</v>
          </cell>
          <cell r="Y48">
            <v>46243.3669212963</v>
          </cell>
          <cell r="Z48">
            <v>46243.742060185185</v>
          </cell>
          <cell r="AA48">
            <v>46244.362442129626</v>
          </cell>
          <cell r="AB48">
            <v>46244.743287037039</v>
          </cell>
          <cell r="AC48">
            <v>46245.383113425924</v>
          </cell>
          <cell r="AD48">
            <v>46245.720543981479</v>
          </cell>
          <cell r="AE48">
            <v>46246.370474537034</v>
          </cell>
        </row>
        <row r="49">
          <cell r="E49" t="str">
            <v>Hulhumale Senior staff</v>
          </cell>
          <cell r="F49" t="str">
            <v>MAD0556</v>
          </cell>
          <cell r="G49" t="str">
            <v>HM Site</v>
          </cell>
          <cell r="H49" t="str">
            <v>Grapeson E</v>
          </cell>
          <cell r="I49">
            <v>1</v>
          </cell>
          <cell r="J49">
            <v>46235.85732638889</v>
          </cell>
          <cell r="K49">
            <v>46237.355497685188</v>
          </cell>
          <cell r="L49">
            <v>46236.835856481484</v>
          </cell>
          <cell r="M49">
            <v>46237.355497685188</v>
          </cell>
          <cell r="N49">
            <v>46237.837118055555</v>
          </cell>
          <cell r="O49">
            <v>46238.358888888892</v>
          </cell>
          <cell r="P49">
            <v>46238.865983796299</v>
          </cell>
          <cell r="Q49">
            <v>46239.379467592589</v>
          </cell>
          <cell r="R49">
            <v>46239.849212962959</v>
          </cell>
          <cell r="S49">
            <v>46240.37572916667</v>
          </cell>
          <cell r="T49">
            <v>46240.890706018516</v>
          </cell>
          <cell r="U49">
            <v>46241.332974537036</v>
          </cell>
          <cell r="V49">
            <v>46241.860162037039</v>
          </cell>
          <cell r="W49">
            <v>46242.376388888886</v>
          </cell>
          <cell r="X49">
            <v>46242.851921296293</v>
          </cell>
          <cell r="Y49">
            <v>46243.372928240744</v>
          </cell>
          <cell r="Z49">
            <v>46243.865370370368</v>
          </cell>
          <cell r="AA49">
            <v>46244.403009259258</v>
          </cell>
          <cell r="AB49">
            <v>46244.855381944442</v>
          </cell>
          <cell r="AC49">
            <v>46245.402094907404</v>
          </cell>
          <cell r="AD49">
            <v>46245.854699074072</v>
          </cell>
          <cell r="AE49">
            <v>46246.396909722222</v>
          </cell>
        </row>
        <row r="50">
          <cell r="E50" t="str">
            <v>FJ male Local staff</v>
          </cell>
          <cell r="F50" t="str">
            <v>MAD0559</v>
          </cell>
          <cell r="G50" t="str">
            <v>Doores Godown</v>
          </cell>
          <cell r="H50" t="str">
            <v>Rinosan Muhamad Muhamad Navas</v>
          </cell>
          <cell r="I50">
            <v>46235.353506944448</v>
          </cell>
          <cell r="J50">
            <v>46235.95884259259</v>
          </cell>
          <cell r="K50">
            <v>46236.351712962962</v>
          </cell>
          <cell r="L50">
            <v>46236.961168981485</v>
          </cell>
          <cell r="M50">
            <v>46237.350740740738</v>
          </cell>
          <cell r="N50">
            <v>46237.968888888892</v>
          </cell>
          <cell r="O50">
            <v>46238.354780092595</v>
          </cell>
          <cell r="P50">
            <v>46238.940196759257</v>
          </cell>
          <cell r="Q50">
            <v>46239.354259259257</v>
          </cell>
          <cell r="R50">
            <v>46239.956354166665</v>
          </cell>
          <cell r="S50">
            <v>46240.344699074078</v>
          </cell>
          <cell r="T50">
            <v>46240.956678240742</v>
          </cell>
          <cell r="U50" t="str">
            <v>OFF</v>
          </cell>
          <cell r="V50" t="str">
            <v>OFF</v>
          </cell>
          <cell r="W50">
            <v>46242.353298611109</v>
          </cell>
          <cell r="X50">
            <v>46242.940405092595</v>
          </cell>
          <cell r="Y50">
            <v>46243.353437500002</v>
          </cell>
          <cell r="Z50">
            <v>1</v>
          </cell>
          <cell r="AA50">
            <v>46244.340196759258</v>
          </cell>
          <cell r="AB50">
            <v>46244.942002314812</v>
          </cell>
          <cell r="AC50">
            <v>46245.351747685185</v>
          </cell>
          <cell r="AD50">
            <v>46245.921493055554</v>
          </cell>
          <cell r="AE50">
            <v>46246.345775462964</v>
          </cell>
        </row>
        <row r="51">
          <cell r="E51" t="str">
            <v>Hulhumale Senior staff</v>
          </cell>
          <cell r="F51" t="str">
            <v>MAD0569</v>
          </cell>
          <cell r="G51" t="str">
            <v>HM Site</v>
          </cell>
          <cell r="H51" t="str">
            <v>Rathnasiri Perera Egodage</v>
          </cell>
          <cell r="I51">
            <v>46235.286041666666</v>
          </cell>
          <cell r="J51">
            <v>46235.857002314813</v>
          </cell>
          <cell r="K51">
            <v>46236.315011574072</v>
          </cell>
          <cell r="L51">
            <v>46236.840196759258</v>
          </cell>
          <cell r="M51">
            <v>46237.310266203705</v>
          </cell>
          <cell r="N51">
            <v>46237.842245370368</v>
          </cell>
          <cell r="O51">
            <v>46238.271770833337</v>
          </cell>
          <cell r="P51">
            <v>46238.932557870372</v>
          </cell>
          <cell r="Q51">
            <v>46239.352939814817</v>
          </cell>
          <cell r="R51">
            <v>46239.899884259263</v>
          </cell>
          <cell r="S51">
            <v>46240.338125000002</v>
          </cell>
          <cell r="T51">
            <v>46240.968090277776</v>
          </cell>
          <cell r="U51">
            <v>46241.320590277777</v>
          </cell>
          <cell r="V51">
            <v>1</v>
          </cell>
          <cell r="W51">
            <v>46242.333807870367</v>
          </cell>
          <cell r="X51">
            <v>46242.908391203702</v>
          </cell>
          <cell r="Y51">
            <v>46243.332291666666</v>
          </cell>
          <cell r="Z51">
            <v>46243.873888888891</v>
          </cell>
          <cell r="AA51">
            <v>46244.325219907405</v>
          </cell>
          <cell r="AB51">
            <v>1</v>
          </cell>
          <cell r="AC51">
            <v>46245.329409722224</v>
          </cell>
          <cell r="AD51">
            <v>46245.884004629632</v>
          </cell>
          <cell r="AE51">
            <v>46246.329189814816</v>
          </cell>
        </row>
        <row r="52">
          <cell r="E52" t="str">
            <v>FJ male Local staff</v>
          </cell>
          <cell r="F52" t="str">
            <v>MAD0580</v>
          </cell>
          <cell r="G52" t="str">
            <v>Retail Shop</v>
          </cell>
          <cell r="H52" t="str">
            <v>Md Ahad Gazi</v>
          </cell>
          <cell r="I52">
            <v>46235.352962962963</v>
          </cell>
          <cell r="J52">
            <v>46235.97</v>
          </cell>
          <cell r="K52">
            <v>46236.353865740741</v>
          </cell>
          <cell r="L52">
            <v>46236.945648148147</v>
          </cell>
          <cell r="M52">
            <v>46237.353506944448</v>
          </cell>
          <cell r="N52">
            <v>46237.949513888889</v>
          </cell>
          <cell r="O52">
            <v>46238.353136574071</v>
          </cell>
          <cell r="P52">
            <v>46238.952731481484</v>
          </cell>
          <cell r="Q52">
            <v>46239.353773148148</v>
          </cell>
          <cell r="R52">
            <v>46239.944050925929</v>
          </cell>
          <cell r="S52">
            <v>46240.352777777778</v>
          </cell>
          <cell r="T52">
            <v>46240.9765162037</v>
          </cell>
          <cell r="U52">
            <v>46241.580937500003</v>
          </cell>
          <cell r="V52">
            <v>46241.955787037034</v>
          </cell>
          <cell r="W52">
            <v>46242.353182870371</v>
          </cell>
          <cell r="X52">
            <v>46242.971018518518</v>
          </cell>
          <cell r="Y52">
            <v>46243.353518518517</v>
          </cell>
          <cell r="Z52">
            <v>46243.963101851848</v>
          </cell>
          <cell r="AA52">
            <v>46244.353576388887</v>
          </cell>
          <cell r="AB52">
            <v>1</v>
          </cell>
          <cell r="AC52">
            <v>46245.353576388887</v>
          </cell>
          <cell r="AD52">
            <v>46245.956979166665</v>
          </cell>
          <cell r="AE52">
            <v>46246.354398148149</v>
          </cell>
        </row>
        <row r="53">
          <cell r="E53" t="str">
            <v>Fs male Local staff</v>
          </cell>
          <cell r="F53" t="str">
            <v>MAD0585</v>
          </cell>
          <cell r="G53" t="str">
            <v>Retail Shop</v>
          </cell>
          <cell r="H53" t="str">
            <v>Rumi Miah</v>
          </cell>
          <cell r="I53">
            <v>46235.324270833335</v>
          </cell>
          <cell r="J53">
            <v>46235.974270833336</v>
          </cell>
          <cell r="K53">
            <v>46236.329733796294</v>
          </cell>
          <cell r="L53">
            <v>46236.958634259259</v>
          </cell>
          <cell r="M53">
            <v>46237.330925925926</v>
          </cell>
          <cell r="N53">
            <v>46237.960381944446</v>
          </cell>
          <cell r="O53">
            <v>46238.328553240739</v>
          </cell>
          <cell r="P53">
            <v>46238.956724537034</v>
          </cell>
          <cell r="Q53">
            <v>46239.33016203704</v>
          </cell>
          <cell r="R53">
            <v>46239.955254629633</v>
          </cell>
          <cell r="S53">
            <v>46240.328981481478</v>
          </cell>
          <cell r="T53">
            <v>46240.982627314814</v>
          </cell>
          <cell r="U53">
            <v>46241.572418981479</v>
          </cell>
          <cell r="V53">
            <v>46241.958749999998</v>
          </cell>
          <cell r="W53">
            <v>46242.327118055553</v>
          </cell>
          <cell r="X53">
            <v>46242.973067129627</v>
          </cell>
          <cell r="Y53">
            <v>46243.328206018516</v>
          </cell>
          <cell r="Z53">
            <v>46243.96465277778</v>
          </cell>
          <cell r="AA53">
            <v>46244.325532407405</v>
          </cell>
          <cell r="AB53">
            <v>46244.957569444443</v>
          </cell>
          <cell r="AC53">
            <v>46245.330069444448</v>
          </cell>
          <cell r="AD53">
            <v>46245.959907407407</v>
          </cell>
          <cell r="AE53">
            <v>46246.32503472222</v>
          </cell>
        </row>
        <row r="54">
          <cell r="E54" t="str">
            <v>FJ male Local staff</v>
          </cell>
          <cell r="F54" t="str">
            <v>MAD0586</v>
          </cell>
          <cell r="G54" t="str">
            <v>Doores Godown</v>
          </cell>
          <cell r="H54" t="str">
            <v>Manik Hossain</v>
          </cell>
          <cell r="I54">
            <v>46235.345902777779</v>
          </cell>
          <cell r="J54">
            <v>46235.972812499997</v>
          </cell>
          <cell r="K54">
            <v>46236.349039351851</v>
          </cell>
          <cell r="L54">
            <v>46236.959490740737</v>
          </cell>
          <cell r="M54">
            <v>46237.349560185183</v>
          </cell>
          <cell r="N54">
            <v>46237.971550925926</v>
          </cell>
          <cell r="O54">
            <v>46238.349374999998</v>
          </cell>
          <cell r="P54">
            <v>46238.940324074072</v>
          </cell>
          <cell r="Q54">
            <v>46239.348819444444</v>
          </cell>
          <cell r="R54">
            <v>46239.965428240743</v>
          </cell>
          <cell r="S54">
            <v>46240.348587962966</v>
          </cell>
          <cell r="T54">
            <v>46240.958472222221</v>
          </cell>
          <cell r="U54" t="str">
            <v>OFF</v>
          </cell>
          <cell r="V54" t="str">
            <v>OFF</v>
          </cell>
          <cell r="W54">
            <v>46242.344884259262</v>
          </cell>
          <cell r="X54">
            <v>46242.95994212963</v>
          </cell>
          <cell r="Y54">
            <v>46243.346377314818</v>
          </cell>
          <cell r="Z54">
            <v>46243.937418981484</v>
          </cell>
          <cell r="AA54">
            <v>46244.346863425926</v>
          </cell>
          <cell r="AB54">
            <v>46244.939652777779</v>
          </cell>
          <cell r="AC54">
            <v>46245.345648148148</v>
          </cell>
          <cell r="AD54">
            <v>46245.938240740739</v>
          </cell>
          <cell r="AE54">
            <v>46246.349791666667</v>
          </cell>
        </row>
        <row r="55">
          <cell r="E55" t="str">
            <v>FJ male Local staff</v>
          </cell>
          <cell r="F55" t="str">
            <v>MAD0587</v>
          </cell>
          <cell r="G55" t="str">
            <v>Doores Godown</v>
          </cell>
          <cell r="H55" t="str">
            <v>Anamul Hoque</v>
          </cell>
          <cell r="I55" t="str">
            <v>AL</v>
          </cell>
          <cell r="J55" t="str">
            <v>AL</v>
          </cell>
          <cell r="K55" t="str">
            <v>AL</v>
          </cell>
          <cell r="L55" t="str">
            <v>AL</v>
          </cell>
          <cell r="M55" t="str">
            <v>AL</v>
          </cell>
          <cell r="N55" t="str">
            <v>AL</v>
          </cell>
          <cell r="O55" t="str">
            <v>AL</v>
          </cell>
          <cell r="P55" t="str">
            <v>AL</v>
          </cell>
          <cell r="Q55" t="str">
            <v>AL</v>
          </cell>
          <cell r="R55" t="str">
            <v>AL</v>
          </cell>
          <cell r="S55" t="str">
            <v>AL</v>
          </cell>
          <cell r="T55" t="str">
            <v>AL</v>
          </cell>
          <cell r="U55" t="str">
            <v>AL</v>
          </cell>
          <cell r="V55" t="str">
            <v>AL</v>
          </cell>
          <cell r="W55" t="str">
            <v>AL</v>
          </cell>
          <cell r="X55" t="str">
            <v>AL</v>
          </cell>
          <cell r="Y55" t="str">
            <v>AL</v>
          </cell>
          <cell r="Z55" t="str">
            <v>AL</v>
          </cell>
          <cell r="AA55" t="str">
            <v>AL</v>
          </cell>
          <cell r="AB55" t="str">
            <v>AL</v>
          </cell>
          <cell r="AC55" t="str">
            <v>AL</v>
          </cell>
          <cell r="AD55" t="str">
            <v>AL</v>
          </cell>
          <cell r="AE55" t="str">
            <v>AL</v>
          </cell>
        </row>
        <row r="56">
          <cell r="E56" t="str">
            <v>FJ male Local staff</v>
          </cell>
          <cell r="F56" t="str">
            <v>MAD0594</v>
          </cell>
          <cell r="G56" t="str">
            <v xml:space="preserve">Salas </v>
          </cell>
          <cell r="H56" t="str">
            <v xml:space="preserve">Bimol Rajbongshe </v>
          </cell>
          <cell r="I56">
            <v>46235.333194444444</v>
          </cell>
          <cell r="J56">
            <v>46235.962962962964</v>
          </cell>
          <cell r="K56">
            <v>46236.330393518518</v>
          </cell>
          <cell r="L56">
            <v>46236.947511574072</v>
          </cell>
          <cell r="M56">
            <v>46237.331296296295</v>
          </cell>
          <cell r="N56">
            <v>46237.969849537039</v>
          </cell>
          <cell r="O56">
            <v>46238.332731481481</v>
          </cell>
          <cell r="P56">
            <v>46238.942326388889</v>
          </cell>
          <cell r="Q56">
            <v>46239.331145833334</v>
          </cell>
          <cell r="R56">
            <v>46239.943796296298</v>
          </cell>
          <cell r="S56">
            <v>46240.332604166666</v>
          </cell>
          <cell r="T56">
            <v>46240.966006944444</v>
          </cell>
          <cell r="U56">
            <v>46241.572893518518</v>
          </cell>
          <cell r="V56">
            <v>46241.94090277778</v>
          </cell>
          <cell r="W56">
            <v>46242.329710648148</v>
          </cell>
          <cell r="X56">
            <v>1</v>
          </cell>
          <cell r="Y56">
            <v>46243.328831018516</v>
          </cell>
          <cell r="Z56">
            <v>46243.938518518517</v>
          </cell>
          <cell r="AA56">
            <v>46244.33016203704</v>
          </cell>
          <cell r="AB56">
            <v>46244.962395833332</v>
          </cell>
          <cell r="AC56">
            <v>46245.330925925926</v>
          </cell>
          <cell r="AD56">
            <v>46245.939351851855</v>
          </cell>
          <cell r="AE56">
            <v>46246.332037037035</v>
          </cell>
        </row>
        <row r="57">
          <cell r="E57" t="str">
            <v>FJ male Local staff</v>
          </cell>
          <cell r="F57" t="str">
            <v>MAD0596</v>
          </cell>
          <cell r="G57" t="str">
            <v>Bazaaru Shop</v>
          </cell>
          <cell r="H57" t="str">
            <v xml:space="preserve">Hasan Miah </v>
          </cell>
          <cell r="I57" t="str">
            <v>SICK</v>
          </cell>
          <cell r="J57" t="str">
            <v>SICK</v>
          </cell>
          <cell r="K57">
            <v>46236.353518518517</v>
          </cell>
          <cell r="L57">
            <v>46236.983090277776</v>
          </cell>
          <cell r="M57">
            <v>46237.353090277778</v>
          </cell>
          <cell r="N57">
            <v>46237.967974537038</v>
          </cell>
          <cell r="O57">
            <v>46238.353229166663</v>
          </cell>
          <cell r="P57">
            <v>46238.944664351853</v>
          </cell>
          <cell r="Q57">
            <v>46239.353831018518</v>
          </cell>
          <cell r="R57">
            <v>46239.967673611114</v>
          </cell>
          <cell r="S57">
            <v>46240.352870370371</v>
          </cell>
          <cell r="T57">
            <v>46240.970335648148</v>
          </cell>
          <cell r="U57" t="str">
            <v>OFF</v>
          </cell>
          <cell r="V57" t="str">
            <v>OFF</v>
          </cell>
          <cell r="W57">
            <v>46242.348703703705</v>
          </cell>
          <cell r="X57">
            <v>46242.988113425927</v>
          </cell>
          <cell r="Y57">
            <v>46243.352638888886</v>
          </cell>
          <cell r="Z57">
            <v>46243.935740740744</v>
          </cell>
          <cell r="AA57">
            <v>46244.352488425924</v>
          </cell>
          <cell r="AB57">
            <v>46244.965312499997</v>
          </cell>
          <cell r="AC57">
            <v>46245.351469907408</v>
          </cell>
          <cell r="AD57">
            <v>46245.922118055554</v>
          </cell>
          <cell r="AE57">
            <v>46246.352418981478</v>
          </cell>
        </row>
        <row r="58">
          <cell r="E58" t="str">
            <v>HM Junior staff</v>
          </cell>
          <cell r="F58" t="str">
            <v>MAD0598</v>
          </cell>
          <cell r="G58" t="str">
            <v>HM Shop1</v>
          </cell>
          <cell r="H58" t="str">
            <v>MD Jihad Hossain</v>
          </cell>
          <cell r="I58">
            <v>46235.354247685187</v>
          </cell>
          <cell r="J58">
            <v>46235.977418981478</v>
          </cell>
          <cell r="K58">
            <v>46236.355266203704</v>
          </cell>
          <cell r="L58">
            <v>46236.967233796298</v>
          </cell>
          <cell r="M58">
            <v>46237.350659722222</v>
          </cell>
          <cell r="N58">
            <v>46237.956030092595</v>
          </cell>
          <cell r="O58">
            <v>46238.353773148148</v>
          </cell>
          <cell r="P58">
            <v>46238.956828703704</v>
          </cell>
          <cell r="Q58">
            <v>46239.352708333332</v>
          </cell>
          <cell r="R58">
            <v>1</v>
          </cell>
          <cell r="S58">
            <v>46240.352592592593</v>
          </cell>
          <cell r="T58">
            <v>46240.976157407407</v>
          </cell>
          <cell r="U58" t="str">
            <v>OFF</v>
          </cell>
          <cell r="V58" t="str">
            <v>OFF</v>
          </cell>
          <cell r="W58">
            <v>46242.351863425924</v>
          </cell>
          <cell r="X58">
            <v>46242.972766203704</v>
          </cell>
          <cell r="Y58">
            <v>46243.354398148149</v>
          </cell>
          <cell r="Z58">
            <v>46243.955266203702</v>
          </cell>
          <cell r="AA58">
            <v>46244.354849537034</v>
          </cell>
          <cell r="AB58">
            <v>46244.95621527778</v>
          </cell>
          <cell r="AC58">
            <v>46245.353113425925</v>
          </cell>
          <cell r="AD58">
            <v>46245.954780092594</v>
          </cell>
          <cell r="AE58">
            <v>46246.382592592592</v>
          </cell>
        </row>
        <row r="59">
          <cell r="E59" t="str">
            <v>Fs male Local staff</v>
          </cell>
          <cell r="F59" t="str">
            <v>MAD0599</v>
          </cell>
          <cell r="G59" t="str">
            <v>Clearance</v>
          </cell>
          <cell r="H59" t="str">
            <v>Suriyakrishnan Baskaran</v>
          </cell>
          <cell r="I59">
            <v>46235.320787037039</v>
          </cell>
          <cell r="J59">
            <v>46235.956701388888</v>
          </cell>
          <cell r="K59">
            <v>46236.322337962964</v>
          </cell>
          <cell r="L59">
            <v>46236.938773148147</v>
          </cell>
          <cell r="M59">
            <v>46237.327638888892</v>
          </cell>
          <cell r="N59">
            <v>46237.949293981481</v>
          </cell>
          <cell r="O59">
            <v>46238.322997685187</v>
          </cell>
          <cell r="P59">
            <v>46238.951192129629</v>
          </cell>
          <cell r="Q59">
            <v>46239.324166666665</v>
          </cell>
          <cell r="R59">
            <v>46239.95453703704</v>
          </cell>
          <cell r="S59">
            <v>46240.318101851852</v>
          </cell>
          <cell r="T59">
            <v>46240.998738425929</v>
          </cell>
          <cell r="U59">
            <v>46241.562060185184</v>
          </cell>
          <cell r="V59">
            <v>46241.932256944441</v>
          </cell>
          <cell r="W59">
            <v>46242.321620370371</v>
          </cell>
          <cell r="X59">
            <v>46242.986284722225</v>
          </cell>
          <cell r="Y59">
            <v>46243.324525462966</v>
          </cell>
          <cell r="Z59">
            <v>46243.945057870369</v>
          </cell>
          <cell r="AA59">
            <v>46244.323391203703</v>
          </cell>
          <cell r="AB59">
            <v>1</v>
          </cell>
          <cell r="AC59">
            <v>46245.323634259257</v>
          </cell>
          <cell r="AD59">
            <v>1</v>
          </cell>
          <cell r="AE59">
            <v>46246.321631944447</v>
          </cell>
        </row>
        <row r="60">
          <cell r="E60" t="str">
            <v>HM Junior staff</v>
          </cell>
          <cell r="F60" t="str">
            <v>MAD0600</v>
          </cell>
          <cell r="G60" t="str">
            <v>HM Site</v>
          </cell>
          <cell r="H60" t="str">
            <v xml:space="preserve">	Kabir Hossain</v>
          </cell>
          <cell r="I60" t="str">
            <v>AL</v>
          </cell>
          <cell r="J60" t="str">
            <v>AL</v>
          </cell>
          <cell r="K60" t="str">
            <v>AL</v>
          </cell>
          <cell r="L60" t="str">
            <v>AL</v>
          </cell>
          <cell r="M60" t="str">
            <v>AL</v>
          </cell>
          <cell r="N60" t="str">
            <v>AL</v>
          </cell>
          <cell r="O60" t="str">
            <v>AL</v>
          </cell>
          <cell r="P60" t="str">
            <v>AL</v>
          </cell>
          <cell r="Q60" t="str">
            <v>AL</v>
          </cell>
          <cell r="R60" t="str">
            <v>AL</v>
          </cell>
          <cell r="S60" t="str">
            <v>AL</v>
          </cell>
          <cell r="T60" t="str">
            <v>AL</v>
          </cell>
          <cell r="U60" t="str">
            <v>AL</v>
          </cell>
          <cell r="V60" t="str">
            <v>AL</v>
          </cell>
          <cell r="W60" t="str">
            <v>AL</v>
          </cell>
          <cell r="X60" t="str">
            <v>AL</v>
          </cell>
          <cell r="Y60" t="str">
            <v>AL</v>
          </cell>
          <cell r="Z60" t="str">
            <v>AL</v>
          </cell>
          <cell r="AA60" t="str">
            <v>AL</v>
          </cell>
          <cell r="AB60" t="str">
            <v>AL</v>
          </cell>
          <cell r="AC60" t="str">
            <v>AL</v>
          </cell>
          <cell r="AD60" t="str">
            <v>AL</v>
          </cell>
          <cell r="AE60" t="str">
            <v>AL</v>
          </cell>
        </row>
        <row r="61">
          <cell r="E61" t="str">
            <v>FJ male Local staff</v>
          </cell>
          <cell r="F61" t="str">
            <v>MAD0601</v>
          </cell>
          <cell r="G61" t="str">
            <v xml:space="preserve">Salas </v>
          </cell>
          <cell r="H61" t="str">
            <v xml:space="preserve">MD Mithu Hossain   </v>
          </cell>
          <cell r="I61">
            <v>46235.334374999999</v>
          </cell>
          <cell r="J61">
            <v>46235.962789351855</v>
          </cell>
          <cell r="K61">
            <v>46236.343692129631</v>
          </cell>
          <cell r="L61">
            <v>46236.948194444441</v>
          </cell>
          <cell r="M61">
            <v>46237.341458333336</v>
          </cell>
          <cell r="N61">
            <v>46237.970358796294</v>
          </cell>
          <cell r="O61">
            <v>46238.347141203703</v>
          </cell>
          <cell r="P61">
            <v>46238.942418981482</v>
          </cell>
          <cell r="Q61">
            <v>46239.346030092594</v>
          </cell>
          <cell r="R61">
            <v>46239.944293981483</v>
          </cell>
          <cell r="S61">
            <v>46240.342233796298</v>
          </cell>
          <cell r="T61">
            <v>46240.966099537036</v>
          </cell>
          <cell r="U61" t="str">
            <v>OFF</v>
          </cell>
          <cell r="V61" t="str">
            <v>OFF</v>
          </cell>
          <cell r="W61">
            <v>46242.348449074074</v>
          </cell>
          <cell r="X61">
            <v>46242.961134259262</v>
          </cell>
          <cell r="Y61">
            <v>46243.34269675926</v>
          </cell>
          <cell r="Z61">
            <v>46243.941099537034</v>
          </cell>
          <cell r="AA61">
            <v>46244.345069444447</v>
          </cell>
          <cell r="AB61">
            <v>46244.961724537039</v>
          </cell>
          <cell r="AC61">
            <v>46245.339837962965</v>
          </cell>
          <cell r="AD61">
            <v>46245.934895833336</v>
          </cell>
          <cell r="AE61">
            <v>46246.345648148148</v>
          </cell>
        </row>
        <row r="62">
          <cell r="E62" t="str">
            <v>FJ male Local staff</v>
          </cell>
          <cell r="F62" t="str">
            <v>MAD0602</v>
          </cell>
          <cell r="G62" t="str">
            <v>Doores Godown</v>
          </cell>
          <cell r="H62" t="str">
            <v>MD Rokon Uddin</v>
          </cell>
          <cell r="I62" t="str">
            <v>AL</v>
          </cell>
          <cell r="J62" t="str">
            <v>AL</v>
          </cell>
          <cell r="K62" t="str">
            <v>AL</v>
          </cell>
          <cell r="L62" t="str">
            <v>AL</v>
          </cell>
          <cell r="M62" t="str">
            <v>AL</v>
          </cell>
          <cell r="N62" t="str">
            <v>AL</v>
          </cell>
          <cell r="O62" t="str">
            <v>AL</v>
          </cell>
          <cell r="P62" t="str">
            <v>AL</v>
          </cell>
          <cell r="Q62" t="str">
            <v>AL</v>
          </cell>
          <cell r="R62" t="str">
            <v>AL</v>
          </cell>
          <cell r="S62" t="str">
            <v>AL</v>
          </cell>
          <cell r="T62" t="str">
            <v>AL</v>
          </cell>
          <cell r="U62" t="str">
            <v>AL</v>
          </cell>
          <cell r="V62" t="str">
            <v>AL</v>
          </cell>
          <cell r="W62" t="str">
            <v>AL</v>
          </cell>
          <cell r="X62" t="str">
            <v>AL</v>
          </cell>
          <cell r="Y62" t="str">
            <v>AL</v>
          </cell>
          <cell r="Z62" t="str">
            <v>AL</v>
          </cell>
          <cell r="AA62" t="str">
            <v>AL</v>
          </cell>
          <cell r="AB62" t="str">
            <v>AL</v>
          </cell>
          <cell r="AC62" t="str">
            <v>AL</v>
          </cell>
          <cell r="AD62" t="str">
            <v>AL</v>
          </cell>
          <cell r="AE62" t="str">
            <v>AL</v>
          </cell>
        </row>
        <row r="63">
          <cell r="E63" t="str">
            <v>FJ male Local staff</v>
          </cell>
          <cell r="F63" t="str">
            <v>MAD0603</v>
          </cell>
          <cell r="G63" t="str">
            <v>Athulhu Shop</v>
          </cell>
          <cell r="H63" t="str">
            <v>MD Al Amin</v>
          </cell>
          <cell r="I63">
            <v>46235.348877314813</v>
          </cell>
          <cell r="J63">
            <v>46235.957280092596</v>
          </cell>
          <cell r="K63">
            <v>46236.349409722221</v>
          </cell>
          <cell r="L63">
            <v>46236.942256944443</v>
          </cell>
          <cell r="M63">
            <v>46237.350532407407</v>
          </cell>
          <cell r="N63">
            <v>46237.943136574075</v>
          </cell>
          <cell r="O63">
            <v>46238.349317129629</v>
          </cell>
          <cell r="P63">
            <v>46238.9453587963</v>
          </cell>
          <cell r="Q63">
            <v>46239.348738425928</v>
          </cell>
          <cell r="R63">
            <v>46239.93377314815</v>
          </cell>
          <cell r="S63">
            <v>46240.34814814815</v>
          </cell>
          <cell r="T63">
            <v>46240.929340277777</v>
          </cell>
          <cell r="U63" t="str">
            <v>OFF</v>
          </cell>
          <cell r="V63" t="str">
            <v>OFF</v>
          </cell>
          <cell r="W63">
            <v>46242.34784722222</v>
          </cell>
          <cell r="X63">
            <v>46242.968460648146</v>
          </cell>
          <cell r="Y63">
            <v>46243.345729166664</v>
          </cell>
          <cell r="Z63">
            <v>46243.958553240744</v>
          </cell>
          <cell r="AA63">
            <v>46244.353321759256</v>
          </cell>
          <cell r="AB63">
            <v>46244.939270833333</v>
          </cell>
          <cell r="AC63">
            <v>46245.346631944441</v>
          </cell>
          <cell r="AD63">
            <v>46245.936759259261</v>
          </cell>
          <cell r="AE63">
            <v>46246.345995370371</v>
          </cell>
        </row>
        <row r="64">
          <cell r="E64" t="str">
            <v>HM Junior staff</v>
          </cell>
          <cell r="F64" t="str">
            <v>MAD0605</v>
          </cell>
          <cell r="G64" t="str">
            <v>HM Shop1</v>
          </cell>
          <cell r="H64" t="str">
            <v>MD Zahir Mia</v>
          </cell>
          <cell r="I64">
            <v>46235.355879629627</v>
          </cell>
          <cell r="J64">
            <v>46235.962407407409</v>
          </cell>
          <cell r="K64">
            <v>46236.348379629628</v>
          </cell>
          <cell r="L64">
            <v>46236.959074074075</v>
          </cell>
          <cell r="M64">
            <v>46237.349733796298</v>
          </cell>
          <cell r="N64">
            <v>46237.954375000001</v>
          </cell>
          <cell r="O64">
            <v>46238.351319444446</v>
          </cell>
          <cell r="P64">
            <v>46238.951840277776</v>
          </cell>
          <cell r="Q64">
            <v>46239.358252314814</v>
          </cell>
          <cell r="R64">
            <v>1</v>
          </cell>
          <cell r="S64">
            <v>46240.353182870371</v>
          </cell>
          <cell r="T64">
            <v>46240.966261574074</v>
          </cell>
          <cell r="U64" t="str">
            <v>OFF</v>
          </cell>
          <cell r="V64" t="str">
            <v>OFF</v>
          </cell>
          <cell r="W64">
            <v>46242.353564814817</v>
          </cell>
          <cell r="X64">
            <v>1</v>
          </cell>
          <cell r="Y64">
            <v>46243.350381944445</v>
          </cell>
          <cell r="Z64">
            <v>46243.941030092596</v>
          </cell>
          <cell r="AA64">
            <v>46244.349930555552</v>
          </cell>
          <cell r="AB64">
            <v>1</v>
          </cell>
          <cell r="AC64">
            <v>46245.354270833333</v>
          </cell>
          <cell r="AD64">
            <v>1</v>
          </cell>
          <cell r="AE64">
            <v>46246.345914351848</v>
          </cell>
        </row>
        <row r="65">
          <cell r="E65" t="str">
            <v>Fs male Local staff</v>
          </cell>
          <cell r="F65" t="str">
            <v>MAD0606</v>
          </cell>
          <cell r="G65" t="str">
            <v>Doores Godown</v>
          </cell>
          <cell r="H65" t="str">
            <v>Thirugnanam Maruthai</v>
          </cell>
          <cell r="I65">
            <v>46235.354849537034</v>
          </cell>
          <cell r="J65">
            <v>46235.972974537035</v>
          </cell>
          <cell r="K65">
            <v>46236.353067129632</v>
          </cell>
          <cell r="L65">
            <v>46236.9921875</v>
          </cell>
          <cell r="M65">
            <v>46237.354479166665</v>
          </cell>
          <cell r="N65">
            <v>46237.969687500001</v>
          </cell>
          <cell r="O65">
            <v>46238.355775462966</v>
          </cell>
          <cell r="P65">
            <v>46238.948287037034</v>
          </cell>
          <cell r="Q65">
            <v>46239.354791666665</v>
          </cell>
          <cell r="R65">
            <v>46239.967037037037</v>
          </cell>
          <cell r="S65">
            <v>46240.354432870372</v>
          </cell>
          <cell r="T65">
            <v>46240.972662037035</v>
          </cell>
          <cell r="U65" t="str">
            <v>OFF</v>
          </cell>
          <cell r="V65" t="str">
            <v>OFF</v>
          </cell>
          <cell r="W65">
            <v>46242.354814814818</v>
          </cell>
          <cell r="X65">
            <v>46242.989571759259</v>
          </cell>
          <cell r="Y65">
            <v>46243.354768518519</v>
          </cell>
          <cell r="Z65">
            <v>46243.938437500001</v>
          </cell>
          <cell r="AA65">
            <v>46244.355219907404</v>
          </cell>
          <cell r="AB65">
            <v>46244.969421296293</v>
          </cell>
          <cell r="AC65">
            <v>46245.356030092589</v>
          </cell>
          <cell r="AD65">
            <v>46245.942546296297</v>
          </cell>
          <cell r="AE65">
            <v>46246.35497685185</v>
          </cell>
        </row>
        <row r="66">
          <cell r="E66" t="str">
            <v>HM Junior staff</v>
          </cell>
          <cell r="F66" t="str">
            <v>MAD0607</v>
          </cell>
          <cell r="G66" t="str">
            <v>HM Shop2</v>
          </cell>
          <cell r="H66" t="str">
            <v>Md Mukul Ali</v>
          </cell>
          <cell r="I66" t="str">
            <v>AL</v>
          </cell>
          <cell r="J66" t="str">
            <v>AL</v>
          </cell>
          <cell r="K66" t="str">
            <v>AL</v>
          </cell>
          <cell r="L66" t="str">
            <v>AL</v>
          </cell>
          <cell r="M66" t="str">
            <v>AL</v>
          </cell>
          <cell r="N66" t="str">
            <v>AL</v>
          </cell>
          <cell r="O66" t="str">
            <v>AL</v>
          </cell>
          <cell r="P66" t="str">
            <v>AL</v>
          </cell>
          <cell r="Q66" t="str">
            <v>AL</v>
          </cell>
          <cell r="R66" t="str">
            <v>AL</v>
          </cell>
          <cell r="S66" t="str">
            <v>AL</v>
          </cell>
          <cell r="T66" t="str">
            <v>AL</v>
          </cell>
          <cell r="U66" t="str">
            <v>AL</v>
          </cell>
          <cell r="V66" t="str">
            <v>AL</v>
          </cell>
          <cell r="W66" t="str">
            <v>AL</v>
          </cell>
          <cell r="X66" t="str">
            <v>AL</v>
          </cell>
          <cell r="Y66" t="str">
            <v>AL</v>
          </cell>
          <cell r="Z66" t="str">
            <v>AL</v>
          </cell>
          <cell r="AA66" t="str">
            <v>AL</v>
          </cell>
          <cell r="AB66" t="str">
            <v>AL</v>
          </cell>
          <cell r="AC66" t="str">
            <v>AL</v>
          </cell>
          <cell r="AD66" t="str">
            <v>AL</v>
          </cell>
          <cell r="AE66" t="str">
            <v>AL</v>
          </cell>
        </row>
        <row r="67">
          <cell r="E67" t="str">
            <v>FJ male Local staff</v>
          </cell>
          <cell r="F67" t="str">
            <v>MAD0613</v>
          </cell>
          <cell r="G67" t="str">
            <v>Athulhu Shop</v>
          </cell>
          <cell r="H67" t="str">
            <v xml:space="preserve">	PUJA RAI</v>
          </cell>
          <cell r="I67">
            <v>46235.352199074077</v>
          </cell>
          <cell r="J67">
            <v>46235.937800925924</v>
          </cell>
          <cell r="K67">
            <v>46236.346377314818</v>
          </cell>
          <cell r="L67">
            <v>46236.935266203705</v>
          </cell>
          <cell r="M67">
            <v>46237.347303240742</v>
          </cell>
          <cell r="N67">
            <v>46237.925532407404</v>
          </cell>
          <cell r="O67">
            <v>46238.351493055554</v>
          </cell>
          <cell r="P67">
            <v>46238.922407407408</v>
          </cell>
          <cell r="Q67">
            <v>46239.349675925929</v>
          </cell>
          <cell r="R67">
            <v>46239.923993055556</v>
          </cell>
          <cell r="S67">
            <v>46240.346041666664</v>
          </cell>
          <cell r="T67">
            <v>46240.936608796299</v>
          </cell>
          <cell r="U67" t="str">
            <v>OFF</v>
          </cell>
          <cell r="V67" t="str">
            <v>OFF</v>
          </cell>
          <cell r="W67">
            <v>46242.345462962963</v>
          </cell>
          <cell r="X67">
            <v>46242.938993055555</v>
          </cell>
          <cell r="Y67">
            <v>46243.346168981479</v>
          </cell>
          <cell r="Z67">
            <v>46243.921863425923</v>
          </cell>
          <cell r="AA67">
            <v>46244.349351851852</v>
          </cell>
          <cell r="AB67">
            <v>46244.912488425929</v>
          </cell>
          <cell r="AC67">
            <v>46245.344490740739</v>
          </cell>
          <cell r="AD67">
            <v>46245.911643518521</v>
          </cell>
          <cell r="AE67">
            <v>46246.351585648146</v>
          </cell>
        </row>
        <row r="68">
          <cell r="E68" t="str">
            <v>FJ male Local staff</v>
          </cell>
          <cell r="F68" t="str">
            <v>MAD0618</v>
          </cell>
          <cell r="G68" t="str">
            <v>Galolhu Shop</v>
          </cell>
          <cell r="H68" t="str">
            <v>NASIR ALI</v>
          </cell>
          <cell r="I68">
            <v>46235.354884259257</v>
          </cell>
          <cell r="J68">
            <v>46235.968576388892</v>
          </cell>
          <cell r="K68">
            <v>46236.355428240742</v>
          </cell>
          <cell r="L68">
            <v>1</v>
          </cell>
          <cell r="M68">
            <v>46237.354328703703</v>
          </cell>
          <cell r="N68">
            <v>46237.949664351851</v>
          </cell>
          <cell r="O68">
            <v>46238.355555555558</v>
          </cell>
          <cell r="P68">
            <v>46238.948020833333</v>
          </cell>
          <cell r="Q68">
            <v>46239.354756944442</v>
          </cell>
          <cell r="R68">
            <v>46239.947337962964</v>
          </cell>
          <cell r="S68">
            <v>46240.353958333333</v>
          </cell>
          <cell r="T68">
            <v>1</v>
          </cell>
          <cell r="U68">
            <v>46241.583587962959</v>
          </cell>
          <cell r="V68">
            <v>46241.946620370371</v>
          </cell>
          <cell r="W68">
            <v>46242.354895833334</v>
          </cell>
          <cell r="X68">
            <v>1</v>
          </cell>
          <cell r="Y68">
            <v>46243.354942129627</v>
          </cell>
          <cell r="Z68">
            <v>46243.950590277775</v>
          </cell>
          <cell r="AA68">
            <v>46244.354016203702</v>
          </cell>
          <cell r="AB68">
            <v>46244.94872685185</v>
          </cell>
          <cell r="AC68">
            <v>46245.353726851848</v>
          </cell>
          <cell r="AD68">
            <v>46245.946400462963</v>
          </cell>
          <cell r="AE68">
            <v>46246.354004629633</v>
          </cell>
        </row>
        <row r="69">
          <cell r="E69" t="str">
            <v>FJ male Local staff</v>
          </cell>
          <cell r="F69" t="str">
            <v>MAD0623</v>
          </cell>
          <cell r="G69" t="str">
            <v>Doores Godown</v>
          </cell>
          <cell r="H69" t="str">
            <v xml:space="preserve">Yabuddin </v>
          </cell>
          <cell r="I69">
            <v>46235.353703703702</v>
          </cell>
          <cell r="J69">
            <v>46235.980462962965</v>
          </cell>
          <cell r="K69">
            <v>46236.354444444441</v>
          </cell>
          <cell r="L69">
            <v>46236.991655092592</v>
          </cell>
          <cell r="M69">
            <v>46237.353680555556</v>
          </cell>
          <cell r="N69">
            <v>46237.969293981485</v>
          </cell>
          <cell r="O69">
            <v>46238.353321759256</v>
          </cell>
          <cell r="P69">
            <v>46238.944537037038</v>
          </cell>
          <cell r="Q69">
            <v>46239.353182870371</v>
          </cell>
          <cell r="R69">
            <v>46239.965127314812</v>
          </cell>
          <cell r="S69">
            <v>46240.354062500002</v>
          </cell>
          <cell r="T69">
            <v>46240.970486111109</v>
          </cell>
          <cell r="U69">
            <v>46241.582152777781</v>
          </cell>
          <cell r="V69">
            <v>46241.93408564815</v>
          </cell>
          <cell r="W69">
            <v>46242.353055555555</v>
          </cell>
          <cell r="X69">
            <v>46242.987881944442</v>
          </cell>
          <cell r="Y69">
            <v>46243.353622685187</v>
          </cell>
          <cell r="Z69">
            <v>46243.937581018516</v>
          </cell>
          <cell r="AA69">
            <v>46244.353460648148</v>
          </cell>
          <cell r="AB69">
            <v>46244.966226851851</v>
          </cell>
          <cell r="AC69">
            <v>46245.352141203701</v>
          </cell>
          <cell r="AD69">
            <v>46245.92597222222</v>
          </cell>
          <cell r="AE69">
            <v>46246.352268518516</v>
          </cell>
        </row>
        <row r="70">
          <cell r="E70" t="str">
            <v>Male Local staff</v>
          </cell>
          <cell r="F70" t="str">
            <v>MAD0625</v>
          </cell>
          <cell r="G70" t="str">
            <v>HM Shop1</v>
          </cell>
          <cell r="H70" t="str">
            <v>Aishath Nihaza</v>
          </cell>
          <cell r="I70" t="str">
            <v>AL</v>
          </cell>
          <cell r="J70" t="str">
            <v>AL</v>
          </cell>
          <cell r="K70" t="str">
            <v>AL</v>
          </cell>
          <cell r="L70" t="str">
            <v>AL</v>
          </cell>
          <cell r="M70" t="str">
            <v>AL</v>
          </cell>
          <cell r="N70" t="str">
            <v>AL</v>
          </cell>
          <cell r="O70" t="str">
            <v>AL</v>
          </cell>
          <cell r="P70" t="str">
            <v>AL</v>
          </cell>
          <cell r="Q70">
            <v>0.64236111111111105</v>
          </cell>
          <cell r="R70">
            <v>1</v>
          </cell>
          <cell r="S70">
            <v>0.64722222222222225</v>
          </cell>
          <cell r="T70">
            <v>46240.975798611114</v>
          </cell>
          <cell r="U70">
            <v>46241.576018518521</v>
          </cell>
          <cell r="V70">
            <v>46241.956458333334</v>
          </cell>
          <cell r="W70">
            <v>46242.353506944448</v>
          </cell>
          <cell r="X70">
            <v>1</v>
          </cell>
          <cell r="Y70">
            <v>46243.354143518518</v>
          </cell>
          <cell r="Z70">
            <v>1</v>
          </cell>
          <cell r="AA70" t="str">
            <v>OFF</v>
          </cell>
          <cell r="AB70" t="str">
            <v>OFF</v>
          </cell>
          <cell r="AC70">
            <v>46245.352442129632</v>
          </cell>
          <cell r="AD70">
            <v>1</v>
          </cell>
          <cell r="AE70">
            <v>1</v>
          </cell>
        </row>
        <row r="71">
          <cell r="E71" t="str">
            <v>HM Junior staff</v>
          </cell>
          <cell r="F71" t="str">
            <v>MAD0627</v>
          </cell>
          <cell r="G71" t="str">
            <v>HM Shop1</v>
          </cell>
          <cell r="H71" t="str">
            <v>Manirul Laskar</v>
          </cell>
          <cell r="I71">
            <v>46235.348749999997</v>
          </cell>
          <cell r="J71">
            <v>46235.96329861111</v>
          </cell>
          <cell r="K71">
            <v>46236.347986111112</v>
          </cell>
          <cell r="L71">
            <v>46236.946435185186</v>
          </cell>
          <cell r="M71">
            <v>46237.348703703705</v>
          </cell>
          <cell r="N71">
            <v>46237.955347222225</v>
          </cell>
          <cell r="O71">
            <v>46238.349398148152</v>
          </cell>
          <cell r="P71">
            <v>46238.939409722225</v>
          </cell>
          <cell r="Q71">
            <v>46239.352256944447</v>
          </cell>
          <cell r="R71">
            <v>46239.943749999999</v>
          </cell>
          <cell r="S71">
            <v>46240.352083333331</v>
          </cell>
          <cell r="T71">
            <v>46240.964317129627</v>
          </cell>
          <cell r="U71">
            <v>46241.576412037037</v>
          </cell>
          <cell r="V71">
            <v>46241.946388888886</v>
          </cell>
          <cell r="W71">
            <v>46242.352777777778</v>
          </cell>
          <cell r="X71">
            <v>46242.966851851852</v>
          </cell>
          <cell r="Y71">
            <v>46243.348553240743</v>
          </cell>
          <cell r="Z71">
            <v>46243.941458333335</v>
          </cell>
          <cell r="AA71">
            <v>46244.349247685182</v>
          </cell>
          <cell r="AB71">
            <v>46244.954456018517</v>
          </cell>
          <cell r="AC71">
            <v>46245.353194444448</v>
          </cell>
          <cell r="AD71">
            <v>46245.944212962961</v>
          </cell>
          <cell r="AE71">
            <v>46246.349641203706</v>
          </cell>
        </row>
        <row r="72">
          <cell r="E72" t="str">
            <v>Male Local staff</v>
          </cell>
          <cell r="F72" t="str">
            <v>MAD0631</v>
          </cell>
          <cell r="G72" t="str">
            <v>HM Shop2</v>
          </cell>
          <cell r="H72" t="str">
            <v>Zumna Ahmed</v>
          </cell>
          <cell r="I72">
            <v>1</v>
          </cell>
          <cell r="J72">
            <v>1</v>
          </cell>
          <cell r="K72">
            <v>0</v>
          </cell>
          <cell r="L72">
            <v>46236.951874999999</v>
          </cell>
          <cell r="M72">
            <v>1</v>
          </cell>
          <cell r="N72">
            <v>46237.952106481483</v>
          </cell>
          <cell r="O72">
            <v>1</v>
          </cell>
          <cell r="P72">
            <v>46238.950995370367</v>
          </cell>
          <cell r="Q72">
            <v>1</v>
          </cell>
          <cell r="R72">
            <v>46239.943622685183</v>
          </cell>
          <cell r="S72">
            <v>1</v>
          </cell>
          <cell r="T72">
            <v>46240.970671296294</v>
          </cell>
          <cell r="U72">
            <v>46241.584432870368</v>
          </cell>
          <cell r="V72">
            <v>46241.953414351854</v>
          </cell>
          <cell r="W72">
            <v>46242.356435185182</v>
          </cell>
          <cell r="X72">
            <v>1</v>
          </cell>
          <cell r="Y72">
            <v>1</v>
          </cell>
          <cell r="Z72">
            <v>1</v>
          </cell>
          <cell r="AA72">
            <v>46244.352881944447</v>
          </cell>
          <cell r="AB72">
            <v>1</v>
          </cell>
          <cell r="AC72">
            <v>46245.353530092594</v>
          </cell>
          <cell r="AD72">
            <v>1</v>
          </cell>
          <cell r="AE72">
            <v>46246.353032407409</v>
          </cell>
        </row>
        <row r="73">
          <cell r="E73" t="str">
            <v>FJ male Local staff</v>
          </cell>
          <cell r="F73" t="str">
            <v>MAD0632</v>
          </cell>
          <cell r="G73" t="str">
            <v>Retail Shop</v>
          </cell>
          <cell r="H73" t="str">
            <v>Nabina Thapa</v>
          </cell>
          <cell r="I73">
            <v>46235.352858796294</v>
          </cell>
          <cell r="J73">
            <v>46235.975428240738</v>
          </cell>
          <cell r="K73">
            <v>46236.352349537039</v>
          </cell>
          <cell r="L73">
            <v>46236.958449074074</v>
          </cell>
          <cell r="M73">
            <v>46237.351458333331</v>
          </cell>
          <cell r="N73">
            <v>46237.960590277777</v>
          </cell>
          <cell r="O73">
            <v>46238.352997685186</v>
          </cell>
          <cell r="P73">
            <v>46238.957256944443</v>
          </cell>
          <cell r="Q73">
            <v>46239.352881944447</v>
          </cell>
          <cell r="R73">
            <v>46239.955601851849</v>
          </cell>
          <cell r="S73">
            <v>46240.351643518516</v>
          </cell>
          <cell r="T73">
            <v>46240.981770833336</v>
          </cell>
          <cell r="U73" t="str">
            <v>OFF</v>
          </cell>
          <cell r="V73" t="str">
            <v>OFF</v>
          </cell>
          <cell r="W73">
            <v>46242.349861111114</v>
          </cell>
          <cell r="X73">
            <v>46242.97314814815</v>
          </cell>
          <cell r="Y73">
            <v>46243.352037037039</v>
          </cell>
          <cell r="Z73">
            <v>46243.966296296298</v>
          </cell>
          <cell r="AA73">
            <v>46244.352094907408</v>
          </cell>
          <cell r="AB73">
            <v>46244.957731481481</v>
          </cell>
          <cell r="AC73">
            <v>46245.352916666663</v>
          </cell>
          <cell r="AD73">
            <v>46245.960821759261</v>
          </cell>
          <cell r="AE73">
            <v>46246.352152777778</v>
          </cell>
        </row>
        <row r="74">
          <cell r="E74" t="str">
            <v>FJ male Local staff</v>
          </cell>
          <cell r="F74" t="str">
            <v>MAD0636</v>
          </cell>
          <cell r="G74" t="str">
            <v>Doores Godown</v>
          </cell>
          <cell r="H74" t="str">
            <v>Mohammad Ajmal</v>
          </cell>
          <cell r="I74">
            <v>46235.352546296293</v>
          </cell>
          <cell r="J74">
            <v>46235.970532407409</v>
          </cell>
          <cell r="K74">
            <v>46236.353761574072</v>
          </cell>
          <cell r="L74">
            <v>46236.991759259261</v>
          </cell>
          <cell r="M74">
            <v>46237.353946759256</v>
          </cell>
          <cell r="N74">
            <v>46237.968217592592</v>
          </cell>
          <cell r="O74">
            <v>46238.353495370371</v>
          </cell>
          <cell r="P74">
            <v>46238.944143518522</v>
          </cell>
          <cell r="Q74">
            <v>46239.352094907408</v>
          </cell>
          <cell r="R74">
            <v>46239.965300925927</v>
          </cell>
          <cell r="S74">
            <v>46240.352349537039</v>
          </cell>
          <cell r="T74">
            <v>46240.969513888886</v>
          </cell>
          <cell r="U74" t="str">
            <v>OFF</v>
          </cell>
          <cell r="V74" t="str">
            <v>OFF</v>
          </cell>
          <cell r="W74">
            <v>46242.348819444444</v>
          </cell>
          <cell r="X74">
            <v>46242.989652777775</v>
          </cell>
          <cell r="Y74">
            <v>46243.352303240739</v>
          </cell>
          <cell r="Z74">
            <v>1</v>
          </cell>
          <cell r="AA74">
            <v>46244.349039351851</v>
          </cell>
          <cell r="AB74">
            <v>46244.967476851853</v>
          </cell>
          <cell r="AC74">
            <v>46245.349710648145</v>
          </cell>
          <cell r="AD74">
            <v>46245.925092592595</v>
          </cell>
          <cell r="AE74">
            <v>46246.350972222222</v>
          </cell>
        </row>
        <row r="75">
          <cell r="E75" t="str">
            <v>FJ male Local staff</v>
          </cell>
          <cell r="F75" t="str">
            <v>MAD0637</v>
          </cell>
          <cell r="G75" t="str">
            <v>HM Shop2</v>
          </cell>
          <cell r="H75" t="str">
            <v xml:space="preserve"> Alisan</v>
          </cell>
          <cell r="I75">
            <v>46235.317499999997</v>
          </cell>
          <cell r="J75">
            <v>1</v>
          </cell>
          <cell r="K75">
            <v>46236.351076388892</v>
          </cell>
          <cell r="L75">
            <v>46236.952222222222</v>
          </cell>
          <cell r="M75">
            <v>46237.353518518517</v>
          </cell>
          <cell r="N75">
            <v>46237.957199074073</v>
          </cell>
          <cell r="O75">
            <v>46238.428379629629</v>
          </cell>
          <cell r="P75">
            <v>1</v>
          </cell>
          <cell r="Q75">
            <v>46239.352280092593</v>
          </cell>
          <cell r="R75">
            <v>46239.965601851851</v>
          </cell>
          <cell r="S75">
            <v>46240.347314814811</v>
          </cell>
          <cell r="T75">
            <v>46240.971226851849</v>
          </cell>
          <cell r="U75">
            <v>46241.575729166667</v>
          </cell>
          <cell r="V75">
            <v>46241.934016203704</v>
          </cell>
          <cell r="W75">
            <v>46242.351747685185</v>
          </cell>
          <cell r="X75">
            <v>1</v>
          </cell>
          <cell r="Y75" t="str">
            <v>SICK</v>
          </cell>
          <cell r="Z75" t="str">
            <v>SICK</v>
          </cell>
          <cell r="AA75">
            <v>46244.354687500003</v>
          </cell>
          <cell r="AB75">
            <v>46244.967523148145</v>
          </cell>
          <cell r="AC75">
            <v>46245.348761574074</v>
          </cell>
          <cell r="AD75">
            <v>46245.922893518517</v>
          </cell>
          <cell r="AE75">
            <v>46246.351053240738</v>
          </cell>
        </row>
        <row r="76">
          <cell r="E76" t="str">
            <v>FJ male Local staff</v>
          </cell>
          <cell r="F76" t="str">
            <v>MAD0643</v>
          </cell>
          <cell r="G76" t="str">
            <v>Doores Godown</v>
          </cell>
          <cell r="H76" t="str">
            <v>NAJIR SHEKH</v>
          </cell>
          <cell r="I76">
            <v>46235.361956018518</v>
          </cell>
          <cell r="J76">
            <v>1</v>
          </cell>
          <cell r="K76">
            <v>0</v>
          </cell>
          <cell r="L76">
            <v>46236.93953703704</v>
          </cell>
          <cell r="M76">
            <v>46237.34883101852</v>
          </cell>
          <cell r="N76">
            <v>46237.916724537034</v>
          </cell>
          <cell r="O76">
            <v>46238.346724537034</v>
          </cell>
          <cell r="P76">
            <v>1</v>
          </cell>
          <cell r="Q76">
            <v>46239.354537037034</v>
          </cell>
          <cell r="R76">
            <v>1</v>
          </cell>
          <cell r="S76">
            <v>46240.345196759263</v>
          </cell>
          <cell r="T76">
            <v>1</v>
          </cell>
          <cell r="U76">
            <v>46241.564282407409</v>
          </cell>
          <cell r="V76">
            <v>46241.914942129632</v>
          </cell>
          <cell r="W76">
            <v>46242.361122685186</v>
          </cell>
          <cell r="X76">
            <v>46242.916724537034</v>
          </cell>
          <cell r="Y76">
            <v>46243.333981481483</v>
          </cell>
          <cell r="Z76">
            <v>1</v>
          </cell>
          <cell r="AA76">
            <v>46244.427777777775</v>
          </cell>
          <cell r="AB76">
            <v>46244.919814814813</v>
          </cell>
          <cell r="AC76">
            <v>46245.418796296297</v>
          </cell>
          <cell r="AD76">
            <v>46245.939236111109</v>
          </cell>
          <cell r="AE76">
            <v>1</v>
          </cell>
        </row>
        <row r="77">
          <cell r="E77" t="str">
            <v>FJ male Local staff</v>
          </cell>
          <cell r="F77" t="str">
            <v>MAD0644</v>
          </cell>
          <cell r="G77" t="str">
            <v>Bazaaru Shop</v>
          </cell>
          <cell r="H77" t="str">
            <v>Biswajit Prasad Sah</v>
          </cell>
          <cell r="I77">
            <v>46235.349050925928</v>
          </cell>
          <cell r="J77">
            <v>46235.940023148149</v>
          </cell>
          <cell r="K77">
            <v>46236.347349537034</v>
          </cell>
          <cell r="L77">
            <v>46236.93677083333</v>
          </cell>
          <cell r="M77">
            <v>46237.347245370373</v>
          </cell>
          <cell r="N77">
            <v>46237.927430555559</v>
          </cell>
          <cell r="O77">
            <v>46238.34684027778</v>
          </cell>
          <cell r="P77">
            <v>46238.925844907404</v>
          </cell>
          <cell r="Q77">
            <v>46239.347245370373</v>
          </cell>
          <cell r="R77">
            <v>46239.921423611115</v>
          </cell>
          <cell r="S77">
            <v>46240.345983796295</v>
          </cell>
          <cell r="T77">
            <v>46240.945208333331</v>
          </cell>
          <cell r="U77">
            <v>46241.57707175926</v>
          </cell>
          <cell r="V77">
            <v>46241.914710648147</v>
          </cell>
          <cell r="W77">
            <v>46242.345937500002</v>
          </cell>
          <cell r="X77">
            <v>46242.936967592592</v>
          </cell>
          <cell r="Y77">
            <v>46243.344849537039</v>
          </cell>
          <cell r="Z77">
            <v>46243.911400462966</v>
          </cell>
          <cell r="AA77">
            <v>46244.347002314818</v>
          </cell>
          <cell r="AB77">
            <v>46244.920115740744</v>
          </cell>
          <cell r="AC77">
            <v>46245.344317129631</v>
          </cell>
          <cell r="AD77">
            <v>46245.926249999997</v>
          </cell>
          <cell r="AE77">
            <v>46246.346064814818</v>
          </cell>
        </row>
        <row r="78">
          <cell r="E78" t="str">
            <v>Male Local staff</v>
          </cell>
          <cell r="F78" t="str">
            <v>MAD0645</v>
          </cell>
          <cell r="G78" t="str">
            <v>Purchasing Office</v>
          </cell>
          <cell r="H78" t="str">
            <v>Hassan Azeem</v>
          </cell>
          <cell r="I78">
            <v>46235.374583333331</v>
          </cell>
          <cell r="J78">
            <v>46235.860844907409</v>
          </cell>
          <cell r="K78">
            <v>46236.371493055558</v>
          </cell>
          <cell r="L78">
            <v>46236.729189814818</v>
          </cell>
          <cell r="M78">
            <v>46237.370856481481</v>
          </cell>
          <cell r="N78">
            <v>46237.725949074076</v>
          </cell>
          <cell r="O78">
            <v>46238.371944444443</v>
          </cell>
          <cell r="P78">
            <v>1</v>
          </cell>
          <cell r="Q78">
            <v>46239.363854166666</v>
          </cell>
          <cell r="R78">
            <v>46239.842314814814</v>
          </cell>
          <cell r="S78">
            <v>46240.367314814815</v>
          </cell>
          <cell r="T78">
            <v>1</v>
          </cell>
          <cell r="U78">
            <v>46241.580543981479</v>
          </cell>
          <cell r="V78">
            <v>1</v>
          </cell>
          <cell r="W78">
            <v>46242.400729166664</v>
          </cell>
          <cell r="X78">
            <v>1</v>
          </cell>
          <cell r="Y78" t="str">
            <v>SICK</v>
          </cell>
          <cell r="Z78" t="str">
            <v>SICK</v>
          </cell>
          <cell r="AA78">
            <v>46244.366620370369</v>
          </cell>
          <cell r="AB78">
            <v>46244.847418981481</v>
          </cell>
          <cell r="AC78">
            <v>46245.39261574074</v>
          </cell>
          <cell r="AD78">
            <v>1</v>
          </cell>
          <cell r="AE78">
            <v>46246.37059027778</v>
          </cell>
        </row>
        <row r="79">
          <cell r="E79" t="str">
            <v>Fs male Local staff</v>
          </cell>
          <cell r="F79" t="str">
            <v>MAD0652</v>
          </cell>
          <cell r="G79" t="str">
            <v>Head Office</v>
          </cell>
          <cell r="H79" t="str">
            <v>ADNAN ABDUL MAJEED NAZIR</v>
          </cell>
          <cell r="I79">
            <v>46238.371944444443</v>
          </cell>
          <cell r="J79">
            <v>1</v>
          </cell>
          <cell r="K79">
            <v>46238.371944444443</v>
          </cell>
          <cell r="L79">
            <v>1</v>
          </cell>
          <cell r="M79">
            <v>46237.373969907407</v>
          </cell>
          <cell r="N79">
            <v>46237.9996875</v>
          </cell>
          <cell r="O79">
            <v>46238.371944444443</v>
          </cell>
          <cell r="P79">
            <v>46238.98946759259</v>
          </cell>
          <cell r="Q79">
            <v>46238.371944444443</v>
          </cell>
          <cell r="R79">
            <v>46239.986331018517</v>
          </cell>
          <cell r="S79">
            <v>46240.379780092589</v>
          </cell>
          <cell r="T79">
            <v>46241.012928240743</v>
          </cell>
          <cell r="U79" t="str">
            <v>OFF</v>
          </cell>
          <cell r="V79" t="str">
            <v>OFF</v>
          </cell>
          <cell r="W79">
            <v>46242.420868055553</v>
          </cell>
          <cell r="X79">
            <v>46243.004155092596</v>
          </cell>
          <cell r="Y79">
            <v>46243.376157407409</v>
          </cell>
          <cell r="Z79">
            <v>46243.985775462963</v>
          </cell>
          <cell r="AA79">
            <v>46244.381307870368</v>
          </cell>
          <cell r="AB79">
            <v>46244.994814814818</v>
          </cell>
          <cell r="AC79">
            <v>46245.377268518518</v>
          </cell>
          <cell r="AD79">
            <v>46245.988541666666</v>
          </cell>
          <cell r="AE79">
            <v>46246.379583333335</v>
          </cell>
        </row>
        <row r="80">
          <cell r="E80" t="str">
            <v>Hulhumale Senior staff</v>
          </cell>
          <cell r="F80" t="str">
            <v>MAD0655</v>
          </cell>
          <cell r="G80" t="str">
            <v>HM Shop2</v>
          </cell>
          <cell r="H80" t="str">
            <v>Arulmani Kumaresan</v>
          </cell>
          <cell r="I80">
            <v>46235.332175925927</v>
          </cell>
          <cell r="J80">
            <v>46235.971076388887</v>
          </cell>
          <cell r="K80" t="str">
            <v>SICK</v>
          </cell>
          <cell r="L80" t="str">
            <v>SICK</v>
          </cell>
          <cell r="M80">
            <v>46237.33152777778</v>
          </cell>
          <cell r="N80">
            <v>46237.95752314815</v>
          </cell>
          <cell r="O80">
            <v>1</v>
          </cell>
          <cell r="P80">
            <v>1</v>
          </cell>
          <cell r="Q80">
            <v>46239.371944386578</v>
          </cell>
          <cell r="R80">
            <v>46239.981122685182</v>
          </cell>
          <cell r="S80">
            <v>46240.333171296297</v>
          </cell>
          <cell r="T80">
            <v>1</v>
          </cell>
          <cell r="U80">
            <v>46241.580914351849</v>
          </cell>
          <cell r="V80">
            <v>46241.990543981483</v>
          </cell>
          <cell r="W80">
            <v>46242.339641203704</v>
          </cell>
          <cell r="X80">
            <v>46242.992581018516</v>
          </cell>
          <cell r="Y80">
            <v>46243.329976851855</v>
          </cell>
          <cell r="Z80">
            <v>1</v>
          </cell>
          <cell r="AA80">
            <v>46244.332314814812</v>
          </cell>
          <cell r="AB80">
            <v>46244.989710648151</v>
          </cell>
          <cell r="AC80">
            <v>46245.331145833334</v>
          </cell>
          <cell r="AD80">
            <v>46245.977789351855</v>
          </cell>
          <cell r="AE80">
            <v>46246.330694444441</v>
          </cell>
        </row>
        <row r="81">
          <cell r="E81" t="str">
            <v>HM Junior staff</v>
          </cell>
          <cell r="F81" t="str">
            <v>MAD0657</v>
          </cell>
          <cell r="G81" t="str">
            <v>HM Site</v>
          </cell>
          <cell r="H81" t="str">
            <v xml:space="preserve"> Firoj Pawariya</v>
          </cell>
          <cell r="I81">
            <v>46235.326840277776</v>
          </cell>
          <cell r="J81">
            <v>46235.891342592593</v>
          </cell>
          <cell r="K81">
            <v>46236.32068287037</v>
          </cell>
          <cell r="L81">
            <v>46236.882881944446</v>
          </cell>
          <cell r="M81">
            <v>46237.308842592596</v>
          </cell>
          <cell r="N81">
            <v>46237.8825462963</v>
          </cell>
          <cell r="O81">
            <v>46238.334016203706</v>
          </cell>
          <cell r="P81">
            <v>46238.921875</v>
          </cell>
          <cell r="Q81">
            <v>46239.364027777781</v>
          </cell>
          <cell r="R81">
            <v>46239.909814814811</v>
          </cell>
          <cell r="S81">
            <v>46240.330729166664</v>
          </cell>
          <cell r="T81">
            <v>46240.922384259262</v>
          </cell>
          <cell r="U81" t="str">
            <v>OFF</v>
          </cell>
          <cell r="V81" t="str">
            <v>OFF</v>
          </cell>
          <cell r="W81">
            <v>46242.335601851853</v>
          </cell>
          <cell r="X81">
            <v>46242.902337962965</v>
          </cell>
          <cell r="Y81">
            <v>46243.344733796293</v>
          </cell>
          <cell r="Z81">
            <v>46243.901226851849</v>
          </cell>
          <cell r="AA81">
            <v>46244.353310185186</v>
          </cell>
          <cell r="AB81">
            <v>46244.90185185185</v>
          </cell>
          <cell r="AC81">
            <v>46245.330659722225</v>
          </cell>
          <cell r="AD81">
            <v>46245.903043981481</v>
          </cell>
          <cell r="AE81">
            <v>46246.33321759259</v>
          </cell>
        </row>
        <row r="82">
          <cell r="E82" t="str">
            <v>HM Junior staff</v>
          </cell>
          <cell r="F82" t="str">
            <v>MAD0658</v>
          </cell>
          <cell r="G82" t="str">
            <v>HM Site</v>
          </cell>
          <cell r="H82" t="str">
            <v>Javed Alam</v>
          </cell>
          <cell r="I82" t="str">
            <v>AL</v>
          </cell>
          <cell r="J82" t="str">
            <v>AL</v>
          </cell>
          <cell r="K82" t="str">
            <v>AL</v>
          </cell>
          <cell r="L82" t="str">
            <v>AL</v>
          </cell>
          <cell r="M82" t="str">
            <v>AL</v>
          </cell>
          <cell r="N82" t="str">
            <v>AL</v>
          </cell>
          <cell r="O82" t="str">
            <v>AL</v>
          </cell>
          <cell r="P82" t="str">
            <v>AL</v>
          </cell>
          <cell r="Q82" t="str">
            <v>AL</v>
          </cell>
          <cell r="R82" t="str">
            <v>AL</v>
          </cell>
          <cell r="S82" t="str">
            <v>AL</v>
          </cell>
          <cell r="T82" t="str">
            <v>AL</v>
          </cell>
          <cell r="U82" t="str">
            <v>AL</v>
          </cell>
          <cell r="V82" t="str">
            <v>AL</v>
          </cell>
          <cell r="W82" t="str">
            <v>AL</v>
          </cell>
          <cell r="X82" t="str">
            <v>AL</v>
          </cell>
          <cell r="Y82" t="str">
            <v>AL</v>
          </cell>
          <cell r="Z82" t="str">
            <v>AL</v>
          </cell>
          <cell r="AA82" t="str">
            <v>AL</v>
          </cell>
          <cell r="AB82" t="str">
            <v>AL</v>
          </cell>
          <cell r="AC82" t="str">
            <v>AL</v>
          </cell>
          <cell r="AD82" t="str">
            <v>AL</v>
          </cell>
          <cell r="AE82" t="str">
            <v>AL</v>
          </cell>
        </row>
        <row r="83">
          <cell r="E83" t="str">
            <v>Batuta</v>
          </cell>
          <cell r="F83" t="str">
            <v>MAD0661</v>
          </cell>
          <cell r="G83" t="str">
            <v>Head Office</v>
          </cell>
          <cell r="H83" t="str">
            <v>Jose Francis</v>
          </cell>
          <cell r="I83">
            <v>46235.375486111108</v>
          </cell>
          <cell r="J83">
            <v>46235.735034722224</v>
          </cell>
          <cell r="K83">
            <v>46236.375474537039</v>
          </cell>
          <cell r="L83">
            <v>46236.748703703706</v>
          </cell>
          <cell r="M83">
            <v>46237.375486111108</v>
          </cell>
          <cell r="N83">
            <v>46237.741909722223</v>
          </cell>
          <cell r="O83">
            <v>46238.374282407407</v>
          </cell>
          <cell r="P83">
            <v>46238.743564814817</v>
          </cell>
          <cell r="Q83">
            <v>46239.374039351853</v>
          </cell>
          <cell r="R83">
            <v>1</v>
          </cell>
          <cell r="S83">
            <v>46240.374351851853</v>
          </cell>
          <cell r="T83">
            <v>46240.754062499997</v>
          </cell>
          <cell r="U83" t="str">
            <v>OFF</v>
          </cell>
          <cell r="V83" t="str">
            <v>OFF</v>
          </cell>
          <cell r="W83">
            <v>46242.374745370369</v>
          </cell>
          <cell r="X83">
            <v>46242.743472222224</v>
          </cell>
          <cell r="Y83">
            <v>46243.374988425923</v>
          </cell>
          <cell r="Z83">
            <v>46243.737384259257</v>
          </cell>
          <cell r="AA83">
            <v>46244.37363425926</v>
          </cell>
          <cell r="AB83">
            <v>46244.725416666668</v>
          </cell>
          <cell r="AC83">
            <v>46245.375023148146</v>
          </cell>
          <cell r="AD83">
            <v>46245.74019675926</v>
          </cell>
          <cell r="AE83">
            <v>46246.374571759261</v>
          </cell>
        </row>
        <row r="84">
          <cell r="E84" t="str">
            <v>FJ male Local staff</v>
          </cell>
          <cell r="F84" t="str">
            <v>MAD0668</v>
          </cell>
          <cell r="G84" t="str">
            <v>Maintenance</v>
          </cell>
          <cell r="H84" t="str">
            <v>Arun Kumar Vettikattil</v>
          </cell>
          <cell r="I84">
            <v>46235.351747685185</v>
          </cell>
          <cell r="J84">
            <v>46235.961585648147</v>
          </cell>
          <cell r="K84">
            <v>46236.350115740737</v>
          </cell>
          <cell r="L84">
            <v>46236.937800925924</v>
          </cell>
          <cell r="M84">
            <v>46237.350428240738</v>
          </cell>
          <cell r="N84">
            <v>46237.9377662037</v>
          </cell>
          <cell r="O84">
            <v>46238.352465277778</v>
          </cell>
          <cell r="P84">
            <v>46238.939918981479</v>
          </cell>
          <cell r="Q84">
            <v>46239.352731481478</v>
          </cell>
          <cell r="R84">
            <v>46239.938796296294</v>
          </cell>
          <cell r="S84">
            <v>46240.350243055553</v>
          </cell>
          <cell r="T84">
            <v>46240.937476851854</v>
          </cell>
          <cell r="U84">
            <v>46241.576053240744</v>
          </cell>
          <cell r="V84">
            <v>46241.937928240739</v>
          </cell>
          <cell r="W84">
            <v>46242.395335648151</v>
          </cell>
          <cell r="X84">
            <v>46242.937650462962</v>
          </cell>
          <cell r="Y84">
            <v>46243.350752314815</v>
          </cell>
          <cell r="Z84">
            <v>46243.937673611108</v>
          </cell>
          <cell r="AA84" t="str">
            <v>SICK</v>
          </cell>
          <cell r="AB84" t="str">
            <v>SICK</v>
          </cell>
          <cell r="AC84">
            <v>46245.352581018517</v>
          </cell>
          <cell r="AD84">
            <v>46245.948842592596</v>
          </cell>
          <cell r="AE84">
            <v>46246.3512962963</v>
          </cell>
        </row>
        <row r="85">
          <cell r="E85" t="str">
            <v>FJ male Local staff</v>
          </cell>
          <cell r="F85" t="str">
            <v>MAD0669</v>
          </cell>
          <cell r="G85" t="str">
            <v>Doores Godown</v>
          </cell>
          <cell r="H85" t="str">
            <v>Shekh Kalamudin</v>
          </cell>
          <cell r="I85">
            <v>46235.34988425926</v>
          </cell>
          <cell r="J85">
            <v>46235.959537037037</v>
          </cell>
          <cell r="K85">
            <v>46236.354027777779</v>
          </cell>
          <cell r="L85">
            <v>46236.991064814814</v>
          </cell>
          <cell r="M85">
            <v>46237.347361111111</v>
          </cell>
          <cell r="N85">
            <v>46237.968993055554</v>
          </cell>
          <cell r="O85">
            <v>46238.350706018522</v>
          </cell>
          <cell r="P85">
            <v>46238.94427083333</v>
          </cell>
          <cell r="Q85">
            <v>46239.35460648148</v>
          </cell>
          <cell r="R85">
            <v>46239.940312500003</v>
          </cell>
          <cell r="S85">
            <v>46240.347233796296</v>
          </cell>
          <cell r="T85">
            <v>46240.919548611113</v>
          </cell>
          <cell r="U85" t="str">
            <v>OFF</v>
          </cell>
          <cell r="V85" t="str">
            <v>OFF</v>
          </cell>
          <cell r="W85">
            <v>46242.352314814816</v>
          </cell>
          <cell r="X85">
            <v>46242.98809027778</v>
          </cell>
          <cell r="Y85">
            <v>46243.353217592594</v>
          </cell>
          <cell r="Z85">
            <v>46243.937060185184</v>
          </cell>
          <cell r="AA85">
            <v>46244.352164351854</v>
          </cell>
          <cell r="AB85">
            <v>46244.967569444445</v>
          </cell>
          <cell r="AC85">
            <v>46245.346712962964</v>
          </cell>
          <cell r="AD85">
            <v>46245.921122685184</v>
          </cell>
          <cell r="AE85">
            <v>46246.350810185184</v>
          </cell>
        </row>
        <row r="86">
          <cell r="E86" t="str">
            <v>Fs male Local staff</v>
          </cell>
          <cell r="F86" t="str">
            <v>MAD0670</v>
          </cell>
          <cell r="G86" t="str">
            <v>Purchasing Office</v>
          </cell>
          <cell r="H86" t="str">
            <v>Mohideen Abdul Rahuman Mohamed Ismail</v>
          </cell>
          <cell r="I86">
            <v>46235.335393518515</v>
          </cell>
          <cell r="J86">
            <v>46235.941689814812</v>
          </cell>
          <cell r="K86">
            <v>46236.346990740742</v>
          </cell>
          <cell r="L86">
            <v>46236.939432870371</v>
          </cell>
          <cell r="M86">
            <v>46237.340520833335</v>
          </cell>
          <cell r="N86">
            <v>46237.937708333331</v>
          </cell>
          <cell r="O86">
            <v>46238.341111111113</v>
          </cell>
          <cell r="P86">
            <v>46238.945254629631</v>
          </cell>
          <cell r="Q86">
            <v>46239.353298611109</v>
          </cell>
          <cell r="R86">
            <v>46239.932511574072</v>
          </cell>
          <cell r="S86">
            <v>46240.336284722223</v>
          </cell>
          <cell r="T86">
            <v>46240.93849537037</v>
          </cell>
          <cell r="U86">
            <v>46241.562777777777</v>
          </cell>
          <cell r="V86">
            <v>1</v>
          </cell>
          <cell r="W86">
            <v>46242.349259259259</v>
          </cell>
          <cell r="X86">
            <v>46242.938287037039</v>
          </cell>
          <cell r="Y86">
            <v>46243.344386574077</v>
          </cell>
          <cell r="Z86">
            <v>46243.936354166668</v>
          </cell>
          <cell r="AA86">
            <v>46244.341585648152</v>
          </cell>
          <cell r="AB86">
            <v>46244.937928240739</v>
          </cell>
          <cell r="AC86">
            <v>46245.330937500003</v>
          </cell>
          <cell r="AD86">
            <v>46245.933981481481</v>
          </cell>
          <cell r="AE86">
            <v>46246.335312499999</v>
          </cell>
        </row>
        <row r="87">
          <cell r="E87" t="str">
            <v>HM Junior staff</v>
          </cell>
          <cell r="F87" t="str">
            <v>MAD0671</v>
          </cell>
          <cell r="G87" t="str">
            <v>HM Shop2</v>
          </cell>
          <cell r="H87" t="str">
            <v xml:space="preserve"> Najare Alam Ansari</v>
          </cell>
          <cell r="I87">
            <v>46235.333402777775</v>
          </cell>
          <cell r="J87">
            <v>1</v>
          </cell>
          <cell r="K87">
            <v>46236.322650462964</v>
          </cell>
          <cell r="L87">
            <v>1</v>
          </cell>
          <cell r="M87">
            <v>46237.332638888889</v>
          </cell>
          <cell r="N87">
            <v>1</v>
          </cell>
          <cell r="O87">
            <v>46238.332870370374</v>
          </cell>
          <cell r="P87">
            <v>1</v>
          </cell>
          <cell r="Q87">
            <v>46239.364803240744</v>
          </cell>
          <cell r="R87">
            <v>1</v>
          </cell>
          <cell r="S87" t="str">
            <v>SICK</v>
          </cell>
          <cell r="T87" t="str">
            <v>SICK</v>
          </cell>
          <cell r="U87" t="str">
            <v>SICK</v>
          </cell>
          <cell r="V87" t="str">
            <v>SICK</v>
          </cell>
          <cell r="W87">
            <v>46242.349236111113</v>
          </cell>
          <cell r="X87">
            <v>1</v>
          </cell>
          <cell r="Y87">
            <v>46243.352303240739</v>
          </cell>
          <cell r="Z87">
            <v>1</v>
          </cell>
          <cell r="AA87">
            <v>46244.325150462966</v>
          </cell>
          <cell r="AB87">
            <v>1</v>
          </cell>
          <cell r="AC87">
            <v>46245.356550925928</v>
          </cell>
          <cell r="AD87">
            <v>1</v>
          </cell>
          <cell r="AE87">
            <v>46246.35224537037</v>
          </cell>
        </row>
        <row r="88">
          <cell r="E88" t="str">
            <v>Fs male Local staff</v>
          </cell>
          <cell r="F88" t="str">
            <v>MAD0672</v>
          </cell>
          <cell r="G88" t="str">
            <v>Doores Godown</v>
          </cell>
          <cell r="H88" t="str">
            <v>Mohammed Kalifa</v>
          </cell>
          <cell r="I88">
            <v>711</v>
          </cell>
          <cell r="J88">
            <v>46235.980543981481</v>
          </cell>
          <cell r="K88" t="str">
            <v>MC</v>
          </cell>
          <cell r="L88">
            <v>1</v>
          </cell>
          <cell r="M88">
            <v>46237.351863425924</v>
          </cell>
          <cell r="N88">
            <v>46237.970069444447</v>
          </cell>
          <cell r="O88">
            <v>46238.348344907405</v>
          </cell>
          <cell r="P88">
            <v>46238.948368055557</v>
          </cell>
          <cell r="Q88">
            <v>46239.351226851853</v>
          </cell>
          <cell r="R88">
            <v>46239.966782407406</v>
          </cell>
          <cell r="S88">
            <v>46240.352060185185</v>
          </cell>
          <cell r="T88">
            <v>46240.97247685185</v>
          </cell>
          <cell r="U88">
            <v>46241.573888888888</v>
          </cell>
          <cell r="V88">
            <v>46241.945370370369</v>
          </cell>
          <cell r="W88">
            <v>46242.352060185185</v>
          </cell>
          <cell r="X88">
            <v>46242.989374999997</v>
          </cell>
          <cell r="Y88">
            <v>46243.35328703704</v>
          </cell>
          <cell r="Z88">
            <v>46243.938576388886</v>
          </cell>
          <cell r="AA88">
            <v>46244.354085648149</v>
          </cell>
          <cell r="AB88">
            <v>46244.969178240739</v>
          </cell>
          <cell r="AC88">
            <v>46245.352465277778</v>
          </cell>
          <cell r="AD88">
            <v>46245.94263888889</v>
          </cell>
          <cell r="AE88">
            <v>46246.352893518517</v>
          </cell>
        </row>
        <row r="89">
          <cell r="E89" t="str">
            <v>FJ male Local staff</v>
          </cell>
          <cell r="F89" t="str">
            <v>MAD0675</v>
          </cell>
          <cell r="G89" t="str">
            <v>Wholesale</v>
          </cell>
          <cell r="H89" t="str">
            <v>Salam Shaikh</v>
          </cell>
          <cell r="I89">
            <v>46235.346006944441</v>
          </cell>
          <cell r="J89">
            <v>46235.975277777776</v>
          </cell>
          <cell r="K89">
            <v>46236.34103009259</v>
          </cell>
          <cell r="L89">
            <v>46236.991331018522</v>
          </cell>
          <cell r="M89">
            <v>46237.341122685182</v>
          </cell>
          <cell r="N89">
            <v>46237.971458333333</v>
          </cell>
          <cell r="O89">
            <v>46238.345937500002</v>
          </cell>
          <cell r="P89">
            <v>46238.966319444444</v>
          </cell>
          <cell r="Q89">
            <v>46239.351400462961</v>
          </cell>
          <cell r="R89">
            <v>46239.967245370368</v>
          </cell>
          <cell r="S89">
            <v>46240.329050925924</v>
          </cell>
          <cell r="T89">
            <v>46240.99181712963</v>
          </cell>
          <cell r="U89">
            <v>46241.576122685183</v>
          </cell>
          <cell r="V89">
            <v>46241.969548611109</v>
          </cell>
          <cell r="W89">
            <v>46242.353402777779</v>
          </cell>
          <cell r="X89">
            <v>46242.985439814816</v>
          </cell>
          <cell r="Y89">
            <v>46243.354247685187</v>
          </cell>
          <cell r="Z89">
            <v>46243.96665509259</v>
          </cell>
          <cell r="AA89">
            <v>46244.353148148148</v>
          </cell>
          <cell r="AB89">
            <v>46244.968275462961</v>
          </cell>
          <cell r="AC89">
            <v>46245.346956018519</v>
          </cell>
          <cell r="AD89">
            <v>46245.967476851853</v>
          </cell>
          <cell r="AE89">
            <v>46246.346319444441</v>
          </cell>
        </row>
        <row r="90">
          <cell r="E90" t="str">
            <v>FJ male Local staff</v>
          </cell>
          <cell r="F90" t="str">
            <v>MAD0676</v>
          </cell>
          <cell r="G90" t="str">
            <v>Masjid</v>
          </cell>
          <cell r="H90" t="str">
            <v xml:space="preserve"> Atikur Shaikh</v>
          </cell>
          <cell r="I90" t="str">
            <v>Masjid</v>
          </cell>
          <cell r="J90" t="str">
            <v>Masjid</v>
          </cell>
          <cell r="K90">
            <v>0</v>
          </cell>
          <cell r="L90">
            <v>46236.952384259261</v>
          </cell>
          <cell r="M90" t="str">
            <v>OFF</v>
          </cell>
          <cell r="N90">
            <v>46237.947916666664</v>
          </cell>
          <cell r="O90">
            <v>46238.417581018519</v>
          </cell>
          <cell r="P90">
            <v>46238.949618055558</v>
          </cell>
          <cell r="Q90">
            <v>46239.409571759257</v>
          </cell>
          <cell r="R90">
            <v>46239.942881944444</v>
          </cell>
          <cell r="S90">
            <v>46240.409594907411</v>
          </cell>
          <cell r="T90">
            <v>46240.977962962963</v>
          </cell>
          <cell r="U90">
            <v>1</v>
          </cell>
          <cell r="V90">
            <v>46241.953229166669</v>
          </cell>
          <cell r="W90">
            <v>46242.40347222222</v>
          </cell>
          <cell r="X90">
            <v>46242.967858796299</v>
          </cell>
          <cell r="Y90" t="str">
            <v>Masjid</v>
          </cell>
          <cell r="Z90">
            <v>46243.964050925926</v>
          </cell>
          <cell r="AA90" t="str">
            <v>Masjid</v>
          </cell>
          <cell r="AB90">
            <v>1</v>
          </cell>
          <cell r="AC90" t="str">
            <v>Masjid</v>
          </cell>
          <cell r="AD90">
            <v>46245.949201388888</v>
          </cell>
          <cell r="AE90" t="str">
            <v>Masjid</v>
          </cell>
        </row>
        <row r="91">
          <cell r="E91" t="str">
            <v>FJ male Local staff</v>
          </cell>
          <cell r="F91" t="str">
            <v>MAD0677</v>
          </cell>
          <cell r="G91" t="str">
            <v>Doores Godown</v>
          </cell>
          <cell r="H91" t="str">
            <v xml:space="preserve"> Abdul Odud Shaikh</v>
          </cell>
          <cell r="I91">
            <v>46235.342870370368</v>
          </cell>
          <cell r="J91">
            <v>46235.972245370373</v>
          </cell>
          <cell r="K91">
            <v>46236.342361111114</v>
          </cell>
          <cell r="L91">
            <v>46236.991828703707</v>
          </cell>
          <cell r="M91">
            <v>46237.342835648145</v>
          </cell>
          <cell r="N91">
            <v>46237.937673611108</v>
          </cell>
          <cell r="O91">
            <v>46238.339571759258</v>
          </cell>
          <cell r="P91">
            <v>46238.950092592589</v>
          </cell>
          <cell r="Q91">
            <v>46239.341608796298</v>
          </cell>
          <cell r="R91">
            <v>46239.965486111112</v>
          </cell>
          <cell r="S91">
            <v>46240.343819444446</v>
          </cell>
          <cell r="T91">
            <v>46240.970636574071</v>
          </cell>
          <cell r="U91">
            <v>46241.58053240741</v>
          </cell>
          <cell r="V91">
            <v>46241.942118055558</v>
          </cell>
          <cell r="W91">
            <v>46242.346238425926</v>
          </cell>
          <cell r="X91">
            <v>46242.961805555555</v>
          </cell>
          <cell r="Y91">
            <v>46243.345289351855</v>
          </cell>
          <cell r="Z91">
            <v>46243.941354166665</v>
          </cell>
          <cell r="AA91">
            <v>46244.345300925925</v>
          </cell>
          <cell r="AB91">
            <v>46244.965578703705</v>
          </cell>
          <cell r="AC91">
            <v>46245.344375000001</v>
          </cell>
          <cell r="AD91">
            <v>46245.943171296298</v>
          </cell>
          <cell r="AE91">
            <v>46246.343993055554</v>
          </cell>
        </row>
        <row r="92">
          <cell r="E92" t="str">
            <v>FJ male Local staff</v>
          </cell>
          <cell r="F92" t="str">
            <v>MAD0678</v>
          </cell>
          <cell r="G92" t="str">
            <v>Retail Shop</v>
          </cell>
          <cell r="H92" t="str">
            <v xml:space="preserve"> Martha Ranapaheli</v>
          </cell>
          <cell r="I92">
            <v>46235.352800925924</v>
          </cell>
          <cell r="J92">
            <v>46235.975486111114</v>
          </cell>
          <cell r="K92">
            <v>46236.352303240739</v>
          </cell>
          <cell r="L92">
            <v>46236.958553240744</v>
          </cell>
          <cell r="M92">
            <v>46237.351412037038</v>
          </cell>
          <cell r="N92">
            <v>46237.960046296299</v>
          </cell>
          <cell r="O92">
            <v>46238.353055555555</v>
          </cell>
          <cell r="P92">
            <v>46238.957442129627</v>
          </cell>
          <cell r="Q92">
            <v>46239.352847222224</v>
          </cell>
          <cell r="R92">
            <v>46239.955543981479</v>
          </cell>
          <cell r="S92">
            <v>46240.351597222223</v>
          </cell>
          <cell r="T92">
            <v>46240.981898148151</v>
          </cell>
          <cell r="U92">
            <v>46241.578032407408</v>
          </cell>
          <cell r="V92">
            <v>46241.958657407406</v>
          </cell>
          <cell r="W92">
            <v>46242.349814814814</v>
          </cell>
          <cell r="X92">
            <v>46242.973240740743</v>
          </cell>
          <cell r="Y92">
            <v>46243.351979166669</v>
          </cell>
          <cell r="Z92">
            <v>1</v>
          </cell>
          <cell r="AA92">
            <v>46244.352013888885</v>
          </cell>
          <cell r="AB92">
            <v>46244.957812499997</v>
          </cell>
          <cell r="AC92">
            <v>46245.352962962963</v>
          </cell>
          <cell r="AD92">
            <v>46245.960879629631</v>
          </cell>
          <cell r="AE92">
            <v>46246.352118055554</v>
          </cell>
        </row>
        <row r="93">
          <cell r="E93" t="str">
            <v>FJ male Local staff</v>
          </cell>
          <cell r="F93" t="str">
            <v>MAD0680</v>
          </cell>
          <cell r="G93" t="str">
            <v>Retail Shop</v>
          </cell>
          <cell r="H93" t="str">
            <v xml:space="preserve"> MD Farhad Hossain</v>
          </cell>
          <cell r="I93">
            <v>46235.351469907408</v>
          </cell>
          <cell r="J93">
            <v>46235.973969907405</v>
          </cell>
          <cell r="K93">
            <v>46236.34884259259</v>
          </cell>
          <cell r="L93">
            <v>46236.952928240738</v>
          </cell>
          <cell r="M93">
            <v>46237.352395833332</v>
          </cell>
          <cell r="N93">
            <v>46237.949861111112</v>
          </cell>
          <cell r="O93">
            <v>46238.352395833332</v>
          </cell>
          <cell r="P93">
            <v>46238.953113425923</v>
          </cell>
          <cell r="Q93">
            <v>46239.351817129631</v>
          </cell>
          <cell r="R93">
            <v>46239.950856481482</v>
          </cell>
          <cell r="S93">
            <v>46240.351377314815</v>
          </cell>
          <cell r="T93">
            <v>46240.981157407405</v>
          </cell>
          <cell r="U93">
            <v>46241.577488425923</v>
          </cell>
          <cell r="V93">
            <v>46241.959189814814</v>
          </cell>
          <cell r="W93">
            <v>46242.349004629628</v>
          </cell>
          <cell r="X93">
            <v>46242.97079861111</v>
          </cell>
          <cell r="Y93">
            <v>46243.35125</v>
          </cell>
          <cell r="Z93">
            <v>46243.964745370373</v>
          </cell>
          <cell r="AA93">
            <v>46244.349583333336</v>
          </cell>
          <cell r="AB93">
            <v>1</v>
          </cell>
          <cell r="AC93">
            <v>46245.351319444446</v>
          </cell>
          <cell r="AD93">
            <v>46245.952650462961</v>
          </cell>
          <cell r="AE93">
            <v>46246.350648148145</v>
          </cell>
        </row>
        <row r="94">
          <cell r="E94" t="str">
            <v>FJ male Local staff</v>
          </cell>
          <cell r="F94" t="str">
            <v>MAD0681</v>
          </cell>
          <cell r="G94" t="str">
            <v>Doores Godown</v>
          </cell>
          <cell r="H94" t="str">
            <v xml:space="preserve"> MD Humayun Kobir</v>
          </cell>
          <cell r="I94">
            <v>46235.35428240741</v>
          </cell>
          <cell r="J94">
            <v>46235.969722222224</v>
          </cell>
          <cell r="K94">
            <v>46236.354108796295</v>
          </cell>
          <cell r="L94">
            <v>46236.968391203707</v>
          </cell>
          <cell r="M94">
            <v>46237.354571759257</v>
          </cell>
          <cell r="N94">
            <v>46237.969224537039</v>
          </cell>
          <cell r="O94">
            <v>46238.354398148149</v>
          </cell>
          <cell r="P94">
            <v>46238.947141203702</v>
          </cell>
          <cell r="Q94">
            <v>46239.353877314818</v>
          </cell>
          <cell r="R94">
            <v>46239.966574074075</v>
          </cell>
          <cell r="S94">
            <v>46240.353831018518</v>
          </cell>
          <cell r="T94">
            <v>46240.970335648148</v>
          </cell>
          <cell r="U94" t="str">
            <v>OFF</v>
          </cell>
          <cell r="V94" t="str">
            <v>OFF</v>
          </cell>
          <cell r="W94">
            <v>46242.354270833333</v>
          </cell>
          <cell r="X94">
            <v>46242.979444444441</v>
          </cell>
          <cell r="Y94">
            <v>46243.353784722225</v>
          </cell>
          <cell r="Z94">
            <v>46243.94059027778</v>
          </cell>
          <cell r="AA94">
            <v>46244.354189814818</v>
          </cell>
          <cell r="AB94">
            <v>46244.9608912037</v>
          </cell>
          <cell r="AC94">
            <v>46245.354178240741</v>
          </cell>
          <cell r="AD94">
            <v>46245.930601851855</v>
          </cell>
          <cell r="AE94">
            <v>46246.353854166664</v>
          </cell>
        </row>
        <row r="95">
          <cell r="E95" t="str">
            <v>FJ male Local staff</v>
          </cell>
          <cell r="F95" t="str">
            <v>MAD0682</v>
          </cell>
          <cell r="G95" t="str">
            <v>Retail Shop</v>
          </cell>
          <cell r="H95" t="str">
            <v xml:space="preserve"> RAJU AHMED</v>
          </cell>
          <cell r="I95">
            <v>46235.353136574071</v>
          </cell>
          <cell r="J95">
            <v>46235.975231481483</v>
          </cell>
          <cell r="K95">
            <v>46236.351979166669</v>
          </cell>
          <cell r="L95">
            <v>46236.958738425928</v>
          </cell>
          <cell r="M95">
            <v>46237.352546296293</v>
          </cell>
          <cell r="N95">
            <v>46237.960451388892</v>
          </cell>
          <cell r="O95">
            <v>46238.352731481478</v>
          </cell>
          <cell r="P95">
            <v>46238.95721064815</v>
          </cell>
          <cell r="Q95">
            <v>46239.353414351855</v>
          </cell>
          <cell r="R95">
            <v>46239.955451388887</v>
          </cell>
          <cell r="S95">
            <v>46240.353032407409</v>
          </cell>
          <cell r="T95">
            <v>46240.979166666664</v>
          </cell>
          <cell r="U95" t="str">
            <v>OFF</v>
          </cell>
          <cell r="V95" t="str">
            <v>OFF</v>
          </cell>
          <cell r="W95">
            <v>46242.352164351854</v>
          </cell>
          <cell r="X95">
            <v>46242.973576388889</v>
          </cell>
          <cell r="Y95">
            <v>46243.353368055556</v>
          </cell>
          <cell r="Z95">
            <v>46243.966365740744</v>
          </cell>
          <cell r="AA95">
            <v>46244.352256944447</v>
          </cell>
          <cell r="AB95">
            <v>1</v>
          </cell>
          <cell r="AC95">
            <v>46245.353506944448</v>
          </cell>
          <cell r="AD95">
            <v>46245.960949074077</v>
          </cell>
          <cell r="AE95">
            <v>46246.35324074074</v>
          </cell>
        </row>
        <row r="96">
          <cell r="E96" t="str">
            <v>HM Junior staff</v>
          </cell>
          <cell r="F96" t="str">
            <v>MAD0685</v>
          </cell>
          <cell r="G96" t="str">
            <v>HM Shop2</v>
          </cell>
          <cell r="H96" t="str">
            <v xml:space="preserve"> MD ABDUS SAMAD</v>
          </cell>
          <cell r="I96" t="str">
            <v>Late Coming</v>
          </cell>
          <cell r="J96">
            <v>46235.971631944441</v>
          </cell>
          <cell r="K96">
            <v>46236.350995370369</v>
          </cell>
          <cell r="L96">
            <v>46236.953958333332</v>
          </cell>
          <cell r="M96">
            <v>46237.353460648148</v>
          </cell>
          <cell r="N96">
            <v>46237.956944444442</v>
          </cell>
          <cell r="O96">
            <v>46238.352175925924</v>
          </cell>
          <cell r="P96">
            <v>46238.952256944445</v>
          </cell>
          <cell r="Q96">
            <v>46239.355358796296</v>
          </cell>
          <cell r="R96">
            <v>46239.95103009259</v>
          </cell>
          <cell r="S96">
            <v>46240.354780092595</v>
          </cell>
          <cell r="T96">
            <v>46240.972569444442</v>
          </cell>
          <cell r="U96" t="str">
            <v>OFF</v>
          </cell>
          <cell r="V96" t="str">
            <v>OFF</v>
          </cell>
          <cell r="W96">
            <v>46242.356400462966</v>
          </cell>
          <cell r="X96">
            <v>46242.971180555556</v>
          </cell>
          <cell r="Y96">
            <v>46243.352037037039</v>
          </cell>
          <cell r="Z96">
            <v>46243.951493055552</v>
          </cell>
          <cell r="AA96">
            <v>46244.347268518519</v>
          </cell>
          <cell r="AB96">
            <v>1</v>
          </cell>
          <cell r="AC96">
            <v>46245.35328703704</v>
          </cell>
          <cell r="AD96">
            <v>46245.956030092595</v>
          </cell>
          <cell r="AE96">
            <v>46246.349930555552</v>
          </cell>
        </row>
        <row r="97">
          <cell r="E97" t="str">
            <v>Male Local staff</v>
          </cell>
          <cell r="F97" t="str">
            <v>MAD0687</v>
          </cell>
          <cell r="G97" t="str">
            <v>Doores Godown</v>
          </cell>
          <cell r="H97" t="str">
            <v>Ibrahim Riyaz</v>
          </cell>
          <cell r="I97">
            <v>46235.326562499999</v>
          </cell>
          <cell r="J97">
            <v>46236.001215277778</v>
          </cell>
          <cell r="K97">
            <v>46236.336111111108</v>
          </cell>
          <cell r="L97">
            <v>46236.992152777777</v>
          </cell>
          <cell r="M97">
            <v>46237.342766203707</v>
          </cell>
          <cell r="N97">
            <v>46237.977141203701</v>
          </cell>
          <cell r="O97">
            <v>46238.343645833331</v>
          </cell>
          <cell r="P97">
            <v>46238.946192129632</v>
          </cell>
          <cell r="Q97">
            <v>46239.347939814812</v>
          </cell>
          <cell r="R97">
            <v>46239.975497685184</v>
          </cell>
          <cell r="S97">
            <v>46240.340995370374</v>
          </cell>
          <cell r="T97">
            <v>46240.976053240738</v>
          </cell>
          <cell r="U97" t="str">
            <v>OFF</v>
          </cell>
          <cell r="V97" t="str">
            <v>OFF</v>
          </cell>
          <cell r="W97">
            <v>46242.346805555557</v>
          </cell>
          <cell r="X97">
            <v>46243.003680555557</v>
          </cell>
          <cell r="Y97">
            <v>46243.347280092596</v>
          </cell>
          <cell r="Z97">
            <v>46243.985162037039</v>
          </cell>
          <cell r="AA97">
            <v>46244.347268518519</v>
          </cell>
          <cell r="AB97">
            <v>46244.970497685186</v>
          </cell>
          <cell r="AC97">
            <v>46245.338530092595</v>
          </cell>
          <cell r="AD97">
            <v>46245.963946759257</v>
          </cell>
          <cell r="AE97">
            <v>46246.347442129627</v>
          </cell>
        </row>
        <row r="98">
          <cell r="E98" t="str">
            <v>Male Local staff</v>
          </cell>
          <cell r="F98" t="str">
            <v>MAD0689</v>
          </cell>
          <cell r="G98" t="str">
            <v>HM Site</v>
          </cell>
          <cell r="H98" t="str">
            <v>Ahmed Rizny</v>
          </cell>
          <cell r="I98">
            <v>46235.363194444442</v>
          </cell>
          <cell r="J98">
            <v>1</v>
          </cell>
          <cell r="K98">
            <v>0</v>
          </cell>
          <cell r="L98">
            <v>1</v>
          </cell>
          <cell r="M98">
            <v>1</v>
          </cell>
          <cell r="N98">
            <v>1</v>
          </cell>
          <cell r="O98">
            <v>46238.322789351849</v>
          </cell>
          <cell r="P98">
            <v>1</v>
          </cell>
          <cell r="Q98">
            <v>46239.375439814816</v>
          </cell>
          <cell r="R98">
            <v>1</v>
          </cell>
          <cell r="S98">
            <v>46240.416990740741</v>
          </cell>
          <cell r="T98">
            <v>46240.972511574073</v>
          </cell>
          <cell r="U98">
            <v>46241.461956018517</v>
          </cell>
          <cell r="V98">
            <v>46240.972511574073</v>
          </cell>
          <cell r="W98">
            <v>46242.389270833337</v>
          </cell>
          <cell r="X98">
            <v>1</v>
          </cell>
          <cell r="Y98">
            <v>46243.35434027778</v>
          </cell>
          <cell r="Z98">
            <v>1</v>
          </cell>
          <cell r="AA98">
            <v>46244.358391203707</v>
          </cell>
          <cell r="AB98">
            <v>1</v>
          </cell>
          <cell r="AC98">
            <v>46245.4059837963</v>
          </cell>
          <cell r="AD98">
            <v>1</v>
          </cell>
          <cell r="AE98">
            <v>46246.374062499999</v>
          </cell>
        </row>
        <row r="99">
          <cell r="E99" t="str">
            <v>HM Junior staff</v>
          </cell>
          <cell r="F99" t="str">
            <v>MAD0691</v>
          </cell>
          <cell r="G99" t="str">
            <v>HM Site</v>
          </cell>
          <cell r="H99" t="str">
            <v>Sahadat Hossen</v>
          </cell>
          <cell r="I99">
            <v>46235.331828703704</v>
          </cell>
          <cell r="J99">
            <v>46235.851898148147</v>
          </cell>
          <cell r="K99">
            <v>46236.32708333333</v>
          </cell>
          <cell r="L99">
            <v>1</v>
          </cell>
          <cell r="M99">
            <v>46237.32880787037</v>
          </cell>
          <cell r="N99">
            <v>46237.844699074078</v>
          </cell>
          <cell r="O99">
            <v>46238.329699074071</v>
          </cell>
          <cell r="P99">
            <v>1</v>
          </cell>
          <cell r="Q99">
            <v>46239.350023148145</v>
          </cell>
          <cell r="R99">
            <v>1</v>
          </cell>
          <cell r="S99">
            <v>46240.355636574073</v>
          </cell>
          <cell r="T99">
            <v>1</v>
          </cell>
          <cell r="U99" t="str">
            <v>OFF</v>
          </cell>
          <cell r="V99" t="str">
            <v>OFF</v>
          </cell>
          <cell r="W99">
            <v>46242.347141203703</v>
          </cell>
          <cell r="X99">
            <v>46242.900555555556</v>
          </cell>
          <cell r="Y99">
            <v>46243.351469907408</v>
          </cell>
          <cell r="Z99">
            <v>46243.839745370373</v>
          </cell>
          <cell r="AA99">
            <v>46244.351446759261</v>
          </cell>
          <cell r="AB99">
            <v>1</v>
          </cell>
          <cell r="AC99">
            <v>46245.351863425924</v>
          </cell>
          <cell r="AD99">
            <v>1</v>
          </cell>
          <cell r="AE99">
            <v>46246.348877314813</v>
          </cell>
        </row>
        <row r="100">
          <cell r="E100" t="str">
            <v>HM Junior staff</v>
          </cell>
          <cell r="F100" t="str">
            <v>MAD0692</v>
          </cell>
          <cell r="G100" t="str">
            <v>HM Shop2</v>
          </cell>
          <cell r="H100" t="str">
            <v>MD Aman Miea</v>
          </cell>
          <cell r="I100">
            <v>46235.352453703701</v>
          </cell>
          <cell r="J100">
            <v>46235.971562500003</v>
          </cell>
          <cell r="K100">
            <v>46236.351319444446</v>
          </cell>
          <cell r="L100">
            <v>46236.9528125</v>
          </cell>
          <cell r="M100">
            <v>46237.353819444441</v>
          </cell>
          <cell r="N100">
            <v>46237.955428240741</v>
          </cell>
          <cell r="O100">
            <v>46238.352256944447</v>
          </cell>
          <cell r="P100">
            <v>46238.952372685184</v>
          </cell>
          <cell r="Q100">
            <v>46239.355706018519</v>
          </cell>
          <cell r="R100">
            <v>46239.950532407405</v>
          </cell>
          <cell r="S100">
            <v>46240.355023148149</v>
          </cell>
          <cell r="T100">
            <v>1</v>
          </cell>
          <cell r="U100">
            <v>46241.592893518522</v>
          </cell>
          <cell r="V100">
            <v>46241.959722222222</v>
          </cell>
          <cell r="W100">
            <v>46242.356504629628</v>
          </cell>
          <cell r="X100">
            <v>1</v>
          </cell>
          <cell r="Y100">
            <v>46243.352175925924</v>
          </cell>
          <cell r="Z100">
            <v>46243.949733796297</v>
          </cell>
          <cell r="AA100">
            <v>46244.352962962963</v>
          </cell>
          <cell r="AB100">
            <v>46244.967013888891</v>
          </cell>
          <cell r="AC100">
            <v>46245.352962962963</v>
          </cell>
          <cell r="AD100">
            <v>1</v>
          </cell>
          <cell r="AE100">
            <v>46246.35019675926</v>
          </cell>
        </row>
        <row r="101">
          <cell r="E101" t="str">
            <v>FJ male Local staff</v>
          </cell>
          <cell r="F101" t="str">
            <v>MAD0694</v>
          </cell>
          <cell r="G101" t="str">
            <v>Athulhu Shop</v>
          </cell>
          <cell r="H101" t="str">
            <v>Kazam Uddin</v>
          </cell>
          <cell r="I101">
            <v>46235.350393518522</v>
          </cell>
          <cell r="J101">
            <v>46235.946574074071</v>
          </cell>
          <cell r="K101">
            <v>46236.350266203706</v>
          </cell>
          <cell r="L101">
            <v>46236.950729166667</v>
          </cell>
          <cell r="M101">
            <v>46237.350358796299</v>
          </cell>
          <cell r="N101">
            <v>46237.929155092592</v>
          </cell>
          <cell r="O101">
            <v>46238.351979166669</v>
          </cell>
          <cell r="P101">
            <v>46238.93341435185</v>
          </cell>
          <cell r="Q101">
            <v>46239.349456018521</v>
          </cell>
          <cell r="R101">
            <v>46239.925219907411</v>
          </cell>
          <cell r="S101">
            <v>46240.350821759261</v>
          </cell>
          <cell r="T101">
            <v>46240.936701388891</v>
          </cell>
          <cell r="U101" t="str">
            <v>OFF</v>
          </cell>
          <cell r="V101" t="str">
            <v>OFF</v>
          </cell>
          <cell r="W101">
            <v>46242.346921296295</v>
          </cell>
          <cell r="X101">
            <v>46242.939259259256</v>
          </cell>
          <cell r="Y101">
            <v>46243.347951388889</v>
          </cell>
          <cell r="Z101">
            <v>46243.942291666666</v>
          </cell>
          <cell r="AA101">
            <v>46244.345925925925</v>
          </cell>
          <cell r="AB101">
            <v>46244.966122685182</v>
          </cell>
          <cell r="AC101">
            <v>46245.346192129633</v>
          </cell>
          <cell r="AD101">
            <v>46245.934201388889</v>
          </cell>
          <cell r="AE101">
            <v>46246.347233796296</v>
          </cell>
        </row>
        <row r="102">
          <cell r="E102" t="str">
            <v>FJ male Local staff</v>
          </cell>
          <cell r="F102" t="str">
            <v>MAD0696</v>
          </cell>
          <cell r="G102" t="str">
            <v>Van Driver</v>
          </cell>
          <cell r="H102" t="str">
            <v>MD Milon</v>
          </cell>
          <cell r="I102">
            <v>46235.359699074077</v>
          </cell>
          <cell r="J102">
            <v>1</v>
          </cell>
          <cell r="K102">
            <v>46236.361261574071</v>
          </cell>
          <cell r="L102">
            <v>46236.940787037034</v>
          </cell>
          <cell r="M102">
            <v>46237.354618055557</v>
          </cell>
          <cell r="N102">
            <v>46237.939212962963</v>
          </cell>
          <cell r="O102">
            <v>46238.354456018518</v>
          </cell>
          <cell r="P102">
            <v>46238.940289351849</v>
          </cell>
          <cell r="Q102">
            <v>46239.354699074072</v>
          </cell>
          <cell r="R102">
            <v>1</v>
          </cell>
          <cell r="S102">
            <v>46240.354733796295</v>
          </cell>
          <cell r="T102">
            <v>1</v>
          </cell>
          <cell r="U102">
            <v>46241.580451388887</v>
          </cell>
          <cell r="V102">
            <v>1</v>
          </cell>
          <cell r="W102">
            <v>46242.35565972222</v>
          </cell>
          <cell r="X102">
            <v>46242.96770833333</v>
          </cell>
          <cell r="Y102">
            <v>46243.355034722219</v>
          </cell>
          <cell r="Z102">
            <v>46243.937916666669</v>
          </cell>
          <cell r="AA102">
            <v>46244.354641203703</v>
          </cell>
          <cell r="AB102">
            <v>46244.942060185182</v>
          </cell>
          <cell r="AC102">
            <v>46245.353425925925</v>
          </cell>
          <cell r="AD102">
            <v>46245.929502314815</v>
          </cell>
          <cell r="AE102">
            <v>46246.355428240742</v>
          </cell>
        </row>
        <row r="103">
          <cell r="E103" t="str">
            <v>Male Local staff</v>
          </cell>
          <cell r="F103" t="str">
            <v>MAD0697</v>
          </cell>
          <cell r="G103" t="str">
            <v>Head Office</v>
          </cell>
          <cell r="H103" t="str">
            <v>Abdul Rahman Gasim</v>
          </cell>
          <cell r="I103">
            <v>46235.349803240744</v>
          </cell>
          <cell r="J103">
            <v>1</v>
          </cell>
          <cell r="K103">
            <v>46236.337650462963</v>
          </cell>
          <cell r="L103">
            <v>1</v>
          </cell>
          <cell r="M103">
            <v>46237.350069444445</v>
          </cell>
          <cell r="N103">
            <v>46237.9996875</v>
          </cell>
          <cell r="O103">
            <v>46238.348715277774</v>
          </cell>
          <cell r="P103">
            <v>46238.98946759259</v>
          </cell>
          <cell r="Q103">
            <v>46239.342129629629</v>
          </cell>
          <cell r="R103">
            <v>46239.986331018517</v>
          </cell>
          <cell r="S103">
            <v>46240.344293981485</v>
          </cell>
          <cell r="T103">
            <v>46241.012928240743</v>
          </cell>
          <cell r="U103">
            <v>46241.577060185184</v>
          </cell>
          <cell r="V103">
            <v>46241.999432870369</v>
          </cell>
          <cell r="W103">
            <v>46242.35429398148</v>
          </cell>
          <cell r="X103">
            <v>46243.004155092596</v>
          </cell>
          <cell r="Y103">
            <v>46243.354351851849</v>
          </cell>
          <cell r="Z103">
            <v>46243.985775462963</v>
          </cell>
          <cell r="AA103">
            <v>46244.345150462963</v>
          </cell>
          <cell r="AB103">
            <v>46244.994814814818</v>
          </cell>
          <cell r="AC103">
            <v>46245.350810185184</v>
          </cell>
          <cell r="AD103">
            <v>46245.988541666666</v>
          </cell>
          <cell r="AE103">
            <v>46246.349965277775</v>
          </cell>
        </row>
        <row r="104">
          <cell r="E104" t="str">
            <v>Hulhumale Senior staff</v>
          </cell>
          <cell r="F104" t="str">
            <v>MAD0699</v>
          </cell>
          <cell r="G104" t="str">
            <v>HM Site</v>
          </cell>
          <cell r="H104" t="str">
            <v>James Chinnappan</v>
          </cell>
          <cell r="I104">
            <v>46235.319837962961</v>
          </cell>
          <cell r="J104">
            <v>1</v>
          </cell>
          <cell r="K104">
            <v>46236.321655092594</v>
          </cell>
          <cell r="L104">
            <v>1</v>
          </cell>
          <cell r="M104">
            <v>46237.320405092592</v>
          </cell>
          <cell r="N104">
            <v>1</v>
          </cell>
          <cell r="O104">
            <v>46238.320081018515</v>
          </cell>
          <cell r="P104">
            <v>1</v>
          </cell>
          <cell r="Q104">
            <v>46239.344907407409</v>
          </cell>
          <cell r="R104">
            <v>1</v>
          </cell>
          <cell r="S104">
            <v>46240.344317129631</v>
          </cell>
          <cell r="T104">
            <v>1</v>
          </cell>
          <cell r="U104">
            <v>46241.583090277774</v>
          </cell>
          <cell r="V104">
            <v>1</v>
          </cell>
          <cell r="W104">
            <v>46242.343935185185</v>
          </cell>
          <cell r="X104">
            <v>1</v>
          </cell>
          <cell r="Y104">
            <v>46243.342430555553</v>
          </cell>
          <cell r="Z104">
            <v>1</v>
          </cell>
          <cell r="AA104">
            <v>46244.349108796298</v>
          </cell>
          <cell r="AB104">
            <v>1</v>
          </cell>
          <cell r="AC104">
            <v>46245.335092592592</v>
          </cell>
          <cell r="AD104">
            <v>1</v>
          </cell>
          <cell r="AE104">
            <v>46246.342488425929</v>
          </cell>
        </row>
        <row r="105">
          <cell r="E105" t="str">
            <v>Fs male Local staff</v>
          </cell>
          <cell r="F105" t="str">
            <v>MAD0700</v>
          </cell>
          <cell r="G105" t="str">
            <v>Head Office</v>
          </cell>
          <cell r="H105" t="str">
            <v>Subail Ahmed</v>
          </cell>
          <cell r="I105">
            <v>46235.343865740739</v>
          </cell>
          <cell r="J105">
            <v>46235.970833333333</v>
          </cell>
          <cell r="K105">
            <v>46236.342951388891</v>
          </cell>
          <cell r="L105">
            <v>1</v>
          </cell>
          <cell r="M105">
            <v>46237.354571759257</v>
          </cell>
          <cell r="N105">
            <v>46237.950127314813</v>
          </cell>
          <cell r="O105">
            <v>46238.341064814813</v>
          </cell>
          <cell r="P105">
            <v>1</v>
          </cell>
          <cell r="Q105">
            <v>46239.348587962966</v>
          </cell>
          <cell r="R105">
            <v>1</v>
          </cell>
          <cell r="S105">
            <v>46240.3515625</v>
          </cell>
          <cell r="T105">
            <v>46240.963773148149</v>
          </cell>
          <cell r="U105">
            <v>46241.581006944441</v>
          </cell>
          <cell r="V105">
            <v>46240.963773148149</v>
          </cell>
          <cell r="W105">
            <v>46242.339907407404</v>
          </cell>
          <cell r="X105">
            <v>1</v>
          </cell>
          <cell r="Y105">
            <v>46243.353946759256</v>
          </cell>
          <cell r="Z105">
            <v>1</v>
          </cell>
          <cell r="AA105">
            <v>46244.342789351853</v>
          </cell>
          <cell r="AB105">
            <v>1</v>
          </cell>
          <cell r="AC105">
            <v>46245.348298611112</v>
          </cell>
          <cell r="AD105">
            <v>46245.972719907404</v>
          </cell>
          <cell r="AE105">
            <v>46246.347118055557</v>
          </cell>
        </row>
        <row r="106">
          <cell r="E106" t="str">
            <v>FJ male Local staff</v>
          </cell>
          <cell r="F106" t="str">
            <v>MAD0701</v>
          </cell>
          <cell r="G106" t="str">
            <v>Doores Godown</v>
          </cell>
          <cell r="H106" t="str">
            <v>MD NAIM SARDER</v>
          </cell>
          <cell r="I106">
            <v>46235.350474537037</v>
          </cell>
          <cell r="J106">
            <v>46235.969224537039</v>
          </cell>
          <cell r="K106">
            <v>46236.351122685184</v>
          </cell>
          <cell r="L106">
            <v>46236.968113425923</v>
          </cell>
          <cell r="M106">
            <v>46237.351574074077</v>
          </cell>
          <cell r="N106">
            <v>46237.970138888886</v>
          </cell>
          <cell r="O106">
            <v>46238.3516087963</v>
          </cell>
          <cell r="P106">
            <v>46238.944884259261</v>
          </cell>
          <cell r="Q106" t="str">
            <v>SICK</v>
          </cell>
          <cell r="R106" t="str">
            <v>SICK</v>
          </cell>
          <cell r="S106">
            <v>46240.351458333331</v>
          </cell>
          <cell r="T106">
            <v>46240.969907407409</v>
          </cell>
          <cell r="U106">
            <v>46241.577060185184</v>
          </cell>
          <cell r="V106">
            <v>46240.969907407409</v>
          </cell>
          <cell r="W106">
            <v>46242.351319444446</v>
          </cell>
          <cell r="X106">
            <v>46242.979351851849</v>
          </cell>
          <cell r="Y106">
            <v>46243.350925925923</v>
          </cell>
          <cell r="Z106">
            <v>46243.936539351853</v>
          </cell>
          <cell r="AA106">
            <v>46244.351446759261</v>
          </cell>
          <cell r="AB106">
            <v>46244.960219907407</v>
          </cell>
          <cell r="AC106">
            <v>46245.351377314815</v>
          </cell>
          <cell r="AD106">
            <v>46245.933749999997</v>
          </cell>
          <cell r="AE106">
            <v>46246.352233796293</v>
          </cell>
        </row>
        <row r="107">
          <cell r="E107" t="str">
            <v>FJ male Local staff</v>
          </cell>
          <cell r="F107" t="str">
            <v>MAD0706</v>
          </cell>
          <cell r="G107" t="str">
            <v>Retail Shop</v>
          </cell>
          <cell r="H107" t="str">
            <v>MD Tufajjal Hosen</v>
          </cell>
          <cell r="I107">
            <v>46235.351689814815</v>
          </cell>
          <cell r="J107">
            <v>46235.969895833332</v>
          </cell>
          <cell r="K107">
            <v>46236.351574074077</v>
          </cell>
          <cell r="L107">
            <v>46236.945740740739</v>
          </cell>
          <cell r="M107">
            <v>46237.352187500001</v>
          </cell>
          <cell r="N107">
            <v>46237.947685185187</v>
          </cell>
          <cell r="O107">
            <v>46238.353379629632</v>
          </cell>
          <cell r="P107">
            <v>46238.946782407409</v>
          </cell>
          <cell r="Q107">
            <v>46239.353495370371</v>
          </cell>
          <cell r="R107">
            <v>46239.943981481483</v>
          </cell>
          <cell r="S107">
            <v>46240.351087962961</v>
          </cell>
          <cell r="T107">
            <v>46240.97761574074</v>
          </cell>
          <cell r="U107">
            <v>46241.577060185184</v>
          </cell>
          <cell r="V107">
            <v>46240.97761574074</v>
          </cell>
          <cell r="W107">
            <v>46242.351666666669</v>
          </cell>
          <cell r="X107">
            <v>1</v>
          </cell>
          <cell r="Y107">
            <v>46243.353009259263</v>
          </cell>
          <cell r="Z107">
            <v>46243.964953703704</v>
          </cell>
          <cell r="AA107">
            <v>46244.356620370374</v>
          </cell>
          <cell r="AB107">
            <v>1</v>
          </cell>
          <cell r="AC107">
            <v>46245.351377314815</v>
          </cell>
          <cell r="AD107">
            <v>46245.951354166667</v>
          </cell>
          <cell r="AE107">
            <v>46246.352766203701</v>
          </cell>
        </row>
        <row r="108">
          <cell r="E108" t="str">
            <v>Fs male Local staff</v>
          </cell>
          <cell r="F108" t="str">
            <v>MAD0711</v>
          </cell>
          <cell r="G108" t="str">
            <v>Stock Keeper</v>
          </cell>
          <cell r="H108" t="str">
            <v>Vijayakumar Kaliaraj</v>
          </cell>
          <cell r="I108">
            <v>46235.320833333331</v>
          </cell>
          <cell r="J108">
            <v>1</v>
          </cell>
          <cell r="K108">
            <v>46236.322384259256</v>
          </cell>
          <cell r="L108">
            <v>1</v>
          </cell>
          <cell r="M108">
            <v>46237.327696759261</v>
          </cell>
          <cell r="N108">
            <v>46237.958865740744</v>
          </cell>
          <cell r="O108">
            <v>46238.323113425926</v>
          </cell>
          <cell r="P108">
            <v>1</v>
          </cell>
          <cell r="Q108">
            <v>46239.324224537035</v>
          </cell>
          <cell r="R108">
            <v>46239.953645833331</v>
          </cell>
          <cell r="S108">
            <v>46240.318136574075</v>
          </cell>
          <cell r="T108">
            <v>1</v>
          </cell>
          <cell r="U108">
            <v>46241.565358796295</v>
          </cell>
          <cell r="V108">
            <v>46241.94158564815</v>
          </cell>
          <cell r="W108">
            <v>46242.321574074071</v>
          </cell>
          <cell r="X108">
            <v>46242.967858796299</v>
          </cell>
          <cell r="Y108">
            <v>46243.324571759258</v>
          </cell>
          <cell r="Z108">
            <v>46243.941759259258</v>
          </cell>
          <cell r="AA108">
            <v>46244.318877314814</v>
          </cell>
          <cell r="AB108">
            <v>1</v>
          </cell>
          <cell r="AC108">
            <v>46245.32304398148</v>
          </cell>
          <cell r="AD108">
            <v>46245.958831018521</v>
          </cell>
          <cell r="AE108">
            <v>46246.32167824074</v>
          </cell>
        </row>
        <row r="109">
          <cell r="E109" t="str">
            <v>HM Junior staff</v>
          </cell>
          <cell r="F109" t="str">
            <v>MAD0712</v>
          </cell>
          <cell r="G109" t="str">
            <v>HM Shop1</v>
          </cell>
          <cell r="H109" t="str">
            <v>MD Rumon Ali</v>
          </cell>
          <cell r="I109">
            <v>46235.353530092594</v>
          </cell>
          <cell r="J109">
            <v>1</v>
          </cell>
          <cell r="K109">
            <v>46236.358043981483</v>
          </cell>
          <cell r="L109">
            <v>1</v>
          </cell>
          <cell r="M109">
            <v>46237.35087962963</v>
          </cell>
          <cell r="N109">
            <v>1</v>
          </cell>
          <cell r="O109">
            <v>46238.353344907409</v>
          </cell>
          <cell r="P109">
            <v>1</v>
          </cell>
          <cell r="Q109">
            <v>46239.352766203701</v>
          </cell>
          <cell r="R109">
            <v>1</v>
          </cell>
          <cell r="S109">
            <v>46240.354166666664</v>
          </cell>
          <cell r="T109">
            <v>1</v>
          </cell>
          <cell r="U109">
            <v>46241.575798611113</v>
          </cell>
          <cell r="V109">
            <v>1</v>
          </cell>
          <cell r="W109">
            <v>46242.34747685185</v>
          </cell>
          <cell r="X109">
            <v>46242.976319444446</v>
          </cell>
          <cell r="Y109">
            <v>46243.354456018518</v>
          </cell>
          <cell r="Z109">
            <v>46243.941157407404</v>
          </cell>
          <cell r="AA109">
            <v>46244.354942129627</v>
          </cell>
          <cell r="AB109">
            <v>1</v>
          </cell>
          <cell r="AC109">
            <v>46245.352881944447</v>
          </cell>
          <cell r="AD109">
            <v>1</v>
          </cell>
          <cell r="AE109">
            <v>46246.348935185182</v>
          </cell>
        </row>
        <row r="110">
          <cell r="E110" t="str">
            <v>FJ male Local staff</v>
          </cell>
          <cell r="F110" t="str">
            <v>MAD0713</v>
          </cell>
          <cell r="G110" t="str">
            <v>Wholesale</v>
          </cell>
          <cell r="H110" t="str">
            <v>MD Suhel Mia</v>
          </cell>
          <cell r="I110">
            <v>46235.350115740737</v>
          </cell>
          <cell r="J110">
            <v>46235.981493055559</v>
          </cell>
          <cell r="K110">
            <v>46236.34642361111</v>
          </cell>
          <cell r="L110">
            <v>46236.992789351854</v>
          </cell>
          <cell r="M110">
            <v>46237.350821759261</v>
          </cell>
          <cell r="N110">
            <v>46237.97215277778</v>
          </cell>
          <cell r="O110">
            <v>46238.351307870369</v>
          </cell>
          <cell r="P110">
            <v>46238.966458333336</v>
          </cell>
          <cell r="Q110">
            <v>46239.348287037035</v>
          </cell>
          <cell r="R110">
            <v>46239.967511574076</v>
          </cell>
          <cell r="S110" t="str">
            <v>SICK</v>
          </cell>
          <cell r="T110" t="str">
            <v>SICK</v>
          </cell>
          <cell r="U110" t="str">
            <v>SICK</v>
          </cell>
          <cell r="V110" t="str">
            <v>SICK</v>
          </cell>
          <cell r="W110">
            <v>46242.352905092594</v>
          </cell>
          <cell r="X110">
            <v>1</v>
          </cell>
          <cell r="Y110">
            <v>46243.35050925926</v>
          </cell>
          <cell r="Z110">
            <v>46243.971817129626</v>
          </cell>
          <cell r="AA110">
            <v>46244.350173611114</v>
          </cell>
          <cell r="AB110">
            <v>46244.969664351855</v>
          </cell>
          <cell r="AC110">
            <v>46245.353263888886</v>
          </cell>
          <cell r="AD110">
            <v>1</v>
          </cell>
          <cell r="AE110">
            <v>46246.349826388891</v>
          </cell>
        </row>
        <row r="111">
          <cell r="E111" t="str">
            <v>FJ male Local staff</v>
          </cell>
          <cell r="F111" t="str">
            <v>MAD0714</v>
          </cell>
          <cell r="G111" t="str">
            <v>Bazaaru Shop</v>
          </cell>
          <cell r="H111" t="str">
            <v>Ali Hossain</v>
          </cell>
          <cell r="I111">
            <v>46235.34847222222</v>
          </cell>
          <cell r="J111">
            <v>46235.911157407405</v>
          </cell>
          <cell r="K111">
            <v>46236.349918981483</v>
          </cell>
          <cell r="L111">
            <v>46236.879780092589</v>
          </cell>
          <cell r="M111">
            <v>46237.347488425927</v>
          </cell>
          <cell r="N111">
            <v>46237.920914351853</v>
          </cell>
          <cell r="O111">
            <v>46238.347395833334</v>
          </cell>
          <cell r="P111">
            <v>46238.921296296299</v>
          </cell>
          <cell r="Q111">
            <v>46239.351319444446</v>
          </cell>
          <cell r="R111">
            <v>46239.897974537038</v>
          </cell>
          <cell r="S111">
            <v>46240.349421296298</v>
          </cell>
          <cell r="T111">
            <v>46240.936805555553</v>
          </cell>
          <cell r="U111">
            <v>46241.575462962966</v>
          </cell>
          <cell r="V111">
            <v>46240.936805555553</v>
          </cell>
          <cell r="W111">
            <v>46242.347777777781</v>
          </cell>
          <cell r="X111">
            <v>46242.940138888887</v>
          </cell>
          <cell r="Y111">
            <v>46243.347569444442</v>
          </cell>
          <cell r="Z111">
            <v>46243.896527777775</v>
          </cell>
          <cell r="AA111">
            <v>46244.348993055559</v>
          </cell>
          <cell r="AB111">
            <v>46244.87740740741</v>
          </cell>
          <cell r="AC111">
            <v>46245.339965277781</v>
          </cell>
          <cell r="AD111">
            <v>46245.918391203704</v>
          </cell>
          <cell r="AE111">
            <v>46246.342499999999</v>
          </cell>
        </row>
        <row r="112">
          <cell r="E112" t="str">
            <v>FJ male Local staff</v>
          </cell>
          <cell r="F112" t="str">
            <v>MAD0715</v>
          </cell>
          <cell r="G112" t="str">
            <v>Doores Godown</v>
          </cell>
          <cell r="H112" t="str">
            <v>Manikandan Selvaraj</v>
          </cell>
          <cell r="I112">
            <v>46235.329074074078</v>
          </cell>
          <cell r="J112">
            <v>46235.958622685182</v>
          </cell>
          <cell r="K112">
            <v>46236.330682870372</v>
          </cell>
          <cell r="L112">
            <v>46236.918530092589</v>
          </cell>
          <cell r="M112">
            <v>46237.332384259258</v>
          </cell>
          <cell r="N112">
            <v>46237.927893518521</v>
          </cell>
          <cell r="O112">
            <v>46238.330601851849</v>
          </cell>
          <cell r="P112">
            <v>1</v>
          </cell>
          <cell r="Q112">
            <v>46239.333449074074</v>
          </cell>
          <cell r="R112">
            <v>46239.924861111111</v>
          </cell>
          <cell r="S112">
            <v>46240.335636574076</v>
          </cell>
          <cell r="T112">
            <v>1</v>
          </cell>
          <cell r="U112" t="str">
            <v>OFF</v>
          </cell>
          <cell r="V112" t="str">
            <v>OFF</v>
          </cell>
          <cell r="W112">
            <v>46242.35392361111</v>
          </cell>
          <cell r="X112">
            <v>46242.97929398148</v>
          </cell>
          <cell r="Y112">
            <v>46243.351886574077</v>
          </cell>
          <cell r="Z112">
            <v>46243.939027777778</v>
          </cell>
          <cell r="AA112">
            <v>46244.352962962963</v>
          </cell>
          <cell r="AB112">
            <v>46244.962118055555</v>
          </cell>
          <cell r="AC112">
            <v>46245.351886574077</v>
          </cell>
          <cell r="AD112">
            <v>1</v>
          </cell>
          <cell r="AE112">
            <v>46246.349351851852</v>
          </cell>
        </row>
        <row r="113">
          <cell r="E113" t="str">
            <v>FJ male Local staff</v>
          </cell>
          <cell r="F113" t="str">
            <v>MAD0716</v>
          </cell>
          <cell r="G113" t="str">
            <v>Retail Shop</v>
          </cell>
          <cell r="H113" t="str">
            <v>MD Nahim Gazi</v>
          </cell>
          <cell r="I113">
            <v>46235.346435185187</v>
          </cell>
          <cell r="J113">
            <v>46235.970532407409</v>
          </cell>
          <cell r="K113">
            <v>46236.347696759258</v>
          </cell>
          <cell r="L113">
            <v>46236.948148148149</v>
          </cell>
          <cell r="M113">
            <v>46237.349236111113</v>
          </cell>
          <cell r="N113">
            <v>46237.949965277781</v>
          </cell>
          <cell r="O113">
            <v>46238.349537037036</v>
          </cell>
          <cell r="P113">
            <v>46238.948946759258</v>
          </cell>
          <cell r="Q113">
            <v>46239.34784722222</v>
          </cell>
          <cell r="R113">
            <v>46239.951504629629</v>
          </cell>
          <cell r="S113">
            <v>46240.346458333333</v>
          </cell>
          <cell r="T113">
            <v>46240.984375</v>
          </cell>
          <cell r="U113" t="str">
            <v>OFF</v>
          </cell>
          <cell r="V113" t="str">
            <v>OFF</v>
          </cell>
          <cell r="W113">
            <v>46242.348368055558</v>
          </cell>
          <cell r="X113">
            <v>1</v>
          </cell>
          <cell r="Y113">
            <v>46243.350613425922</v>
          </cell>
          <cell r="Z113">
            <v>46243.95144675926</v>
          </cell>
          <cell r="AA113">
            <v>46244.349166666667</v>
          </cell>
          <cell r="AB113">
            <v>46244.949467592596</v>
          </cell>
          <cell r="AC113">
            <v>46245.350590277776</v>
          </cell>
          <cell r="AD113">
            <v>46245.954131944447</v>
          </cell>
          <cell r="AE113">
            <v>46246.349687499998</v>
          </cell>
        </row>
        <row r="114">
          <cell r="E114" t="str">
            <v>FJ male Local staff</v>
          </cell>
          <cell r="F114" t="str">
            <v>MAD0718</v>
          </cell>
          <cell r="G114" t="str">
            <v>Bazaaru Shop</v>
          </cell>
          <cell r="H114" t="str">
            <v>Laikuzzaman</v>
          </cell>
          <cell r="I114">
            <v>46235.346863425926</v>
          </cell>
          <cell r="J114">
            <v>46235.940381944441</v>
          </cell>
          <cell r="K114">
            <v>46236.348194444443</v>
          </cell>
          <cell r="L114">
            <v>46236.908043981479</v>
          </cell>
          <cell r="M114">
            <v>1</v>
          </cell>
          <cell r="N114">
            <v>1</v>
          </cell>
          <cell r="O114">
            <v>46238.343368055554</v>
          </cell>
          <cell r="P114">
            <v>46238.920173611114</v>
          </cell>
          <cell r="Q114">
            <v>46239.348553240743</v>
          </cell>
          <cell r="R114">
            <v>46239.922511574077</v>
          </cell>
          <cell r="S114">
            <v>46240.346620370372</v>
          </cell>
          <cell r="T114">
            <v>46240.939965277779</v>
          </cell>
          <cell r="U114">
            <v>46241.561724537038</v>
          </cell>
          <cell r="V114">
            <v>46240.939965277779</v>
          </cell>
          <cell r="W114">
            <v>46242.348599537036</v>
          </cell>
          <cell r="X114">
            <v>46242.929571759261</v>
          </cell>
          <cell r="Y114">
            <v>46243.350115740737</v>
          </cell>
          <cell r="Z114">
            <v>46243.918611111112</v>
          </cell>
          <cell r="AA114">
            <v>46244.347650462965</v>
          </cell>
          <cell r="AB114">
            <v>46244.920185185183</v>
          </cell>
          <cell r="AC114">
            <v>46245.345937500002</v>
          </cell>
          <cell r="AD114">
            <v>46245.925810185188</v>
          </cell>
          <cell r="AE114">
            <v>46246.345486111109</v>
          </cell>
        </row>
        <row r="115">
          <cell r="E115" t="str">
            <v>Fs male Local staff</v>
          </cell>
          <cell r="F115" t="str">
            <v>MAD0719</v>
          </cell>
          <cell r="G115" t="str">
            <v>Clearance</v>
          </cell>
          <cell r="H115" t="str">
            <v>Vigneshwaran Kanagaraj</v>
          </cell>
          <cell r="I115">
            <v>46235.331620370373</v>
          </cell>
          <cell r="J115">
            <v>46235.956782407404</v>
          </cell>
          <cell r="K115">
            <v>46236.331111111111</v>
          </cell>
          <cell r="L115">
            <v>46236.93886574074</v>
          </cell>
          <cell r="M115">
            <v>46237.334374999999</v>
          </cell>
          <cell r="N115">
            <v>46237.949363425927</v>
          </cell>
          <cell r="O115">
            <v>46238.329513888886</v>
          </cell>
          <cell r="P115">
            <v>46238.951643518521</v>
          </cell>
          <cell r="Q115">
            <v>46239.333252314813</v>
          </cell>
          <cell r="R115">
            <v>46239.954618055555</v>
          </cell>
          <cell r="S115">
            <v>46240.33148148148</v>
          </cell>
          <cell r="T115">
            <v>46240.998807870368</v>
          </cell>
          <cell r="U115">
            <v>46241.5622337963</v>
          </cell>
          <cell r="V115">
            <v>46241.933541666665</v>
          </cell>
          <cell r="W115">
            <v>46242.337187500001</v>
          </cell>
          <cell r="X115">
            <v>46242.987210648149</v>
          </cell>
          <cell r="Y115">
            <v>46243.340451388889</v>
          </cell>
          <cell r="Z115">
            <v>46243.945335648146</v>
          </cell>
          <cell r="AA115">
            <v>46244.337152777778</v>
          </cell>
          <cell r="AB115">
            <v>1</v>
          </cell>
          <cell r="AC115">
            <v>46245.342951388891</v>
          </cell>
          <cell r="AD115">
            <v>1</v>
          </cell>
          <cell r="AE115">
            <v>46246.342013888891</v>
          </cell>
        </row>
        <row r="116">
          <cell r="E116" t="str">
            <v>HM Junior staff</v>
          </cell>
          <cell r="F116" t="str">
            <v>MAD0722</v>
          </cell>
          <cell r="G116" t="str">
            <v>HM Shop2</v>
          </cell>
          <cell r="H116" t="str">
            <v>Saddam Hossen</v>
          </cell>
          <cell r="I116">
            <v>46235.352766203701</v>
          </cell>
          <cell r="J116">
            <v>46235.971215277779</v>
          </cell>
          <cell r="K116" t="str">
            <v>SICK</v>
          </cell>
          <cell r="L116" t="str">
            <v>SICK</v>
          </cell>
          <cell r="M116">
            <v>46237.353796296295</v>
          </cell>
          <cell r="N116">
            <v>46237.954618055555</v>
          </cell>
          <cell r="O116" t="str">
            <v>SICK</v>
          </cell>
          <cell r="P116" t="str">
            <v>SICK</v>
          </cell>
          <cell r="Q116">
            <v>46239.355462962965</v>
          </cell>
          <cell r="R116">
            <v>46239.950254629628</v>
          </cell>
          <cell r="S116">
            <v>46240.354907407411</v>
          </cell>
          <cell r="T116">
            <v>46240.97252314815</v>
          </cell>
          <cell r="U116">
            <v>46241.579768518517</v>
          </cell>
          <cell r="V116">
            <v>46240.97252314815</v>
          </cell>
          <cell r="W116">
            <v>46242.356678240743</v>
          </cell>
          <cell r="X116">
            <v>46242.970613425925</v>
          </cell>
          <cell r="Y116">
            <v>46243.351979166669</v>
          </cell>
          <cell r="Z116">
            <v>46243.949270833335</v>
          </cell>
          <cell r="AA116">
            <v>46244.353171296294</v>
          </cell>
          <cell r="AB116">
            <v>46244.966782407406</v>
          </cell>
          <cell r="AC116">
            <v>46245.353101851855</v>
          </cell>
          <cell r="AD116">
            <v>46245.952303240738</v>
          </cell>
          <cell r="AE116">
            <v>46246.35056712963</v>
          </cell>
        </row>
        <row r="117">
          <cell r="E117" t="str">
            <v>FJ male Local staff</v>
          </cell>
          <cell r="F117" t="str">
            <v>MAD0723</v>
          </cell>
          <cell r="G117" t="str">
            <v>Galolhu Shop</v>
          </cell>
          <cell r="H117" t="str">
            <v>MD Sobuj Rana</v>
          </cell>
          <cell r="I117">
            <v>46235.352997685186</v>
          </cell>
          <cell r="J117">
            <v>46235.966990740744</v>
          </cell>
          <cell r="K117">
            <v>46236.353518518517</v>
          </cell>
          <cell r="L117">
            <v>46236.947395833333</v>
          </cell>
          <cell r="M117">
            <v>46237.354039351849</v>
          </cell>
          <cell r="N117">
            <v>46237.948067129626</v>
          </cell>
          <cell r="O117">
            <v>46238.354699074072</v>
          </cell>
          <cell r="P117">
            <v>46238.94940972222</v>
          </cell>
          <cell r="Q117">
            <v>46239.353993055556</v>
          </cell>
          <cell r="R117">
            <v>46239.947256944448</v>
          </cell>
          <cell r="S117">
            <v>46240.352824074071</v>
          </cell>
          <cell r="T117">
            <v>46240.983761574076</v>
          </cell>
          <cell r="U117" t="str">
            <v>OFF</v>
          </cell>
          <cell r="V117" t="str">
            <v>OFF</v>
          </cell>
          <cell r="W117">
            <v>46242.352465277778</v>
          </cell>
          <cell r="X117">
            <v>46242.969583333332</v>
          </cell>
          <cell r="Y117">
            <v>46243.353113425925</v>
          </cell>
          <cell r="Z117">
            <v>46243.949733796297</v>
          </cell>
          <cell r="AA117">
            <v>46244.354166666664</v>
          </cell>
          <cell r="AB117">
            <v>46244.948252314818</v>
          </cell>
          <cell r="AC117">
            <v>46245.353831018518</v>
          </cell>
          <cell r="AD117">
            <v>46245.944988425923</v>
          </cell>
          <cell r="AE117">
            <v>46246.352650462963</v>
          </cell>
        </row>
        <row r="118">
          <cell r="E118" t="str">
            <v>FJ male Local staff</v>
          </cell>
          <cell r="F118" t="str">
            <v>MAD0726</v>
          </cell>
          <cell r="G118" t="str">
            <v>Maintenance</v>
          </cell>
          <cell r="H118" t="str">
            <v>MD Tanvir Miah</v>
          </cell>
          <cell r="I118">
            <v>46235.351273148146</v>
          </cell>
          <cell r="J118">
            <v>46235.941377314812</v>
          </cell>
          <cell r="K118">
            <v>46236.347500000003</v>
          </cell>
          <cell r="L118">
            <v>46236.937835648147</v>
          </cell>
          <cell r="M118">
            <v>46237.3512962963</v>
          </cell>
          <cell r="N118">
            <v>46237.940243055556</v>
          </cell>
          <cell r="O118">
            <v>46238.351388888892</v>
          </cell>
          <cell r="P118">
            <v>46238.939826388887</v>
          </cell>
          <cell r="Q118">
            <v>46239.351770833331</v>
          </cell>
          <cell r="R118">
            <v>46239.939733796295</v>
          </cell>
          <cell r="S118">
            <v>46240.350185185183</v>
          </cell>
          <cell r="T118">
            <v>46240.959606481483</v>
          </cell>
          <cell r="U118" t="str">
            <v>OFF</v>
          </cell>
          <cell r="V118" t="str">
            <v>OFF</v>
          </cell>
          <cell r="W118">
            <v>46242.350462962961</v>
          </cell>
          <cell r="X118">
            <v>46242.958368055559</v>
          </cell>
          <cell r="Y118">
            <v>46243.351342592592</v>
          </cell>
          <cell r="Z118">
            <v>46243.940775462965</v>
          </cell>
          <cell r="AA118">
            <v>46244.350775462961</v>
          </cell>
          <cell r="AB118">
            <v>1</v>
          </cell>
          <cell r="AC118">
            <v>46245.351412037038</v>
          </cell>
          <cell r="AD118">
            <v>46245.94940972222</v>
          </cell>
          <cell r="AE118">
            <v>46246.351678240739</v>
          </cell>
        </row>
        <row r="119">
          <cell r="E119" t="str">
            <v>FJ male Local staff</v>
          </cell>
          <cell r="F119" t="str">
            <v>MAD0727</v>
          </cell>
          <cell r="G119" t="str">
            <v>Bazaaru Shop</v>
          </cell>
          <cell r="H119" t="str">
            <v>MD Imran</v>
          </cell>
          <cell r="I119">
            <v>46235.3518287037</v>
          </cell>
          <cell r="J119">
            <v>46235.920520833337</v>
          </cell>
          <cell r="K119">
            <v>46236.345289351855</v>
          </cell>
          <cell r="L119">
            <v>46236.913657407407</v>
          </cell>
          <cell r="M119">
            <v>46237.348495370374</v>
          </cell>
          <cell r="N119">
            <v>46237.92559027778</v>
          </cell>
          <cell r="O119">
            <v>46238.348622685182</v>
          </cell>
          <cell r="P119">
            <v>46238.896215277775</v>
          </cell>
          <cell r="Q119">
            <v>46239.347534722219</v>
          </cell>
          <cell r="R119">
            <v>46239.906608796293</v>
          </cell>
          <cell r="S119">
            <v>46240.349710648145</v>
          </cell>
          <cell r="T119">
            <v>46240.936736111114</v>
          </cell>
          <cell r="U119" t="str">
            <v>OFF</v>
          </cell>
          <cell r="V119" t="str">
            <v>OFF</v>
          </cell>
          <cell r="W119">
            <v>46242.344976851855</v>
          </cell>
          <cell r="X119">
            <v>46242.935833333337</v>
          </cell>
          <cell r="Y119">
            <v>46243.350682870368</v>
          </cell>
          <cell r="Z119">
            <v>46243.906087962961</v>
          </cell>
          <cell r="AA119">
            <v>46244.349907407406</v>
          </cell>
          <cell r="AB119">
            <v>46244.877465277779</v>
          </cell>
          <cell r="AC119">
            <v>46245.350011574075</v>
          </cell>
          <cell r="AD119">
            <v>46245.91810185185</v>
          </cell>
          <cell r="AE119">
            <v>46246.350011574075</v>
          </cell>
        </row>
        <row r="120">
          <cell r="E120" t="str">
            <v>FJ male Local staff</v>
          </cell>
          <cell r="F120" t="str">
            <v>MAD0728</v>
          </cell>
          <cell r="G120" t="str">
            <v xml:space="preserve">Vakara House </v>
          </cell>
          <cell r="H120" t="str">
            <v>Munshahid mia</v>
          </cell>
          <cell r="I120">
            <v>46235.333657407406</v>
          </cell>
          <cell r="J120">
            <v>1</v>
          </cell>
          <cell r="K120">
            <v>46236.332777777781</v>
          </cell>
          <cell r="L120">
            <v>1</v>
          </cell>
          <cell r="M120">
            <v>46237.332997685182</v>
          </cell>
          <cell r="N120">
            <v>1</v>
          </cell>
          <cell r="O120">
            <v>46238.335104166668</v>
          </cell>
          <cell r="P120">
            <v>1</v>
          </cell>
          <cell r="Q120">
            <v>46239.332395833335</v>
          </cell>
          <cell r="R120">
            <v>1</v>
          </cell>
          <cell r="S120">
            <v>46240.328506944446</v>
          </cell>
          <cell r="T120">
            <v>1</v>
          </cell>
          <cell r="U120">
            <v>46241.581041666665</v>
          </cell>
          <cell r="V120">
            <v>1</v>
          </cell>
          <cell r="W120">
            <v>46242.334097222221</v>
          </cell>
          <cell r="X120">
            <v>1</v>
          </cell>
          <cell r="Y120">
            <v>46243.332280092596</v>
          </cell>
          <cell r="Z120">
            <v>1</v>
          </cell>
          <cell r="AA120">
            <v>46244.331076388888</v>
          </cell>
          <cell r="AB120">
            <v>1</v>
          </cell>
          <cell r="AC120">
            <v>46245.333379629628</v>
          </cell>
          <cell r="AD120">
            <v>1</v>
          </cell>
          <cell r="AE120">
            <v>46246.332569444443</v>
          </cell>
        </row>
        <row r="121">
          <cell r="E121" t="str">
            <v>Madi Grand Local</v>
          </cell>
          <cell r="F121" t="str">
            <v>MAD0729</v>
          </cell>
          <cell r="G121" t="str">
            <v>Head Office / Madigrand</v>
          </cell>
          <cell r="H121" t="str">
            <v>Seena Saeed</v>
          </cell>
          <cell r="I121">
            <v>46235.37599537037</v>
          </cell>
          <cell r="J121">
            <v>1</v>
          </cell>
          <cell r="K121">
            <v>1</v>
          </cell>
          <cell r="L121">
            <v>46236.779293981483</v>
          </cell>
          <cell r="M121">
            <v>46237.367650462962</v>
          </cell>
          <cell r="N121">
            <v>46237.785879629628</v>
          </cell>
          <cell r="O121">
            <v>46238.373726851853</v>
          </cell>
          <cell r="P121">
            <v>46238.85428240741</v>
          </cell>
          <cell r="Q121">
            <v>46239.375451388885</v>
          </cell>
          <cell r="R121">
            <v>1</v>
          </cell>
          <cell r="S121">
            <v>46240.378101851849</v>
          </cell>
          <cell r="T121">
            <v>1</v>
          </cell>
          <cell r="U121" t="str">
            <v>OFF</v>
          </cell>
          <cell r="V121" t="str">
            <v>OFF</v>
          </cell>
          <cell r="W121">
            <v>46242.373831018522</v>
          </cell>
          <cell r="X121">
            <v>1</v>
          </cell>
          <cell r="Y121" t="str">
            <v>SICK</v>
          </cell>
          <cell r="Z121" t="str">
            <v>SICK</v>
          </cell>
          <cell r="AA121">
            <v>46244.380613425928</v>
          </cell>
          <cell r="AB121">
            <v>46244.769317129627</v>
          </cell>
          <cell r="AC121">
            <v>46245.381053240744</v>
          </cell>
          <cell r="AD121">
            <v>1</v>
          </cell>
          <cell r="AE121">
            <v>46246.380416666667</v>
          </cell>
        </row>
        <row r="122">
          <cell r="E122" t="str">
            <v>Male Local staff</v>
          </cell>
          <cell r="F122" t="str">
            <v>MAD0730</v>
          </cell>
          <cell r="G122" t="str">
            <v>Head Office</v>
          </cell>
          <cell r="H122" t="str">
            <v>Shezaa Ahmed Quraish</v>
          </cell>
          <cell r="I122">
            <v>46235.367893518516</v>
          </cell>
          <cell r="J122">
            <v>1</v>
          </cell>
          <cell r="K122">
            <v>46238.447916666664</v>
          </cell>
          <cell r="L122">
            <v>1</v>
          </cell>
          <cell r="M122">
            <v>46238.447916666664</v>
          </cell>
          <cell r="N122">
            <v>46237.720381944448</v>
          </cell>
          <cell r="O122">
            <v>46238.447916666664</v>
          </cell>
          <cell r="P122">
            <v>46238.732060185182</v>
          </cell>
          <cell r="Q122">
            <v>46239.37394675926</v>
          </cell>
          <cell r="R122">
            <v>46239.727465277778</v>
          </cell>
          <cell r="S122">
            <v>46240.371041666665</v>
          </cell>
          <cell r="T122">
            <v>1</v>
          </cell>
          <cell r="U122" t="str">
            <v>OFF</v>
          </cell>
          <cell r="V122" t="str">
            <v>OFF</v>
          </cell>
          <cell r="W122">
            <v>46242.382071759261</v>
          </cell>
          <cell r="X122">
            <v>1</v>
          </cell>
          <cell r="Y122">
            <v>46243.384502314817</v>
          </cell>
          <cell r="Z122">
            <v>46243.717824074076</v>
          </cell>
          <cell r="AA122">
            <v>46244.380648148152</v>
          </cell>
          <cell r="AB122">
            <v>46244.708738425928</v>
          </cell>
          <cell r="AC122">
            <v>1</v>
          </cell>
          <cell r="AD122">
            <v>1</v>
          </cell>
          <cell r="AE122" t="str">
            <v>SICK</v>
          </cell>
        </row>
        <row r="123">
          <cell r="E123" t="str">
            <v>FJ male Local staff</v>
          </cell>
          <cell r="F123" t="str">
            <v>MAD0731</v>
          </cell>
          <cell r="G123" t="str">
            <v>Head Office</v>
          </cell>
          <cell r="H123" t="str">
            <v>Nazmul Chowdhury</v>
          </cell>
          <cell r="I123">
            <v>46235.355185185188</v>
          </cell>
          <cell r="J123">
            <v>46235.96638888889</v>
          </cell>
          <cell r="K123">
            <v>46236.354259259257</v>
          </cell>
          <cell r="L123">
            <v>46236.96297453704</v>
          </cell>
          <cell r="M123">
            <v>46237.353796296295</v>
          </cell>
          <cell r="N123">
            <v>46237.973182870373</v>
          </cell>
          <cell r="O123">
            <v>46238.352847222224</v>
          </cell>
          <cell r="P123">
            <v>46238.954293981478</v>
          </cell>
          <cell r="Q123">
            <v>46239.352997685186</v>
          </cell>
          <cell r="R123">
            <v>46239.95684027778</v>
          </cell>
          <cell r="S123">
            <v>46240.354375000003</v>
          </cell>
          <cell r="T123">
            <v>46240.971053240741</v>
          </cell>
          <cell r="U123" t="str">
            <v>OFF</v>
          </cell>
          <cell r="V123" t="str">
            <v>OFF</v>
          </cell>
          <cell r="W123">
            <v>46242.35528935185</v>
          </cell>
          <cell r="X123">
            <v>46242.957696759258</v>
          </cell>
          <cell r="Y123">
            <v>46243.351620370369</v>
          </cell>
          <cell r="Z123">
            <v>46243.960752314815</v>
          </cell>
          <cell r="AA123">
            <v>46244.356469907405</v>
          </cell>
          <cell r="AB123">
            <v>46244.963842592595</v>
          </cell>
          <cell r="AC123">
            <v>46245.356435185182</v>
          </cell>
          <cell r="AD123">
            <v>46245.953958333332</v>
          </cell>
          <cell r="AE123">
            <v>46246.350844907407</v>
          </cell>
        </row>
        <row r="124">
          <cell r="E124" t="str">
            <v>Male Local staff</v>
          </cell>
          <cell r="F124" t="str">
            <v>MAD0732</v>
          </cell>
          <cell r="G124" t="str">
            <v>Galolhu Shop</v>
          </cell>
          <cell r="H124" t="str">
            <v>Fathmth Nuha</v>
          </cell>
          <cell r="I124">
            <v>46235.353414351855</v>
          </cell>
          <cell r="J124">
            <v>1</v>
          </cell>
          <cell r="K124">
            <v>46236.355104166665</v>
          </cell>
          <cell r="L124">
            <v>1</v>
          </cell>
          <cell r="M124">
            <v>46237.353298611109</v>
          </cell>
          <cell r="N124">
            <v>1</v>
          </cell>
          <cell r="O124">
            <v>46238.354409722226</v>
          </cell>
          <cell r="P124">
            <v>1</v>
          </cell>
          <cell r="Q124">
            <v>46239.353888888887</v>
          </cell>
          <cell r="R124">
            <v>1</v>
          </cell>
          <cell r="S124">
            <v>46240.352152777778</v>
          </cell>
          <cell r="T124">
            <v>1</v>
          </cell>
          <cell r="U124" t="str">
            <v>OFF</v>
          </cell>
          <cell r="V124" t="str">
            <v>OFF</v>
          </cell>
          <cell r="W124" t="str">
            <v>SICK</v>
          </cell>
          <cell r="X124" t="str">
            <v>SICK</v>
          </cell>
          <cell r="Y124">
            <v>46243.35297453704</v>
          </cell>
          <cell r="Z124">
            <v>1</v>
          </cell>
          <cell r="AA124">
            <v>46244.354131944441</v>
          </cell>
          <cell r="AB124">
            <v>1</v>
          </cell>
          <cell r="AC124">
            <v>46245.353900462964</v>
          </cell>
          <cell r="AD124">
            <v>1</v>
          </cell>
          <cell r="AE124">
            <v>46246.352349537039</v>
          </cell>
        </row>
        <row r="125">
          <cell r="E125" t="str">
            <v>FJ male Local staff</v>
          </cell>
          <cell r="F125" t="str">
            <v>MAD0733</v>
          </cell>
          <cell r="G125" t="str">
            <v>Galolhu Shop</v>
          </cell>
          <cell r="H125" t="str">
            <v>Sabbir Hossain</v>
          </cell>
          <cell r="I125">
            <v>46235.352662037039</v>
          </cell>
          <cell r="J125">
            <v>46235.969293981485</v>
          </cell>
          <cell r="K125">
            <v>46236.351724537039</v>
          </cell>
          <cell r="L125">
            <v>46236.948020833333</v>
          </cell>
          <cell r="M125">
            <v>46237.35324074074</v>
          </cell>
          <cell r="N125">
            <v>1</v>
          </cell>
          <cell r="O125">
            <v>46238.354456018518</v>
          </cell>
          <cell r="P125">
            <v>46238.9533912037</v>
          </cell>
          <cell r="Q125">
            <v>46239.353854166664</v>
          </cell>
          <cell r="R125">
            <v>46239.951331018521</v>
          </cell>
          <cell r="S125">
            <v>46240.352395833332</v>
          </cell>
          <cell r="T125">
            <v>46240.983530092592</v>
          </cell>
          <cell r="U125" t="str">
            <v>OFF</v>
          </cell>
          <cell r="V125" t="str">
            <v>OFF</v>
          </cell>
          <cell r="W125">
            <v>46242.352384259262</v>
          </cell>
          <cell r="X125">
            <v>1</v>
          </cell>
          <cell r="Y125">
            <v>46243.352754629632</v>
          </cell>
          <cell r="Z125">
            <v>46243.955138888887</v>
          </cell>
          <cell r="AA125">
            <v>46244.354085648149</v>
          </cell>
          <cell r="AB125">
            <v>46244.952222222222</v>
          </cell>
          <cell r="AC125">
            <v>46245.351099537038</v>
          </cell>
          <cell r="AD125">
            <v>46245.956689814811</v>
          </cell>
          <cell r="AE125">
            <v>46246.352824074071</v>
          </cell>
        </row>
        <row r="126">
          <cell r="E126" t="str">
            <v>FJ male Local staff</v>
          </cell>
          <cell r="F126" t="str">
            <v>MAD0736</v>
          </cell>
          <cell r="G126" t="str">
            <v>Doores Godown</v>
          </cell>
          <cell r="H126" t="str">
            <v>MD Shak Sabik</v>
          </cell>
          <cell r="I126">
            <v>46235.348252314812</v>
          </cell>
          <cell r="J126">
            <v>46235.980196759258</v>
          </cell>
          <cell r="K126">
            <v>46236.344606481478</v>
          </cell>
          <cell r="L126">
            <v>46236.991122685184</v>
          </cell>
          <cell r="M126">
            <v>46237.350486111114</v>
          </cell>
          <cell r="N126">
            <v>46237.968124999999</v>
          </cell>
          <cell r="O126">
            <v>46238.348657407405</v>
          </cell>
          <cell r="P126">
            <v>46238.944398148145</v>
          </cell>
          <cell r="Q126">
            <v>46239.348599537036</v>
          </cell>
          <cell r="R126">
            <v>46239.964953703704</v>
          </cell>
          <cell r="S126">
            <v>46240.348067129627</v>
          </cell>
          <cell r="T126">
            <v>46240.96980324074</v>
          </cell>
          <cell r="U126" t="str">
            <v>OFF</v>
          </cell>
          <cell r="V126" t="str">
            <v>OFF</v>
          </cell>
          <cell r="W126">
            <v>46242.349328703705</v>
          </cell>
          <cell r="X126">
            <v>46242.987812500003</v>
          </cell>
          <cell r="Y126">
            <v>46243.350995370369</v>
          </cell>
          <cell r="Z126">
            <v>46243.937847222223</v>
          </cell>
          <cell r="AA126">
            <v>46244.347939814812</v>
          </cell>
          <cell r="AB126">
            <v>46244.965428240743</v>
          </cell>
          <cell r="AC126">
            <v>46245.349421296298</v>
          </cell>
          <cell r="AD126">
            <v>46245.925659722219</v>
          </cell>
          <cell r="AE126">
            <v>46246.347881944443</v>
          </cell>
        </row>
        <row r="127">
          <cell r="E127" t="str">
            <v>FJ male Local staff</v>
          </cell>
          <cell r="F127" t="str">
            <v>MAD0737</v>
          </cell>
          <cell r="G127" t="str">
            <v>Galolhu Shop</v>
          </cell>
          <cell r="H127" t="str">
            <v>Golam Sarowar Rubel</v>
          </cell>
          <cell r="I127">
            <v>46235.352743055555</v>
          </cell>
          <cell r="J127">
            <v>46235.971331018518</v>
          </cell>
          <cell r="K127">
            <v>46236.35255787037</v>
          </cell>
          <cell r="L127">
            <v>46236.948287037034</v>
          </cell>
          <cell r="M127">
            <v>46237.353356481479</v>
          </cell>
          <cell r="N127">
            <v>46237.950185185182</v>
          </cell>
          <cell r="O127">
            <v>46238.354502314818</v>
          </cell>
          <cell r="P127">
            <v>46238.951493055552</v>
          </cell>
          <cell r="Q127">
            <v>46239.353807870371</v>
          </cell>
          <cell r="R127">
            <v>46239.948460648149</v>
          </cell>
          <cell r="S127">
            <v>46240.353159722225</v>
          </cell>
          <cell r="T127">
            <v>46240.983657407407</v>
          </cell>
          <cell r="U127">
            <v>46241.579525462963</v>
          </cell>
          <cell r="V127">
            <v>46241.945856481485</v>
          </cell>
          <cell r="W127">
            <v>46242.35255787037</v>
          </cell>
          <cell r="X127">
            <v>46242.973287037035</v>
          </cell>
          <cell r="Y127">
            <v>46243.353055555555</v>
          </cell>
          <cell r="Z127">
            <v>46243.955034722225</v>
          </cell>
          <cell r="AA127">
            <v>46244.354050925926</v>
          </cell>
          <cell r="AB127">
            <v>46244.949513888889</v>
          </cell>
          <cell r="AC127">
            <v>46245.352939814817</v>
          </cell>
          <cell r="AD127">
            <v>46245.945196759261</v>
          </cell>
          <cell r="AE127">
            <v>46246.353368055556</v>
          </cell>
        </row>
        <row r="128">
          <cell r="E128" t="str">
            <v>FJ male Local staff</v>
          </cell>
          <cell r="F128" t="str">
            <v>MAD0739</v>
          </cell>
          <cell r="G128" t="str">
            <v>Athulhu Shop</v>
          </cell>
          <cell r="H128" t="str">
            <v>MD Sujon</v>
          </cell>
          <cell r="I128">
            <v>46235.352314814816</v>
          </cell>
          <cell r="J128">
            <v>46235.962384259263</v>
          </cell>
          <cell r="K128">
            <v>46236.351631944446</v>
          </cell>
          <cell r="L128">
            <v>46236.958379629628</v>
          </cell>
          <cell r="M128">
            <v>46237.352326388886</v>
          </cell>
          <cell r="N128">
            <v>46237.945150462961</v>
          </cell>
          <cell r="O128">
            <v>46238.352881944447</v>
          </cell>
          <cell r="P128">
            <v>46238.945729166669</v>
          </cell>
          <cell r="Q128">
            <v>46239.353252314817</v>
          </cell>
          <cell r="R128">
            <v>46239.94021990741</v>
          </cell>
          <cell r="S128">
            <v>46240.352013888885</v>
          </cell>
          <cell r="T128">
            <v>46240.941319444442</v>
          </cell>
          <cell r="U128">
            <v>46241.582233796296</v>
          </cell>
          <cell r="V128">
            <v>46241.910775462966</v>
          </cell>
          <cell r="W128">
            <v>46242.352418981478</v>
          </cell>
          <cell r="X128">
            <v>46242.966782407406</v>
          </cell>
          <cell r="Y128">
            <v>46243.352719907409</v>
          </cell>
          <cell r="Z128">
            <v>46243.96193287037</v>
          </cell>
          <cell r="AA128">
            <v>46244.352349537039</v>
          </cell>
          <cell r="AB128">
            <v>46244.958055555559</v>
          </cell>
          <cell r="AC128">
            <v>46245.35229166667</v>
          </cell>
          <cell r="AD128">
            <v>46245.9375462963</v>
          </cell>
          <cell r="AE128">
            <v>46246.351840277777</v>
          </cell>
        </row>
        <row r="129">
          <cell r="E129" t="str">
            <v>FJ male Local staff</v>
          </cell>
          <cell r="F129" t="str">
            <v>MAD0740</v>
          </cell>
          <cell r="G129" t="str">
            <v>Retail Shop</v>
          </cell>
          <cell r="H129" t="str">
            <v>MD Rayhan Bhuiya</v>
          </cell>
          <cell r="I129">
            <v>46235.324178240742</v>
          </cell>
          <cell r="J129">
            <v>46235.97457175926</v>
          </cell>
          <cell r="K129">
            <v>46236.330243055556</v>
          </cell>
          <cell r="L129">
            <v>46236.958692129629</v>
          </cell>
          <cell r="M129">
            <v>46237.33085648148</v>
          </cell>
          <cell r="N129">
            <v>46237.960277777776</v>
          </cell>
          <cell r="O129">
            <v>46238.32880787037</v>
          </cell>
          <cell r="P129">
            <v>46238.956597222219</v>
          </cell>
          <cell r="Q129">
            <v>46239.330092592594</v>
          </cell>
          <cell r="R129">
            <v>46239.955347222225</v>
          </cell>
          <cell r="S129">
            <v>46240.323900462965</v>
          </cell>
          <cell r="T129">
            <v>46240.982685185183</v>
          </cell>
          <cell r="U129">
            <v>46241.577222222222</v>
          </cell>
          <cell r="V129">
            <v>46241.958993055552</v>
          </cell>
          <cell r="W129">
            <v>46242.327592592592</v>
          </cell>
          <cell r="X129">
            <v>46242.973298611112</v>
          </cell>
          <cell r="Y129">
            <v>46243.328263888892</v>
          </cell>
          <cell r="Z129">
            <v>46243.965150462966</v>
          </cell>
          <cell r="AA129">
            <v>46244.341053240743</v>
          </cell>
          <cell r="AB129">
            <v>46244.957870370374</v>
          </cell>
          <cell r="AC129">
            <v>46245.331782407404</v>
          </cell>
          <cell r="AD129">
            <v>46245.962245370371</v>
          </cell>
          <cell r="AE129">
            <v>46246.330300925925</v>
          </cell>
        </row>
        <row r="130">
          <cell r="E130" t="str">
            <v>FJ male Local staff</v>
          </cell>
          <cell r="F130" t="str">
            <v>MAD0741</v>
          </cell>
          <cell r="G130" t="str">
            <v>Doores Godown</v>
          </cell>
          <cell r="H130" t="str">
            <v>MD Hasan Ali</v>
          </cell>
          <cell r="I130">
            <v>46235.342627314814</v>
          </cell>
          <cell r="J130">
            <v>46235.972754629627</v>
          </cell>
          <cell r="K130">
            <v>46236.346990740742</v>
          </cell>
          <cell r="L130">
            <v>46236.991608796299</v>
          </cell>
          <cell r="M130">
            <v>46237.342141203706</v>
          </cell>
          <cell r="N130">
            <v>46237.968402777777</v>
          </cell>
          <cell r="O130">
            <v>46238.344675925924</v>
          </cell>
          <cell r="P130">
            <v>46238.94431712963</v>
          </cell>
          <cell r="Q130">
            <v>46239.346087962964</v>
          </cell>
          <cell r="R130">
            <v>46239.96534722222</v>
          </cell>
          <cell r="S130">
            <v>46240.342974537038</v>
          </cell>
          <cell r="T130">
            <v>46240.970185185186</v>
          </cell>
          <cell r="U130" t="str">
            <v>OFF</v>
          </cell>
          <cell r="V130" t="str">
            <v>OFF</v>
          </cell>
          <cell r="W130">
            <v>46242.344409722224</v>
          </cell>
          <cell r="X130">
            <v>46242.988229166665</v>
          </cell>
          <cell r="Y130">
            <v>46243.340543981481</v>
          </cell>
          <cell r="Z130">
            <v>46243.93818287037</v>
          </cell>
          <cell r="AA130">
            <v>46244.340601851851</v>
          </cell>
          <cell r="AB130">
            <v>46244.967847222222</v>
          </cell>
          <cell r="AC130">
            <v>46245.341226851851</v>
          </cell>
          <cell r="AD130">
            <v>46245.922488425924</v>
          </cell>
          <cell r="AE130">
            <v>46246.34097222222</v>
          </cell>
        </row>
        <row r="131">
          <cell r="E131" t="str">
            <v>FJ male Local staff</v>
          </cell>
          <cell r="F131" t="str">
            <v>MAD0742</v>
          </cell>
          <cell r="G131" t="str">
            <v>Doores Godown</v>
          </cell>
          <cell r="H131" t="str">
            <v>MD Shamim Hoshen</v>
          </cell>
          <cell r="I131">
            <v>46235.334282407406</v>
          </cell>
          <cell r="J131">
            <v>46235.972546296296</v>
          </cell>
          <cell r="K131">
            <v>46236.336875000001</v>
          </cell>
          <cell r="L131">
            <v>46236.992060185185</v>
          </cell>
          <cell r="M131">
            <v>46237.34165509259</v>
          </cell>
          <cell r="N131">
            <v>46237.968969907408</v>
          </cell>
          <cell r="O131">
            <v>46238.344363425924</v>
          </cell>
          <cell r="P131">
            <v>46238.944803240738</v>
          </cell>
          <cell r="Q131">
            <v>46239.339675925927</v>
          </cell>
          <cell r="R131">
            <v>46239.965439814812</v>
          </cell>
          <cell r="S131">
            <v>46240.344780092593</v>
          </cell>
          <cell r="T131">
            <v>46240.970416666663</v>
          </cell>
          <cell r="U131">
            <v>46241.583784722221</v>
          </cell>
          <cell r="V131">
            <v>46241.938379629632</v>
          </cell>
          <cell r="W131">
            <v>46242.343981481485</v>
          </cell>
          <cell r="X131">
            <v>46242.987962962965</v>
          </cell>
          <cell r="Y131">
            <v>46243.340752314813</v>
          </cell>
          <cell r="Z131">
            <v>46243.938125000001</v>
          </cell>
          <cell r="AA131">
            <v>46244.343356481484</v>
          </cell>
          <cell r="AB131">
            <v>46244.965497685182</v>
          </cell>
          <cell r="AC131">
            <v>46245.343055555553</v>
          </cell>
          <cell r="AD131">
            <v>46245.926018518519</v>
          </cell>
          <cell r="AE131">
            <v>46246.345567129632</v>
          </cell>
        </row>
        <row r="132">
          <cell r="E132" t="str">
            <v>HM Junior staff</v>
          </cell>
          <cell r="F132" t="str">
            <v>MAD0744</v>
          </cell>
          <cell r="G132" t="str">
            <v>HM Site</v>
          </cell>
          <cell r="H132" t="str">
            <v>Alamgir Hosain</v>
          </cell>
          <cell r="I132">
            <v>46235.328900462962</v>
          </cell>
          <cell r="J132">
            <v>46235.851053240738</v>
          </cell>
          <cell r="K132">
            <v>46236.330196759256</v>
          </cell>
          <cell r="L132">
            <v>1</v>
          </cell>
          <cell r="M132">
            <v>46237.327476851853</v>
          </cell>
          <cell r="N132">
            <v>46237.844849537039</v>
          </cell>
          <cell r="O132">
            <v>46238.328750000001</v>
          </cell>
          <cell r="P132">
            <v>1</v>
          </cell>
          <cell r="Q132">
            <v>46239.351342592592</v>
          </cell>
          <cell r="R132">
            <v>1</v>
          </cell>
          <cell r="S132">
            <v>46240.350613425922</v>
          </cell>
          <cell r="T132">
            <v>1</v>
          </cell>
          <cell r="U132" t="str">
            <v>OFF</v>
          </cell>
          <cell r="V132" t="str">
            <v>OFF</v>
          </cell>
          <cell r="W132">
            <v>46242.340798611112</v>
          </cell>
          <cell r="X132">
            <v>46242.90079861111</v>
          </cell>
          <cell r="Y132">
            <v>46243.350069444445</v>
          </cell>
          <cell r="Z132">
            <v>46243.839583333334</v>
          </cell>
          <cell r="AA132">
            <v>46244.351365740738</v>
          </cell>
          <cell r="AB132">
            <v>1</v>
          </cell>
          <cell r="AC132">
            <v>46245.350648148145</v>
          </cell>
          <cell r="AD132">
            <v>1</v>
          </cell>
          <cell r="AE132">
            <v>46246.355046296296</v>
          </cell>
        </row>
        <row r="133">
          <cell r="E133" t="str">
            <v>HM Junior staff</v>
          </cell>
          <cell r="F133" t="str">
            <v>MAD0745</v>
          </cell>
          <cell r="G133" t="str">
            <v>HM Shop1</v>
          </cell>
          <cell r="H133" t="str">
            <v>Saddam Hossian</v>
          </cell>
          <cell r="I133">
            <v>46235.349664351852</v>
          </cell>
          <cell r="J133">
            <v>46235.966400462959</v>
          </cell>
          <cell r="K133">
            <v>46236.349965277775</v>
          </cell>
          <cell r="L133">
            <v>46236.954259259262</v>
          </cell>
          <cell r="M133">
            <v>46237.350127314814</v>
          </cell>
          <cell r="N133">
            <v>46237.955138888887</v>
          </cell>
          <cell r="O133">
            <v>46238.350949074076</v>
          </cell>
          <cell r="P133">
            <v>46238.945925925924</v>
          </cell>
          <cell r="Q133">
            <v>46239.352511574078</v>
          </cell>
          <cell r="R133">
            <v>46239.945162037038</v>
          </cell>
          <cell r="S133">
            <v>46240.351979166669</v>
          </cell>
          <cell r="T133">
            <v>46240.96361111111</v>
          </cell>
          <cell r="U133" t="str">
            <v>OFF</v>
          </cell>
          <cell r="V133" t="str">
            <v>OFF</v>
          </cell>
          <cell r="W133">
            <v>46242.35292824074</v>
          </cell>
          <cell r="X133">
            <v>46242.961030092592</v>
          </cell>
          <cell r="Y133">
            <v>46243.349189814813</v>
          </cell>
          <cell r="Z133">
            <v>46243.940925925926</v>
          </cell>
          <cell r="AA133">
            <v>46244.351550925923</v>
          </cell>
          <cell r="AB133">
            <v>46244.944537037038</v>
          </cell>
          <cell r="AC133">
            <v>46245.350752314815</v>
          </cell>
          <cell r="AD133">
            <v>46245.94871527778</v>
          </cell>
          <cell r="AE133">
            <v>46246.348715277774</v>
          </cell>
        </row>
        <row r="134">
          <cell r="E134" t="str">
            <v>FJ male Local staff</v>
          </cell>
          <cell r="F134" t="str">
            <v>MAD0746</v>
          </cell>
          <cell r="G134" t="str">
            <v>Galolhu Shop</v>
          </cell>
          <cell r="H134" t="str">
            <v>Phoo Wai Myint</v>
          </cell>
          <cell r="I134">
            <v>46235.353946759256</v>
          </cell>
          <cell r="J134">
            <v>46235.968206018515</v>
          </cell>
          <cell r="K134">
            <v>46236.352835648147</v>
          </cell>
          <cell r="L134">
            <v>46236.949652777781</v>
          </cell>
          <cell r="M134">
            <v>46237.353958333333</v>
          </cell>
          <cell r="N134">
            <v>46237.946493055555</v>
          </cell>
          <cell r="O134">
            <v>46238.354479166665</v>
          </cell>
          <cell r="P134">
            <v>46238.949178240742</v>
          </cell>
          <cell r="Q134">
            <v>46239.35496527778</v>
          </cell>
          <cell r="R134">
            <v>46239.948645833334</v>
          </cell>
          <cell r="S134">
            <v>46240.352280092593</v>
          </cell>
          <cell r="T134">
            <v>46240.972800925927</v>
          </cell>
          <cell r="U134">
            <v>46241.58152777778</v>
          </cell>
          <cell r="V134">
            <v>46241.943958333337</v>
          </cell>
          <cell r="W134">
            <v>46242.352893518517</v>
          </cell>
          <cell r="X134">
            <v>46242.97252314815</v>
          </cell>
          <cell r="Y134">
            <v>46243.353171296294</v>
          </cell>
          <cell r="Z134">
            <v>46243.952418981484</v>
          </cell>
          <cell r="AA134">
            <v>46244.353981481479</v>
          </cell>
          <cell r="AB134">
            <v>1</v>
          </cell>
          <cell r="AC134">
            <v>46245.353692129633</v>
          </cell>
          <cell r="AD134">
            <v>46245.951226851852</v>
          </cell>
          <cell r="AE134">
            <v>46246.353437500002</v>
          </cell>
        </row>
        <row r="135">
          <cell r="E135" t="str">
            <v>FJ male Local staff</v>
          </cell>
          <cell r="F135" t="str">
            <v>MAD0748</v>
          </cell>
          <cell r="G135" t="str">
            <v>Doores Godown</v>
          </cell>
          <cell r="H135" t="str">
            <v>Pranav Muraleedha</v>
          </cell>
          <cell r="I135">
            <v>46235.348333333335</v>
          </cell>
          <cell r="J135">
            <v>46235.965416666666</v>
          </cell>
          <cell r="K135">
            <v>46236.350555555553</v>
          </cell>
          <cell r="L135">
            <v>46236.971400462964</v>
          </cell>
          <cell r="M135">
            <v>46237.352465277778</v>
          </cell>
          <cell r="N135">
            <v>46237.963680555556</v>
          </cell>
          <cell r="O135">
            <v>46238.353206018517</v>
          </cell>
          <cell r="P135">
            <v>46238.940428240741</v>
          </cell>
          <cell r="Q135">
            <v>46239.344606481478</v>
          </cell>
          <cell r="R135">
            <v>46239.958414351851</v>
          </cell>
          <cell r="S135">
            <v>46240.346909722219</v>
          </cell>
          <cell r="T135">
            <v>46240.9690625</v>
          </cell>
          <cell r="U135">
            <v>46241.574189814812</v>
          </cell>
          <cell r="V135">
            <v>46241.937650462962</v>
          </cell>
          <cell r="W135">
            <v>46242.351018518515</v>
          </cell>
          <cell r="X135">
            <v>46242.979189814818</v>
          </cell>
          <cell r="Y135">
            <v>46243.346446759257</v>
          </cell>
          <cell r="Z135">
            <v>46243.938402777778</v>
          </cell>
          <cell r="AA135">
            <v>46244.350335648145</v>
          </cell>
          <cell r="AB135">
            <v>1</v>
          </cell>
          <cell r="AC135">
            <v>46245.344768518517</v>
          </cell>
          <cell r="AD135">
            <v>46245.923680555556</v>
          </cell>
          <cell r="AE135">
            <v>46246.351238425923</v>
          </cell>
        </row>
        <row r="136">
          <cell r="E136" t="str">
            <v>Fs male Local staff</v>
          </cell>
          <cell r="F136" t="str">
            <v>MAD0749</v>
          </cell>
          <cell r="G136" t="str">
            <v>Stock Keeper</v>
          </cell>
          <cell r="H136" t="str">
            <v>RamPrasath</v>
          </cell>
          <cell r="I136">
            <v>46235.349537037036</v>
          </cell>
          <cell r="J136">
            <v>46235.973275462966</v>
          </cell>
          <cell r="K136">
            <v>46236.35533564815</v>
          </cell>
          <cell r="L136">
            <v>46236.995266203703</v>
          </cell>
          <cell r="M136">
            <v>46237.350127314814</v>
          </cell>
          <cell r="N136">
            <v>46237.969583333332</v>
          </cell>
          <cell r="O136">
            <v>46238.353645833333</v>
          </cell>
          <cell r="P136">
            <v>46238.948958333334</v>
          </cell>
          <cell r="Q136">
            <v>46239.353761574072</v>
          </cell>
          <cell r="R136">
            <v>46239.970914351848</v>
          </cell>
          <cell r="S136">
            <v>46240.35396990741</v>
          </cell>
          <cell r="T136">
            <v>46240.974027777775</v>
          </cell>
          <cell r="U136" t="str">
            <v>OFF</v>
          </cell>
          <cell r="V136" t="str">
            <v>OFF</v>
          </cell>
          <cell r="W136">
            <v>46242.349629629629</v>
          </cell>
          <cell r="X136">
            <v>46242.990624999999</v>
          </cell>
          <cell r="Y136">
            <v>46243.353090277778</v>
          </cell>
          <cell r="Z136">
            <v>46243.940115740741</v>
          </cell>
          <cell r="AA136">
            <v>46244.348078703704</v>
          </cell>
          <cell r="AB136">
            <v>46244.971886574072</v>
          </cell>
          <cell r="AC136">
            <v>46245.352442129632</v>
          </cell>
          <cell r="AD136">
            <v>46245.928344907406</v>
          </cell>
          <cell r="AE136">
            <v>46246.346770833334</v>
          </cell>
        </row>
        <row r="137">
          <cell r="E137" t="str">
            <v>FJ male Local staff</v>
          </cell>
          <cell r="F137" t="str">
            <v>MAD0755</v>
          </cell>
          <cell r="G137" t="str">
            <v xml:space="preserve">Salas </v>
          </cell>
          <cell r="H137" t="str">
            <v>Imran Hossian</v>
          </cell>
          <cell r="I137">
            <v>46235.345069444447</v>
          </cell>
          <cell r="J137">
            <v>46235.962870370371</v>
          </cell>
          <cell r="K137">
            <v>46236.341145833336</v>
          </cell>
          <cell r="L137">
            <v>46236.949756944443</v>
          </cell>
          <cell r="M137">
            <v>46237.344340277778</v>
          </cell>
          <cell r="N137">
            <v>46237.953796296293</v>
          </cell>
          <cell r="O137">
            <v>46238.344513888886</v>
          </cell>
          <cell r="P137">
            <v>46238.948437500003</v>
          </cell>
          <cell r="Q137">
            <v>46239.345104166663</v>
          </cell>
          <cell r="R137">
            <v>46239.944907407407</v>
          </cell>
          <cell r="S137">
            <v>46240.34615740741</v>
          </cell>
          <cell r="T137">
            <v>46240.9766087963</v>
          </cell>
          <cell r="U137">
            <v>46241.580127314817</v>
          </cell>
          <cell r="V137">
            <v>46241.942037037035</v>
          </cell>
          <cell r="W137">
            <v>46242.343425925923</v>
          </cell>
          <cell r="X137">
            <v>46242.961041666669</v>
          </cell>
          <cell r="Y137">
            <v>46243.344895833332</v>
          </cell>
          <cell r="Z137">
            <v>46243.942337962966</v>
          </cell>
          <cell r="AA137">
            <v>46244.342928240738</v>
          </cell>
          <cell r="AB137">
            <v>46244.965648148151</v>
          </cell>
          <cell r="AC137">
            <v>46245.346504629626</v>
          </cell>
          <cell r="AD137">
            <v>46245.942754629628</v>
          </cell>
          <cell r="AE137">
            <v>46246.342743055553</v>
          </cell>
        </row>
        <row r="138">
          <cell r="E138" t="str">
            <v>FJ male Local staff</v>
          </cell>
          <cell r="F138" t="str">
            <v>MAD0756</v>
          </cell>
          <cell r="G138" t="str">
            <v>Athulhu Shop</v>
          </cell>
          <cell r="H138" t="str">
            <v>Shihub Mahmud</v>
          </cell>
          <cell r="I138">
            <v>46235.352731481478</v>
          </cell>
          <cell r="J138">
            <v>46235.946469907409</v>
          </cell>
          <cell r="K138">
            <v>46236.353634259256</v>
          </cell>
          <cell r="L138">
            <v>46236.9531712963</v>
          </cell>
          <cell r="M138">
            <v>46237.351747685185</v>
          </cell>
          <cell r="N138">
            <v>1</v>
          </cell>
          <cell r="O138">
            <v>46238.354305555556</v>
          </cell>
          <cell r="P138">
            <v>46238.934513888889</v>
          </cell>
          <cell r="Q138">
            <v>46239.352361111109</v>
          </cell>
          <cell r="R138">
            <v>46239.947337962964</v>
          </cell>
          <cell r="S138">
            <v>46240.354571759257</v>
          </cell>
          <cell r="T138">
            <v>46240.950069444443</v>
          </cell>
          <cell r="U138">
            <v>46241.565844907411</v>
          </cell>
          <cell r="V138">
            <v>46241.907870370371</v>
          </cell>
          <cell r="W138">
            <v>46242.354189814818</v>
          </cell>
          <cell r="X138">
            <v>46242.95890046296</v>
          </cell>
          <cell r="Y138">
            <v>46243.35596064815</v>
          </cell>
          <cell r="Z138">
            <v>46243.951342592591</v>
          </cell>
          <cell r="AA138">
            <v>46244.351921296293</v>
          </cell>
          <cell r="AB138">
            <v>46244.93953703704</v>
          </cell>
          <cell r="AC138">
            <v>46245.356585648151</v>
          </cell>
          <cell r="AD138">
            <v>46245.935914351852</v>
          </cell>
          <cell r="AE138">
            <v>46246.352465277778</v>
          </cell>
        </row>
        <row r="139">
          <cell r="E139" t="str">
            <v>FJ male Local staff</v>
          </cell>
          <cell r="F139" t="str">
            <v>MAD0757</v>
          </cell>
          <cell r="G139" t="str">
            <v>Doores Godown</v>
          </cell>
          <cell r="H139" t="str">
            <v>MD Hasan Al Mamun</v>
          </cell>
          <cell r="I139">
            <v>46235.333275462966</v>
          </cell>
          <cell r="J139">
            <v>46235.972372685188</v>
          </cell>
          <cell r="K139">
            <v>46236.332060185188</v>
          </cell>
          <cell r="L139">
            <v>46236.991979166669</v>
          </cell>
          <cell r="M139">
            <v>46237.344270833331</v>
          </cell>
          <cell r="N139">
            <v>46237.968252314815</v>
          </cell>
          <cell r="O139">
            <v>46238.343576388892</v>
          </cell>
          <cell r="P139">
            <v>46238.944212962961</v>
          </cell>
          <cell r="Q139">
            <v>46239.346145833333</v>
          </cell>
          <cell r="R139">
            <v>46239.966261574074</v>
          </cell>
          <cell r="S139">
            <v>46240.343124999999</v>
          </cell>
          <cell r="T139">
            <v>46240.970266203702</v>
          </cell>
          <cell r="U139" t="str">
            <v>OFF</v>
          </cell>
          <cell r="V139" t="str">
            <v>OFF</v>
          </cell>
          <cell r="W139">
            <v>46242.341817129629</v>
          </cell>
          <cell r="X139">
            <v>46242.987743055557</v>
          </cell>
          <cell r="Y139">
            <v>46243.336076388892</v>
          </cell>
          <cell r="Z139">
            <v>46243.938356481478</v>
          </cell>
          <cell r="AA139">
            <v>46244.342870370368</v>
          </cell>
          <cell r="AB139">
            <v>46244.965682870374</v>
          </cell>
          <cell r="AC139">
            <v>46245.346412037034</v>
          </cell>
          <cell r="AD139">
            <v>46245.942337962966</v>
          </cell>
          <cell r="AE139">
            <v>46246.342928240738</v>
          </cell>
        </row>
        <row r="140">
          <cell r="E140" t="str">
            <v>FJ male Local staff</v>
          </cell>
          <cell r="F140" t="str">
            <v>MAD0758</v>
          </cell>
          <cell r="G140" t="str">
            <v>Doores Godown</v>
          </cell>
          <cell r="H140" t="str">
            <v>MD Muktar Ali</v>
          </cell>
          <cell r="I140">
            <v>46235.347326388888</v>
          </cell>
          <cell r="J140">
            <v>46235.946423611109</v>
          </cell>
          <cell r="K140">
            <v>46236.344548611109</v>
          </cell>
          <cell r="L140">
            <v>46236.942685185182</v>
          </cell>
          <cell r="M140">
            <v>46237.349374999998</v>
          </cell>
          <cell r="N140">
            <v>46237.937418981484</v>
          </cell>
          <cell r="O140">
            <v>46238.350416666668</v>
          </cell>
          <cell r="P140">
            <v>46238.93172453704</v>
          </cell>
          <cell r="Q140">
            <v>46239.349606481483</v>
          </cell>
          <cell r="R140">
            <v>46239.938113425924</v>
          </cell>
          <cell r="S140">
            <v>46240.348935185182</v>
          </cell>
          <cell r="T140">
            <v>46240.944641203707</v>
          </cell>
          <cell r="U140">
            <v>46241.580300925925</v>
          </cell>
          <cell r="V140">
            <v>46241.932291666664</v>
          </cell>
          <cell r="W140">
            <v>46242.348055555558</v>
          </cell>
          <cell r="X140">
            <v>46242.98741898148</v>
          </cell>
          <cell r="Y140">
            <v>46243.350289351853</v>
          </cell>
          <cell r="Z140">
            <v>46243.940150462964</v>
          </cell>
          <cell r="AA140">
            <v>46244.349270833336</v>
          </cell>
          <cell r="AB140">
            <v>46244.966064814813</v>
          </cell>
          <cell r="AC140">
            <v>46245.350474537037</v>
          </cell>
          <cell r="AD140">
            <v>46245.940300925926</v>
          </cell>
          <cell r="AE140">
            <v>46246.350891203707</v>
          </cell>
        </row>
        <row r="141">
          <cell r="E141" t="str">
            <v>Fs male Local staff</v>
          </cell>
          <cell r="F141" t="str">
            <v>MAD0759</v>
          </cell>
          <cell r="G141" t="str">
            <v>Stock Keeper</v>
          </cell>
          <cell r="H141" t="str">
            <v>Vishnulal Jayalal</v>
          </cell>
          <cell r="I141">
            <v>46235.354201388887</v>
          </cell>
          <cell r="J141">
            <v>46235.974699074075</v>
          </cell>
          <cell r="K141">
            <v>46236.353645833333</v>
          </cell>
          <cell r="L141">
            <v>46236.995949074073</v>
          </cell>
          <cell r="M141">
            <v>46237.355081018519</v>
          </cell>
          <cell r="N141">
            <v>46237.970312500001</v>
          </cell>
          <cell r="O141">
            <v>46238.353449074071</v>
          </cell>
          <cell r="P141">
            <v>46238.95349537037</v>
          </cell>
          <cell r="Q141">
            <v>46239.353715277779</v>
          </cell>
          <cell r="R141">
            <v>46239.973368055558</v>
          </cell>
          <cell r="S141">
            <v>46240.352060185185</v>
          </cell>
          <cell r="T141">
            <v>46240.97347222222</v>
          </cell>
          <cell r="U141">
            <v>46241.578020833331</v>
          </cell>
          <cell r="V141">
            <v>46241.958506944444</v>
          </cell>
          <cell r="W141">
            <v>46242.354004629633</v>
          </cell>
          <cell r="X141">
            <v>46242.984594907408</v>
          </cell>
          <cell r="Y141">
            <v>46243.353888888887</v>
          </cell>
          <cell r="Z141">
            <v>46243.956041666665</v>
          </cell>
          <cell r="AA141">
            <v>46244.351643518516</v>
          </cell>
          <cell r="AB141">
            <v>46244.971932870372</v>
          </cell>
          <cell r="AC141">
            <v>46245.354120370372</v>
          </cell>
          <cell r="AD141">
            <v>46245.953240740739</v>
          </cell>
          <cell r="AE141">
            <v>46246.35428240741</v>
          </cell>
        </row>
        <row r="142">
          <cell r="E142" t="str">
            <v>HM Junior staff</v>
          </cell>
          <cell r="F142" t="str">
            <v>MAD0760</v>
          </cell>
          <cell r="G142" t="str">
            <v>HM Shop2</v>
          </cell>
          <cell r="H142" t="str">
            <v>MD Tarikul Islam tarik</v>
          </cell>
          <cell r="I142">
            <v>46235.352881944447</v>
          </cell>
          <cell r="J142">
            <v>46235.970972222225</v>
          </cell>
          <cell r="K142">
            <v>46236.351180555554</v>
          </cell>
          <cell r="L142">
            <v>46236.952291666668</v>
          </cell>
          <cell r="M142">
            <v>46237.35361111111</v>
          </cell>
          <cell r="N142">
            <v>46237.955081018517</v>
          </cell>
          <cell r="O142">
            <v>46238.352337962962</v>
          </cell>
          <cell r="P142">
            <v>46238.952199074076</v>
          </cell>
          <cell r="Q142">
            <v>46239.355428240742</v>
          </cell>
          <cell r="R142">
            <v>46239.950115740743</v>
          </cell>
          <cell r="S142">
            <v>46240.354814814818</v>
          </cell>
          <cell r="T142">
            <v>46240.97246527778</v>
          </cell>
          <cell r="U142" t="str">
            <v>OFF</v>
          </cell>
          <cell r="V142" t="str">
            <v>OFF</v>
          </cell>
          <cell r="W142">
            <v>46242.356631944444</v>
          </cell>
          <cell r="X142">
            <v>46242.970960648148</v>
          </cell>
          <cell r="Y142">
            <v>46243.351944444446</v>
          </cell>
          <cell r="Z142">
            <v>46243.949629629627</v>
          </cell>
          <cell r="AA142">
            <v>46244.353680555556</v>
          </cell>
          <cell r="AB142">
            <v>46244.967997685184</v>
          </cell>
          <cell r="AC142">
            <v>46245.353182870371</v>
          </cell>
          <cell r="AD142">
            <v>46245.956053240741</v>
          </cell>
          <cell r="AE142">
            <v>46246.350127314814</v>
          </cell>
        </row>
        <row r="143">
          <cell r="E143" t="str">
            <v>HM Junior staff</v>
          </cell>
          <cell r="F143" t="str">
            <v>MAD0761</v>
          </cell>
          <cell r="G143" t="str">
            <v>HM Site</v>
          </cell>
          <cell r="H143" t="str">
            <v>MD Soriful Islam</v>
          </cell>
          <cell r="I143">
            <v>46235.33153935185</v>
          </cell>
          <cell r="J143">
            <v>46235.851111111115</v>
          </cell>
          <cell r="K143">
            <v>46236.328900462962</v>
          </cell>
          <cell r="L143">
            <v>1</v>
          </cell>
          <cell r="M143">
            <v>46237.329768518517</v>
          </cell>
          <cell r="N143">
            <v>46237.844513888886</v>
          </cell>
          <cell r="O143">
            <v>46238.332233796296</v>
          </cell>
          <cell r="P143">
            <v>1</v>
          </cell>
          <cell r="Q143">
            <v>46239.350081018521</v>
          </cell>
          <cell r="R143">
            <v>1</v>
          </cell>
          <cell r="S143">
            <v>46240.355844907404</v>
          </cell>
          <cell r="T143">
            <v>1</v>
          </cell>
          <cell r="U143">
            <v>46241.581446759257</v>
          </cell>
          <cell r="V143">
            <v>1</v>
          </cell>
          <cell r="W143">
            <v>46242.349976851852</v>
          </cell>
          <cell r="X143">
            <v>46242.900995370372</v>
          </cell>
          <cell r="Y143">
            <v>46243.352986111109</v>
          </cell>
          <cell r="Z143">
            <v>46243.83966435185</v>
          </cell>
          <cell r="AA143">
            <v>46244.350486111114</v>
          </cell>
          <cell r="AB143">
            <v>1</v>
          </cell>
          <cell r="AC143">
            <v>46245.352453703701</v>
          </cell>
          <cell r="AD143">
            <v>1</v>
          </cell>
          <cell r="AE143">
            <v>46246.35056712963</v>
          </cell>
        </row>
        <row r="144">
          <cell r="E144" t="str">
            <v>Fs male Local staff</v>
          </cell>
          <cell r="F144" t="str">
            <v>MAD0762</v>
          </cell>
          <cell r="G144" t="str">
            <v>Retail Shop</v>
          </cell>
          <cell r="H144" t="str">
            <v>Tribhuwan Bhandari</v>
          </cell>
          <cell r="I144">
            <v>46235.332650462966</v>
          </cell>
          <cell r="J144">
            <v>46235.975127314814</v>
          </cell>
          <cell r="K144">
            <v>46236.332499999997</v>
          </cell>
          <cell r="L144">
            <v>46236.949247685188</v>
          </cell>
          <cell r="M144">
            <v>46237.343935185185</v>
          </cell>
          <cell r="N144">
            <v>46237.960520833331</v>
          </cell>
          <cell r="O144">
            <v>46238.344849537039</v>
          </cell>
          <cell r="P144">
            <v>46238.957326388889</v>
          </cell>
          <cell r="Q144">
            <v>46239.344189814816</v>
          </cell>
          <cell r="R144">
            <v>46239.95516203704</v>
          </cell>
          <cell r="S144">
            <v>46240.341782407406</v>
          </cell>
          <cell r="T144">
            <v>46240.982546296298</v>
          </cell>
          <cell r="U144" t="str">
            <v>OFF</v>
          </cell>
          <cell r="V144" t="str">
            <v>OFF</v>
          </cell>
          <cell r="W144">
            <v>46242.344351851854</v>
          </cell>
          <cell r="X144">
            <v>46242.973414351851</v>
          </cell>
          <cell r="Y144">
            <v>46243.341215277775</v>
          </cell>
          <cell r="Z144">
            <v>46243.965266203704</v>
          </cell>
          <cell r="AA144">
            <v>46244.341967592591</v>
          </cell>
          <cell r="AB144">
            <v>46244.977719907409</v>
          </cell>
          <cell r="AC144">
            <v>46245.341423611113</v>
          </cell>
          <cell r="AD144">
            <v>46245.961006944446</v>
          </cell>
          <cell r="AE144">
            <v>46246.342835648145</v>
          </cell>
        </row>
        <row r="145">
          <cell r="E145" t="str">
            <v>Fs male Local staff</v>
          </cell>
          <cell r="F145" t="str">
            <v>MAD0763</v>
          </cell>
          <cell r="G145" t="str">
            <v>Head Office</v>
          </cell>
          <cell r="H145" t="str">
            <v>Mohamed Aiyash Mohamed Hismath</v>
          </cell>
          <cell r="I145">
            <v>46239.373518518521</v>
          </cell>
          <cell r="J145">
            <v>46235.742002314815</v>
          </cell>
          <cell r="K145">
            <v>46236.377638888887</v>
          </cell>
          <cell r="L145">
            <v>46236.726111111115</v>
          </cell>
          <cell r="M145">
            <v>1</v>
          </cell>
          <cell r="N145">
            <v>46237.72855324074</v>
          </cell>
          <cell r="O145">
            <v>46238.376539351855</v>
          </cell>
          <cell r="P145">
            <v>46238.736574074072</v>
          </cell>
          <cell r="Q145">
            <v>46239.373518518521</v>
          </cell>
          <cell r="R145">
            <v>46239.74417824074</v>
          </cell>
          <cell r="S145">
            <v>46240.382708333331</v>
          </cell>
          <cell r="T145">
            <v>46240.753935185188</v>
          </cell>
          <cell r="U145" t="str">
            <v>OFF</v>
          </cell>
          <cell r="V145" t="str">
            <v>OFF</v>
          </cell>
          <cell r="W145">
            <v>46242.414849537039</v>
          </cell>
          <cell r="X145">
            <v>46242.751064814816</v>
          </cell>
          <cell r="Y145">
            <v>46243.371481481481</v>
          </cell>
          <cell r="Z145">
            <v>46243.727349537039</v>
          </cell>
          <cell r="AA145">
            <v>46244.375011574077</v>
          </cell>
          <cell r="AB145">
            <v>1</v>
          </cell>
          <cell r="AC145">
            <v>46245.417638888888</v>
          </cell>
          <cell r="AD145">
            <v>46245.720891203702</v>
          </cell>
          <cell r="AE145">
            <v>46246.381377314814</v>
          </cell>
        </row>
        <row r="146">
          <cell r="E146" t="str">
            <v>HM Junior staff</v>
          </cell>
          <cell r="F146" t="str">
            <v>MAD0766</v>
          </cell>
          <cell r="G146" t="str">
            <v>HM Site</v>
          </cell>
          <cell r="H146" t="str">
            <v>MD Nahid Mia</v>
          </cell>
          <cell r="I146">
            <v>46235.329618055555</v>
          </cell>
          <cell r="J146">
            <v>46235.851319444446</v>
          </cell>
          <cell r="K146">
            <v>46236.322870370372</v>
          </cell>
          <cell r="L146">
            <v>1</v>
          </cell>
          <cell r="M146">
            <v>46237.330983796295</v>
          </cell>
          <cell r="N146">
            <v>46237.844768518517</v>
          </cell>
          <cell r="O146">
            <v>46238.329780092594</v>
          </cell>
          <cell r="P146">
            <v>1</v>
          </cell>
          <cell r="Q146">
            <v>46239.351493055554</v>
          </cell>
          <cell r="R146">
            <v>1</v>
          </cell>
          <cell r="S146">
            <v>46240.353391203702</v>
          </cell>
          <cell r="T146">
            <v>1</v>
          </cell>
          <cell r="U146">
            <v>46241.583356481482</v>
          </cell>
          <cell r="V146">
            <v>1</v>
          </cell>
          <cell r="W146">
            <v>46242.350335648145</v>
          </cell>
          <cell r="X146">
            <v>46242.900879629633</v>
          </cell>
          <cell r="Y146">
            <v>46243.351898148147</v>
          </cell>
          <cell r="Z146">
            <v>46243.839942129627</v>
          </cell>
          <cell r="AA146">
            <v>46244.350648148145</v>
          </cell>
          <cell r="AB146">
            <v>1</v>
          </cell>
          <cell r="AC146">
            <v>46245.348969907405</v>
          </cell>
          <cell r="AD146">
            <v>1</v>
          </cell>
          <cell r="AE146">
            <v>46246.34710648148</v>
          </cell>
        </row>
        <row r="147">
          <cell r="E147" t="str">
            <v>FJ male Local staff</v>
          </cell>
          <cell r="F147" t="str">
            <v>MAD0767</v>
          </cell>
          <cell r="G147" t="str">
            <v>Doores Godown</v>
          </cell>
          <cell r="H147" t="str">
            <v>Solaiappan Gurusamy</v>
          </cell>
          <cell r="I147">
            <v>46235.352465277778</v>
          </cell>
          <cell r="J147">
            <v>46235.95857638889</v>
          </cell>
          <cell r="K147">
            <v>46236.351203703707</v>
          </cell>
          <cell r="L147">
            <v>46236.960046296299</v>
          </cell>
          <cell r="M147">
            <v>46237.353263888886</v>
          </cell>
          <cell r="N147">
            <v>46237.968807870369</v>
          </cell>
          <cell r="O147">
            <v>46238.353425925925</v>
          </cell>
          <cell r="P147">
            <v>46238.91851851852</v>
          </cell>
          <cell r="Q147" t="str">
            <v>SICK</v>
          </cell>
          <cell r="R147" t="str">
            <v>SICK</v>
          </cell>
          <cell r="S147">
            <v>46240.353495370371</v>
          </cell>
          <cell r="T147">
            <v>46240.958668981482</v>
          </cell>
          <cell r="U147">
            <v>46241.581956018519</v>
          </cell>
          <cell r="V147">
            <v>46241.91715277778</v>
          </cell>
          <cell r="W147">
            <v>46242.353125000001</v>
          </cell>
          <cell r="X147">
            <v>46242.97855324074</v>
          </cell>
          <cell r="Y147">
            <v>46243.354479166665</v>
          </cell>
          <cell r="Z147">
            <v>46243.939085648148</v>
          </cell>
          <cell r="AA147">
            <v>46244.353506944448</v>
          </cell>
          <cell r="AB147">
            <v>46244.960069444445</v>
          </cell>
          <cell r="AC147">
            <v>46245.35423611111</v>
          </cell>
          <cell r="AD147">
            <v>46245.931168981479</v>
          </cell>
          <cell r="AE147">
            <v>46246.353935185187</v>
          </cell>
        </row>
        <row r="148">
          <cell r="E148" t="str">
            <v>Male Local staff</v>
          </cell>
          <cell r="F148" t="str">
            <v>MAD0768</v>
          </cell>
          <cell r="G148" t="str">
            <v>HM Shop2</v>
          </cell>
          <cell r="H148" t="str">
            <v>Aishath Suhama</v>
          </cell>
          <cell r="I148">
            <v>1</v>
          </cell>
          <cell r="J148">
            <v>1</v>
          </cell>
          <cell r="K148">
            <v>0</v>
          </cell>
          <cell r="L148">
            <v>46236.962002314816</v>
          </cell>
          <cell r="M148" t="str">
            <v>OFF</v>
          </cell>
          <cell r="N148" t="str">
            <v>OFF</v>
          </cell>
          <cell r="O148">
            <v>0.64861111111111114</v>
          </cell>
          <cell r="P148">
            <v>1</v>
          </cell>
          <cell r="Q148">
            <v>0.3520833333333333</v>
          </cell>
          <cell r="R148">
            <v>0.65</v>
          </cell>
          <cell r="S148">
            <v>46240.352222222224</v>
          </cell>
          <cell r="T148">
            <v>1</v>
          </cell>
          <cell r="U148">
            <v>46241.585462962961</v>
          </cell>
          <cell r="V148">
            <v>46241.956585648149</v>
          </cell>
          <cell r="W148">
            <v>0.64861111111111114</v>
          </cell>
          <cell r="X148">
            <v>46242.967592592591</v>
          </cell>
          <cell r="Y148">
            <v>1</v>
          </cell>
          <cell r="Z148">
            <v>46243.949571759258</v>
          </cell>
          <cell r="AA148">
            <v>1</v>
          </cell>
          <cell r="AB148">
            <v>46244.956041666665</v>
          </cell>
          <cell r="AC148">
            <v>1</v>
          </cell>
          <cell r="AD148">
            <v>46245.950821759259</v>
          </cell>
          <cell r="AE148">
            <v>1</v>
          </cell>
        </row>
        <row r="149">
          <cell r="E149" t="str">
            <v>Fs male Local staff</v>
          </cell>
          <cell r="F149" t="str">
            <v>MAD0769</v>
          </cell>
          <cell r="G149" t="str">
            <v>Stock Keeper</v>
          </cell>
          <cell r="H149" t="str">
            <v>Prashanth Babu</v>
          </cell>
          <cell r="I149">
            <v>46235.344560185185</v>
          </cell>
          <cell r="J149">
            <v>46235.974618055552</v>
          </cell>
          <cell r="K149">
            <v>46236.3515625</v>
          </cell>
          <cell r="L149">
            <v>46236.996979166666</v>
          </cell>
          <cell r="M149">
            <v>46237.3440625</v>
          </cell>
          <cell r="N149">
            <v>46237.971562500003</v>
          </cell>
          <cell r="O149">
            <v>46238.344942129632</v>
          </cell>
          <cell r="P149">
            <v>46238.953576388885</v>
          </cell>
          <cell r="Q149">
            <v>46239.346932870372</v>
          </cell>
          <cell r="R149">
            <v>46239.973680555559</v>
          </cell>
          <cell r="S149">
            <v>46240.349189814813</v>
          </cell>
          <cell r="T149">
            <v>46240.988298611112</v>
          </cell>
          <cell r="U149">
            <v>46241.569016203706</v>
          </cell>
          <cell r="V149">
            <v>46241.950046296297</v>
          </cell>
          <cell r="W149">
            <v>46242.350624999999</v>
          </cell>
          <cell r="X149">
            <v>46242.991423611114</v>
          </cell>
          <cell r="Y149">
            <v>46243.345636574071</v>
          </cell>
          <cell r="Z149">
            <v>46243.942048611112</v>
          </cell>
          <cell r="AA149">
            <v>46244.349803240744</v>
          </cell>
          <cell r="AB149">
            <v>46244.972083333334</v>
          </cell>
          <cell r="AC149">
            <v>46245.348912037036</v>
          </cell>
          <cell r="AD149">
            <v>46245.929236111115</v>
          </cell>
          <cell r="AE149">
            <v>46246.348067129627</v>
          </cell>
        </row>
        <row r="150">
          <cell r="E150" t="str">
            <v>Male Local staff</v>
          </cell>
          <cell r="F150" t="str">
            <v>MAD0770</v>
          </cell>
          <cell r="G150" t="str">
            <v>HeadOffice</v>
          </cell>
          <cell r="H150" t="str">
            <v>Zainab Ahmed Marzoog</v>
          </cell>
          <cell r="I150">
            <v>1</v>
          </cell>
          <cell r="J150">
            <v>1</v>
          </cell>
          <cell r="K150">
            <v>1</v>
          </cell>
          <cell r="L150">
            <v>1</v>
          </cell>
          <cell r="M150">
            <v>1</v>
          </cell>
          <cell r="N150">
            <v>1</v>
          </cell>
          <cell r="O150">
            <v>1</v>
          </cell>
          <cell r="P150">
            <v>1</v>
          </cell>
          <cell r="Q150">
            <v>1</v>
          </cell>
          <cell r="R150">
            <v>1</v>
          </cell>
          <cell r="S150">
            <v>1</v>
          </cell>
          <cell r="T150">
            <v>1</v>
          </cell>
          <cell r="U150" t="str">
            <v>OFF</v>
          </cell>
          <cell r="V150" t="str">
            <v>OFF</v>
          </cell>
          <cell r="W150">
            <v>1</v>
          </cell>
          <cell r="X150">
            <v>1</v>
          </cell>
          <cell r="Y150">
            <v>1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</row>
        <row r="151">
          <cell r="E151" t="str">
            <v>Male Local staff</v>
          </cell>
          <cell r="F151" t="str">
            <v>MAD0771</v>
          </cell>
          <cell r="G151" t="str">
            <v>HM Shop1</v>
          </cell>
          <cell r="H151" t="str">
            <v>Saamila Ibrahim</v>
          </cell>
          <cell r="I151">
            <v>46235.352627314816</v>
          </cell>
          <cell r="J151">
            <v>1</v>
          </cell>
          <cell r="K151">
            <v>46236.356064814812</v>
          </cell>
          <cell r="L151">
            <v>1</v>
          </cell>
          <cell r="M151">
            <v>46237.353321759256</v>
          </cell>
          <cell r="N151">
            <v>1</v>
          </cell>
          <cell r="O151">
            <v>46238.357164351852</v>
          </cell>
          <cell r="P151">
            <v>1</v>
          </cell>
          <cell r="Q151">
            <v>46239.356423611112</v>
          </cell>
          <cell r="R151">
            <v>1</v>
          </cell>
          <cell r="S151">
            <v>1</v>
          </cell>
          <cell r="T151">
            <v>46240.975601851853</v>
          </cell>
          <cell r="U151" t="str">
            <v>OFF</v>
          </cell>
          <cell r="V151" t="str">
            <v>OFF</v>
          </cell>
          <cell r="W151">
            <v>1</v>
          </cell>
          <cell r="X151">
            <v>1</v>
          </cell>
          <cell r="Y151">
            <v>46243.354560185187</v>
          </cell>
          <cell r="Z151">
            <v>1</v>
          </cell>
          <cell r="AA151">
            <v>46244.355000000003</v>
          </cell>
          <cell r="AB151">
            <v>1</v>
          </cell>
          <cell r="AC151">
            <v>46245.357465277775</v>
          </cell>
          <cell r="AD151">
            <v>1</v>
          </cell>
          <cell r="AE151">
            <v>46246.352314814816</v>
          </cell>
        </row>
        <row r="152">
          <cell r="E152" t="str">
            <v>HM Junior staff</v>
          </cell>
          <cell r="F152" t="str">
            <v>MAD0772</v>
          </cell>
          <cell r="G152" t="str">
            <v>HM Shop1</v>
          </cell>
          <cell r="H152" t="str">
            <v>Tarek Ahmed</v>
          </cell>
          <cell r="I152">
            <v>46235.352893518517</v>
          </cell>
          <cell r="J152">
            <v>46235.976053240738</v>
          </cell>
          <cell r="K152">
            <v>46236.352349537039</v>
          </cell>
          <cell r="L152">
            <v>46236.96665509259</v>
          </cell>
          <cell r="M152">
            <v>46237.352372685185</v>
          </cell>
          <cell r="N152">
            <v>46237.95553240741</v>
          </cell>
          <cell r="O152">
            <v>46238.351053240738</v>
          </cell>
          <cell r="P152">
            <v>46238.95616898148</v>
          </cell>
          <cell r="Q152">
            <v>46239.35260416667</v>
          </cell>
          <cell r="R152">
            <v>46239.951145833336</v>
          </cell>
          <cell r="S152">
            <v>46240.352546296293</v>
          </cell>
          <cell r="T152">
            <v>46240.975868055553</v>
          </cell>
          <cell r="U152">
            <v>46241.577719907407</v>
          </cell>
          <cell r="V152">
            <v>46241.956377314818</v>
          </cell>
          <cell r="W152">
            <v>46242.355509259258</v>
          </cell>
          <cell r="X152">
            <v>46242.972083333334</v>
          </cell>
          <cell r="Y152">
            <v>46243.348819444444</v>
          </cell>
          <cell r="Z152">
            <v>46243.954710648148</v>
          </cell>
          <cell r="AA152">
            <v>46244.352488425924</v>
          </cell>
          <cell r="AB152">
            <v>46244.956296296295</v>
          </cell>
          <cell r="AC152">
            <v>46245.352083333331</v>
          </cell>
          <cell r="AD152">
            <v>46245.954872685186</v>
          </cell>
          <cell r="AE152">
            <v>46246.347824074073</v>
          </cell>
        </row>
        <row r="153">
          <cell r="E153" t="str">
            <v>FJ male Local staff</v>
          </cell>
          <cell r="F153" t="str">
            <v>MAD0773</v>
          </cell>
          <cell r="G153" t="str">
            <v>Wholesale</v>
          </cell>
          <cell r="H153" t="str">
            <v>Nabina Sarki</v>
          </cell>
          <cell r="I153">
            <v>46235.349537037036</v>
          </cell>
          <cell r="J153">
            <v>46235.955104166664</v>
          </cell>
          <cell r="K153">
            <v>46236.348368055558</v>
          </cell>
          <cell r="L153">
            <v>46236.955706018518</v>
          </cell>
          <cell r="M153">
            <v>46237.340601851851</v>
          </cell>
          <cell r="N153">
            <v>46237.95952546296</v>
          </cell>
          <cell r="O153">
            <v>46238.349780092591</v>
          </cell>
          <cell r="P153">
            <v>46238.946898148148</v>
          </cell>
          <cell r="Q153">
            <v>46239.349120370367</v>
          </cell>
          <cell r="R153">
            <v>46239.939432870371</v>
          </cell>
          <cell r="S153">
            <v>46240.339166666665</v>
          </cell>
          <cell r="T153">
            <v>46240.958981481483</v>
          </cell>
          <cell r="U153">
            <v>46241.577777777777</v>
          </cell>
          <cell r="V153">
            <v>46241.951516203706</v>
          </cell>
          <cell r="W153">
            <v>46242.343310185184</v>
          </cell>
          <cell r="X153">
            <v>46242.949513888889</v>
          </cell>
          <cell r="Y153">
            <v>46243.343275462961</v>
          </cell>
          <cell r="Z153">
            <v>46243.950497685182</v>
          </cell>
          <cell r="AA153">
            <v>46244.343923611108</v>
          </cell>
          <cell r="AB153">
            <v>46244.94321759259</v>
          </cell>
          <cell r="AC153">
            <v>46245.338414351849</v>
          </cell>
          <cell r="AD153">
            <v>46245.945914351854</v>
          </cell>
          <cell r="AE153">
            <v>46246.343344907407</v>
          </cell>
        </row>
        <row r="154">
          <cell r="E154" t="str">
            <v>FJ male Local staff</v>
          </cell>
          <cell r="F154" t="str">
            <v>MAD0774</v>
          </cell>
          <cell r="G154" t="str">
            <v>HM Shop2</v>
          </cell>
          <cell r="H154" t="str">
            <v>MD Rakib Mia</v>
          </cell>
          <cell r="I154">
            <v>46235.348564814813</v>
          </cell>
          <cell r="J154">
            <v>46249.337534722225</v>
          </cell>
          <cell r="K154">
            <v>46236.352418981478</v>
          </cell>
          <cell r="L154">
            <v>46236.952650462961</v>
          </cell>
          <cell r="M154">
            <v>46237.341273148151</v>
          </cell>
          <cell r="N154">
            <v>46237.950810185182</v>
          </cell>
          <cell r="O154">
            <v>46238.343726851854</v>
          </cell>
          <cell r="P154">
            <v>46238.951261574075</v>
          </cell>
          <cell r="Q154">
            <v>46239.344108796293</v>
          </cell>
          <cell r="R154">
            <v>46239.949513888889</v>
          </cell>
          <cell r="S154">
            <v>46240.343530092592</v>
          </cell>
          <cell r="T154">
            <v>46240.972662037035</v>
          </cell>
          <cell r="U154" t="str">
            <v>OFF</v>
          </cell>
          <cell r="V154" t="str">
            <v>OFF</v>
          </cell>
          <cell r="W154">
            <v>46242.345092592594</v>
          </cell>
          <cell r="X154">
            <v>46242.971284722225</v>
          </cell>
          <cell r="Y154">
            <v>46243.340104166666</v>
          </cell>
          <cell r="Z154">
            <v>46243.949571759258</v>
          </cell>
          <cell r="AA154">
            <v>46244.353136574071</v>
          </cell>
          <cell r="AB154">
            <v>46244.959374999999</v>
          </cell>
          <cell r="AC154">
            <v>46245.353009259263</v>
          </cell>
          <cell r="AD154">
            <v>46245.956134259257</v>
          </cell>
          <cell r="AE154">
            <v>46246.350532407407</v>
          </cell>
        </row>
        <row r="155">
          <cell r="E155" t="str">
            <v>FJ male Local staff</v>
          </cell>
          <cell r="F155" t="str">
            <v>MAD0775</v>
          </cell>
          <cell r="G155" t="str">
            <v>Retail Shop</v>
          </cell>
          <cell r="H155" t="str">
            <v>Abu Sufian Rakib</v>
          </cell>
          <cell r="I155">
            <v>46235.344166666669</v>
          </cell>
          <cell r="J155">
            <v>46235.973391203705</v>
          </cell>
          <cell r="K155">
            <v>46236.348923611113</v>
          </cell>
          <cell r="L155">
            <v>46236.949687499997</v>
          </cell>
          <cell r="M155">
            <v>46237.344004629631</v>
          </cell>
          <cell r="N155">
            <v>46237.947731481479</v>
          </cell>
          <cell r="O155">
            <v>46238.351238425923</v>
          </cell>
          <cell r="P155">
            <v>46238.94635416667</v>
          </cell>
          <cell r="Q155">
            <v>46239.35056712963</v>
          </cell>
          <cell r="R155">
            <v>46239.944444444445</v>
          </cell>
          <cell r="S155">
            <v>46240.351145833331</v>
          </cell>
          <cell r="T155">
            <v>46240.98060185185</v>
          </cell>
          <cell r="U155">
            <v>46241.580370370371</v>
          </cell>
          <cell r="V155">
            <v>46241.954293981478</v>
          </cell>
          <cell r="W155">
            <v>46242.3516087963</v>
          </cell>
          <cell r="X155">
            <v>46242.971296296295</v>
          </cell>
          <cell r="Y155">
            <v>46243.352233796293</v>
          </cell>
          <cell r="Z155">
            <v>46243.96502314815</v>
          </cell>
          <cell r="AA155">
            <v>46244.352893518517</v>
          </cell>
          <cell r="AB155">
            <v>1</v>
          </cell>
          <cell r="AC155">
            <v>46245.351666666669</v>
          </cell>
          <cell r="AD155">
            <v>46245.951435185183</v>
          </cell>
          <cell r="AE155">
            <v>46246.352847222224</v>
          </cell>
        </row>
        <row r="156">
          <cell r="E156" t="str">
            <v>FJ male Local staff</v>
          </cell>
          <cell r="F156" t="str">
            <v>MAD0776</v>
          </cell>
          <cell r="G156" t="str">
            <v>Doores Godown</v>
          </cell>
          <cell r="H156" t="str">
            <v>MD Habibur Rahman</v>
          </cell>
          <cell r="I156"/>
          <cell r="J156"/>
          <cell r="K156"/>
          <cell r="L156"/>
          <cell r="M156"/>
          <cell r="N156"/>
          <cell r="O156"/>
          <cell r="P156"/>
          <cell r="Q156">
            <v>46239.347361111111</v>
          </cell>
          <cell r="R156">
            <v>46239.965011574073</v>
          </cell>
          <cell r="S156">
            <v>46240.344606481478</v>
          </cell>
          <cell r="T156">
            <v>1</v>
          </cell>
          <cell r="U156">
            <v>46241.575532407405</v>
          </cell>
          <cell r="V156">
            <v>46241.933796296296</v>
          </cell>
          <cell r="W156">
            <v>46242.348252314812</v>
          </cell>
          <cell r="X156">
            <v>46242.988495370373</v>
          </cell>
          <cell r="Y156">
            <v>46243.350555555553</v>
          </cell>
          <cell r="Z156">
            <v>46245.950844907406</v>
          </cell>
          <cell r="AA156" t="str">
            <v>SICK</v>
          </cell>
          <cell r="AB156" t="str">
            <v>SICK</v>
          </cell>
          <cell r="AC156" t="str">
            <v>SICK</v>
          </cell>
          <cell r="AD156" t="str">
            <v>SICK</v>
          </cell>
          <cell r="AE156">
            <v>46246.349247685182</v>
          </cell>
        </row>
        <row r="157">
          <cell r="E157" t="str">
            <v>FJ male Local staff</v>
          </cell>
          <cell r="F157" t="str">
            <v>MAD0777</v>
          </cell>
          <cell r="G157" t="str">
            <v>Doores Godown</v>
          </cell>
          <cell r="H157" t="str">
            <v>Sufal Das</v>
          </cell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>
            <v>46241.581921296296</v>
          </cell>
          <cell r="V157">
            <v>46241.933865740742</v>
          </cell>
          <cell r="W157">
            <v>46242.348310185182</v>
          </cell>
          <cell r="X157">
            <v>46242.931481481479</v>
          </cell>
          <cell r="Y157">
            <v>46243.345648148148</v>
          </cell>
          <cell r="Z157">
            <v>46243.936712962961</v>
          </cell>
          <cell r="AA157">
            <v>46244.352407407408</v>
          </cell>
          <cell r="AB157">
            <v>46244.965208333335</v>
          </cell>
          <cell r="AC157">
            <v>46245.351226851853</v>
          </cell>
          <cell r="AD157">
            <v>46245.928240740737</v>
          </cell>
          <cell r="AE157" t="str">
            <v>SICK</v>
          </cell>
        </row>
      </sheetData>
      <sheetData sheetId="35"/>
      <sheetData sheetId="36"/>
      <sheetData sheetId="3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309D74-53D8-451C-BBF6-C79A1162CA3E}" name="Table1" displayName="Table1" ref="CG4:CQ27" totalsRowShown="0" headerRowDxfId="1825" dataDxfId="1823" headerRowBorderDxfId="1824" tableBorderDxfId="1822" totalsRowBorderDxfId="1821">
  <autoFilter ref="CG4:CQ27" xr:uid="{C5309D74-53D8-451C-BBF6-C79A1162CA3E}"/>
  <tableColumns count="11">
    <tableColumn id="1" xr3:uid="{77A0E13E-5799-4C51-9B9D-764F7EC3B2A2}" name="MC" dataDxfId="1820"/>
    <tableColumn id="2" xr3:uid="{EB5D1FE6-2099-48DC-843A-922345D1799C}" name="EL" dataDxfId="1819"/>
    <tableColumn id="3" xr3:uid="{273122D7-D3D7-4F6A-9E6D-E93DF2DF0B27}" name="AL" dataDxfId="1818"/>
    <tableColumn id="4" xr3:uid="{B7AA7E3F-797D-4E59-ABF4-A10DED797705}" name="SUS" dataDxfId="1817"/>
    <tableColumn id="5" xr3:uid="{FF39316F-7211-4A90-81FC-66B156DA3370}" name="FL" dataDxfId="1816"/>
    <tableColumn id="6" xr3:uid="{C1AC8A82-6AED-43E8-BC9E-B08DBA59F3CB}" name="S" dataDxfId="1815"/>
    <tableColumn id="7" xr3:uid="{9F1B4AC5-FE14-4372-9A6B-3C39BF751A75}" name="HD" dataDxfId="1814"/>
    <tableColumn id="8" xr3:uid="{C1782C61-8577-4048-80AA-855C84FC8A55}" name="AB" dataDxfId="1813"/>
    <tableColumn id="9" xr3:uid="{06E98CE2-1D98-4581-9F55-176721D2D094}" name="NL" dataDxfId="1812"/>
    <tableColumn id="10" xr3:uid="{AD8D1379-4ABC-49D0-8269-2F105F33CF9F}" name="SP" dataDxfId="1811"/>
    <tableColumn id="11" xr3:uid="{578C8149-ECDB-4F46-B84E-C814E33BCF50}" name="Total" dataDxfId="181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8E39F-17DB-4701-914B-A818E8D02BA0}">
  <sheetPr>
    <pageSetUpPr fitToPage="1"/>
  </sheetPr>
  <dimension ref="A1:CQ152"/>
  <sheetViews>
    <sheetView tabSelected="1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U23" sqref="U23"/>
    </sheetView>
  </sheetViews>
  <sheetFormatPr defaultRowHeight="15" x14ac:dyDescent="0.25"/>
  <cols>
    <col min="1" max="1" width="5.140625" style="46" customWidth="1"/>
    <col min="2" max="2" width="12" style="15" customWidth="1"/>
    <col min="3" max="3" width="29.140625" customWidth="1"/>
    <col min="4" max="4" width="12.5703125" hidden="1" customWidth="1"/>
    <col min="5" max="5" width="6.5703125" customWidth="1"/>
    <col min="6" max="6" width="9.85546875" customWidth="1"/>
    <col min="7" max="7" width="6.5703125" customWidth="1"/>
    <col min="8" max="8" width="8.7109375" customWidth="1"/>
    <col min="9" max="9" width="6.5703125" customWidth="1"/>
    <col min="10" max="10" width="7.7109375" customWidth="1"/>
    <col min="11" max="34" width="6.5703125" customWidth="1"/>
    <col min="35" max="35" width="5" style="74" customWidth="1"/>
    <col min="36" max="36" width="5.140625" style="58" customWidth="1"/>
    <col min="37" max="68" width="6.5703125" customWidth="1"/>
    <col min="69" max="69" width="5.85546875" style="15" customWidth="1"/>
    <col min="70" max="77" width="5" customWidth="1"/>
    <col min="78" max="78" width="5.85546875" customWidth="1"/>
    <col min="79" max="82" width="5" customWidth="1"/>
    <col min="83" max="83" width="24" customWidth="1"/>
    <col min="85" max="95" width="6" customWidth="1"/>
  </cols>
  <sheetData>
    <row r="1" spans="1:95" ht="25.5" customHeight="1" x14ac:dyDescent="0.25">
      <c r="A1" s="238" t="s">
        <v>265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40"/>
      <c r="AI1" s="112"/>
      <c r="AJ1" s="217" t="s">
        <v>265</v>
      </c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  <c r="BG1" s="217"/>
      <c r="BH1" s="217"/>
      <c r="BI1" s="217"/>
      <c r="BJ1" s="217"/>
      <c r="BK1" s="217"/>
      <c r="BL1" s="217"/>
      <c r="BM1" s="217"/>
      <c r="BN1" s="217"/>
      <c r="BO1" s="217"/>
      <c r="BP1" s="217"/>
      <c r="BQ1" s="217"/>
      <c r="BR1" s="217"/>
      <c r="BS1" s="217"/>
      <c r="BT1" s="217"/>
      <c r="BU1" s="217"/>
      <c r="BV1" s="217"/>
      <c r="BW1" s="217"/>
      <c r="BX1" s="217"/>
      <c r="BY1" s="217"/>
      <c r="BZ1" s="217"/>
      <c r="CA1" s="217"/>
      <c r="CB1" s="217"/>
      <c r="CC1" s="217"/>
      <c r="CD1" s="217"/>
      <c r="CE1" s="217"/>
    </row>
    <row r="2" spans="1:95" ht="22.5" customHeight="1" x14ac:dyDescent="0.25">
      <c r="A2" s="203" t="s">
        <v>0</v>
      </c>
      <c r="B2" s="203"/>
      <c r="C2" s="203"/>
      <c r="D2" s="85"/>
      <c r="E2" s="205" t="s">
        <v>4</v>
      </c>
      <c r="F2" s="205"/>
      <c r="G2" s="205" t="s">
        <v>5</v>
      </c>
      <c r="H2" s="205"/>
      <c r="I2" s="205" t="s">
        <v>6</v>
      </c>
      <c r="J2" s="205"/>
      <c r="K2" s="205" t="s">
        <v>7</v>
      </c>
      <c r="L2" s="205"/>
      <c r="M2" s="205" t="s">
        <v>1</v>
      </c>
      <c r="N2" s="205"/>
      <c r="O2" s="205" t="s">
        <v>2</v>
      </c>
      <c r="P2" s="205"/>
      <c r="Q2" s="205" t="s">
        <v>3</v>
      </c>
      <c r="R2" s="205"/>
      <c r="S2" s="205" t="s">
        <v>4</v>
      </c>
      <c r="T2" s="205"/>
      <c r="U2" s="205" t="s">
        <v>5</v>
      </c>
      <c r="V2" s="205"/>
      <c r="W2" s="205" t="s">
        <v>6</v>
      </c>
      <c r="X2" s="205"/>
      <c r="Y2" s="205" t="s">
        <v>7</v>
      </c>
      <c r="Z2" s="205"/>
      <c r="AA2" s="205" t="s">
        <v>1</v>
      </c>
      <c r="AB2" s="205"/>
      <c r="AC2" s="205" t="s">
        <v>2</v>
      </c>
      <c r="AD2" s="205"/>
      <c r="AE2" s="205" t="s">
        <v>3</v>
      </c>
      <c r="AF2" s="205"/>
      <c r="AG2" s="205" t="s">
        <v>4</v>
      </c>
      <c r="AH2" s="205"/>
      <c r="AI2" s="113"/>
      <c r="AJ2" s="242"/>
      <c r="AK2" s="205" t="s">
        <v>5</v>
      </c>
      <c r="AL2" s="206"/>
      <c r="AM2" s="205" t="s">
        <v>6</v>
      </c>
      <c r="AN2" s="206"/>
      <c r="AO2" s="205" t="s">
        <v>7</v>
      </c>
      <c r="AP2" s="206"/>
      <c r="AQ2" s="205" t="s">
        <v>1</v>
      </c>
      <c r="AR2" s="206"/>
      <c r="AS2" s="205" t="s">
        <v>2</v>
      </c>
      <c r="AT2" s="206"/>
      <c r="AU2" s="205" t="s">
        <v>3</v>
      </c>
      <c r="AV2" s="206"/>
      <c r="AW2" s="205" t="s">
        <v>4</v>
      </c>
      <c r="AX2" s="206"/>
      <c r="AY2" s="205" t="s">
        <v>5</v>
      </c>
      <c r="AZ2" s="206"/>
      <c r="BA2" s="205" t="s">
        <v>6</v>
      </c>
      <c r="BB2" s="206"/>
      <c r="BC2" s="205" t="s">
        <v>7</v>
      </c>
      <c r="BD2" s="206"/>
      <c r="BE2" s="205" t="s">
        <v>1</v>
      </c>
      <c r="BF2" s="206"/>
      <c r="BG2" s="205" t="s">
        <v>2</v>
      </c>
      <c r="BH2" s="206"/>
      <c r="BI2" s="205" t="s">
        <v>3</v>
      </c>
      <c r="BJ2" s="206"/>
      <c r="BK2" s="205" t="s">
        <v>4</v>
      </c>
      <c r="BL2" s="206"/>
      <c r="BM2" s="205" t="s">
        <v>5</v>
      </c>
      <c r="BN2" s="206"/>
      <c r="BO2" s="205" t="s">
        <v>6</v>
      </c>
      <c r="BP2" s="206"/>
      <c r="BQ2" s="211" t="s">
        <v>8</v>
      </c>
      <c r="BR2" s="228" t="s">
        <v>9</v>
      </c>
      <c r="BS2" s="208"/>
      <c r="BT2" s="209"/>
      <c r="BU2" s="209"/>
      <c r="BV2" s="209"/>
      <c r="BW2" s="209"/>
      <c r="BX2" s="209"/>
      <c r="BY2" s="209"/>
      <c r="BZ2" s="209"/>
      <c r="CA2" s="209"/>
      <c r="CB2" s="209"/>
      <c r="CC2" s="209"/>
      <c r="CD2" s="209"/>
      <c r="CE2" s="210"/>
      <c r="CG2" s="237" t="s">
        <v>191</v>
      </c>
      <c r="CH2" s="237"/>
      <c r="CI2" s="237"/>
      <c r="CJ2" s="237"/>
      <c r="CK2" s="237"/>
      <c r="CL2" s="237"/>
      <c r="CM2" s="237"/>
      <c r="CN2" s="237"/>
      <c r="CO2" s="237"/>
      <c r="CP2" s="237"/>
      <c r="CQ2" s="47"/>
    </row>
    <row r="3" spans="1:95" ht="22.5" customHeight="1" x14ac:dyDescent="0.25">
      <c r="A3" s="203"/>
      <c r="B3" s="203"/>
      <c r="C3" s="203"/>
      <c r="D3" s="85"/>
      <c r="E3" s="201">
        <v>46235</v>
      </c>
      <c r="F3" s="201"/>
      <c r="G3" s="201">
        <v>46236</v>
      </c>
      <c r="H3" s="201"/>
      <c r="I3" s="201">
        <v>46237</v>
      </c>
      <c r="J3" s="201"/>
      <c r="K3" s="201">
        <v>46238</v>
      </c>
      <c r="L3" s="201"/>
      <c r="M3" s="201">
        <v>46239</v>
      </c>
      <c r="N3" s="201"/>
      <c r="O3" s="201">
        <v>46240</v>
      </c>
      <c r="P3" s="201"/>
      <c r="Q3" s="201">
        <v>46241</v>
      </c>
      <c r="R3" s="201"/>
      <c r="S3" s="201">
        <v>46242</v>
      </c>
      <c r="T3" s="201"/>
      <c r="U3" s="201">
        <v>46243</v>
      </c>
      <c r="V3" s="201"/>
      <c r="W3" s="201">
        <v>46244</v>
      </c>
      <c r="X3" s="201"/>
      <c r="Y3" s="201">
        <v>46245</v>
      </c>
      <c r="Z3" s="201"/>
      <c r="AA3" s="201">
        <v>46246</v>
      </c>
      <c r="AB3" s="201"/>
      <c r="AC3" s="201">
        <v>46247</v>
      </c>
      <c r="AD3" s="201"/>
      <c r="AE3" s="201">
        <v>46248</v>
      </c>
      <c r="AF3" s="201"/>
      <c r="AG3" s="201">
        <v>46249</v>
      </c>
      <c r="AH3" s="201"/>
      <c r="AI3" s="114"/>
      <c r="AJ3" s="242"/>
      <c r="AK3" s="201">
        <v>46250</v>
      </c>
      <c r="AL3" s="202"/>
      <c r="AM3" s="201">
        <v>46251</v>
      </c>
      <c r="AN3" s="202"/>
      <c r="AO3" s="201">
        <v>46252</v>
      </c>
      <c r="AP3" s="202"/>
      <c r="AQ3" s="201">
        <v>46253</v>
      </c>
      <c r="AR3" s="202"/>
      <c r="AS3" s="201">
        <v>46254</v>
      </c>
      <c r="AT3" s="202"/>
      <c r="AU3" s="201">
        <v>46255</v>
      </c>
      <c r="AV3" s="202"/>
      <c r="AW3" s="201">
        <v>46256</v>
      </c>
      <c r="AX3" s="202"/>
      <c r="AY3" s="201">
        <v>46257</v>
      </c>
      <c r="AZ3" s="202"/>
      <c r="BA3" s="201">
        <v>46258</v>
      </c>
      <c r="BB3" s="202"/>
      <c r="BC3" s="201">
        <v>46259</v>
      </c>
      <c r="BD3" s="202"/>
      <c r="BE3" s="201">
        <v>46260</v>
      </c>
      <c r="BF3" s="202"/>
      <c r="BG3" s="201">
        <v>46261</v>
      </c>
      <c r="BH3" s="202"/>
      <c r="BI3" s="201">
        <v>46262</v>
      </c>
      <c r="BJ3" s="202"/>
      <c r="BK3" s="201">
        <v>46263</v>
      </c>
      <c r="BL3" s="202"/>
      <c r="BM3" s="201">
        <v>46264</v>
      </c>
      <c r="BN3" s="202"/>
      <c r="BO3" s="201">
        <v>46265</v>
      </c>
      <c r="BP3" s="202"/>
      <c r="BQ3" s="212"/>
      <c r="BR3" s="229"/>
      <c r="BS3" s="1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3"/>
      <c r="CG3" s="57" t="s">
        <v>246</v>
      </c>
      <c r="CH3" s="57"/>
      <c r="CI3" s="57"/>
      <c r="CJ3" s="57"/>
      <c r="CK3" s="57"/>
      <c r="CL3" s="57"/>
      <c r="CM3" s="57"/>
      <c r="CN3" s="57"/>
      <c r="CO3" s="57"/>
      <c r="CP3" s="57"/>
      <c r="CQ3" s="47"/>
    </row>
    <row r="4" spans="1:95" ht="20.25" customHeight="1" x14ac:dyDescent="0.25">
      <c r="A4" s="4" t="s">
        <v>10</v>
      </c>
      <c r="B4" s="4" t="s">
        <v>11</v>
      </c>
      <c r="C4" s="4" t="s">
        <v>12</v>
      </c>
      <c r="D4" s="13"/>
      <c r="E4" s="13" t="s">
        <v>13</v>
      </c>
      <c r="F4" s="13" t="s">
        <v>14</v>
      </c>
      <c r="G4" s="13" t="s">
        <v>13</v>
      </c>
      <c r="H4" s="13" t="s">
        <v>14</v>
      </c>
      <c r="I4" s="13" t="s">
        <v>13</v>
      </c>
      <c r="J4" s="13" t="s">
        <v>14</v>
      </c>
      <c r="K4" s="13" t="s">
        <v>13</v>
      </c>
      <c r="L4" s="13" t="s">
        <v>14</v>
      </c>
      <c r="M4" s="13" t="s">
        <v>13</v>
      </c>
      <c r="N4" s="13" t="s">
        <v>14</v>
      </c>
      <c r="O4" s="13" t="s">
        <v>13</v>
      </c>
      <c r="P4" s="13" t="s">
        <v>14</v>
      </c>
      <c r="Q4" s="13" t="s">
        <v>13</v>
      </c>
      <c r="R4" s="13" t="s">
        <v>14</v>
      </c>
      <c r="S4" s="13" t="s">
        <v>13</v>
      </c>
      <c r="T4" s="13" t="s">
        <v>14</v>
      </c>
      <c r="U4" s="13" t="s">
        <v>13</v>
      </c>
      <c r="V4" s="13" t="s">
        <v>14</v>
      </c>
      <c r="W4" s="13" t="s">
        <v>13</v>
      </c>
      <c r="X4" s="13" t="s">
        <v>14</v>
      </c>
      <c r="Y4" s="13" t="s">
        <v>13</v>
      </c>
      <c r="Z4" s="13" t="s">
        <v>14</v>
      </c>
      <c r="AA4" s="13" t="s">
        <v>13</v>
      </c>
      <c r="AB4" s="13" t="s">
        <v>14</v>
      </c>
      <c r="AC4" s="13" t="s">
        <v>13</v>
      </c>
      <c r="AD4" s="13" t="s">
        <v>14</v>
      </c>
      <c r="AE4" s="13" t="s">
        <v>13</v>
      </c>
      <c r="AF4" s="13" t="s">
        <v>14</v>
      </c>
      <c r="AG4" s="13" t="s">
        <v>13</v>
      </c>
      <c r="AH4" s="13" t="s">
        <v>14</v>
      </c>
      <c r="AI4" s="115"/>
      <c r="AJ4" s="242"/>
      <c r="AK4" s="13" t="s">
        <v>13</v>
      </c>
      <c r="AL4" s="14" t="s">
        <v>14</v>
      </c>
      <c r="AM4" s="13" t="s">
        <v>13</v>
      </c>
      <c r="AN4" s="14" t="s">
        <v>14</v>
      </c>
      <c r="AO4" s="13" t="s">
        <v>13</v>
      </c>
      <c r="AP4" s="14" t="s">
        <v>14</v>
      </c>
      <c r="AQ4" s="13" t="s">
        <v>13</v>
      </c>
      <c r="AR4" s="14" t="s">
        <v>14</v>
      </c>
      <c r="AS4" s="13" t="s">
        <v>13</v>
      </c>
      <c r="AT4" s="14" t="s">
        <v>14</v>
      </c>
      <c r="AU4" s="13" t="s">
        <v>13</v>
      </c>
      <c r="AV4" s="14" t="s">
        <v>14</v>
      </c>
      <c r="AW4" s="13" t="s">
        <v>13</v>
      </c>
      <c r="AX4" s="14" t="s">
        <v>14</v>
      </c>
      <c r="AY4" s="13" t="s">
        <v>13</v>
      </c>
      <c r="AZ4" s="14" t="s">
        <v>14</v>
      </c>
      <c r="BA4" s="13" t="s">
        <v>13</v>
      </c>
      <c r="BB4" s="14" t="s">
        <v>14</v>
      </c>
      <c r="BC4" s="13" t="s">
        <v>13</v>
      </c>
      <c r="BD4" s="14" t="s">
        <v>14</v>
      </c>
      <c r="BE4" s="13" t="s">
        <v>13</v>
      </c>
      <c r="BF4" s="14" t="s">
        <v>14</v>
      </c>
      <c r="BG4" s="13" t="s">
        <v>13</v>
      </c>
      <c r="BH4" s="14" t="s">
        <v>14</v>
      </c>
      <c r="BI4" s="13" t="s">
        <v>13</v>
      </c>
      <c r="BJ4" s="14" t="s">
        <v>14</v>
      </c>
      <c r="BK4" s="13" t="s">
        <v>13</v>
      </c>
      <c r="BL4" s="14" t="s">
        <v>14</v>
      </c>
      <c r="BM4" s="13" t="s">
        <v>13</v>
      </c>
      <c r="BN4" s="14" t="s">
        <v>14</v>
      </c>
      <c r="BO4" s="13" t="s">
        <v>13</v>
      </c>
      <c r="BP4" s="14" t="s">
        <v>14</v>
      </c>
      <c r="BQ4" s="213"/>
      <c r="BR4" s="230"/>
      <c r="BS4" s="5"/>
      <c r="BT4" s="92" t="s">
        <v>15</v>
      </c>
      <c r="BU4" s="91" t="s">
        <v>16</v>
      </c>
      <c r="BV4" s="91" t="s">
        <v>17</v>
      </c>
      <c r="BW4" s="89" t="s">
        <v>18</v>
      </c>
      <c r="BX4" s="91" t="s">
        <v>19</v>
      </c>
      <c r="BY4" s="91" t="s">
        <v>20</v>
      </c>
      <c r="BZ4" s="75" t="s">
        <v>171</v>
      </c>
      <c r="CA4" s="6" t="s">
        <v>22</v>
      </c>
      <c r="CB4" s="77" t="s">
        <v>23</v>
      </c>
      <c r="CC4" s="77" t="s">
        <v>24</v>
      </c>
      <c r="CD4" s="77" t="s">
        <v>25</v>
      </c>
      <c r="CE4" s="7" t="s">
        <v>26</v>
      </c>
      <c r="CG4" s="51" t="s">
        <v>16</v>
      </c>
      <c r="CH4" s="52" t="s">
        <v>17</v>
      </c>
      <c r="CI4" s="52" t="s">
        <v>18</v>
      </c>
      <c r="CJ4" s="52" t="s">
        <v>19</v>
      </c>
      <c r="CK4" s="52" t="s">
        <v>20</v>
      </c>
      <c r="CL4" s="52" t="s">
        <v>21</v>
      </c>
      <c r="CM4" s="52" t="s">
        <v>22</v>
      </c>
      <c r="CN4" s="52" t="s">
        <v>23</v>
      </c>
      <c r="CO4" s="52" t="s">
        <v>24</v>
      </c>
      <c r="CP4" s="52" t="s">
        <v>25</v>
      </c>
      <c r="CQ4" s="53" t="s">
        <v>192</v>
      </c>
    </row>
    <row r="5" spans="1:95" ht="22.5" customHeight="1" x14ac:dyDescent="0.25">
      <c r="A5" s="179">
        <v>1</v>
      </c>
      <c r="B5" s="11" t="s">
        <v>27</v>
      </c>
      <c r="C5" s="8" t="s">
        <v>28</v>
      </c>
      <c r="D5" s="86">
        <v>44045</v>
      </c>
      <c r="E5" s="137">
        <v>1</v>
      </c>
      <c r="F5" s="137">
        <v>46235.730590277781</v>
      </c>
      <c r="G5" s="137">
        <v>46238.439583333333</v>
      </c>
      <c r="H5" s="137">
        <v>46236.735011574077</v>
      </c>
      <c r="I5" s="137">
        <v>46238.439583333333</v>
      </c>
      <c r="J5" s="137">
        <v>46237.728344907409</v>
      </c>
      <c r="K5" s="137">
        <v>46238.439583333333</v>
      </c>
      <c r="L5" s="137">
        <v>46238.733877314815</v>
      </c>
      <c r="M5" s="137">
        <v>46239.388877314814</v>
      </c>
      <c r="N5" s="137">
        <v>1</v>
      </c>
      <c r="O5" s="137">
        <v>46240.401956018519</v>
      </c>
      <c r="P5" s="137">
        <v>46240.751423611109</v>
      </c>
      <c r="Q5" s="141" t="s">
        <v>15</v>
      </c>
      <c r="R5" s="141" t="s">
        <v>15</v>
      </c>
      <c r="S5" s="137">
        <v>0.43958333333333338</v>
      </c>
      <c r="T5" s="137">
        <v>46242.751273148147</v>
      </c>
      <c r="U5" s="137">
        <v>46243.387245370373</v>
      </c>
      <c r="V5" s="137">
        <v>46243.742337962962</v>
      </c>
      <c r="W5" s="137">
        <v>46244.386342592596</v>
      </c>
      <c r="X5" s="137">
        <v>46244.743773148148</v>
      </c>
      <c r="Y5" s="137">
        <v>46245.387870370374</v>
      </c>
      <c r="Z5" s="137">
        <v>46245.72042824074</v>
      </c>
      <c r="AA5" s="137">
        <v>46246.386030092595</v>
      </c>
      <c r="AB5" s="137">
        <v>46246.759976851848</v>
      </c>
      <c r="AC5" s="137">
        <v>46247.381921296299</v>
      </c>
      <c r="AD5" s="137">
        <v>46247.736608796295</v>
      </c>
      <c r="AE5" s="141" t="s">
        <v>15</v>
      </c>
      <c r="AF5" s="141" t="s">
        <v>15</v>
      </c>
      <c r="AG5" s="137">
        <v>46249.443333333336</v>
      </c>
      <c r="AH5" s="137">
        <v>46249.746099537035</v>
      </c>
      <c r="AI5" s="137"/>
      <c r="AJ5" s="45">
        <v>1</v>
      </c>
      <c r="AK5" s="137">
        <v>46250.386620370373</v>
      </c>
      <c r="AL5" s="137">
        <v>46250.749351851853</v>
      </c>
      <c r="AM5" s="137">
        <v>46251.394849537035</v>
      </c>
      <c r="AN5" s="137">
        <v>46251.737905092596</v>
      </c>
      <c r="AO5" s="137">
        <v>46252.420937499999</v>
      </c>
      <c r="AP5" s="137">
        <v>46252.765497685185</v>
      </c>
      <c r="AQ5" s="137">
        <v>46253.38517361111</v>
      </c>
      <c r="AR5" s="137">
        <v>46253.738182870373</v>
      </c>
      <c r="AS5" s="137">
        <v>46254.393877314818</v>
      </c>
      <c r="AT5" s="137">
        <v>46254.750625000001</v>
      </c>
      <c r="AU5" s="141" t="s">
        <v>15</v>
      </c>
      <c r="AV5" s="141" t="s">
        <v>15</v>
      </c>
      <c r="AW5" s="137">
        <v>46256.444166666668</v>
      </c>
      <c r="AX5" s="137">
        <v>46256.742800925924</v>
      </c>
      <c r="AY5" s="137">
        <v>46257.390752314815</v>
      </c>
      <c r="AZ5" s="137">
        <v>46257.756886574076</v>
      </c>
      <c r="BA5" s="137">
        <v>46258.351493055554</v>
      </c>
      <c r="BB5" s="137">
        <v>46258.740960648145</v>
      </c>
      <c r="BC5" s="137">
        <v>0</v>
      </c>
      <c r="BD5" s="137">
        <v>0</v>
      </c>
      <c r="BE5" s="137">
        <v>46260.390555555554</v>
      </c>
      <c r="BF5" s="137">
        <v>0</v>
      </c>
      <c r="BG5" s="137">
        <v>46261.405011574076</v>
      </c>
      <c r="BH5" s="137">
        <v>46261.718657407408</v>
      </c>
      <c r="BI5" s="141" t="s">
        <v>15</v>
      </c>
      <c r="BJ5" s="141" t="s">
        <v>15</v>
      </c>
      <c r="BK5" s="137">
        <v>46263.430069444446</v>
      </c>
      <c r="BL5" s="137">
        <v>46263.747430555559</v>
      </c>
      <c r="BM5" s="137">
        <v>46264.383761574078</v>
      </c>
      <c r="BN5" s="137">
        <v>46264.964074074072</v>
      </c>
      <c r="BO5" s="137">
        <v>46265.386377314811</v>
      </c>
      <c r="BP5" s="137">
        <v>46265.730821759258</v>
      </c>
      <c r="BQ5" s="99">
        <f t="shared" ref="BQ5:BQ27" si="0">BS5+BT5+BV5+CA5+BY5+BZ5+CD5+BU5</f>
        <v>31</v>
      </c>
      <c r="BR5" s="68">
        <v>0</v>
      </c>
      <c r="BS5" s="1">
        <f>COUNT(E5:AH5)/2+COUNT(AK5:BP5)/2</f>
        <v>27</v>
      </c>
      <c r="BT5" s="2">
        <f>COUNTIF(E5:BP5,"OFF")/2</f>
        <v>4</v>
      </c>
      <c r="BU5" s="2">
        <f>COUNTIF(E5:BP5,"MC")/2</f>
        <v>0</v>
      </c>
      <c r="BV5" s="2">
        <f>COUNTIF(E5:BP5,"EL")/2</f>
        <v>0</v>
      </c>
      <c r="BW5" s="2">
        <f>COUNTIF(E5:BP5,"AL")/2</f>
        <v>0</v>
      </c>
      <c r="BX5" s="2">
        <f>COUNTIF(E5:BP5,"SUS")/2</f>
        <v>0</v>
      </c>
      <c r="BY5" s="2">
        <f>COUNTIF(E5:BP5,"FL")/2</f>
        <v>0</v>
      </c>
      <c r="BZ5" s="2">
        <f>COUNTIF(E5:BP5,"SICK")/2</f>
        <v>0</v>
      </c>
      <c r="CA5" s="2">
        <f>COUNTIF(E5:BP5,"HD")/2</f>
        <v>0</v>
      </c>
      <c r="CB5" s="2">
        <f>COUNTIF(E5:BP5,"AB")/2</f>
        <v>0</v>
      </c>
      <c r="CC5" s="2">
        <f>COUNTIF(E5:BP5,"NL")/2</f>
        <v>0</v>
      </c>
      <c r="CD5" s="2">
        <f>COUNTIF(E5:BP5,"SP")/2</f>
        <v>0</v>
      </c>
      <c r="CE5" s="3"/>
      <c r="CG5" s="54">
        <v>0</v>
      </c>
      <c r="CH5" s="54">
        <v>0</v>
      </c>
      <c r="CI5" s="55">
        <v>77</v>
      </c>
      <c r="CJ5" s="54">
        <v>0</v>
      </c>
      <c r="CK5" s="55">
        <v>1</v>
      </c>
      <c r="CL5" s="55">
        <v>5</v>
      </c>
      <c r="CM5" s="54">
        <v>0</v>
      </c>
      <c r="CN5" s="54">
        <v>0</v>
      </c>
      <c r="CO5" s="54">
        <v>0</v>
      </c>
      <c r="CP5" s="54">
        <v>0</v>
      </c>
      <c r="CQ5" s="50">
        <f t="shared" ref="CQ5:CQ21" si="1">SUM(CG5:CP5)</f>
        <v>83</v>
      </c>
    </row>
    <row r="6" spans="1:95" ht="21" customHeight="1" x14ac:dyDescent="0.25">
      <c r="A6" s="179">
        <v>2</v>
      </c>
      <c r="B6" s="11" t="s">
        <v>29</v>
      </c>
      <c r="C6" s="78" t="s">
        <v>30</v>
      </c>
      <c r="D6" s="86">
        <v>41972</v>
      </c>
      <c r="E6" s="137">
        <v>46235.381215277775</v>
      </c>
      <c r="F6" s="137">
        <v>1</v>
      </c>
      <c r="G6" s="137">
        <v>46236.385717592595</v>
      </c>
      <c r="H6" s="137">
        <v>1</v>
      </c>
      <c r="I6" s="137">
        <v>46237.383599537039</v>
      </c>
      <c r="J6" s="137">
        <v>1</v>
      </c>
      <c r="K6" s="137">
        <v>46238.39644675926</v>
      </c>
      <c r="L6" s="137">
        <v>1</v>
      </c>
      <c r="M6" s="137">
        <v>46239.388067129628</v>
      </c>
      <c r="N6" s="137">
        <v>1</v>
      </c>
      <c r="O6" s="137">
        <v>46240.393622685187</v>
      </c>
      <c r="P6" s="137">
        <v>1</v>
      </c>
      <c r="Q6" s="137">
        <v>0</v>
      </c>
      <c r="R6" s="137">
        <v>0</v>
      </c>
      <c r="S6" s="137">
        <v>46242.411666666667</v>
      </c>
      <c r="T6" s="137">
        <v>1</v>
      </c>
      <c r="U6" s="137">
        <v>46243.416307870371</v>
      </c>
      <c r="V6" s="137">
        <v>1</v>
      </c>
      <c r="W6" s="137">
        <v>46244.420289351852</v>
      </c>
      <c r="X6" s="137">
        <v>1</v>
      </c>
      <c r="Y6" s="137">
        <v>46245.407847222225</v>
      </c>
      <c r="Z6" s="137">
        <v>1</v>
      </c>
      <c r="AA6" s="137">
        <v>46246.415173611109</v>
      </c>
      <c r="AB6" s="137">
        <v>1</v>
      </c>
      <c r="AC6" s="137">
        <v>46247.410069444442</v>
      </c>
      <c r="AD6" s="137">
        <v>1</v>
      </c>
      <c r="AE6" s="137">
        <v>46248.639317129629</v>
      </c>
      <c r="AF6" s="137">
        <v>1</v>
      </c>
      <c r="AG6" s="137">
        <v>46249.419918981483</v>
      </c>
      <c r="AH6" s="137">
        <v>1</v>
      </c>
      <c r="AI6" s="137"/>
      <c r="AJ6" s="45">
        <v>2</v>
      </c>
      <c r="AK6" s="137">
        <v>46250.413576388892</v>
      </c>
      <c r="AL6" s="137">
        <v>0</v>
      </c>
      <c r="AM6" s="147">
        <v>46251.420231481483</v>
      </c>
      <c r="AN6" s="137">
        <v>0</v>
      </c>
      <c r="AO6" s="137">
        <v>46252.419710648152</v>
      </c>
      <c r="AP6" s="137">
        <v>0</v>
      </c>
      <c r="AQ6" s="137">
        <v>46253.403240740743</v>
      </c>
      <c r="AR6" s="137">
        <v>0</v>
      </c>
      <c r="AS6" s="137">
        <v>46254.427997685183</v>
      </c>
      <c r="AT6" s="137">
        <v>0</v>
      </c>
      <c r="AU6" s="137">
        <v>46255.663541666669</v>
      </c>
      <c r="AV6" s="137">
        <v>0</v>
      </c>
      <c r="AW6" s="137">
        <v>46256.436388888891</v>
      </c>
      <c r="AX6" s="137">
        <v>0</v>
      </c>
      <c r="AY6" s="137">
        <v>46257.411620370367</v>
      </c>
      <c r="AZ6" s="137">
        <v>0</v>
      </c>
      <c r="BA6" s="137">
        <v>46258.354247685187</v>
      </c>
      <c r="BB6" s="137">
        <v>0</v>
      </c>
      <c r="BC6" s="137">
        <v>0</v>
      </c>
      <c r="BD6" s="137">
        <v>0</v>
      </c>
      <c r="BE6" s="137">
        <v>46260.421331018515</v>
      </c>
      <c r="BF6" s="137">
        <v>0</v>
      </c>
      <c r="BG6" s="137">
        <v>46261.413495370369</v>
      </c>
      <c r="BH6" s="137">
        <v>0</v>
      </c>
      <c r="BI6" s="137">
        <v>0</v>
      </c>
      <c r="BJ6" s="137">
        <v>0</v>
      </c>
      <c r="BK6" s="137">
        <v>46263.4221875</v>
      </c>
      <c r="BL6" s="137">
        <v>0</v>
      </c>
      <c r="BM6" s="137">
        <v>46264.400497685187</v>
      </c>
      <c r="BN6" s="137">
        <v>46264.960509259261</v>
      </c>
      <c r="BO6" s="137">
        <v>46265.409143518518</v>
      </c>
      <c r="BP6" s="137">
        <v>0</v>
      </c>
      <c r="BQ6" s="99">
        <f t="shared" si="0"/>
        <v>31</v>
      </c>
      <c r="BR6" s="180">
        <v>4</v>
      </c>
      <c r="BS6" s="1">
        <f t="shared" ref="BS6:BS26" si="2">COUNT(E6:AH6)/2+COUNT(AK6:BP6)/2</f>
        <v>31</v>
      </c>
      <c r="BT6" s="2">
        <f t="shared" ref="BT6:BT27" si="3">COUNTIF(E6:BP6,"OFF")/2</f>
        <v>0</v>
      </c>
      <c r="BU6" s="2">
        <f t="shared" ref="BU6:BU27" si="4">COUNTIF(E6:BP6,"MC")/2</f>
        <v>0</v>
      </c>
      <c r="BV6" s="2">
        <f t="shared" ref="BV6:BV27" si="5">COUNTIF(E6:BP6,"EL")/2</f>
        <v>0</v>
      </c>
      <c r="BW6" s="2">
        <f t="shared" ref="BW6:BW27" si="6">COUNTIF(E6:BP6,"AL")/2</f>
        <v>0</v>
      </c>
      <c r="BX6" s="2">
        <f t="shared" ref="BX6:BX27" si="7">COUNTIF(E6:BP6,"SUS")/2</f>
        <v>0</v>
      </c>
      <c r="BY6" s="2">
        <f t="shared" ref="BY6:BY27" si="8">COUNTIF(E6:BP6,"FL")/2</f>
        <v>0</v>
      </c>
      <c r="BZ6" s="2">
        <f t="shared" ref="BZ6:BZ27" si="9">COUNTIF(E6:BP6,"SICK")/2</f>
        <v>0</v>
      </c>
      <c r="CA6" s="2">
        <f t="shared" ref="CA6:CA27" si="10">COUNTIF(E6:BP6,"HD")/2</f>
        <v>0</v>
      </c>
      <c r="CB6" s="2">
        <f t="shared" ref="CB6:CB27" si="11">COUNTIF(E6:BP6,"AB")/2</f>
        <v>0</v>
      </c>
      <c r="CC6" s="2">
        <f t="shared" ref="CC6:CC27" si="12">COUNTIF(E6:BP6,"NL")/2</f>
        <v>0</v>
      </c>
      <c r="CD6" s="2">
        <f t="shared" ref="CD6:CD27" si="13">COUNTIF(E6:BP6,"SP")/2</f>
        <v>0</v>
      </c>
      <c r="CE6" s="71"/>
      <c r="CG6" s="54">
        <v>0</v>
      </c>
      <c r="CH6" s="54">
        <v>39</v>
      </c>
      <c r="CI6" s="55">
        <v>0</v>
      </c>
      <c r="CJ6" s="54">
        <v>0</v>
      </c>
      <c r="CK6" s="54">
        <v>0</v>
      </c>
      <c r="CL6" s="54">
        <v>1</v>
      </c>
      <c r="CM6" s="54">
        <v>0</v>
      </c>
      <c r="CN6" s="54">
        <v>0</v>
      </c>
      <c r="CO6" s="54">
        <v>0</v>
      </c>
      <c r="CP6" s="54">
        <v>0</v>
      </c>
      <c r="CQ6" s="50">
        <f t="shared" si="1"/>
        <v>40</v>
      </c>
    </row>
    <row r="7" spans="1:95" ht="21" customHeight="1" x14ac:dyDescent="0.25">
      <c r="A7" s="179">
        <v>3</v>
      </c>
      <c r="B7" s="11" t="s">
        <v>31</v>
      </c>
      <c r="C7" s="78" t="s">
        <v>32</v>
      </c>
      <c r="D7" s="86">
        <v>44650</v>
      </c>
      <c r="E7" s="175" t="s">
        <v>17</v>
      </c>
      <c r="F7" s="175" t="s">
        <v>17</v>
      </c>
      <c r="G7" s="175" t="s">
        <v>17</v>
      </c>
      <c r="H7" s="175" t="s">
        <v>17</v>
      </c>
      <c r="I7" s="175" t="s">
        <v>17</v>
      </c>
      <c r="J7" s="175" t="s">
        <v>17</v>
      </c>
      <c r="K7" s="175" t="s">
        <v>17</v>
      </c>
      <c r="L7" s="175" t="s">
        <v>17</v>
      </c>
      <c r="M7" s="175" t="s">
        <v>17</v>
      </c>
      <c r="N7" s="175" t="s">
        <v>17</v>
      </c>
      <c r="O7" s="137">
        <v>46240.373935185184</v>
      </c>
      <c r="P7" s="137">
        <v>46240.765763888892</v>
      </c>
      <c r="Q7" s="137">
        <v>46241.583587962959</v>
      </c>
      <c r="R7" s="137">
        <v>46241.768738425926</v>
      </c>
      <c r="S7" s="137">
        <v>1</v>
      </c>
      <c r="T7" s="137">
        <v>46242.767083333332</v>
      </c>
      <c r="U7" s="137">
        <v>46243.373900462961</v>
      </c>
      <c r="V7" s="137">
        <v>46243.750925925924</v>
      </c>
      <c r="W7" s="137">
        <v>46244.373692129629</v>
      </c>
      <c r="X7" s="137">
        <v>46244.756666666668</v>
      </c>
      <c r="Y7" s="137">
        <v>46245.376192129632</v>
      </c>
      <c r="Z7" s="137">
        <v>46245.987870370373</v>
      </c>
      <c r="AA7" s="137">
        <v>46246.37023148148</v>
      </c>
      <c r="AB7" s="137">
        <v>46246.765914351854</v>
      </c>
      <c r="AC7" s="137">
        <v>46247.373680555553</v>
      </c>
      <c r="AD7" s="137">
        <v>46247.74287037037</v>
      </c>
      <c r="AE7" s="137">
        <v>46248.588576388887</v>
      </c>
      <c r="AF7" s="137">
        <v>46248.753055555557</v>
      </c>
      <c r="AG7" s="137">
        <v>46249.476817129631</v>
      </c>
      <c r="AH7" s="137">
        <v>46249.77983796296</v>
      </c>
      <c r="AI7" s="137"/>
      <c r="AJ7" s="45">
        <v>3</v>
      </c>
      <c r="AK7" s="137">
        <v>46250.372974537036</v>
      </c>
      <c r="AL7" s="137">
        <v>46250.755949074075</v>
      </c>
      <c r="AM7" s="147">
        <v>46251.377025462964</v>
      </c>
      <c r="AN7" s="137">
        <v>46251.759768518517</v>
      </c>
      <c r="AO7" s="137">
        <v>46252.373217592591</v>
      </c>
      <c r="AP7" s="137">
        <v>46252.770185185182</v>
      </c>
      <c r="AQ7" s="137">
        <v>46253.373252314814</v>
      </c>
      <c r="AR7" s="137">
        <v>46253.77447916667</v>
      </c>
      <c r="AS7" s="137">
        <v>46254.374907407408</v>
      </c>
      <c r="AT7" s="137">
        <v>46254.748831018522</v>
      </c>
      <c r="AU7" s="137">
        <v>46255.586064814815</v>
      </c>
      <c r="AV7" s="137">
        <v>46255.765173611115</v>
      </c>
      <c r="AW7" s="137">
        <v>46256.416041666664</v>
      </c>
      <c r="AX7" s="137">
        <v>46256.753055555557</v>
      </c>
      <c r="AY7" s="137">
        <v>46257.374872685185</v>
      </c>
      <c r="AZ7" s="137">
        <v>46257.755856481483</v>
      </c>
      <c r="BA7" s="137">
        <v>46258.352430555555</v>
      </c>
      <c r="BB7" s="137">
        <v>46258.995844907404</v>
      </c>
      <c r="BC7" s="137">
        <v>46259.377488425926</v>
      </c>
      <c r="BD7" s="137">
        <v>46259.760960648149</v>
      </c>
      <c r="BE7" s="137">
        <v>46260.377534722225</v>
      </c>
      <c r="BF7" s="137">
        <v>46260.752233796295</v>
      </c>
      <c r="BG7" s="137">
        <v>46261.373993055553</v>
      </c>
      <c r="BH7" s="137">
        <v>46261.751180555555</v>
      </c>
      <c r="BI7" s="137">
        <v>46262.603680555556</v>
      </c>
      <c r="BJ7" s="137">
        <v>46262.751168981478</v>
      </c>
      <c r="BK7" s="137">
        <v>46263.496851851851</v>
      </c>
      <c r="BL7" s="137">
        <v>46263.757800925923</v>
      </c>
      <c r="BM7" s="137">
        <v>46264.373437499999</v>
      </c>
      <c r="BN7" s="137">
        <v>46264.959733796299</v>
      </c>
      <c r="BO7" s="137">
        <v>46265.3746875</v>
      </c>
      <c r="BP7" s="137">
        <v>46265.97928240741</v>
      </c>
      <c r="BQ7" s="99">
        <f t="shared" si="0"/>
        <v>31</v>
      </c>
      <c r="BR7" s="68">
        <v>4</v>
      </c>
      <c r="BS7" s="1">
        <f t="shared" si="2"/>
        <v>26</v>
      </c>
      <c r="BT7" s="2">
        <f t="shared" si="3"/>
        <v>0</v>
      </c>
      <c r="BU7" s="2">
        <f t="shared" si="4"/>
        <v>0</v>
      </c>
      <c r="BV7" s="2">
        <f t="shared" si="5"/>
        <v>5</v>
      </c>
      <c r="BW7" s="2">
        <f t="shared" si="6"/>
        <v>0</v>
      </c>
      <c r="BX7" s="2">
        <f t="shared" si="7"/>
        <v>0</v>
      </c>
      <c r="BY7" s="2">
        <f t="shared" si="8"/>
        <v>0</v>
      </c>
      <c r="BZ7" s="2">
        <f t="shared" si="9"/>
        <v>0</v>
      </c>
      <c r="CA7" s="2">
        <f t="shared" si="10"/>
        <v>0</v>
      </c>
      <c r="CB7" s="2">
        <f t="shared" si="11"/>
        <v>0</v>
      </c>
      <c r="CC7" s="2">
        <f t="shared" si="12"/>
        <v>0</v>
      </c>
      <c r="CD7" s="2">
        <f t="shared" si="13"/>
        <v>0</v>
      </c>
      <c r="CE7" s="71"/>
      <c r="CG7" s="54">
        <v>0</v>
      </c>
      <c r="CH7" s="54">
        <v>5</v>
      </c>
      <c r="CI7" s="55">
        <v>65</v>
      </c>
      <c r="CJ7" s="54">
        <v>0</v>
      </c>
      <c r="CK7" s="54">
        <v>1</v>
      </c>
      <c r="CL7" s="54">
        <v>2</v>
      </c>
      <c r="CM7" s="54">
        <v>0</v>
      </c>
      <c r="CN7" s="54">
        <v>0</v>
      </c>
      <c r="CO7" s="54">
        <v>0</v>
      </c>
      <c r="CP7" s="54">
        <v>0</v>
      </c>
      <c r="CQ7" s="56">
        <f t="shared" si="1"/>
        <v>73</v>
      </c>
    </row>
    <row r="8" spans="1:95" ht="21" customHeight="1" x14ac:dyDescent="0.25">
      <c r="A8" s="179">
        <v>4</v>
      </c>
      <c r="B8" s="11" t="s">
        <v>33</v>
      </c>
      <c r="C8" s="78" t="s">
        <v>34</v>
      </c>
      <c r="D8" s="86">
        <v>37431</v>
      </c>
      <c r="E8" s="137">
        <v>46235.354120370372</v>
      </c>
      <c r="F8" s="137">
        <v>46236.001458333332</v>
      </c>
      <c r="G8" s="137">
        <v>46236.379178240742</v>
      </c>
      <c r="H8" s="137">
        <v>46237.007557870369</v>
      </c>
      <c r="I8" s="137">
        <v>46237.007557870369</v>
      </c>
      <c r="J8" s="137">
        <v>46237.998553240737</v>
      </c>
      <c r="K8" s="137">
        <v>46238.353773148148</v>
      </c>
      <c r="L8" s="137">
        <v>46238.989259259259</v>
      </c>
      <c r="M8" s="137">
        <v>46239.396851851852</v>
      </c>
      <c r="N8" s="137">
        <v>46239.985462962963</v>
      </c>
      <c r="O8" s="137">
        <v>46240.362500000003</v>
      </c>
      <c r="P8" s="137">
        <v>46241.011562500003</v>
      </c>
      <c r="Q8" s="137">
        <v>46241.577939814815</v>
      </c>
      <c r="R8" s="137">
        <v>1</v>
      </c>
      <c r="S8" s="137">
        <v>46242.392210648148</v>
      </c>
      <c r="T8" s="137">
        <v>46243.003865740742</v>
      </c>
      <c r="U8" s="137">
        <v>46243.368391203701</v>
      </c>
      <c r="V8" s="137">
        <v>46243.985439814816</v>
      </c>
      <c r="W8" s="137">
        <v>46244.355266203704</v>
      </c>
      <c r="X8" s="137">
        <v>46244.994467592594</v>
      </c>
      <c r="Y8" s="137">
        <v>46245.388912037037</v>
      </c>
      <c r="Z8" s="137">
        <v>46245.987511574072</v>
      </c>
      <c r="AA8" s="137">
        <v>46246.35465277778</v>
      </c>
      <c r="AB8" s="137">
        <v>46246.985543981478</v>
      </c>
      <c r="AC8" s="137">
        <v>46247.373124999998</v>
      </c>
      <c r="AD8" s="137">
        <v>46248.015219907407</v>
      </c>
      <c r="AE8" s="141" t="s">
        <v>15</v>
      </c>
      <c r="AF8" s="141" t="s">
        <v>15</v>
      </c>
      <c r="AG8" s="137">
        <v>46249.353530092594</v>
      </c>
      <c r="AH8" s="137">
        <v>46250.015706018516</v>
      </c>
      <c r="AI8" s="137"/>
      <c r="AJ8" s="45">
        <v>4</v>
      </c>
      <c r="AK8" s="137">
        <v>46250.354537037034</v>
      </c>
      <c r="AL8" s="137">
        <v>46250.994293981479</v>
      </c>
      <c r="AM8" s="137">
        <v>46251.364548611113</v>
      </c>
      <c r="AN8" s="137">
        <v>46251.987141203703</v>
      </c>
      <c r="AO8" s="137">
        <v>46252.369872685187</v>
      </c>
      <c r="AP8" s="137">
        <v>0</v>
      </c>
      <c r="AQ8" s="137">
        <v>46253.358553240738</v>
      </c>
      <c r="AR8" s="137">
        <v>46253.992766203701</v>
      </c>
      <c r="AS8" s="137">
        <v>46254.355821759258</v>
      </c>
      <c r="AT8" s="137">
        <v>46255.012546296297</v>
      </c>
      <c r="AU8" s="137">
        <v>46255.569930555554</v>
      </c>
      <c r="AV8" s="137">
        <v>46255.996874999997</v>
      </c>
      <c r="AW8" s="137">
        <v>46256.35796296296</v>
      </c>
      <c r="AX8" s="137">
        <v>46257.009965277779</v>
      </c>
      <c r="AY8" s="137">
        <v>46257.36787037037</v>
      </c>
      <c r="AZ8" s="137">
        <v>0</v>
      </c>
      <c r="BA8" s="137">
        <v>46258.358912037038</v>
      </c>
      <c r="BB8" s="137">
        <v>46258.994363425925</v>
      </c>
      <c r="BC8" s="137">
        <v>46259.35428240741</v>
      </c>
      <c r="BD8" s="137">
        <v>46259.991087962961</v>
      </c>
      <c r="BE8" s="137">
        <v>46260.358541666668</v>
      </c>
      <c r="BF8" s="137">
        <v>46260.981064814812</v>
      </c>
      <c r="BG8" s="137">
        <v>46261.35361111111</v>
      </c>
      <c r="BH8" s="137">
        <v>46262.011944444443</v>
      </c>
      <c r="BI8" s="141" t="s">
        <v>15</v>
      </c>
      <c r="BJ8" s="141" t="s">
        <v>15</v>
      </c>
      <c r="BK8" s="137">
        <v>46263.351585648146</v>
      </c>
      <c r="BL8" s="137">
        <v>46263.999432870369</v>
      </c>
      <c r="BM8" s="137">
        <v>46264.360659722224</v>
      </c>
      <c r="BN8" s="137">
        <v>46264.923159722224</v>
      </c>
      <c r="BO8" s="137">
        <v>46265.354803240742</v>
      </c>
      <c r="BP8" s="137">
        <v>46265.979004629633</v>
      </c>
      <c r="BQ8" s="99">
        <f t="shared" si="0"/>
        <v>31</v>
      </c>
      <c r="BR8" s="68">
        <v>2</v>
      </c>
      <c r="BS8" s="1">
        <f t="shared" si="2"/>
        <v>29</v>
      </c>
      <c r="BT8" s="2">
        <f t="shared" si="3"/>
        <v>2</v>
      </c>
      <c r="BU8" s="2">
        <f t="shared" si="4"/>
        <v>0</v>
      </c>
      <c r="BV8" s="2">
        <f t="shared" si="5"/>
        <v>0</v>
      </c>
      <c r="BW8" s="2">
        <f t="shared" si="6"/>
        <v>0</v>
      </c>
      <c r="BX8" s="2">
        <f t="shared" si="7"/>
        <v>0</v>
      </c>
      <c r="BY8" s="2">
        <f t="shared" si="8"/>
        <v>0</v>
      </c>
      <c r="BZ8" s="2">
        <f t="shared" si="9"/>
        <v>0</v>
      </c>
      <c r="CA8" s="2">
        <f t="shared" si="10"/>
        <v>0</v>
      </c>
      <c r="CB8" s="2">
        <f t="shared" si="11"/>
        <v>0</v>
      </c>
      <c r="CC8" s="2">
        <f t="shared" si="12"/>
        <v>0</v>
      </c>
      <c r="CD8" s="2">
        <f t="shared" si="13"/>
        <v>0</v>
      </c>
      <c r="CE8" s="71"/>
      <c r="CG8" s="54">
        <v>0</v>
      </c>
      <c r="CH8" s="54">
        <v>0</v>
      </c>
      <c r="CI8" s="55">
        <v>23</v>
      </c>
      <c r="CJ8" s="54">
        <v>0</v>
      </c>
      <c r="CK8" s="54">
        <v>0</v>
      </c>
      <c r="CL8" s="54">
        <v>0</v>
      </c>
      <c r="CM8" s="54">
        <v>0</v>
      </c>
      <c r="CN8" s="54">
        <v>0</v>
      </c>
      <c r="CO8" s="54">
        <v>0</v>
      </c>
      <c r="CP8" s="54">
        <v>0</v>
      </c>
      <c r="CQ8" s="56">
        <f t="shared" si="1"/>
        <v>23</v>
      </c>
    </row>
    <row r="9" spans="1:95" ht="21" customHeight="1" x14ac:dyDescent="0.25">
      <c r="A9" s="179">
        <v>5</v>
      </c>
      <c r="B9" s="11" t="s">
        <v>35</v>
      </c>
      <c r="C9" s="78" t="s">
        <v>36</v>
      </c>
      <c r="D9" s="86">
        <v>38630</v>
      </c>
      <c r="E9" s="137">
        <v>46235.382013888891</v>
      </c>
      <c r="F9" s="137">
        <v>46235.953645833331</v>
      </c>
      <c r="G9" s="137">
        <v>46236.384317129632</v>
      </c>
      <c r="H9" s="137">
        <v>46236.917488425926</v>
      </c>
      <c r="I9" s="137">
        <v>46237.379131944443</v>
      </c>
      <c r="J9" s="137">
        <v>1</v>
      </c>
      <c r="K9" s="137">
        <v>46238.362083333333</v>
      </c>
      <c r="L9" s="137">
        <v>46238.930474537039</v>
      </c>
      <c r="M9" s="137">
        <v>46239.379189814812</v>
      </c>
      <c r="N9" s="137">
        <v>46239.926111111112</v>
      </c>
      <c r="O9" s="137">
        <v>46240.371342592596</v>
      </c>
      <c r="P9" s="137">
        <v>46240.95076388889</v>
      </c>
      <c r="Q9" s="141" t="s">
        <v>15</v>
      </c>
      <c r="R9" s="141" t="s">
        <v>15</v>
      </c>
      <c r="S9" s="137">
        <v>46242.375833333332</v>
      </c>
      <c r="T9" s="137">
        <v>46242.941307870373</v>
      </c>
      <c r="U9" s="137">
        <v>46243.369988425926</v>
      </c>
      <c r="V9" s="137">
        <v>46243.921747685185</v>
      </c>
      <c r="W9" s="137">
        <v>46244.352812500001</v>
      </c>
      <c r="X9" s="137">
        <v>46244.924687500003</v>
      </c>
      <c r="Y9" s="137">
        <v>46245.378645833334</v>
      </c>
      <c r="Z9" s="137">
        <v>46245.93173611111</v>
      </c>
      <c r="AA9" s="137">
        <v>46246.362939814811</v>
      </c>
      <c r="AB9" s="137">
        <v>46246.952361111114</v>
      </c>
      <c r="AC9" s="137">
        <v>46247.371539351851</v>
      </c>
      <c r="AD9" s="137">
        <v>46247.963171296295</v>
      </c>
      <c r="AE9" s="137">
        <v>46248.560810185183</v>
      </c>
      <c r="AF9" s="137">
        <v>46248.9137962963</v>
      </c>
      <c r="AG9" s="137">
        <v>46249.386817129627</v>
      </c>
      <c r="AH9" s="137">
        <v>46249.954976851855</v>
      </c>
      <c r="AI9" s="137"/>
      <c r="AJ9" s="45">
        <v>5</v>
      </c>
      <c r="AK9" s="137">
        <v>46250.402094907404</v>
      </c>
      <c r="AL9" s="137">
        <v>46250.937175925923</v>
      </c>
      <c r="AM9" s="137">
        <v>46251.366562499999</v>
      </c>
      <c r="AN9" s="137">
        <v>46251.925104166665</v>
      </c>
      <c r="AO9" s="137">
        <v>46252.373969907407</v>
      </c>
      <c r="AP9" s="137">
        <v>46252.954467592594</v>
      </c>
      <c r="AQ9" s="137">
        <v>46253.424317129633</v>
      </c>
      <c r="AR9" s="137">
        <v>46253.940034722225</v>
      </c>
      <c r="AS9" s="137">
        <v>46254.366180555553</v>
      </c>
      <c r="AT9" s="137">
        <v>46254.930312500001</v>
      </c>
      <c r="AU9" s="141" t="s">
        <v>15</v>
      </c>
      <c r="AV9" s="141" t="s">
        <v>15</v>
      </c>
      <c r="AW9" s="137">
        <v>46256.35733796296</v>
      </c>
      <c r="AX9" s="137">
        <v>46256.936331018522</v>
      </c>
      <c r="AY9" s="137">
        <v>46257.382789351854</v>
      </c>
      <c r="AZ9" s="137">
        <v>46257.922789351855</v>
      </c>
      <c r="BA9" s="137">
        <v>46258.352685185186</v>
      </c>
      <c r="BB9" s="137">
        <v>46258.930625000001</v>
      </c>
      <c r="BC9" s="137">
        <v>46259.350902777776</v>
      </c>
      <c r="BD9" s="137">
        <v>46259.918935185182</v>
      </c>
      <c r="BE9" s="137">
        <v>46260.3590625</v>
      </c>
      <c r="BF9" s="137">
        <v>46260.95008101852</v>
      </c>
      <c r="BG9" s="137">
        <v>46261.353877314818</v>
      </c>
      <c r="BH9" s="137">
        <v>46261.940555555557</v>
      </c>
      <c r="BI9" s="137">
        <v>46262.566863425927</v>
      </c>
      <c r="BJ9" s="137">
        <v>46262.880115740743</v>
      </c>
      <c r="BK9" s="137">
        <v>46263.354861111111</v>
      </c>
      <c r="BL9" s="137">
        <v>46263.935578703706</v>
      </c>
      <c r="BM9" s="137">
        <v>46264.365752314814</v>
      </c>
      <c r="BN9" s="137">
        <v>46264.903229166666</v>
      </c>
      <c r="BO9" s="137">
        <v>46265.360243055555</v>
      </c>
      <c r="BP9" s="137">
        <v>46265.918344907404</v>
      </c>
      <c r="BQ9" s="99">
        <f t="shared" si="0"/>
        <v>31</v>
      </c>
      <c r="BR9" s="68">
        <v>2</v>
      </c>
      <c r="BS9" s="1">
        <f t="shared" si="2"/>
        <v>29</v>
      </c>
      <c r="BT9" s="2">
        <f t="shared" si="3"/>
        <v>2</v>
      </c>
      <c r="BU9" s="2">
        <f t="shared" si="4"/>
        <v>0</v>
      </c>
      <c r="BV9" s="2">
        <f t="shared" si="5"/>
        <v>0</v>
      </c>
      <c r="BW9" s="2">
        <f t="shared" si="6"/>
        <v>0</v>
      </c>
      <c r="BX9" s="2">
        <f t="shared" si="7"/>
        <v>0</v>
      </c>
      <c r="BY9" s="2">
        <f t="shared" si="8"/>
        <v>0</v>
      </c>
      <c r="BZ9" s="2">
        <f t="shared" si="9"/>
        <v>0</v>
      </c>
      <c r="CA9" s="2">
        <f t="shared" si="10"/>
        <v>0</v>
      </c>
      <c r="CB9" s="2">
        <f t="shared" si="11"/>
        <v>0</v>
      </c>
      <c r="CC9" s="2">
        <f t="shared" si="12"/>
        <v>0</v>
      </c>
      <c r="CD9" s="2">
        <f t="shared" si="13"/>
        <v>0</v>
      </c>
      <c r="CE9" s="71"/>
      <c r="CG9" s="54">
        <v>0</v>
      </c>
      <c r="CH9" s="54">
        <v>0</v>
      </c>
      <c r="CI9" s="55">
        <v>30</v>
      </c>
      <c r="CJ9" s="54">
        <v>0</v>
      </c>
      <c r="CK9" s="54">
        <v>0</v>
      </c>
      <c r="CL9" s="54">
        <v>4</v>
      </c>
      <c r="CM9" s="54">
        <v>0</v>
      </c>
      <c r="CN9" s="54">
        <v>0</v>
      </c>
      <c r="CO9" s="54">
        <v>0</v>
      </c>
      <c r="CP9" s="54">
        <v>0</v>
      </c>
      <c r="CQ9" s="56">
        <f t="shared" si="1"/>
        <v>34</v>
      </c>
    </row>
    <row r="10" spans="1:95" ht="21" customHeight="1" x14ac:dyDescent="0.25">
      <c r="A10" s="179">
        <v>6</v>
      </c>
      <c r="B10" s="11" t="s">
        <v>37</v>
      </c>
      <c r="C10" s="78" t="s">
        <v>38</v>
      </c>
      <c r="D10" s="86">
        <v>44509</v>
      </c>
      <c r="E10" s="137">
        <v>0</v>
      </c>
      <c r="F10" s="137">
        <v>1</v>
      </c>
      <c r="G10" s="137">
        <v>46236.367719907408</v>
      </c>
      <c r="H10" s="137">
        <v>46236.733611111114</v>
      </c>
      <c r="I10" s="137">
        <v>46237.369016203702</v>
      </c>
      <c r="J10" s="137">
        <v>1</v>
      </c>
      <c r="K10" s="137">
        <v>46238.372997685183</v>
      </c>
      <c r="L10" s="137">
        <v>46238.734976851854</v>
      </c>
      <c r="M10" s="137">
        <v>46239.373599537037</v>
      </c>
      <c r="N10" s="137">
        <v>46239.742430555554</v>
      </c>
      <c r="O10" s="137">
        <v>46240.374594907407</v>
      </c>
      <c r="P10" s="137">
        <v>46240.737291666665</v>
      </c>
      <c r="Q10" s="141" t="s">
        <v>15</v>
      </c>
      <c r="R10" s="141" t="s">
        <v>15</v>
      </c>
      <c r="S10" s="137">
        <v>46242.41642361111</v>
      </c>
      <c r="T10" s="137">
        <v>46242.715902777774</v>
      </c>
      <c r="U10" s="146" t="s">
        <v>171</v>
      </c>
      <c r="V10" s="146" t="s">
        <v>171</v>
      </c>
      <c r="W10" s="137">
        <v>46244.363321759258</v>
      </c>
      <c r="X10" s="137">
        <v>46244.745428240742</v>
      </c>
      <c r="Y10" s="137">
        <v>46245.349699074075</v>
      </c>
      <c r="Z10" s="137">
        <v>46245.721053240741</v>
      </c>
      <c r="AA10" s="137">
        <v>46246.366076388891</v>
      </c>
      <c r="AB10" s="137">
        <v>46246.732789351852</v>
      </c>
      <c r="AC10" s="137">
        <v>46247.363483796296</v>
      </c>
      <c r="AD10" s="137">
        <v>46247.71025462963</v>
      </c>
      <c r="AE10" s="141" t="s">
        <v>15</v>
      </c>
      <c r="AF10" s="141" t="s">
        <v>15</v>
      </c>
      <c r="AG10" s="137">
        <v>46249.408518518518</v>
      </c>
      <c r="AH10" s="137">
        <v>46249.744027777779</v>
      </c>
      <c r="AI10" s="137"/>
      <c r="AJ10" s="45">
        <v>6</v>
      </c>
      <c r="AK10" s="137">
        <v>46250.376967592594</v>
      </c>
      <c r="AL10" s="137">
        <v>46250.71974537037</v>
      </c>
      <c r="AM10" s="137">
        <v>46251.375219907408</v>
      </c>
      <c r="AN10" s="137">
        <v>46251.728819444441</v>
      </c>
      <c r="AO10" s="137">
        <v>46252.3753125</v>
      </c>
      <c r="AP10" s="137">
        <v>0</v>
      </c>
      <c r="AQ10" s="137">
        <v>46253.364756944444</v>
      </c>
      <c r="AR10" s="137">
        <v>0</v>
      </c>
      <c r="AS10" s="137">
        <v>46254.373414351852</v>
      </c>
      <c r="AT10" s="137">
        <v>46254.749571759261</v>
      </c>
      <c r="AU10" s="141" t="s">
        <v>15</v>
      </c>
      <c r="AV10" s="141" t="s">
        <v>15</v>
      </c>
      <c r="AW10" s="137">
        <v>46256.39472222222</v>
      </c>
      <c r="AX10" s="137">
        <v>46256.730208333334</v>
      </c>
      <c r="AY10" s="137">
        <v>46257.373576388891</v>
      </c>
      <c r="AZ10" s="137">
        <v>46257.749525462961</v>
      </c>
      <c r="BA10" s="137">
        <v>46258.34302083333</v>
      </c>
      <c r="BB10" s="137">
        <v>46258.733287037037</v>
      </c>
      <c r="BC10" s="137">
        <v>46259.417500000003</v>
      </c>
      <c r="BD10" s="137">
        <v>0</v>
      </c>
      <c r="BE10" s="137">
        <v>46260.372175925928</v>
      </c>
      <c r="BF10" s="137">
        <v>46260.735219907408</v>
      </c>
      <c r="BG10" s="137">
        <v>46261.373854166668</v>
      </c>
      <c r="BH10" s="137">
        <v>46261.718541666669</v>
      </c>
      <c r="BI10" s="141" t="s">
        <v>15</v>
      </c>
      <c r="BJ10" s="141" t="s">
        <v>15</v>
      </c>
      <c r="BK10" s="137">
        <v>46263.372361111113</v>
      </c>
      <c r="BL10" s="137">
        <v>46263.728645833333</v>
      </c>
      <c r="BM10" s="137">
        <v>46264.361828703702</v>
      </c>
      <c r="BN10" s="137">
        <v>46264.935543981483</v>
      </c>
      <c r="BO10" s="137">
        <v>46265.373807870368</v>
      </c>
      <c r="BP10" s="137">
        <v>46265.72929398148</v>
      </c>
      <c r="BQ10" s="99">
        <f t="shared" si="0"/>
        <v>31</v>
      </c>
      <c r="BR10" s="68">
        <v>0</v>
      </c>
      <c r="BS10" s="1">
        <f t="shared" si="2"/>
        <v>26</v>
      </c>
      <c r="BT10" s="2">
        <f t="shared" si="3"/>
        <v>4</v>
      </c>
      <c r="BU10" s="2">
        <f t="shared" si="4"/>
        <v>0</v>
      </c>
      <c r="BV10" s="2">
        <f t="shared" si="5"/>
        <v>0</v>
      </c>
      <c r="BW10" s="2">
        <f t="shared" si="6"/>
        <v>0</v>
      </c>
      <c r="BX10" s="2">
        <f t="shared" si="7"/>
        <v>0</v>
      </c>
      <c r="BY10" s="2">
        <f t="shared" si="8"/>
        <v>0</v>
      </c>
      <c r="BZ10" s="2">
        <f t="shared" si="9"/>
        <v>1</v>
      </c>
      <c r="CA10" s="2">
        <f t="shared" si="10"/>
        <v>0</v>
      </c>
      <c r="CB10" s="2">
        <f t="shared" si="11"/>
        <v>0</v>
      </c>
      <c r="CC10" s="2">
        <f t="shared" si="12"/>
        <v>0</v>
      </c>
      <c r="CD10" s="2">
        <f t="shared" si="13"/>
        <v>0</v>
      </c>
      <c r="CE10" s="71"/>
      <c r="CG10" s="54">
        <v>1</v>
      </c>
      <c r="CH10" s="54">
        <v>0</v>
      </c>
      <c r="CI10" s="55">
        <v>22</v>
      </c>
      <c r="CJ10" s="54">
        <v>0</v>
      </c>
      <c r="CK10" s="55">
        <v>3</v>
      </c>
      <c r="CL10" s="55">
        <v>2</v>
      </c>
      <c r="CM10" s="55">
        <v>4</v>
      </c>
      <c r="CN10" s="54">
        <v>0</v>
      </c>
      <c r="CO10" s="54">
        <v>0</v>
      </c>
      <c r="CP10" s="54">
        <v>0</v>
      </c>
      <c r="CQ10" s="56">
        <f t="shared" si="1"/>
        <v>32</v>
      </c>
    </row>
    <row r="11" spans="1:95" ht="21" customHeight="1" x14ac:dyDescent="0.25">
      <c r="A11" s="179">
        <v>7</v>
      </c>
      <c r="B11" s="11" t="s">
        <v>39</v>
      </c>
      <c r="C11" s="78" t="s">
        <v>40</v>
      </c>
      <c r="D11" s="87">
        <v>45183</v>
      </c>
      <c r="E11" s="137">
        <v>46235.3828125</v>
      </c>
      <c r="F11" s="137">
        <v>46235.717928240738</v>
      </c>
      <c r="G11" s="137">
        <v>46236.362476851849</v>
      </c>
      <c r="H11" s="137">
        <v>46236.727002314816</v>
      </c>
      <c r="I11" s="137">
        <v>46237.374803240738</v>
      </c>
      <c r="J11" s="137">
        <v>46237.725208333337</v>
      </c>
      <c r="K11" s="137">
        <v>46238.362199074072</v>
      </c>
      <c r="L11" s="137">
        <v>46238.724398148152</v>
      </c>
      <c r="M11" s="137">
        <v>46239.370416666665</v>
      </c>
      <c r="N11" s="137">
        <v>46239.744085648148</v>
      </c>
      <c r="O11" s="137">
        <v>46240.369027777779</v>
      </c>
      <c r="P11" s="137">
        <v>1</v>
      </c>
      <c r="Q11" s="141" t="s">
        <v>15</v>
      </c>
      <c r="R11" s="141" t="s">
        <v>15</v>
      </c>
      <c r="S11" s="137">
        <v>46242.337083333332</v>
      </c>
      <c r="T11" s="137">
        <v>46242.750694444447</v>
      </c>
      <c r="U11" s="137">
        <v>46243.3669212963</v>
      </c>
      <c r="V11" s="137">
        <v>46243.742060185185</v>
      </c>
      <c r="W11" s="137">
        <v>46244.362442129626</v>
      </c>
      <c r="X11" s="137">
        <v>46244.743287037039</v>
      </c>
      <c r="Y11" s="137">
        <v>46245.383113425924</v>
      </c>
      <c r="Z11" s="137">
        <v>46245.720543981479</v>
      </c>
      <c r="AA11" s="137">
        <v>46246.370474537034</v>
      </c>
      <c r="AB11" s="137">
        <v>46246.724259259259</v>
      </c>
      <c r="AC11" s="137">
        <v>46247.371041666665</v>
      </c>
      <c r="AD11" s="137">
        <v>46247.729444444441</v>
      </c>
      <c r="AE11" s="141" t="s">
        <v>15</v>
      </c>
      <c r="AF11" s="141" t="s">
        <v>15</v>
      </c>
      <c r="AG11" s="137">
        <v>46249.390844907408</v>
      </c>
      <c r="AH11" s="137">
        <v>46249.722673611112</v>
      </c>
      <c r="AI11" s="137"/>
      <c r="AJ11" s="45">
        <v>7</v>
      </c>
      <c r="AK11" s="137">
        <v>46250.368935185186</v>
      </c>
      <c r="AL11" s="137">
        <v>0</v>
      </c>
      <c r="AM11" s="137">
        <v>46251.371192129627</v>
      </c>
      <c r="AN11" s="137">
        <v>46251.732465277775</v>
      </c>
      <c r="AO11" s="137">
        <v>46252.371504629627</v>
      </c>
      <c r="AP11" s="137">
        <v>46252.764293981483</v>
      </c>
      <c r="AQ11" s="137">
        <v>46253.373333333337</v>
      </c>
      <c r="AR11" s="137">
        <v>46253.73778935185</v>
      </c>
      <c r="AS11" s="137">
        <v>46254.371805555558</v>
      </c>
      <c r="AT11" s="137">
        <v>46254.73</v>
      </c>
      <c r="AU11" s="141" t="s">
        <v>15</v>
      </c>
      <c r="AV11" s="141" t="s">
        <v>15</v>
      </c>
      <c r="AW11" s="137">
        <v>46256.391006944446</v>
      </c>
      <c r="AX11" s="137">
        <v>46256.737743055557</v>
      </c>
      <c r="AY11" s="137">
        <v>46257.371701388889</v>
      </c>
      <c r="AZ11" s="137">
        <v>46257.756539351853</v>
      </c>
      <c r="BA11" s="137">
        <v>46258.346851851849</v>
      </c>
      <c r="BB11" s="137">
        <v>46258.741087962961</v>
      </c>
      <c r="BC11" s="137">
        <v>46259.349502314813</v>
      </c>
      <c r="BD11" s="137">
        <v>46259.744687500002</v>
      </c>
      <c r="BE11" s="137">
        <v>46260.351134259261</v>
      </c>
      <c r="BF11" s="137">
        <v>0</v>
      </c>
      <c r="BG11" s="137">
        <v>46261.374155092592</v>
      </c>
      <c r="BH11" s="137">
        <v>46261.717280092591</v>
      </c>
      <c r="BI11" s="141" t="s">
        <v>15</v>
      </c>
      <c r="BJ11" s="141" t="s">
        <v>15</v>
      </c>
      <c r="BK11" s="137">
        <v>46263.384363425925</v>
      </c>
      <c r="BL11" s="137">
        <v>46263.744872685187</v>
      </c>
      <c r="BM11" s="137">
        <v>46264.372349537036</v>
      </c>
      <c r="BN11" s="137">
        <v>46264.951111111113</v>
      </c>
      <c r="BO11" s="137">
        <v>46265.372708333336</v>
      </c>
      <c r="BP11" s="137">
        <v>46265.730509259258</v>
      </c>
      <c r="BQ11" s="99">
        <f t="shared" si="0"/>
        <v>31</v>
      </c>
      <c r="BR11" s="68">
        <v>0</v>
      </c>
      <c r="BS11" s="1">
        <f t="shared" si="2"/>
        <v>27</v>
      </c>
      <c r="BT11" s="2">
        <f t="shared" si="3"/>
        <v>4</v>
      </c>
      <c r="BU11" s="2">
        <f t="shared" si="4"/>
        <v>0</v>
      </c>
      <c r="BV11" s="2">
        <f t="shared" si="5"/>
        <v>0</v>
      </c>
      <c r="BW11" s="2">
        <f t="shared" si="6"/>
        <v>0</v>
      </c>
      <c r="BX11" s="2">
        <f t="shared" si="7"/>
        <v>0</v>
      </c>
      <c r="BY11" s="2">
        <f t="shared" si="8"/>
        <v>0</v>
      </c>
      <c r="BZ11" s="2">
        <f t="shared" si="9"/>
        <v>0</v>
      </c>
      <c r="CA11" s="2">
        <f t="shared" si="10"/>
        <v>0</v>
      </c>
      <c r="CB11" s="2">
        <f t="shared" si="11"/>
        <v>0</v>
      </c>
      <c r="CC11" s="2">
        <f t="shared" si="12"/>
        <v>0</v>
      </c>
      <c r="CD11" s="2">
        <f t="shared" si="13"/>
        <v>0</v>
      </c>
      <c r="CE11" s="71"/>
      <c r="CG11" s="54">
        <v>0</v>
      </c>
      <c r="CH11" s="54">
        <v>0</v>
      </c>
      <c r="CI11" s="54">
        <v>0</v>
      </c>
      <c r="CJ11" s="54">
        <v>0</v>
      </c>
      <c r="CK11" s="54">
        <v>0</v>
      </c>
      <c r="CL11" s="54">
        <v>11</v>
      </c>
      <c r="CM11" s="54">
        <v>0</v>
      </c>
      <c r="CN11" s="54">
        <v>0</v>
      </c>
      <c r="CO11" s="54">
        <v>0</v>
      </c>
      <c r="CP11" s="54">
        <v>0</v>
      </c>
      <c r="CQ11" s="56">
        <f t="shared" si="1"/>
        <v>11</v>
      </c>
    </row>
    <row r="12" spans="1:95" ht="21" customHeight="1" x14ac:dyDescent="0.25">
      <c r="A12" s="179">
        <v>8</v>
      </c>
      <c r="B12" s="11" t="s">
        <v>41</v>
      </c>
      <c r="C12" s="78" t="s">
        <v>229</v>
      </c>
      <c r="D12" s="88">
        <v>45592</v>
      </c>
      <c r="E12" s="137">
        <v>46238.371944444443</v>
      </c>
      <c r="F12" s="137">
        <v>1</v>
      </c>
      <c r="G12" s="137">
        <v>46238.371944444443</v>
      </c>
      <c r="H12" s="137">
        <v>1</v>
      </c>
      <c r="I12" s="137">
        <v>46237.373969907407</v>
      </c>
      <c r="J12" s="137">
        <v>46237.9996875</v>
      </c>
      <c r="K12" s="137">
        <v>46238.371944444443</v>
      </c>
      <c r="L12" s="137">
        <v>46238.98946759259</v>
      </c>
      <c r="M12" s="137">
        <v>46238.371944444443</v>
      </c>
      <c r="N12" s="137">
        <v>46239.986331018517</v>
      </c>
      <c r="O12" s="137">
        <v>46240.379780092589</v>
      </c>
      <c r="P12" s="137">
        <v>46241.012928240743</v>
      </c>
      <c r="Q12" s="141" t="s">
        <v>15</v>
      </c>
      <c r="R12" s="141" t="s">
        <v>15</v>
      </c>
      <c r="S12" s="137">
        <v>46242.420868055553</v>
      </c>
      <c r="T12" s="137">
        <v>46243.004155092596</v>
      </c>
      <c r="U12" s="137">
        <v>46243.376157407409</v>
      </c>
      <c r="V12" s="137">
        <v>46243.985775462963</v>
      </c>
      <c r="W12" s="137">
        <v>46244.381307870368</v>
      </c>
      <c r="X12" s="137">
        <v>46244.994814814818</v>
      </c>
      <c r="Y12" s="137">
        <v>46245.377268518518</v>
      </c>
      <c r="Z12" s="137">
        <v>46245.988541666666</v>
      </c>
      <c r="AA12" s="137">
        <v>46246.379583333335</v>
      </c>
      <c r="AB12" s="137">
        <v>46247.003483796296</v>
      </c>
      <c r="AC12" s="137">
        <v>46247.375972222224</v>
      </c>
      <c r="AD12" s="137">
        <v>46248.029606481483</v>
      </c>
      <c r="AE12" s="141" t="s">
        <v>15</v>
      </c>
      <c r="AF12" s="141" t="s">
        <v>15</v>
      </c>
      <c r="AG12" s="137">
        <v>46249.347094907411</v>
      </c>
      <c r="AH12" s="137">
        <v>1</v>
      </c>
      <c r="AI12" s="137"/>
      <c r="AJ12" s="45">
        <v>8</v>
      </c>
      <c r="AK12" s="137">
        <v>46250.38008101852</v>
      </c>
      <c r="AL12" s="137">
        <v>0</v>
      </c>
      <c r="AM12" s="147">
        <v>46251.379386574074</v>
      </c>
      <c r="AN12" s="137">
        <v>46251.737488425926</v>
      </c>
      <c r="AO12" s="137">
        <v>46252.375381944446</v>
      </c>
      <c r="AP12" s="137">
        <v>0</v>
      </c>
      <c r="AQ12" s="137">
        <v>46253.374062499999</v>
      </c>
      <c r="AR12" s="137">
        <v>46253.725300925929</v>
      </c>
      <c r="AS12" s="137">
        <v>46254.377974537034</v>
      </c>
      <c r="AT12" s="137">
        <v>46254.749861111108</v>
      </c>
      <c r="AU12" s="141" t="s">
        <v>15</v>
      </c>
      <c r="AV12" s="141" t="s">
        <v>15</v>
      </c>
      <c r="AW12" s="137">
        <v>46256.416655092595</v>
      </c>
      <c r="AX12" s="137">
        <v>46256.730902777781</v>
      </c>
      <c r="AY12" s="137">
        <v>46257.372569444444</v>
      </c>
      <c r="AZ12" s="137">
        <v>46257.756319444445</v>
      </c>
      <c r="BA12" s="137">
        <v>46258.347708333335</v>
      </c>
      <c r="BB12" s="137">
        <v>46258.740486111114</v>
      </c>
      <c r="BC12" s="137">
        <v>46259.376273148147</v>
      </c>
      <c r="BD12" s="137">
        <v>46259.729131944441</v>
      </c>
      <c r="BE12" s="137">
        <v>46260.370532407411</v>
      </c>
      <c r="BF12" s="137">
        <v>46260.729317129626</v>
      </c>
      <c r="BG12" s="137">
        <v>46261.373217592591</v>
      </c>
      <c r="BH12" s="137">
        <v>46261.719166666669</v>
      </c>
      <c r="BI12" s="141" t="s">
        <v>15</v>
      </c>
      <c r="BJ12" s="141" t="s">
        <v>15</v>
      </c>
      <c r="BK12" s="137">
        <v>46263.413645833331</v>
      </c>
      <c r="BL12" s="137">
        <v>46263.735833333332</v>
      </c>
      <c r="BM12" s="137">
        <v>46264.372106481482</v>
      </c>
      <c r="BN12" s="137">
        <v>46264.952106481483</v>
      </c>
      <c r="BO12" s="137">
        <v>0</v>
      </c>
      <c r="BP12" s="137">
        <v>46265.730590277781</v>
      </c>
      <c r="BQ12" s="99">
        <f t="shared" si="0"/>
        <v>31</v>
      </c>
      <c r="BR12" s="68">
        <v>0</v>
      </c>
      <c r="BS12" s="1">
        <f t="shared" si="2"/>
        <v>27</v>
      </c>
      <c r="BT12" s="2">
        <f t="shared" si="3"/>
        <v>4</v>
      </c>
      <c r="BU12" s="2">
        <f t="shared" si="4"/>
        <v>0</v>
      </c>
      <c r="BV12" s="2">
        <f t="shared" si="5"/>
        <v>0</v>
      </c>
      <c r="BW12" s="2">
        <f t="shared" si="6"/>
        <v>0</v>
      </c>
      <c r="BX12" s="2">
        <f t="shared" si="7"/>
        <v>0</v>
      </c>
      <c r="BY12" s="2">
        <f t="shared" si="8"/>
        <v>0</v>
      </c>
      <c r="BZ12" s="2">
        <f t="shared" si="9"/>
        <v>0</v>
      </c>
      <c r="CA12" s="2">
        <f t="shared" si="10"/>
        <v>0</v>
      </c>
      <c r="CB12" s="2">
        <f t="shared" si="11"/>
        <v>0</v>
      </c>
      <c r="CC12" s="2">
        <f t="shared" si="12"/>
        <v>0</v>
      </c>
      <c r="CD12" s="2">
        <f t="shared" si="13"/>
        <v>0</v>
      </c>
      <c r="CE12" s="71"/>
      <c r="CG12" s="54">
        <v>0</v>
      </c>
      <c r="CH12" s="54">
        <v>0</v>
      </c>
      <c r="CI12" s="54">
        <v>38</v>
      </c>
      <c r="CJ12" s="54">
        <v>0</v>
      </c>
      <c r="CK12" s="54">
        <v>0</v>
      </c>
      <c r="CL12" s="55">
        <v>9</v>
      </c>
      <c r="CM12" s="55">
        <v>0</v>
      </c>
      <c r="CN12" s="55">
        <v>0</v>
      </c>
      <c r="CO12" s="54">
        <v>0</v>
      </c>
      <c r="CP12" s="54">
        <v>0</v>
      </c>
      <c r="CQ12" s="56">
        <f t="shared" si="1"/>
        <v>47</v>
      </c>
    </row>
    <row r="13" spans="1:95" ht="22.5" customHeight="1" x14ac:dyDescent="0.25">
      <c r="A13" s="179">
        <v>9</v>
      </c>
      <c r="B13" s="45" t="s">
        <v>237</v>
      </c>
      <c r="C13" s="73" t="s">
        <v>239</v>
      </c>
      <c r="D13" s="88">
        <v>46097</v>
      </c>
      <c r="E13" s="137">
        <v>46239.373518518521</v>
      </c>
      <c r="F13" s="137">
        <v>46235.742002314815</v>
      </c>
      <c r="G13" s="137">
        <v>46236.377638888887</v>
      </c>
      <c r="H13" s="137">
        <v>46236.726111111115</v>
      </c>
      <c r="I13" s="137">
        <v>1</v>
      </c>
      <c r="J13" s="137">
        <v>46237.72855324074</v>
      </c>
      <c r="K13" s="137">
        <v>46238.376539351855</v>
      </c>
      <c r="L13" s="137">
        <v>46238.736574074072</v>
      </c>
      <c r="M13" s="137">
        <v>46239.373518518521</v>
      </c>
      <c r="N13" s="137">
        <v>46239.74417824074</v>
      </c>
      <c r="O13" s="137">
        <v>46240.382708333331</v>
      </c>
      <c r="P13" s="137">
        <v>46240.753935185188</v>
      </c>
      <c r="Q13" s="141" t="s">
        <v>15</v>
      </c>
      <c r="R13" s="141" t="s">
        <v>15</v>
      </c>
      <c r="S13" s="137">
        <v>46242.414849537039</v>
      </c>
      <c r="T13" s="137">
        <v>46242.751064814816</v>
      </c>
      <c r="U13" s="137">
        <v>46243.371481481481</v>
      </c>
      <c r="V13" s="137">
        <v>46243.727349537039</v>
      </c>
      <c r="W13" s="137">
        <v>46244.375011574077</v>
      </c>
      <c r="X13" s="137">
        <v>1</v>
      </c>
      <c r="Y13" s="137">
        <v>46245.417638888888</v>
      </c>
      <c r="Z13" s="137">
        <v>46245.720891203702</v>
      </c>
      <c r="AA13" s="137">
        <v>46246.381377314814</v>
      </c>
      <c r="AB13" s="137">
        <v>46246.752118055556</v>
      </c>
      <c r="AC13" s="137">
        <v>46247.371817129628</v>
      </c>
      <c r="AD13" s="137">
        <v>46247.731030092589</v>
      </c>
      <c r="AE13" s="141" t="s">
        <v>15</v>
      </c>
      <c r="AF13" s="141" t="s">
        <v>15</v>
      </c>
      <c r="AG13" s="137">
        <v>46249.413703703707</v>
      </c>
      <c r="AH13" s="137">
        <v>46249.74622685185</v>
      </c>
      <c r="AI13" s="137"/>
      <c r="AJ13" s="45">
        <v>9</v>
      </c>
      <c r="AK13" s="137">
        <v>46250.375532407408</v>
      </c>
      <c r="AL13" s="137">
        <v>0</v>
      </c>
      <c r="AM13" s="137">
        <v>46251.376863425925</v>
      </c>
      <c r="AN13" s="137">
        <v>0</v>
      </c>
      <c r="AO13" s="137">
        <v>46252.373113425929</v>
      </c>
      <c r="AP13" s="137">
        <v>46252.764143518521</v>
      </c>
      <c r="AQ13" s="137">
        <v>46253.375509259262</v>
      </c>
      <c r="AR13" s="137">
        <v>46253.737951388888</v>
      </c>
      <c r="AS13" s="137">
        <v>46254.377500000002</v>
      </c>
      <c r="AT13" s="137">
        <v>46254.750034722223</v>
      </c>
      <c r="AU13" s="141" t="s">
        <v>15</v>
      </c>
      <c r="AV13" s="141" t="s">
        <v>15</v>
      </c>
      <c r="AW13" s="137">
        <v>46256.413993055554</v>
      </c>
      <c r="AX13" s="137">
        <v>46256.738865740743</v>
      </c>
      <c r="AY13" s="137">
        <v>46257.375347222223</v>
      </c>
      <c r="AZ13" s="137">
        <v>46257.75644675926</v>
      </c>
      <c r="BA13" s="137">
        <v>46258.349131944444</v>
      </c>
      <c r="BB13" s="137">
        <v>46258.740127314813</v>
      </c>
      <c r="BC13" s="137">
        <v>46259.338009259256</v>
      </c>
      <c r="BD13" s="137">
        <v>46259.729074074072</v>
      </c>
      <c r="BE13" s="137">
        <v>46260.34171296296</v>
      </c>
      <c r="BF13" s="137">
        <v>46260.729108796295</v>
      </c>
      <c r="BG13" s="137">
        <v>46261.372511574074</v>
      </c>
      <c r="BH13" s="137">
        <v>46261.717407407406</v>
      </c>
      <c r="BI13" s="141" t="s">
        <v>15</v>
      </c>
      <c r="BJ13" s="141" t="s">
        <v>15</v>
      </c>
      <c r="BK13" s="137">
        <v>46263.408854166664</v>
      </c>
      <c r="BL13" s="137">
        <v>46263.745451388888</v>
      </c>
      <c r="BM13" s="137">
        <v>46264.374062499999</v>
      </c>
      <c r="BN13" s="137">
        <v>46264.743946759256</v>
      </c>
      <c r="BO13" s="137">
        <v>46265.367442129631</v>
      </c>
      <c r="BP13" s="137">
        <v>46265.730358796296</v>
      </c>
      <c r="BQ13" s="99">
        <f>BS13+BT13+BV13+CA13+BY13+BZ13+CD13+BU13</f>
        <v>31</v>
      </c>
      <c r="BR13" s="68">
        <v>0</v>
      </c>
      <c r="BS13" s="1">
        <f>COUNT(E13:AH13)/2+COUNT(AK13:BP13)/2</f>
        <v>27</v>
      </c>
      <c r="BT13" s="2">
        <f t="shared" si="3"/>
        <v>4</v>
      </c>
      <c r="BU13" s="2">
        <f t="shared" si="4"/>
        <v>0</v>
      </c>
      <c r="BV13" s="2">
        <f t="shared" si="5"/>
        <v>0</v>
      </c>
      <c r="BW13" s="2">
        <f t="shared" si="6"/>
        <v>0</v>
      </c>
      <c r="BX13" s="2">
        <f t="shared" si="7"/>
        <v>0</v>
      </c>
      <c r="BY13" s="2">
        <f t="shared" si="8"/>
        <v>0</v>
      </c>
      <c r="BZ13" s="2">
        <f t="shared" si="9"/>
        <v>0</v>
      </c>
      <c r="CA13" s="2">
        <f t="shared" si="10"/>
        <v>0</v>
      </c>
      <c r="CB13" s="2">
        <f t="shared" si="11"/>
        <v>0</v>
      </c>
      <c r="CC13" s="2">
        <f t="shared" si="12"/>
        <v>0</v>
      </c>
      <c r="CD13" s="2">
        <f t="shared" si="13"/>
        <v>0</v>
      </c>
      <c r="CE13" s="71"/>
      <c r="CG13" s="67">
        <v>0</v>
      </c>
      <c r="CH13" s="67">
        <v>0</v>
      </c>
      <c r="CI13" s="67">
        <v>0</v>
      </c>
      <c r="CJ13" s="67">
        <v>0</v>
      </c>
      <c r="CK13" s="67">
        <v>0</v>
      </c>
      <c r="CL13" s="67">
        <v>0</v>
      </c>
      <c r="CM13" s="67">
        <v>0</v>
      </c>
      <c r="CN13" s="67">
        <v>0</v>
      </c>
      <c r="CO13" s="67">
        <v>0</v>
      </c>
      <c r="CP13" s="67">
        <v>0</v>
      </c>
      <c r="CQ13" s="56">
        <f>SUM(CG13:CP13)</f>
        <v>0</v>
      </c>
    </row>
    <row r="14" spans="1:95" ht="21" customHeight="1" x14ac:dyDescent="0.25">
      <c r="A14" s="179">
        <v>10</v>
      </c>
      <c r="B14" s="11" t="s">
        <v>44</v>
      </c>
      <c r="C14" s="78" t="s">
        <v>230</v>
      </c>
      <c r="D14" s="88">
        <v>45386</v>
      </c>
      <c r="E14" s="137">
        <v>46235.354849537034</v>
      </c>
      <c r="F14" s="137">
        <v>46235.972974537035</v>
      </c>
      <c r="G14" s="137">
        <v>46236.353067129632</v>
      </c>
      <c r="H14" s="137">
        <v>46236.9921875</v>
      </c>
      <c r="I14" s="137">
        <v>46237.354479166665</v>
      </c>
      <c r="J14" s="137">
        <v>46237.969687500001</v>
      </c>
      <c r="K14" s="137">
        <v>46238.355775462966</v>
      </c>
      <c r="L14" s="137">
        <v>46238.948287037034</v>
      </c>
      <c r="M14" s="137">
        <v>46239.354791666665</v>
      </c>
      <c r="N14" s="137">
        <v>46239.967037037037</v>
      </c>
      <c r="O14" s="137">
        <v>46240.354432870372</v>
      </c>
      <c r="P14" s="137">
        <v>46240.972662037035</v>
      </c>
      <c r="Q14" s="141" t="s">
        <v>15</v>
      </c>
      <c r="R14" s="141" t="s">
        <v>15</v>
      </c>
      <c r="S14" s="137">
        <v>46242.354814814818</v>
      </c>
      <c r="T14" s="137">
        <v>46242.989571759259</v>
      </c>
      <c r="U14" s="137">
        <v>46243.354768518519</v>
      </c>
      <c r="V14" s="137">
        <v>46243.938437500001</v>
      </c>
      <c r="W14" s="137">
        <v>46244.355219907404</v>
      </c>
      <c r="X14" s="137">
        <v>46244.969421296293</v>
      </c>
      <c r="Y14" s="137">
        <v>46245.356030092589</v>
      </c>
      <c r="Z14" s="137">
        <v>46245.942546296297</v>
      </c>
      <c r="AA14" s="137">
        <v>46246.35497685185</v>
      </c>
      <c r="AB14" s="137">
        <v>46246.996238425927</v>
      </c>
      <c r="AC14" s="137">
        <v>46247.354178240741</v>
      </c>
      <c r="AD14" s="137">
        <v>1</v>
      </c>
      <c r="AE14" s="137">
        <v>46248.578472222223</v>
      </c>
      <c r="AF14" s="137">
        <v>1</v>
      </c>
      <c r="AG14" s="137">
        <v>46249.356342592589</v>
      </c>
      <c r="AH14" s="137">
        <v>1</v>
      </c>
      <c r="AI14" s="137"/>
      <c r="AJ14" s="45">
        <v>10</v>
      </c>
      <c r="AK14" s="137">
        <v>46250.355011574073</v>
      </c>
      <c r="AL14" s="137">
        <v>46250.955636574072</v>
      </c>
      <c r="AM14" s="137">
        <v>46251.354664351849</v>
      </c>
      <c r="AN14" s="137">
        <v>46251.937881944446</v>
      </c>
      <c r="AO14" s="137">
        <v>46252.355462962965</v>
      </c>
      <c r="AP14" s="137">
        <v>46252.946828703702</v>
      </c>
      <c r="AQ14" s="137">
        <v>46253.35465277778</v>
      </c>
      <c r="AR14" s="137">
        <v>0</v>
      </c>
      <c r="AS14" s="137">
        <v>46254.354861111111</v>
      </c>
      <c r="AT14" s="137">
        <v>46254.951944444445</v>
      </c>
      <c r="AU14" s="141" t="s">
        <v>15</v>
      </c>
      <c r="AV14" s="141" t="s">
        <v>15</v>
      </c>
      <c r="AW14" s="137">
        <v>46256.35328703704</v>
      </c>
      <c r="AX14" s="137">
        <v>46256.958506944444</v>
      </c>
      <c r="AY14" s="137">
        <v>46257.349027777775</v>
      </c>
      <c r="AZ14" s="137">
        <v>46257.939351851855</v>
      </c>
      <c r="BA14" s="137">
        <v>0</v>
      </c>
      <c r="BB14" s="137">
        <v>46258.955277777779</v>
      </c>
      <c r="BC14" s="137">
        <v>46259.344375000001</v>
      </c>
      <c r="BD14" s="137">
        <v>46259.941527777781</v>
      </c>
      <c r="BE14" s="137">
        <v>46260.347500000003</v>
      </c>
      <c r="BF14" s="137">
        <v>46260.945023148146</v>
      </c>
      <c r="BG14" s="137">
        <v>46261.347685185188</v>
      </c>
      <c r="BH14" s="137">
        <v>46261.960520833331</v>
      </c>
      <c r="BI14" s="137">
        <v>46262.580671296295</v>
      </c>
      <c r="BJ14" s="137">
        <v>46262.932187500002</v>
      </c>
      <c r="BK14" s="137">
        <v>46263.346979166665</v>
      </c>
      <c r="BL14" s="137">
        <v>46263.963356481479</v>
      </c>
      <c r="BM14" s="137">
        <v>46264.349120370367</v>
      </c>
      <c r="BN14" s="137">
        <v>46264.955405092594</v>
      </c>
      <c r="BO14" s="137">
        <v>46265.348715277774</v>
      </c>
      <c r="BP14" s="137">
        <v>46265.953518518516</v>
      </c>
      <c r="BQ14" s="99">
        <f t="shared" si="0"/>
        <v>31</v>
      </c>
      <c r="BR14" s="68">
        <v>2</v>
      </c>
      <c r="BS14" s="1">
        <f t="shared" si="2"/>
        <v>29</v>
      </c>
      <c r="BT14" s="2">
        <f t="shared" si="3"/>
        <v>2</v>
      </c>
      <c r="BU14" s="2">
        <f t="shared" si="4"/>
        <v>0</v>
      </c>
      <c r="BV14" s="2">
        <f t="shared" si="5"/>
        <v>0</v>
      </c>
      <c r="BW14" s="2">
        <f t="shared" si="6"/>
        <v>0</v>
      </c>
      <c r="BX14" s="2">
        <f t="shared" si="7"/>
        <v>0</v>
      </c>
      <c r="BY14" s="2">
        <f t="shared" si="8"/>
        <v>0</v>
      </c>
      <c r="BZ14" s="2">
        <f t="shared" si="9"/>
        <v>0</v>
      </c>
      <c r="CA14" s="2">
        <f t="shared" si="10"/>
        <v>0</v>
      </c>
      <c r="CB14" s="2">
        <f t="shared" si="11"/>
        <v>0</v>
      </c>
      <c r="CC14" s="2">
        <f t="shared" si="12"/>
        <v>0</v>
      </c>
      <c r="CD14" s="2">
        <f t="shared" si="13"/>
        <v>0</v>
      </c>
      <c r="CE14" s="71"/>
      <c r="CG14" s="54">
        <v>0</v>
      </c>
      <c r="CH14" s="54">
        <v>0</v>
      </c>
      <c r="CI14" s="55">
        <v>28</v>
      </c>
      <c r="CJ14" s="54">
        <v>0</v>
      </c>
      <c r="CK14" s="54">
        <v>0</v>
      </c>
      <c r="CL14" s="55">
        <v>1</v>
      </c>
      <c r="CM14" s="54">
        <v>0</v>
      </c>
      <c r="CN14" s="54">
        <v>0</v>
      </c>
      <c r="CO14" s="54">
        <v>0</v>
      </c>
      <c r="CP14" s="54">
        <v>0</v>
      </c>
      <c r="CQ14" s="56">
        <f t="shared" si="1"/>
        <v>29</v>
      </c>
    </row>
    <row r="15" spans="1:95" ht="21" customHeight="1" x14ac:dyDescent="0.25">
      <c r="A15" s="179">
        <v>11</v>
      </c>
      <c r="B15" s="11" t="s">
        <v>42</v>
      </c>
      <c r="C15" s="78" t="s">
        <v>43</v>
      </c>
      <c r="D15" s="88">
        <v>45381</v>
      </c>
      <c r="E15" s="137">
        <v>46235.320787037039</v>
      </c>
      <c r="F15" s="137">
        <v>46235.956701388888</v>
      </c>
      <c r="G15" s="137">
        <v>46236.322337962964</v>
      </c>
      <c r="H15" s="137">
        <v>46236.938773148147</v>
      </c>
      <c r="I15" s="137">
        <v>46237.327638888892</v>
      </c>
      <c r="J15" s="137">
        <v>46237.949293981481</v>
      </c>
      <c r="K15" s="137">
        <v>46238.322997685187</v>
      </c>
      <c r="L15" s="137">
        <v>46238.951192129629</v>
      </c>
      <c r="M15" s="137">
        <v>46239.324166666665</v>
      </c>
      <c r="N15" s="137">
        <v>46239.95453703704</v>
      </c>
      <c r="O15" s="137">
        <v>46240.318101851852</v>
      </c>
      <c r="P15" s="137">
        <v>46240.998738425929</v>
      </c>
      <c r="Q15" s="137">
        <v>46241.562060185184</v>
      </c>
      <c r="R15" s="137">
        <v>46241.932256944441</v>
      </c>
      <c r="S15" s="137">
        <v>46242.321620370371</v>
      </c>
      <c r="T15" s="137">
        <v>46242.986284722225</v>
      </c>
      <c r="U15" s="137">
        <v>46243.324525462966</v>
      </c>
      <c r="V15" s="137">
        <v>46243.945057870369</v>
      </c>
      <c r="W15" s="137">
        <v>46244.323391203703</v>
      </c>
      <c r="X15" s="137">
        <v>1</v>
      </c>
      <c r="Y15" s="137">
        <v>46245.323634259257</v>
      </c>
      <c r="Z15" s="137">
        <v>1</v>
      </c>
      <c r="AA15" s="137">
        <v>46246.321631944447</v>
      </c>
      <c r="AB15" s="137">
        <v>46247.00335648148</v>
      </c>
      <c r="AC15" s="137">
        <v>46247.322314814817</v>
      </c>
      <c r="AD15" s="137">
        <v>1</v>
      </c>
      <c r="AE15" s="137">
        <v>46248.561689814815</v>
      </c>
      <c r="AF15" s="137">
        <v>46248.947592592594</v>
      </c>
      <c r="AG15" s="137">
        <v>46249.321909722225</v>
      </c>
      <c r="AH15" s="137">
        <v>1</v>
      </c>
      <c r="AI15" s="137"/>
      <c r="AJ15" s="45">
        <v>11</v>
      </c>
      <c r="AK15" s="137">
        <v>46250.322766203702</v>
      </c>
      <c r="AL15" s="137">
        <v>46262.963888888888</v>
      </c>
      <c r="AM15" s="147">
        <v>46251.319791666669</v>
      </c>
      <c r="AN15" s="137">
        <v>46251.937407407408</v>
      </c>
      <c r="AO15" s="137">
        <v>46252.32439814815</v>
      </c>
      <c r="AP15" s="137">
        <v>46252.960497685184</v>
      </c>
      <c r="AQ15" s="137">
        <v>46253.321597222224</v>
      </c>
      <c r="AR15" s="137">
        <v>46253.949803240743</v>
      </c>
      <c r="AS15" s="137">
        <v>46254.319479166668</v>
      </c>
      <c r="AT15" s="137">
        <v>46254.963958333334</v>
      </c>
      <c r="AU15" s="137">
        <v>46255.563877314817</v>
      </c>
      <c r="AV15" s="137">
        <v>46255.908912037034</v>
      </c>
      <c r="AW15" s="137">
        <v>46256.319178240738</v>
      </c>
      <c r="AX15" s="137">
        <v>46256.937523148146</v>
      </c>
      <c r="AY15" s="137">
        <v>46257.322222222225</v>
      </c>
      <c r="AZ15" s="137">
        <v>0</v>
      </c>
      <c r="BA15" s="137">
        <v>46258.354444444441</v>
      </c>
      <c r="BB15" s="137">
        <v>46258.996145833335</v>
      </c>
      <c r="BC15" s="137">
        <v>46259.353587962964</v>
      </c>
      <c r="BD15" s="137">
        <v>46259.942476851851</v>
      </c>
      <c r="BE15" s="137">
        <v>46260.352129629631</v>
      </c>
      <c r="BF15" s="137">
        <v>46260.974097222221</v>
      </c>
      <c r="BG15" s="137">
        <v>46261.325879629629</v>
      </c>
      <c r="BH15" s="137">
        <v>46261.982615740744</v>
      </c>
      <c r="BI15" s="137">
        <v>0</v>
      </c>
      <c r="BJ15" s="137">
        <v>46262.963888888888</v>
      </c>
      <c r="BK15" s="137">
        <v>46263.322314814817</v>
      </c>
      <c r="BL15" s="137">
        <v>46263.932083333333</v>
      </c>
      <c r="BM15" s="137">
        <v>46264.321435185186</v>
      </c>
      <c r="BN15" s="137">
        <v>46264.938333333332</v>
      </c>
      <c r="BO15" s="137">
        <v>46265.325173611112</v>
      </c>
      <c r="BP15" s="137">
        <v>0</v>
      </c>
      <c r="BQ15" s="9">
        <f>BS15+BT15+BV15+BW15+CA15+BY15+BZ15+CD15</f>
        <v>31</v>
      </c>
      <c r="BR15" s="68">
        <v>4</v>
      </c>
      <c r="BS15" s="1">
        <f t="shared" ref="BS15:BS20" si="14">COUNT(E15:AH15)/2+COUNT(AK15:BP15)/2</f>
        <v>31</v>
      </c>
      <c r="BT15" s="2">
        <f t="shared" si="3"/>
        <v>0</v>
      </c>
      <c r="BU15" s="2">
        <f t="shared" si="4"/>
        <v>0</v>
      </c>
      <c r="BV15" s="2">
        <f t="shared" si="5"/>
        <v>0</v>
      </c>
      <c r="BW15" s="2">
        <f t="shared" si="6"/>
        <v>0</v>
      </c>
      <c r="BX15" s="2">
        <f t="shared" si="7"/>
        <v>0</v>
      </c>
      <c r="BY15" s="2">
        <f t="shared" si="8"/>
        <v>0</v>
      </c>
      <c r="BZ15" s="2">
        <f t="shared" si="9"/>
        <v>0</v>
      </c>
      <c r="CA15" s="2">
        <f t="shared" si="10"/>
        <v>0</v>
      </c>
      <c r="CB15" s="2">
        <f t="shared" si="11"/>
        <v>0</v>
      </c>
      <c r="CC15" s="2">
        <f t="shared" si="12"/>
        <v>0</v>
      </c>
      <c r="CD15" s="2">
        <f t="shared" si="13"/>
        <v>0</v>
      </c>
      <c r="CE15" s="71"/>
    </row>
    <row r="16" spans="1:95" ht="21" customHeight="1" x14ac:dyDescent="0.25">
      <c r="A16" s="179">
        <v>12</v>
      </c>
      <c r="B16" s="11" t="s">
        <v>59</v>
      </c>
      <c r="C16" s="8" t="s">
        <v>60</v>
      </c>
      <c r="D16" s="88">
        <v>45881</v>
      </c>
      <c r="E16" s="137">
        <v>46235.320833333331</v>
      </c>
      <c r="F16" s="137">
        <v>1</v>
      </c>
      <c r="G16" s="137">
        <v>46236.322384259256</v>
      </c>
      <c r="H16" s="137">
        <v>1</v>
      </c>
      <c r="I16" s="137">
        <v>46237.327696759261</v>
      </c>
      <c r="J16" s="137">
        <v>46237.958865740744</v>
      </c>
      <c r="K16" s="137">
        <v>46238.323113425926</v>
      </c>
      <c r="L16" s="137">
        <v>1</v>
      </c>
      <c r="M16" s="137">
        <v>46239.324224537035</v>
      </c>
      <c r="N16" s="137">
        <v>46239.953645833331</v>
      </c>
      <c r="O16" s="137">
        <v>46240.318136574075</v>
      </c>
      <c r="P16" s="137">
        <v>1</v>
      </c>
      <c r="Q16" s="137">
        <v>46241.565358796295</v>
      </c>
      <c r="R16" s="137">
        <v>46241.94158564815</v>
      </c>
      <c r="S16" s="137">
        <v>46242.321574074071</v>
      </c>
      <c r="T16" s="137">
        <v>46242.967858796299</v>
      </c>
      <c r="U16" s="137">
        <v>46243.324571759258</v>
      </c>
      <c r="V16" s="137">
        <v>46243.941759259258</v>
      </c>
      <c r="W16" s="137">
        <v>46244.318877314814</v>
      </c>
      <c r="X16" s="137">
        <v>1</v>
      </c>
      <c r="Y16" s="137">
        <v>46245.32304398148</v>
      </c>
      <c r="Z16" s="137">
        <v>46245.958831018521</v>
      </c>
      <c r="AA16" s="137">
        <v>46246.32167824074</v>
      </c>
      <c r="AB16" s="137">
        <v>46246.979722222219</v>
      </c>
      <c r="AC16" s="137">
        <v>46247.321331018517</v>
      </c>
      <c r="AD16" s="137">
        <v>46247.95989583333</v>
      </c>
      <c r="AE16" s="137">
        <v>46248.575694444444</v>
      </c>
      <c r="AF16" s="137">
        <v>1</v>
      </c>
      <c r="AG16" s="137">
        <v>46249.321967592594</v>
      </c>
      <c r="AH16" s="137">
        <v>1</v>
      </c>
      <c r="AI16" s="137"/>
      <c r="AJ16" s="45">
        <v>12</v>
      </c>
      <c r="AK16" s="137">
        <v>46250.322835648149</v>
      </c>
      <c r="AL16" s="137">
        <v>0</v>
      </c>
      <c r="AM16" s="147">
        <v>46251.308877314812</v>
      </c>
      <c r="AN16" s="137">
        <v>0</v>
      </c>
      <c r="AO16" s="137">
        <v>46252.324444444443</v>
      </c>
      <c r="AP16" s="137">
        <v>0</v>
      </c>
      <c r="AQ16" s="137">
        <v>46253.321655092594</v>
      </c>
      <c r="AR16" s="137">
        <v>46253.983541666668</v>
      </c>
      <c r="AS16" s="137">
        <v>46254.319525462961</v>
      </c>
      <c r="AT16" s="137">
        <v>46254.965312499997</v>
      </c>
      <c r="AU16" s="137">
        <v>46255.569768518515</v>
      </c>
      <c r="AV16" s="137">
        <v>46255.939872685187</v>
      </c>
      <c r="AW16" s="137">
        <v>46256.311967592592</v>
      </c>
      <c r="AX16" s="137">
        <v>46256.944490740738</v>
      </c>
      <c r="AY16" s="137">
        <v>46257.322268518517</v>
      </c>
      <c r="AZ16" s="137">
        <v>46257.944444444445</v>
      </c>
      <c r="BA16" s="137">
        <v>46258.351087962961</v>
      </c>
      <c r="BB16" s="137">
        <v>46258.963333333333</v>
      </c>
      <c r="BC16" s="137">
        <v>46259.353055555555</v>
      </c>
      <c r="BD16" s="137">
        <v>0</v>
      </c>
      <c r="BE16" s="137">
        <v>46260.352962962963</v>
      </c>
      <c r="BF16" s="137">
        <v>46260.970613425925</v>
      </c>
      <c r="BG16" s="137">
        <v>46261.325775462959</v>
      </c>
      <c r="BH16" s="137">
        <v>46261.96565972222</v>
      </c>
      <c r="BI16" s="137">
        <v>0</v>
      </c>
      <c r="BJ16" s="137">
        <v>0</v>
      </c>
      <c r="BK16" s="137">
        <v>46263.32234953704</v>
      </c>
      <c r="BL16" s="137">
        <v>46263.989270833335</v>
      </c>
      <c r="BM16" s="137">
        <v>46264.314293981479</v>
      </c>
      <c r="BN16" s="137">
        <v>46264.967280092591</v>
      </c>
      <c r="BO16" s="137">
        <v>46265.318391203706</v>
      </c>
      <c r="BP16" s="137">
        <v>46265.967592592591</v>
      </c>
      <c r="BQ16" s="99">
        <f>BS16+BT16+BV16+CA16+BY16+BZ16+CD16+BU16</f>
        <v>31</v>
      </c>
      <c r="BR16" s="180">
        <v>4</v>
      </c>
      <c r="BS16" s="1">
        <f t="shared" si="14"/>
        <v>31</v>
      </c>
      <c r="BT16" s="2">
        <f t="shared" si="3"/>
        <v>0</v>
      </c>
      <c r="BU16" s="2">
        <f t="shared" si="4"/>
        <v>0</v>
      </c>
      <c r="BV16" s="2">
        <f t="shared" si="5"/>
        <v>0</v>
      </c>
      <c r="BW16" s="2">
        <f t="shared" si="6"/>
        <v>0</v>
      </c>
      <c r="BX16" s="2">
        <f t="shared" si="7"/>
        <v>0</v>
      </c>
      <c r="BY16" s="2">
        <f t="shared" si="8"/>
        <v>0</v>
      </c>
      <c r="BZ16" s="2">
        <f t="shared" si="9"/>
        <v>0</v>
      </c>
      <c r="CA16" s="2">
        <f t="shared" si="10"/>
        <v>0</v>
      </c>
      <c r="CB16" s="2">
        <f t="shared" si="11"/>
        <v>0</v>
      </c>
      <c r="CC16" s="2">
        <f t="shared" si="12"/>
        <v>0</v>
      </c>
      <c r="CD16" s="2">
        <f t="shared" si="13"/>
        <v>0</v>
      </c>
      <c r="CE16" s="3"/>
      <c r="CG16" s="54">
        <v>0</v>
      </c>
      <c r="CH16" s="54">
        <v>0</v>
      </c>
      <c r="CI16" s="54">
        <v>0</v>
      </c>
      <c r="CJ16" s="54">
        <v>0</v>
      </c>
      <c r="CK16" s="54">
        <v>0</v>
      </c>
      <c r="CL16" s="54">
        <v>0</v>
      </c>
      <c r="CM16" s="54">
        <v>0</v>
      </c>
      <c r="CN16" s="54">
        <v>0</v>
      </c>
      <c r="CO16" s="54">
        <v>0</v>
      </c>
      <c r="CP16" s="54">
        <v>0</v>
      </c>
      <c r="CQ16" s="56">
        <f>SUM(CG16:CP16)</f>
        <v>0</v>
      </c>
    </row>
    <row r="17" spans="1:95" ht="21.75" customHeight="1" x14ac:dyDescent="0.25">
      <c r="A17" s="179">
        <v>13</v>
      </c>
      <c r="B17" s="45" t="s">
        <v>166</v>
      </c>
      <c r="C17" s="131" t="s">
        <v>167</v>
      </c>
      <c r="D17" s="88">
        <v>45945</v>
      </c>
      <c r="E17" s="137">
        <v>46235.331620370373</v>
      </c>
      <c r="F17" s="137">
        <v>46235.956782407404</v>
      </c>
      <c r="G17" s="137">
        <v>46236.331111111111</v>
      </c>
      <c r="H17" s="137">
        <v>46236.93886574074</v>
      </c>
      <c r="I17" s="137">
        <v>46237.334374999999</v>
      </c>
      <c r="J17" s="137">
        <v>46237.949363425927</v>
      </c>
      <c r="K17" s="137">
        <v>46238.329513888886</v>
      </c>
      <c r="L17" s="137">
        <v>46238.951643518521</v>
      </c>
      <c r="M17" s="137">
        <v>46239.333252314813</v>
      </c>
      <c r="N17" s="137">
        <v>46239.954618055555</v>
      </c>
      <c r="O17" s="137">
        <v>46240.33148148148</v>
      </c>
      <c r="P17" s="137">
        <v>46240.998807870368</v>
      </c>
      <c r="Q17" s="137">
        <v>46241.5622337963</v>
      </c>
      <c r="R17" s="137">
        <v>46241.933541666665</v>
      </c>
      <c r="S17" s="137">
        <v>46242.337187500001</v>
      </c>
      <c r="T17" s="137">
        <v>46242.987210648149</v>
      </c>
      <c r="U17" s="137">
        <v>46243.340451388889</v>
      </c>
      <c r="V17" s="137">
        <v>46243.945335648146</v>
      </c>
      <c r="W17" s="137">
        <v>46244.337152777778</v>
      </c>
      <c r="X17" s="137">
        <v>1</v>
      </c>
      <c r="Y17" s="137">
        <v>46245.342951388891</v>
      </c>
      <c r="Z17" s="137">
        <v>1</v>
      </c>
      <c r="AA17" s="137">
        <v>46246.342013888891</v>
      </c>
      <c r="AB17" s="137">
        <v>46247.00341435185</v>
      </c>
      <c r="AC17" s="137">
        <v>46247.341319444444</v>
      </c>
      <c r="AD17" s="137">
        <v>1</v>
      </c>
      <c r="AE17" s="137">
        <v>46248.569166666668</v>
      </c>
      <c r="AF17" s="137">
        <v>46248.947662037041</v>
      </c>
      <c r="AG17" s="137">
        <v>46249.339004629626</v>
      </c>
      <c r="AH17" s="137">
        <v>1</v>
      </c>
      <c r="AI17" s="137"/>
      <c r="AJ17" s="45">
        <v>13</v>
      </c>
      <c r="AK17" s="137">
        <v>46250.339502314811</v>
      </c>
      <c r="AL17" s="137">
        <v>46262.963993055557</v>
      </c>
      <c r="AM17" s="147">
        <v>46251.339687500003</v>
      </c>
      <c r="AN17" s="137">
        <v>46251.937465277777</v>
      </c>
      <c r="AO17" s="137">
        <v>46252.341817129629</v>
      </c>
      <c r="AP17" s="137">
        <v>46252.960706018515</v>
      </c>
      <c r="AQ17" s="137">
        <v>46253.337152777778</v>
      </c>
      <c r="AR17" s="137">
        <v>46253.949918981481</v>
      </c>
      <c r="AS17" s="137">
        <v>46254.341851851852</v>
      </c>
      <c r="AT17" s="137">
        <v>46254.964583333334</v>
      </c>
      <c r="AU17" s="137">
        <v>46255.564120370371</v>
      </c>
      <c r="AV17" s="137">
        <v>46255.90896990741</v>
      </c>
      <c r="AW17" s="137">
        <v>46256.336273148147</v>
      </c>
      <c r="AX17" s="137">
        <v>46256.937569444446</v>
      </c>
      <c r="AY17" s="137">
        <v>46257.34578703704</v>
      </c>
      <c r="AZ17" s="137">
        <v>0</v>
      </c>
      <c r="BA17" s="137">
        <v>46258.346828703703</v>
      </c>
      <c r="BB17" s="137">
        <v>46258.996388888889</v>
      </c>
      <c r="BC17" s="137">
        <v>46259.34652777778</v>
      </c>
      <c r="BD17" s="137">
        <v>46259.942569444444</v>
      </c>
      <c r="BE17" s="137">
        <v>46260.346782407411</v>
      </c>
      <c r="BF17" s="137">
        <v>46260.974166666667</v>
      </c>
      <c r="BG17" s="137">
        <v>46261.334467592591</v>
      </c>
      <c r="BH17" s="137">
        <v>46261.982673611114</v>
      </c>
      <c r="BI17" s="137">
        <v>46262.582766203705</v>
      </c>
      <c r="BJ17" s="137">
        <v>46262.963993055557</v>
      </c>
      <c r="BK17" s="137">
        <v>46263.352523148147</v>
      </c>
      <c r="BL17" s="137">
        <v>46263.932326388887</v>
      </c>
      <c r="BM17" s="137">
        <v>46264.339826388888</v>
      </c>
      <c r="BN17" s="137">
        <v>46264.94798611111</v>
      </c>
      <c r="BO17" s="137">
        <v>46265.337800925925</v>
      </c>
      <c r="BP17" s="137">
        <v>0</v>
      </c>
      <c r="BQ17" s="99">
        <f>BS17+BT17+BV17+CA17+BY17+BZ17+CD17+BU17</f>
        <v>31</v>
      </c>
      <c r="BR17" s="68">
        <v>4</v>
      </c>
      <c r="BS17" s="1">
        <f t="shared" si="14"/>
        <v>31</v>
      </c>
      <c r="BT17" s="2">
        <f t="shared" si="3"/>
        <v>0</v>
      </c>
      <c r="BU17" s="2">
        <f t="shared" si="4"/>
        <v>0</v>
      </c>
      <c r="BV17" s="2">
        <f t="shared" si="5"/>
        <v>0</v>
      </c>
      <c r="BW17" s="2">
        <f t="shared" si="6"/>
        <v>0</v>
      </c>
      <c r="BX17" s="2">
        <f t="shared" si="7"/>
        <v>0</v>
      </c>
      <c r="BY17" s="2">
        <f t="shared" si="8"/>
        <v>0</v>
      </c>
      <c r="BZ17" s="2">
        <f t="shared" si="9"/>
        <v>0</v>
      </c>
      <c r="CA17" s="2">
        <f t="shared" si="10"/>
        <v>0</v>
      </c>
      <c r="CB17" s="2">
        <f t="shared" si="11"/>
        <v>0</v>
      </c>
      <c r="CC17" s="2">
        <f t="shared" si="12"/>
        <v>0</v>
      </c>
      <c r="CD17" s="2">
        <f t="shared" si="13"/>
        <v>0</v>
      </c>
      <c r="CE17" s="71"/>
      <c r="CG17" s="54">
        <v>0</v>
      </c>
      <c r="CH17" s="54">
        <v>0</v>
      </c>
      <c r="CI17" s="54">
        <v>0</v>
      </c>
      <c r="CJ17" s="54">
        <v>0</v>
      </c>
      <c r="CK17" s="54">
        <v>0</v>
      </c>
      <c r="CL17" s="54">
        <v>0</v>
      </c>
      <c r="CM17" s="54">
        <v>0</v>
      </c>
      <c r="CN17" s="54">
        <v>0</v>
      </c>
      <c r="CO17" s="54">
        <v>0</v>
      </c>
      <c r="CP17" s="54">
        <v>0</v>
      </c>
      <c r="CQ17" s="56">
        <f>SUM(CG17:CP17)</f>
        <v>0</v>
      </c>
    </row>
    <row r="18" spans="1:95" ht="22.5" customHeight="1" x14ac:dyDescent="0.25">
      <c r="A18" s="179">
        <v>14</v>
      </c>
      <c r="B18" s="45" t="s">
        <v>214</v>
      </c>
      <c r="C18" s="73" t="s">
        <v>216</v>
      </c>
      <c r="D18" s="88">
        <v>46052</v>
      </c>
      <c r="E18" s="137">
        <v>46235.349537037036</v>
      </c>
      <c r="F18" s="137">
        <v>46235.973275462966</v>
      </c>
      <c r="G18" s="137">
        <v>46236.35533564815</v>
      </c>
      <c r="H18" s="137">
        <v>46236.995266203703</v>
      </c>
      <c r="I18" s="137">
        <v>46237.350127314814</v>
      </c>
      <c r="J18" s="137">
        <v>46237.969583333332</v>
      </c>
      <c r="K18" s="137">
        <v>46238.353645833333</v>
      </c>
      <c r="L18" s="137">
        <v>46238.948958333334</v>
      </c>
      <c r="M18" s="137">
        <v>46239.353761574072</v>
      </c>
      <c r="N18" s="137">
        <v>46239.970914351848</v>
      </c>
      <c r="O18" s="137">
        <v>46240.35396990741</v>
      </c>
      <c r="P18" s="137">
        <v>46240.974027777775</v>
      </c>
      <c r="Q18" s="137">
        <v>0</v>
      </c>
      <c r="R18" s="137">
        <v>0</v>
      </c>
      <c r="S18" s="137">
        <v>46242.349629629629</v>
      </c>
      <c r="T18" s="137">
        <v>46242.990624999999</v>
      </c>
      <c r="U18" s="137">
        <v>46243.353090277778</v>
      </c>
      <c r="V18" s="137">
        <v>46243.940115740741</v>
      </c>
      <c r="W18" s="137">
        <v>46244.348078703704</v>
      </c>
      <c r="X18" s="137">
        <v>46244.971886574072</v>
      </c>
      <c r="Y18" s="137">
        <v>46245.352442129632</v>
      </c>
      <c r="Z18" s="137">
        <v>46245.928344907406</v>
      </c>
      <c r="AA18" s="137">
        <v>46246.346770833334</v>
      </c>
      <c r="AB18" s="137">
        <v>46246.99722222222</v>
      </c>
      <c r="AC18" s="137">
        <v>46247.354953703703</v>
      </c>
      <c r="AD18" s="137">
        <v>1</v>
      </c>
      <c r="AE18" s="137">
        <v>46248.575543981482</v>
      </c>
      <c r="AF18" s="137">
        <v>46248.937939814816</v>
      </c>
      <c r="AG18" s="137">
        <v>46249.353125000001</v>
      </c>
      <c r="AH18" s="137">
        <v>46249.981145833335</v>
      </c>
      <c r="AI18" s="137"/>
      <c r="AJ18" s="45">
        <v>14</v>
      </c>
      <c r="AK18" s="137">
        <v>46250.355243055557</v>
      </c>
      <c r="AL18" s="137">
        <v>46262.945127314815</v>
      </c>
      <c r="AM18" s="137">
        <v>46251.354664351849</v>
      </c>
      <c r="AN18" s="137">
        <v>46251.94085648148</v>
      </c>
      <c r="AO18" s="137">
        <v>46252.355462962965</v>
      </c>
      <c r="AP18" s="137">
        <v>46252.947962962964</v>
      </c>
      <c r="AQ18" s="137">
        <v>46253.351990740739</v>
      </c>
      <c r="AR18" s="137">
        <v>46253.991064814814</v>
      </c>
      <c r="AS18" s="137">
        <v>46254.354722222219</v>
      </c>
      <c r="AT18" s="137">
        <v>46254.958981481483</v>
      </c>
      <c r="AU18" s="137">
        <v>0</v>
      </c>
      <c r="AV18" s="137">
        <v>0</v>
      </c>
      <c r="AW18" s="137">
        <v>46256.354247685187</v>
      </c>
      <c r="AX18" s="137">
        <v>46256.944456018522</v>
      </c>
      <c r="AY18" s="137">
        <v>46257.356087962966</v>
      </c>
      <c r="AZ18" s="137">
        <v>46257.946851851855</v>
      </c>
      <c r="BA18" s="137">
        <v>46258.353726851848</v>
      </c>
      <c r="BB18" s="137">
        <v>46258.96020833333</v>
      </c>
      <c r="BC18" s="137">
        <v>46259.349988425929</v>
      </c>
      <c r="BD18" s="137">
        <v>46259.948773148149</v>
      </c>
      <c r="BE18" s="137">
        <v>46260.351678240739</v>
      </c>
      <c r="BF18" s="137">
        <v>46260.978645833333</v>
      </c>
      <c r="BG18" s="137">
        <v>46261.35396990741</v>
      </c>
      <c r="BH18" s="137">
        <v>46261.970219907409</v>
      </c>
      <c r="BI18" s="137">
        <v>0</v>
      </c>
      <c r="BJ18" s="137">
        <v>46262.945127314815</v>
      </c>
      <c r="BK18" s="137">
        <v>46263.355821759258</v>
      </c>
      <c r="BL18" s="137">
        <v>46263.989756944444</v>
      </c>
      <c r="BM18" s="137">
        <v>46264.352754629632</v>
      </c>
      <c r="BN18" s="137">
        <v>46264.972233796296</v>
      </c>
      <c r="BO18" s="137">
        <v>46265.354224537034</v>
      </c>
      <c r="BP18" s="137">
        <v>46265.946250000001</v>
      </c>
      <c r="BQ18" s="99">
        <f>BS18+BT18+BV18+CA18+BY18+BZ18+CD18+BU18</f>
        <v>31</v>
      </c>
      <c r="BR18" s="68">
        <v>4</v>
      </c>
      <c r="BS18" s="1">
        <f t="shared" si="14"/>
        <v>31</v>
      </c>
      <c r="BT18" s="2">
        <f t="shared" si="3"/>
        <v>0</v>
      </c>
      <c r="BU18" s="2">
        <f t="shared" si="4"/>
        <v>0</v>
      </c>
      <c r="BV18" s="2">
        <f t="shared" si="5"/>
        <v>0</v>
      </c>
      <c r="BW18" s="2">
        <f t="shared" si="6"/>
        <v>0</v>
      </c>
      <c r="BX18" s="2">
        <f t="shared" si="7"/>
        <v>0</v>
      </c>
      <c r="BY18" s="2">
        <f t="shared" si="8"/>
        <v>0</v>
      </c>
      <c r="BZ18" s="2">
        <f t="shared" si="9"/>
        <v>0</v>
      </c>
      <c r="CA18" s="2">
        <f t="shared" si="10"/>
        <v>0</v>
      </c>
      <c r="CB18" s="2">
        <f t="shared" si="11"/>
        <v>0</v>
      </c>
      <c r="CC18" s="2">
        <f t="shared" si="12"/>
        <v>0</v>
      </c>
      <c r="CD18" s="2">
        <f t="shared" si="13"/>
        <v>0</v>
      </c>
      <c r="CE18" s="71"/>
      <c r="CG18" s="67">
        <v>0</v>
      </c>
      <c r="CH18" s="67">
        <v>0</v>
      </c>
      <c r="CI18" s="67">
        <v>0</v>
      </c>
      <c r="CJ18" s="67">
        <v>0</v>
      </c>
      <c r="CK18" s="67">
        <v>0</v>
      </c>
      <c r="CL18" s="67">
        <v>0</v>
      </c>
      <c r="CM18" s="67">
        <v>0</v>
      </c>
      <c r="CN18" s="67">
        <v>0</v>
      </c>
      <c r="CO18" s="67">
        <v>0</v>
      </c>
      <c r="CP18" s="67">
        <v>0</v>
      </c>
      <c r="CQ18" s="56">
        <f>SUM(CG18:CP18)</f>
        <v>0</v>
      </c>
    </row>
    <row r="19" spans="1:95" ht="22.5" customHeight="1" x14ac:dyDescent="0.25">
      <c r="A19" s="179">
        <v>15</v>
      </c>
      <c r="B19" s="45" t="s">
        <v>222</v>
      </c>
      <c r="C19" s="73" t="s">
        <v>226</v>
      </c>
      <c r="D19" s="88">
        <v>46070</v>
      </c>
      <c r="E19" s="137">
        <v>46235.354201388887</v>
      </c>
      <c r="F19" s="137">
        <v>46235.974699074075</v>
      </c>
      <c r="G19" s="137">
        <v>46236.353645833333</v>
      </c>
      <c r="H19" s="137">
        <v>46236.995949074073</v>
      </c>
      <c r="I19" s="137">
        <v>46237.355081018519</v>
      </c>
      <c r="J19" s="137">
        <v>46237.970312500001</v>
      </c>
      <c r="K19" s="137">
        <v>46238.353449074071</v>
      </c>
      <c r="L19" s="137">
        <v>46238.95349537037</v>
      </c>
      <c r="M19" s="137">
        <v>46239.353715277779</v>
      </c>
      <c r="N19" s="137">
        <v>46239.973368055558</v>
      </c>
      <c r="O19" s="137">
        <v>46240.352060185185</v>
      </c>
      <c r="P19" s="137">
        <v>46240.97347222222</v>
      </c>
      <c r="Q19" s="137">
        <v>46241.578020833331</v>
      </c>
      <c r="R19" s="137">
        <v>46241.958506944444</v>
      </c>
      <c r="S19" s="137">
        <v>46242.354004629633</v>
      </c>
      <c r="T19" s="137">
        <v>46242.984594907408</v>
      </c>
      <c r="U19" s="137">
        <v>46243.353888888887</v>
      </c>
      <c r="V19" s="137">
        <v>46243.956041666665</v>
      </c>
      <c r="W19" s="137">
        <v>46244.351643518516</v>
      </c>
      <c r="X19" s="137">
        <v>46244.971932870372</v>
      </c>
      <c r="Y19" s="137">
        <v>46245.354120370372</v>
      </c>
      <c r="Z19" s="137">
        <v>46245.953240740739</v>
      </c>
      <c r="AA19" s="137">
        <v>46246.35428240741</v>
      </c>
      <c r="AB19" s="137">
        <v>46246.996087962965</v>
      </c>
      <c r="AC19" s="137">
        <v>46247.352384259262</v>
      </c>
      <c r="AD19" s="137">
        <v>46247.987083333333</v>
      </c>
      <c r="AE19" s="141" t="s">
        <v>15</v>
      </c>
      <c r="AF19" s="141" t="s">
        <v>15</v>
      </c>
      <c r="AG19" s="137">
        <v>46249.354155092595</v>
      </c>
      <c r="AH19" s="137">
        <v>46249.977824074071</v>
      </c>
      <c r="AI19" s="137"/>
      <c r="AJ19" s="45">
        <v>15</v>
      </c>
      <c r="AK19" s="137">
        <v>46250.354328703703</v>
      </c>
      <c r="AL19" s="137">
        <v>46262.947013888886</v>
      </c>
      <c r="AM19" s="137">
        <v>46251.353182870371</v>
      </c>
      <c r="AN19" s="137">
        <v>46251.945162037038</v>
      </c>
      <c r="AO19" s="137">
        <v>46252.34778935185</v>
      </c>
      <c r="AP19" s="137">
        <v>46252.947523148148</v>
      </c>
      <c r="AQ19" s="137" t="s">
        <v>286</v>
      </c>
      <c r="AR19" s="137" t="s">
        <v>286</v>
      </c>
      <c r="AS19" s="137">
        <v>46254.354525462964</v>
      </c>
      <c r="AT19" s="137">
        <v>46254.950798611113</v>
      </c>
      <c r="AU19" s="137">
        <v>46255.568032407406</v>
      </c>
      <c r="AV19" s="137">
        <v>46255.942789351851</v>
      </c>
      <c r="AW19" s="137">
        <v>46256.352986111109</v>
      </c>
      <c r="AX19" s="137">
        <v>46256.965208333335</v>
      </c>
      <c r="AY19" s="137">
        <v>46257.352094907408</v>
      </c>
      <c r="AZ19" s="137">
        <v>46257.948506944442</v>
      </c>
      <c r="BA19" s="137">
        <v>46258.342430555553</v>
      </c>
      <c r="BB19" s="137">
        <v>46258.966481481482</v>
      </c>
      <c r="BC19" s="137">
        <v>46259.34820601852</v>
      </c>
      <c r="BD19" s="137">
        <v>46259.950624999998</v>
      </c>
      <c r="BE19" s="137">
        <v>46260.349618055552</v>
      </c>
      <c r="BF19" s="137">
        <v>46260.980231481481</v>
      </c>
      <c r="BG19" s="137">
        <v>46261.352673611109</v>
      </c>
      <c r="BH19" s="137">
        <v>0</v>
      </c>
      <c r="BI19" s="137">
        <v>0</v>
      </c>
      <c r="BJ19" s="137">
        <v>46262.947013888886</v>
      </c>
      <c r="BK19" s="137">
        <v>46263.349710648145</v>
      </c>
      <c r="BL19" s="137">
        <v>46263.991840277777</v>
      </c>
      <c r="BM19" s="137">
        <v>46264.353391203702</v>
      </c>
      <c r="BN19" s="137">
        <v>46264.964259259257</v>
      </c>
      <c r="BO19" s="137">
        <v>46265.355694444443</v>
      </c>
      <c r="BP19" s="137">
        <v>46265.946967592594</v>
      </c>
      <c r="BQ19" s="99">
        <f>BS19+BT19+BV19+CA19+BY19+BZ19+CD19+BU19</f>
        <v>31</v>
      </c>
      <c r="BR19" s="68">
        <v>3</v>
      </c>
      <c r="BS19" s="1">
        <f t="shared" si="14"/>
        <v>29</v>
      </c>
      <c r="BT19" s="2">
        <f t="shared" si="3"/>
        <v>1</v>
      </c>
      <c r="BU19" s="2">
        <f t="shared" si="4"/>
        <v>0</v>
      </c>
      <c r="BV19" s="2">
        <f t="shared" si="5"/>
        <v>0</v>
      </c>
      <c r="BW19" s="2">
        <f t="shared" si="6"/>
        <v>0</v>
      </c>
      <c r="BX19" s="2">
        <f t="shared" si="7"/>
        <v>0</v>
      </c>
      <c r="BY19" s="2">
        <f t="shared" si="8"/>
        <v>0</v>
      </c>
      <c r="BZ19" s="2">
        <f t="shared" si="9"/>
        <v>1</v>
      </c>
      <c r="CA19" s="2">
        <f t="shared" si="10"/>
        <v>0</v>
      </c>
      <c r="CB19" s="2">
        <f t="shared" si="11"/>
        <v>0</v>
      </c>
      <c r="CC19" s="2">
        <f t="shared" si="12"/>
        <v>0</v>
      </c>
      <c r="CD19" s="2">
        <f t="shared" si="13"/>
        <v>0</v>
      </c>
      <c r="CE19" s="71"/>
      <c r="CG19" s="67">
        <v>0</v>
      </c>
      <c r="CH19" s="67">
        <v>0</v>
      </c>
      <c r="CI19" s="67">
        <v>0</v>
      </c>
      <c r="CJ19" s="67">
        <v>0</v>
      </c>
      <c r="CK19" s="67">
        <v>1</v>
      </c>
      <c r="CL19" s="67">
        <v>3</v>
      </c>
      <c r="CM19" s="67">
        <v>0</v>
      </c>
      <c r="CN19" s="67">
        <v>0</v>
      </c>
      <c r="CO19" s="67">
        <v>0</v>
      </c>
      <c r="CP19" s="67">
        <v>0</v>
      </c>
      <c r="CQ19" s="56">
        <f>SUM(CG19:CP19)</f>
        <v>4</v>
      </c>
    </row>
    <row r="20" spans="1:95" ht="22.5" customHeight="1" x14ac:dyDescent="0.25">
      <c r="A20" s="179">
        <v>16</v>
      </c>
      <c r="B20" s="45" t="s">
        <v>243</v>
      </c>
      <c r="C20" s="73" t="s">
        <v>244</v>
      </c>
      <c r="D20" s="88"/>
      <c r="E20" s="137">
        <v>46235.344560185185</v>
      </c>
      <c r="F20" s="137">
        <v>46235.974618055552</v>
      </c>
      <c r="G20" s="137">
        <v>46236.3515625</v>
      </c>
      <c r="H20" s="137">
        <v>46236.996979166666</v>
      </c>
      <c r="I20" s="137">
        <v>46237.3440625</v>
      </c>
      <c r="J20" s="137">
        <v>46237.971562500003</v>
      </c>
      <c r="K20" s="137">
        <v>46238.344942129632</v>
      </c>
      <c r="L20" s="137">
        <v>46238.953576388885</v>
      </c>
      <c r="M20" s="137">
        <v>46239.346932870372</v>
      </c>
      <c r="N20" s="137">
        <v>46239.973680555559</v>
      </c>
      <c r="O20" s="137">
        <v>46240.349189814813</v>
      </c>
      <c r="P20" s="137">
        <v>46240.988298611112</v>
      </c>
      <c r="Q20" s="137">
        <v>46241.569016203706</v>
      </c>
      <c r="R20" s="137">
        <v>46241.950046296297</v>
      </c>
      <c r="S20" s="137">
        <v>46242.350624999999</v>
      </c>
      <c r="T20" s="137">
        <v>46242.991423611114</v>
      </c>
      <c r="U20" s="137">
        <v>46243.345636574071</v>
      </c>
      <c r="V20" s="137">
        <v>46243.942048611112</v>
      </c>
      <c r="W20" s="137">
        <v>46244.349803240744</v>
      </c>
      <c r="X20" s="137">
        <v>46244.972083333334</v>
      </c>
      <c r="Y20" s="137">
        <v>46245.348912037036</v>
      </c>
      <c r="Z20" s="137">
        <v>46245.929236111115</v>
      </c>
      <c r="AA20" s="137">
        <v>46246.348067129627</v>
      </c>
      <c r="AB20" s="137">
        <v>46246.997083333335</v>
      </c>
      <c r="AC20" s="137">
        <v>46247.346828703703</v>
      </c>
      <c r="AD20" s="137">
        <v>46247.98940972222</v>
      </c>
      <c r="AE20" s="141" t="s">
        <v>15</v>
      </c>
      <c r="AF20" s="141" t="s">
        <v>15</v>
      </c>
      <c r="AG20" s="137">
        <v>46249.344756944447</v>
      </c>
      <c r="AH20" s="137">
        <v>46249.977511574078</v>
      </c>
      <c r="AI20" s="137"/>
      <c r="AJ20" s="45">
        <v>16</v>
      </c>
      <c r="AK20" s="137">
        <v>46250.34920138889</v>
      </c>
      <c r="AL20" s="137">
        <v>46262.934479166666</v>
      </c>
      <c r="AM20" s="137">
        <v>46251.350405092591</v>
      </c>
      <c r="AN20" s="137">
        <v>46251.941516203704</v>
      </c>
      <c r="AO20" s="137">
        <v>46252.352708333332</v>
      </c>
      <c r="AP20" s="137">
        <v>46252.948888888888</v>
      </c>
      <c r="AQ20" s="137">
        <v>46253.344710648147</v>
      </c>
      <c r="AR20" s="137">
        <v>46253.989282407405</v>
      </c>
      <c r="AS20" s="137">
        <v>46254.346875000003</v>
      </c>
      <c r="AT20" s="137">
        <v>46254.956712962965</v>
      </c>
      <c r="AU20" s="137">
        <v>46255.569814814815</v>
      </c>
      <c r="AV20" s="137">
        <v>46255.942407407405</v>
      </c>
      <c r="AW20" s="137">
        <v>46256.349907407406</v>
      </c>
      <c r="AX20" s="137">
        <v>46256.946030092593</v>
      </c>
      <c r="AY20" s="137">
        <v>46257.345266203702</v>
      </c>
      <c r="AZ20" s="137">
        <v>46257.942395833335</v>
      </c>
      <c r="BA20" s="137">
        <v>46258.352476851855</v>
      </c>
      <c r="BB20" s="137">
        <v>46258.950810185182</v>
      </c>
      <c r="BC20" s="137">
        <v>46259.353298611109</v>
      </c>
      <c r="BD20" s="137">
        <v>46259.942037037035</v>
      </c>
      <c r="BE20" s="137">
        <v>0</v>
      </c>
      <c r="BF20" s="137">
        <v>46260.979212962964</v>
      </c>
      <c r="BG20" s="137">
        <v>46261.345891203702</v>
      </c>
      <c r="BH20" s="137">
        <v>46261.966689814813</v>
      </c>
      <c r="BI20" s="137">
        <v>0</v>
      </c>
      <c r="BJ20" s="137">
        <v>46262.934479166666</v>
      </c>
      <c r="BK20" s="137">
        <v>46263.349988425929</v>
      </c>
      <c r="BL20" s="137">
        <v>46263.992060185185</v>
      </c>
      <c r="BM20" s="137">
        <v>46264.346446759257</v>
      </c>
      <c r="BN20" s="137">
        <v>46264.967280092591</v>
      </c>
      <c r="BO20" s="137">
        <v>46265.34820601852</v>
      </c>
      <c r="BP20" s="137">
        <v>46265.947118055556</v>
      </c>
      <c r="BQ20" s="99">
        <f>BS20+BT20+BV20+CA20+BY20+BZ20+CD20+BU20</f>
        <v>31</v>
      </c>
      <c r="BR20" s="68">
        <v>3</v>
      </c>
      <c r="BS20" s="1">
        <f t="shared" si="14"/>
        <v>30</v>
      </c>
      <c r="BT20" s="2">
        <f t="shared" si="3"/>
        <v>1</v>
      </c>
      <c r="BU20" s="2">
        <f t="shared" si="4"/>
        <v>0</v>
      </c>
      <c r="BV20" s="2">
        <f t="shared" si="5"/>
        <v>0</v>
      </c>
      <c r="BW20" s="2">
        <f t="shared" si="6"/>
        <v>0</v>
      </c>
      <c r="BX20" s="2">
        <f t="shared" si="7"/>
        <v>0</v>
      </c>
      <c r="BY20" s="2">
        <f t="shared" si="8"/>
        <v>0</v>
      </c>
      <c r="BZ20" s="2">
        <f t="shared" si="9"/>
        <v>0</v>
      </c>
      <c r="CA20" s="2">
        <f t="shared" si="10"/>
        <v>0</v>
      </c>
      <c r="CB20" s="2">
        <f t="shared" si="11"/>
        <v>0</v>
      </c>
      <c r="CC20" s="2">
        <f t="shared" si="12"/>
        <v>0</v>
      </c>
      <c r="CD20" s="2">
        <f t="shared" si="13"/>
        <v>0</v>
      </c>
      <c r="CE20" s="3"/>
      <c r="CG20" s="67">
        <v>0</v>
      </c>
      <c r="CH20" s="67">
        <v>0</v>
      </c>
      <c r="CI20" s="67">
        <v>0</v>
      </c>
      <c r="CJ20" s="67">
        <v>0</v>
      </c>
      <c r="CK20" s="67">
        <v>0</v>
      </c>
      <c r="CL20" s="67">
        <v>0</v>
      </c>
      <c r="CM20" s="67">
        <v>0</v>
      </c>
      <c r="CN20" s="67">
        <v>0</v>
      </c>
      <c r="CO20" s="67">
        <v>0</v>
      </c>
      <c r="CP20" s="67">
        <v>0</v>
      </c>
      <c r="CQ20" s="56">
        <f>SUM(CG20:CP20)</f>
        <v>0</v>
      </c>
    </row>
    <row r="21" spans="1:95" ht="21" customHeight="1" x14ac:dyDescent="0.25">
      <c r="A21" s="179">
        <v>17</v>
      </c>
      <c r="B21" s="11" t="s">
        <v>47</v>
      </c>
      <c r="C21" s="78" t="s">
        <v>48</v>
      </c>
      <c r="D21" s="88">
        <v>45837</v>
      </c>
      <c r="E21" s="137">
        <v>46235.343865740739</v>
      </c>
      <c r="F21" s="137">
        <v>46235.970833333333</v>
      </c>
      <c r="G21" s="137">
        <v>46236.342951388891</v>
      </c>
      <c r="H21" s="137">
        <v>1</v>
      </c>
      <c r="I21" s="137">
        <v>46237.354571759257</v>
      </c>
      <c r="J21" s="137">
        <v>46237.950127314813</v>
      </c>
      <c r="K21" s="137">
        <v>46238.341064814813</v>
      </c>
      <c r="L21" s="137">
        <v>1</v>
      </c>
      <c r="M21" s="137">
        <v>46239.348587962966</v>
      </c>
      <c r="N21" s="137">
        <v>1</v>
      </c>
      <c r="O21" s="137">
        <v>46240.3515625</v>
      </c>
      <c r="P21" s="137">
        <v>46240.963773148149</v>
      </c>
      <c r="Q21" s="137">
        <v>46241.581006944441</v>
      </c>
      <c r="R21" s="137">
        <v>46240.963773148149</v>
      </c>
      <c r="S21" s="137">
        <v>46242.339907407404</v>
      </c>
      <c r="T21" s="137">
        <v>1</v>
      </c>
      <c r="U21" s="137">
        <v>46243.353946759256</v>
      </c>
      <c r="V21" s="137">
        <v>1</v>
      </c>
      <c r="W21" s="137">
        <v>46244.342789351853</v>
      </c>
      <c r="X21" s="137">
        <v>1</v>
      </c>
      <c r="Y21" s="137">
        <v>46245.348298611112</v>
      </c>
      <c r="Z21" s="137">
        <v>46245.972719907404</v>
      </c>
      <c r="AA21" s="137">
        <v>46246.347118055557</v>
      </c>
      <c r="AB21" s="137">
        <v>1</v>
      </c>
      <c r="AC21" s="137">
        <v>46247.349050925928</v>
      </c>
      <c r="AD21" s="137">
        <v>46247.971307870372</v>
      </c>
      <c r="AE21" s="141" t="s">
        <v>15</v>
      </c>
      <c r="AF21" s="141" t="s">
        <v>15</v>
      </c>
      <c r="AG21" s="137">
        <v>46249.343842592592</v>
      </c>
      <c r="AH21" s="137">
        <v>1</v>
      </c>
      <c r="AI21" s="137"/>
      <c r="AJ21" s="45">
        <v>17</v>
      </c>
      <c r="AK21" s="137">
        <v>46250.35019675926</v>
      </c>
      <c r="AL21" s="137">
        <v>0</v>
      </c>
      <c r="AM21" s="137">
        <v>46251.353136574071</v>
      </c>
      <c r="AN21" s="137">
        <v>0</v>
      </c>
      <c r="AO21" s="137">
        <v>46252.337060185186</v>
      </c>
      <c r="AP21" s="137">
        <v>46252.946319444447</v>
      </c>
      <c r="AQ21" s="137">
        <v>46253.33734953704</v>
      </c>
      <c r="AR21" s="137">
        <v>0</v>
      </c>
      <c r="AS21" s="137">
        <v>46254.343194444446</v>
      </c>
      <c r="AT21" s="137">
        <v>0</v>
      </c>
      <c r="AU21" s="137">
        <v>46255.575821759259</v>
      </c>
      <c r="AV21" s="137">
        <v>0</v>
      </c>
      <c r="AW21" s="137">
        <v>46256.334641203706</v>
      </c>
      <c r="AX21" s="137">
        <v>0</v>
      </c>
      <c r="AY21" s="137">
        <v>46257.343506944446</v>
      </c>
      <c r="AZ21" s="137">
        <v>0</v>
      </c>
      <c r="BA21" s="137">
        <v>46258.354189814818</v>
      </c>
      <c r="BB21" s="137">
        <v>46258.952303240738</v>
      </c>
      <c r="BC21" s="137">
        <v>46259.345046296294</v>
      </c>
      <c r="BD21" s="137">
        <v>0</v>
      </c>
      <c r="BE21" s="137">
        <v>46260.337245370371</v>
      </c>
      <c r="BF21" s="137">
        <v>0</v>
      </c>
      <c r="BG21" s="137">
        <v>46261.340150462966</v>
      </c>
      <c r="BH21" s="137">
        <v>0</v>
      </c>
      <c r="BI21" s="141" t="s">
        <v>15</v>
      </c>
      <c r="BJ21" s="141" t="s">
        <v>15</v>
      </c>
      <c r="BK21" s="137">
        <v>46263.33734953704</v>
      </c>
      <c r="BL21" s="137">
        <v>1</v>
      </c>
      <c r="BM21" s="137">
        <v>1</v>
      </c>
      <c r="BN21" s="137">
        <v>46264.743946759256</v>
      </c>
      <c r="BO21" s="137">
        <v>46265.349768518521</v>
      </c>
      <c r="BP21" s="137">
        <v>0</v>
      </c>
      <c r="BQ21" s="99">
        <f t="shared" si="0"/>
        <v>31</v>
      </c>
      <c r="BR21" s="68">
        <v>2</v>
      </c>
      <c r="BS21" s="1">
        <f t="shared" si="2"/>
        <v>29</v>
      </c>
      <c r="BT21" s="2">
        <f t="shared" si="3"/>
        <v>2</v>
      </c>
      <c r="BU21" s="2">
        <f t="shared" si="4"/>
        <v>0</v>
      </c>
      <c r="BV21" s="2">
        <f t="shared" si="5"/>
        <v>0</v>
      </c>
      <c r="BW21" s="2">
        <f t="shared" si="6"/>
        <v>0</v>
      </c>
      <c r="BX21" s="2">
        <f t="shared" si="7"/>
        <v>0</v>
      </c>
      <c r="BY21" s="2">
        <f t="shared" si="8"/>
        <v>0</v>
      </c>
      <c r="BZ21" s="2">
        <f t="shared" si="9"/>
        <v>0</v>
      </c>
      <c r="CA21" s="2">
        <f t="shared" si="10"/>
        <v>0</v>
      </c>
      <c r="CB21" s="2">
        <f t="shared" si="11"/>
        <v>0</v>
      </c>
      <c r="CC21" s="2">
        <f t="shared" si="12"/>
        <v>0</v>
      </c>
      <c r="CD21" s="2">
        <f t="shared" si="13"/>
        <v>0</v>
      </c>
      <c r="CE21" s="71"/>
      <c r="CG21" s="54">
        <v>0</v>
      </c>
      <c r="CH21" s="54">
        <v>0</v>
      </c>
      <c r="CI21" s="54">
        <v>0</v>
      </c>
      <c r="CJ21" s="54">
        <v>0</v>
      </c>
      <c r="CK21" s="54">
        <v>0</v>
      </c>
      <c r="CL21" s="54">
        <v>0</v>
      </c>
      <c r="CM21" s="54">
        <v>0</v>
      </c>
      <c r="CN21" s="54">
        <v>0</v>
      </c>
      <c r="CO21" s="54">
        <v>0</v>
      </c>
      <c r="CP21" s="54">
        <v>0</v>
      </c>
      <c r="CQ21" s="56">
        <f t="shared" si="1"/>
        <v>0</v>
      </c>
    </row>
    <row r="22" spans="1:95" ht="21" customHeight="1" x14ac:dyDescent="0.25">
      <c r="A22" s="179">
        <v>18</v>
      </c>
      <c r="B22" s="11" t="s">
        <v>51</v>
      </c>
      <c r="C22" s="78" t="s">
        <v>52</v>
      </c>
      <c r="D22" s="86"/>
      <c r="E22" s="137">
        <v>46235.348136574074</v>
      </c>
      <c r="F22" s="137">
        <v>46235.972638888888</v>
      </c>
      <c r="G22" s="137">
        <v>46236.352175925924</v>
      </c>
      <c r="H22" s="137">
        <v>46236.991712962961</v>
      </c>
      <c r="I22" s="137">
        <v>46237.34983796296</v>
      </c>
      <c r="J22" s="137">
        <v>46237.968460648146</v>
      </c>
      <c r="K22" s="137">
        <v>46238.346631944441</v>
      </c>
      <c r="L22" s="137">
        <v>46238.944722222222</v>
      </c>
      <c r="M22" s="137">
        <v>46239.353692129633</v>
      </c>
      <c r="N22" s="137">
        <v>46239.965219907404</v>
      </c>
      <c r="O22" s="137">
        <v>46240.342418981483</v>
      </c>
      <c r="P22" s="137">
        <v>46240.970034722224</v>
      </c>
      <c r="Q22" s="141" t="s">
        <v>15</v>
      </c>
      <c r="R22" s="141" t="s">
        <v>15</v>
      </c>
      <c r="S22" s="137">
        <v>46242.347175925926</v>
      </c>
      <c r="T22" s="137">
        <v>46242.988171296296</v>
      </c>
      <c r="U22" s="137">
        <v>46243.349722222221</v>
      </c>
      <c r="V22" s="137">
        <v>46243.9375</v>
      </c>
      <c r="W22" s="137">
        <v>46244.346932870372</v>
      </c>
      <c r="X22" s="137">
        <v>46244.965381944443</v>
      </c>
      <c r="Y22" s="137">
        <v>46245.345034722224</v>
      </c>
      <c r="Z22" s="137">
        <v>46245.927303240744</v>
      </c>
      <c r="AA22" s="137">
        <v>46246.342129629629</v>
      </c>
      <c r="AB22" s="137">
        <v>46246.993715277778</v>
      </c>
      <c r="AC22" s="137">
        <v>46247.342141203706</v>
      </c>
      <c r="AD22" s="137">
        <v>46247.981770833336</v>
      </c>
      <c r="AE22" s="137">
        <v>46248.567083333335</v>
      </c>
      <c r="AF22" s="137">
        <v>46248.93236111111</v>
      </c>
      <c r="AG22" s="137">
        <v>46249.347673611112</v>
      </c>
      <c r="AH22" s="137">
        <v>46249.97146990741</v>
      </c>
      <c r="AI22" s="137"/>
      <c r="AJ22" s="45">
        <v>18</v>
      </c>
      <c r="AK22" s="137">
        <v>46250.340231481481</v>
      </c>
      <c r="AL22" s="137">
        <v>46250.949270833335</v>
      </c>
      <c r="AM22" s="137">
        <v>46251.344247685185</v>
      </c>
      <c r="AN22" s="137">
        <v>0</v>
      </c>
      <c r="AO22" s="137">
        <v>46252.347303240742</v>
      </c>
      <c r="AP22" s="137">
        <v>46252.944247685184</v>
      </c>
      <c r="AQ22" s="137">
        <v>46253.339479166665</v>
      </c>
      <c r="AR22" s="137">
        <v>46253.986458333333</v>
      </c>
      <c r="AS22" s="137">
        <v>46254.34716435185</v>
      </c>
      <c r="AT22" s="137">
        <v>46254.947442129633</v>
      </c>
      <c r="AU22" s="141" t="s">
        <v>15</v>
      </c>
      <c r="AV22" s="141" t="s">
        <v>15</v>
      </c>
      <c r="AW22" s="137">
        <v>46256.344085648147</v>
      </c>
      <c r="AX22" s="137">
        <v>46256.938981481479</v>
      </c>
      <c r="AY22" s="137">
        <v>46257.350844907407</v>
      </c>
      <c r="AZ22" s="137">
        <v>46257.938217592593</v>
      </c>
      <c r="BA22" s="137">
        <v>46258.351122685184</v>
      </c>
      <c r="BB22" s="137">
        <v>46258.95212962963</v>
      </c>
      <c r="BC22" s="137">
        <v>46259.337372685186</v>
      </c>
      <c r="BD22" s="137">
        <v>46259.926134259258</v>
      </c>
      <c r="BE22" s="137">
        <v>46260.350648148145</v>
      </c>
      <c r="BF22" s="137">
        <v>46260.97378472222</v>
      </c>
      <c r="BG22" s="137">
        <v>46261.346261574072</v>
      </c>
      <c r="BH22" s="137">
        <v>46261.958460648151</v>
      </c>
      <c r="BI22" s="137">
        <v>46262.567789351851</v>
      </c>
      <c r="BJ22" s="137">
        <v>46262.928414351853</v>
      </c>
      <c r="BK22" s="137">
        <v>46263.346087962964</v>
      </c>
      <c r="BL22" s="137">
        <v>46263.958495370367</v>
      </c>
      <c r="BM22" s="137">
        <v>46264.347962962966</v>
      </c>
      <c r="BN22" s="137">
        <v>46264.951770833337</v>
      </c>
      <c r="BO22" s="137">
        <v>46265.351990740739</v>
      </c>
      <c r="BP22" s="137">
        <v>46265.941145833334</v>
      </c>
      <c r="BQ22" s="99">
        <f t="shared" si="0"/>
        <v>31</v>
      </c>
      <c r="BR22" s="68">
        <v>2</v>
      </c>
      <c r="BS22" s="1">
        <f>COUNT(E22:AH22)/2+COUNT(AK22:BP22)/2</f>
        <v>29</v>
      </c>
      <c r="BT22" s="2">
        <f t="shared" si="3"/>
        <v>2</v>
      </c>
      <c r="BU22" s="2">
        <f t="shared" si="4"/>
        <v>0</v>
      </c>
      <c r="BV22" s="2">
        <f t="shared" si="5"/>
        <v>0</v>
      </c>
      <c r="BW22" s="2">
        <f t="shared" si="6"/>
        <v>0</v>
      </c>
      <c r="BX22" s="2">
        <f t="shared" si="7"/>
        <v>0</v>
      </c>
      <c r="BY22" s="2">
        <f t="shared" si="8"/>
        <v>0</v>
      </c>
      <c r="BZ22" s="2">
        <f t="shared" si="9"/>
        <v>0</v>
      </c>
      <c r="CA22" s="2">
        <f t="shared" si="10"/>
        <v>0</v>
      </c>
      <c r="CB22" s="2">
        <f t="shared" si="11"/>
        <v>0</v>
      </c>
      <c r="CC22" s="2">
        <f t="shared" si="12"/>
        <v>0</v>
      </c>
      <c r="CD22" s="2">
        <f t="shared" si="13"/>
        <v>0</v>
      </c>
      <c r="CE22" s="71"/>
      <c r="CG22" s="54"/>
      <c r="CH22" s="54"/>
      <c r="CI22" s="54"/>
      <c r="CJ22" s="54"/>
      <c r="CK22" s="54"/>
      <c r="CL22" s="54"/>
      <c r="CM22" s="54"/>
      <c r="CN22" s="54"/>
      <c r="CO22" s="54"/>
      <c r="CP22" s="54"/>
      <c r="CQ22" s="56"/>
    </row>
    <row r="23" spans="1:95" ht="21" customHeight="1" x14ac:dyDescent="0.25">
      <c r="A23" s="179">
        <v>19</v>
      </c>
      <c r="B23" s="12" t="s">
        <v>53</v>
      </c>
      <c r="C23" s="8" t="s">
        <v>54</v>
      </c>
      <c r="D23" s="86">
        <v>40896</v>
      </c>
      <c r="E23" s="137">
        <v>46235.35261574074</v>
      </c>
      <c r="F23" s="137">
        <v>46235.977430555555</v>
      </c>
      <c r="G23" s="137">
        <v>46236.353460648148</v>
      </c>
      <c r="H23" s="137">
        <v>46236.99145833333</v>
      </c>
      <c r="I23" s="137">
        <v>46237.354224537034</v>
      </c>
      <c r="J23" s="137">
        <v>46237.968564814815</v>
      </c>
      <c r="K23" s="137">
        <v>46238.353865740741</v>
      </c>
      <c r="L23" s="137">
        <v>46238.959722222222</v>
      </c>
      <c r="M23" s="137">
        <v>46239.353090277778</v>
      </c>
      <c r="N23" s="137">
        <v>46239.96974537037</v>
      </c>
      <c r="O23" s="137">
        <v>46240.351724537039</v>
      </c>
      <c r="P23" s="137">
        <v>46240.97347222222</v>
      </c>
      <c r="Q23" s="141" t="s">
        <v>15</v>
      </c>
      <c r="R23" s="141" t="s">
        <v>15</v>
      </c>
      <c r="S23" s="137">
        <v>46242.350659722222</v>
      </c>
      <c r="T23" s="137">
        <v>46242.979861111111</v>
      </c>
      <c r="U23" s="137">
        <v>46243.353136574071</v>
      </c>
      <c r="V23" s="137">
        <v>46243.953298611108</v>
      </c>
      <c r="W23" s="137">
        <v>46244.353113425925</v>
      </c>
      <c r="X23" s="137">
        <v>46244.965752314813</v>
      </c>
      <c r="Y23" s="137">
        <v>46245.353634259256</v>
      </c>
      <c r="Z23" s="137">
        <v>46245.947175925925</v>
      </c>
      <c r="AA23" s="137">
        <v>46246.354004629633</v>
      </c>
      <c r="AB23" s="137">
        <v>46246.99763888889</v>
      </c>
      <c r="AC23" s="137">
        <v>46247.352800925924</v>
      </c>
      <c r="AD23" s="137">
        <v>46247.982118055559</v>
      </c>
      <c r="AE23" s="137">
        <v>46248.581944444442</v>
      </c>
      <c r="AF23" s="137">
        <v>46248.941678240742</v>
      </c>
      <c r="AG23" s="137">
        <v>46249.352766203701</v>
      </c>
      <c r="AH23" s="137">
        <v>46249.974027777775</v>
      </c>
      <c r="AI23" s="137"/>
      <c r="AJ23" s="45">
        <v>19</v>
      </c>
      <c r="AK23" s="137">
        <v>46250.351805555554</v>
      </c>
      <c r="AL23" s="137">
        <v>46250.959282407406</v>
      </c>
      <c r="AM23" s="137">
        <v>46251.353506944448</v>
      </c>
      <c r="AN23" s="137">
        <v>46251.943229166667</v>
      </c>
      <c r="AO23" s="137">
        <v>46252.35355324074</v>
      </c>
      <c r="AP23" s="137">
        <v>46252.950694444444</v>
      </c>
      <c r="AQ23" s="137">
        <v>46253.352905092594</v>
      </c>
      <c r="AR23" s="137">
        <v>46253.989351851851</v>
      </c>
      <c r="AS23" s="137">
        <v>46254.354097222225</v>
      </c>
      <c r="AT23" s="137">
        <v>46254.962314814817</v>
      </c>
      <c r="AU23" s="141" t="s">
        <v>15</v>
      </c>
      <c r="AV23" s="141" t="s">
        <v>15</v>
      </c>
      <c r="AW23" s="137">
        <v>46256.354004629633</v>
      </c>
      <c r="AX23" s="137">
        <v>46256.958344907405</v>
      </c>
      <c r="AY23" s="137">
        <v>46257.352708333332</v>
      </c>
      <c r="AZ23" s="137">
        <v>46257.94390046296</v>
      </c>
      <c r="BA23" s="137">
        <v>46258.352835648147</v>
      </c>
      <c r="BB23" s="137">
        <v>46258.956041666665</v>
      </c>
      <c r="BC23" s="137">
        <v>46259.352870370371</v>
      </c>
      <c r="BD23" s="137">
        <v>46259.947071759256</v>
      </c>
      <c r="BE23" s="137">
        <v>46260.353206018517</v>
      </c>
      <c r="BF23" s="137">
        <v>46260.972256944442</v>
      </c>
      <c r="BG23" s="137">
        <v>46261.353935185187</v>
      </c>
      <c r="BH23" s="137">
        <v>46261.958541666667</v>
      </c>
      <c r="BI23" s="137">
        <v>46262.579907407409</v>
      </c>
      <c r="BJ23" s="137">
        <v>46262.946250000001</v>
      </c>
      <c r="BK23" s="137">
        <v>46263.351863425924</v>
      </c>
      <c r="BL23" s="137">
        <v>46263.966516203705</v>
      </c>
      <c r="BM23" s="137">
        <v>46264.352430555555</v>
      </c>
      <c r="BN23" s="137">
        <v>46264.933032407411</v>
      </c>
      <c r="BO23" s="137">
        <v>46265.351921296293</v>
      </c>
      <c r="BP23" s="137">
        <v>46265.947615740741</v>
      </c>
      <c r="BQ23" s="99">
        <f t="shared" si="0"/>
        <v>31</v>
      </c>
      <c r="BR23" s="68">
        <v>2</v>
      </c>
      <c r="BS23" s="1">
        <f t="shared" si="2"/>
        <v>29</v>
      </c>
      <c r="BT23" s="2">
        <f t="shared" si="3"/>
        <v>2</v>
      </c>
      <c r="BU23" s="2">
        <f t="shared" si="4"/>
        <v>0</v>
      </c>
      <c r="BV23" s="2">
        <f t="shared" si="5"/>
        <v>0</v>
      </c>
      <c r="BW23" s="2">
        <f t="shared" si="6"/>
        <v>0</v>
      </c>
      <c r="BX23" s="2">
        <f t="shared" si="7"/>
        <v>0</v>
      </c>
      <c r="BY23" s="2">
        <f t="shared" si="8"/>
        <v>0</v>
      </c>
      <c r="BZ23" s="2">
        <f t="shared" si="9"/>
        <v>0</v>
      </c>
      <c r="CA23" s="2">
        <f t="shared" si="10"/>
        <v>0</v>
      </c>
      <c r="CB23" s="2">
        <f t="shared" si="11"/>
        <v>0</v>
      </c>
      <c r="CC23" s="2">
        <f t="shared" si="12"/>
        <v>0</v>
      </c>
      <c r="CD23" s="2">
        <f t="shared" si="13"/>
        <v>0</v>
      </c>
      <c r="CE23" s="71"/>
      <c r="CG23" s="54">
        <v>0</v>
      </c>
      <c r="CH23" s="54">
        <v>0</v>
      </c>
      <c r="CI23" s="54">
        <v>0</v>
      </c>
      <c r="CJ23" s="54">
        <v>0</v>
      </c>
      <c r="CK23" s="54">
        <v>0</v>
      </c>
      <c r="CL23" s="55">
        <v>1</v>
      </c>
      <c r="CM23" s="54">
        <v>0</v>
      </c>
      <c r="CN23" s="54">
        <v>0</v>
      </c>
      <c r="CO23" s="54">
        <v>0</v>
      </c>
      <c r="CP23" s="54">
        <v>0</v>
      </c>
      <c r="CQ23" s="56">
        <f t="shared" ref="CQ23:CQ27" si="15">SUM(CG23:CP23)</f>
        <v>1</v>
      </c>
    </row>
    <row r="24" spans="1:95" ht="21" customHeight="1" x14ac:dyDescent="0.25">
      <c r="A24" s="179">
        <v>20</v>
      </c>
      <c r="B24" s="11" t="s">
        <v>55</v>
      </c>
      <c r="C24" s="8" t="s">
        <v>56</v>
      </c>
      <c r="D24" s="86">
        <v>42446</v>
      </c>
      <c r="E24" s="137">
        <v>46235.341134259259</v>
      </c>
      <c r="F24" s="137">
        <v>46235.941759259258</v>
      </c>
      <c r="G24" s="137">
        <v>46236.337199074071</v>
      </c>
      <c r="H24" s="137">
        <v>46236.939398148148</v>
      </c>
      <c r="I24" s="137">
        <v>46237.341365740744</v>
      </c>
      <c r="J24" s="137">
        <v>1</v>
      </c>
      <c r="K24" s="137">
        <v>46238.341053240743</v>
      </c>
      <c r="L24" s="137">
        <v>1</v>
      </c>
      <c r="M24" s="137">
        <v>46239.342662037037</v>
      </c>
      <c r="N24" s="137">
        <v>46239.929803240739</v>
      </c>
      <c r="O24" s="137">
        <v>46240.342604166668</v>
      </c>
      <c r="P24" s="137">
        <v>46240.939166666663</v>
      </c>
      <c r="Q24" s="137">
        <v>46241.561226851853</v>
      </c>
      <c r="R24" s="137">
        <v>46241.911192129628</v>
      </c>
      <c r="S24" s="137">
        <v>46242.34302083333</v>
      </c>
      <c r="T24" s="137">
        <v>46242.942962962959</v>
      </c>
      <c r="U24" s="137">
        <v>46243.343472222223</v>
      </c>
      <c r="V24" s="137">
        <v>46243.936365740738</v>
      </c>
      <c r="W24" s="137">
        <v>46244.342488425929</v>
      </c>
      <c r="X24" s="137">
        <v>46244.917384259257</v>
      </c>
      <c r="Y24" s="137">
        <v>46245.341793981483</v>
      </c>
      <c r="Z24" s="137">
        <v>46245.916145833333</v>
      </c>
      <c r="AA24" s="137">
        <v>46246.342395833337</v>
      </c>
      <c r="AB24" s="137">
        <v>46246.914803240739</v>
      </c>
      <c r="AC24" s="137">
        <v>46247.34207175926</v>
      </c>
      <c r="AD24" s="137">
        <v>46247.940185185187</v>
      </c>
      <c r="AE24" s="141" t="s">
        <v>15</v>
      </c>
      <c r="AF24" s="141" t="s">
        <v>15</v>
      </c>
      <c r="AG24" s="137">
        <v>46249.343923611108</v>
      </c>
      <c r="AH24" s="137">
        <v>1</v>
      </c>
      <c r="AI24" s="137"/>
      <c r="AJ24" s="45">
        <v>20</v>
      </c>
      <c r="AK24" s="137">
        <v>46250.343460648146</v>
      </c>
      <c r="AL24" s="137">
        <v>46250.939826388887</v>
      </c>
      <c r="AM24" s="137">
        <v>46251.343935185185</v>
      </c>
      <c r="AN24" s="137">
        <v>46251.920902777776</v>
      </c>
      <c r="AO24" s="137">
        <v>46252.343738425923</v>
      </c>
      <c r="AP24" s="137">
        <v>46252.922430555554</v>
      </c>
      <c r="AQ24" s="137">
        <v>46253.343240740738</v>
      </c>
      <c r="AR24" s="137">
        <v>46253.924710648149</v>
      </c>
      <c r="AS24" s="137">
        <v>46254.342291666668</v>
      </c>
      <c r="AT24" s="137">
        <v>46254.94189814815</v>
      </c>
      <c r="AU24" s="137">
        <v>46255.561759259261</v>
      </c>
      <c r="AV24" s="137">
        <v>46255.899733796294</v>
      </c>
      <c r="AW24" s="137">
        <v>46256.343645833331</v>
      </c>
      <c r="AX24" s="137">
        <v>46256.939675925925</v>
      </c>
      <c r="AY24" s="137">
        <v>46257.3434837963</v>
      </c>
      <c r="AZ24" s="137">
        <v>46257.924895833334</v>
      </c>
      <c r="BA24" s="137">
        <v>0</v>
      </c>
      <c r="BB24" s="137">
        <v>46258.921759259261</v>
      </c>
      <c r="BC24" s="137">
        <v>46259.343275462961</v>
      </c>
      <c r="BD24" s="137">
        <v>46259.922222222223</v>
      </c>
      <c r="BE24" s="137">
        <v>46260.341793981483</v>
      </c>
      <c r="BF24" s="137">
        <v>46260.913831018515</v>
      </c>
      <c r="BG24" s="137">
        <v>46261.342685185184</v>
      </c>
      <c r="BH24" s="137">
        <v>46261.950983796298</v>
      </c>
      <c r="BI24" s="141" t="s">
        <v>15</v>
      </c>
      <c r="BJ24" s="141" t="s">
        <v>15</v>
      </c>
      <c r="BK24" s="137">
        <v>46263.342731481483</v>
      </c>
      <c r="BL24" s="137">
        <v>46263.938217592593</v>
      </c>
      <c r="BM24" s="137">
        <v>46264.343159722222</v>
      </c>
      <c r="BN24" s="137">
        <v>46264.959421296298</v>
      </c>
      <c r="BO24" s="137">
        <v>46265.344166666669</v>
      </c>
      <c r="BP24" s="137">
        <v>46265.927337962959</v>
      </c>
      <c r="BQ24" s="99">
        <f t="shared" si="0"/>
        <v>31</v>
      </c>
      <c r="BR24" s="68">
        <v>2</v>
      </c>
      <c r="BS24" s="1">
        <f t="shared" si="2"/>
        <v>29</v>
      </c>
      <c r="BT24" s="2">
        <f t="shared" si="3"/>
        <v>2</v>
      </c>
      <c r="BU24" s="2">
        <f t="shared" si="4"/>
        <v>0</v>
      </c>
      <c r="BV24" s="2">
        <f t="shared" si="5"/>
        <v>0</v>
      </c>
      <c r="BW24" s="2">
        <f t="shared" si="6"/>
        <v>0</v>
      </c>
      <c r="BX24" s="2">
        <f t="shared" si="7"/>
        <v>0</v>
      </c>
      <c r="BY24" s="2">
        <f t="shared" si="8"/>
        <v>0</v>
      </c>
      <c r="BZ24" s="2">
        <f t="shared" si="9"/>
        <v>0</v>
      </c>
      <c r="CA24" s="2">
        <f t="shared" si="10"/>
        <v>0</v>
      </c>
      <c r="CB24" s="2">
        <f t="shared" si="11"/>
        <v>0</v>
      </c>
      <c r="CC24" s="2">
        <f t="shared" si="12"/>
        <v>0</v>
      </c>
      <c r="CD24" s="2">
        <f t="shared" si="13"/>
        <v>0</v>
      </c>
      <c r="CE24" s="71"/>
      <c r="CG24" s="54">
        <v>0</v>
      </c>
      <c r="CH24" s="54">
        <v>0</v>
      </c>
      <c r="CI24" s="55">
        <v>2</v>
      </c>
      <c r="CJ24" s="54">
        <v>0</v>
      </c>
      <c r="CK24" s="54">
        <v>0</v>
      </c>
      <c r="CL24" s="54">
        <v>0</v>
      </c>
      <c r="CM24" s="54">
        <v>0</v>
      </c>
      <c r="CN24" s="54">
        <v>0</v>
      </c>
      <c r="CO24" s="54">
        <v>0</v>
      </c>
      <c r="CP24" s="54">
        <v>0</v>
      </c>
      <c r="CQ24" s="56">
        <f t="shared" si="15"/>
        <v>2</v>
      </c>
    </row>
    <row r="25" spans="1:95" ht="21" customHeight="1" x14ac:dyDescent="0.25">
      <c r="A25" s="179">
        <v>21</v>
      </c>
      <c r="B25" s="11" t="s">
        <v>57</v>
      </c>
      <c r="C25" s="8" t="s">
        <v>58</v>
      </c>
      <c r="D25" s="86">
        <v>42640</v>
      </c>
      <c r="E25" s="137">
        <v>46235.352916666663</v>
      </c>
      <c r="F25" s="137">
        <v>1</v>
      </c>
      <c r="G25" s="137">
        <v>46236.351875</v>
      </c>
      <c r="H25" s="137">
        <v>1</v>
      </c>
      <c r="I25" s="137">
        <v>46237.353217592594</v>
      </c>
      <c r="J25" s="137">
        <v>1</v>
      </c>
      <c r="K25" s="137">
        <v>1.0416666666666701</v>
      </c>
      <c r="L25" s="137">
        <v>1.0833333333333299</v>
      </c>
      <c r="M25" s="137">
        <v>1.125</v>
      </c>
      <c r="N25" s="137">
        <v>1.1666666666666701</v>
      </c>
      <c r="O25" s="137">
        <v>1.2083333333333299</v>
      </c>
      <c r="P25" s="137">
        <v>1.25</v>
      </c>
      <c r="Q25" s="137">
        <v>1.2916666666666701</v>
      </c>
      <c r="R25" s="137">
        <v>1.3333333333333299</v>
      </c>
      <c r="S25" s="137">
        <v>1.375</v>
      </c>
      <c r="T25" s="137">
        <v>1.4166666666666701</v>
      </c>
      <c r="U25" s="137">
        <v>1.4583333333333299</v>
      </c>
      <c r="V25" s="137">
        <v>1.5</v>
      </c>
      <c r="W25" s="137">
        <v>1.5416666666666701</v>
      </c>
      <c r="X25" s="137">
        <v>1.5833333333333299</v>
      </c>
      <c r="Y25" s="137">
        <v>1.625</v>
      </c>
      <c r="Z25" s="137">
        <v>1.6666666666666701</v>
      </c>
      <c r="AA25" s="137">
        <v>1.7083333333333299</v>
      </c>
      <c r="AB25" s="137">
        <v>1.75</v>
      </c>
      <c r="AC25" s="137">
        <v>1.7916666666666701</v>
      </c>
      <c r="AD25" s="137">
        <v>1.8333333333333299</v>
      </c>
      <c r="AE25" s="137">
        <v>1.875</v>
      </c>
      <c r="AF25" s="137">
        <v>1.9166666666666701</v>
      </c>
      <c r="AG25" s="137">
        <v>1.9583333333333299</v>
      </c>
      <c r="AH25" s="137">
        <v>2</v>
      </c>
      <c r="AI25" s="137"/>
      <c r="AJ25" s="45">
        <v>21</v>
      </c>
      <c r="AK25" s="137">
        <v>46250.352627314816</v>
      </c>
      <c r="AL25" s="137">
        <v>0</v>
      </c>
      <c r="AM25" s="147">
        <v>46251.354907407411</v>
      </c>
      <c r="AN25" s="137">
        <v>0</v>
      </c>
      <c r="AO25" s="137">
        <v>46252.352175925924</v>
      </c>
      <c r="AP25" s="137">
        <v>0</v>
      </c>
      <c r="AQ25" s="137">
        <v>46253.352743055555</v>
      </c>
      <c r="AR25" s="137">
        <v>0</v>
      </c>
      <c r="AS25" s="137">
        <v>46254.353101851855</v>
      </c>
      <c r="AT25" s="137">
        <v>0</v>
      </c>
      <c r="AU25" s="137">
        <v>46255.578449074077</v>
      </c>
      <c r="AV25" s="137">
        <v>0</v>
      </c>
      <c r="AW25" s="137">
        <v>46256.350462962961</v>
      </c>
      <c r="AX25" s="137">
        <v>0</v>
      </c>
      <c r="AY25" s="137">
        <v>46257.351134259261</v>
      </c>
      <c r="AZ25" s="137">
        <v>0</v>
      </c>
      <c r="BA25" s="137">
        <v>0</v>
      </c>
      <c r="BB25" s="137">
        <v>0</v>
      </c>
      <c r="BC25" s="137">
        <v>46259.352511574078</v>
      </c>
      <c r="BD25" s="137">
        <v>0</v>
      </c>
      <c r="BE25" s="137">
        <v>46260.371932870374</v>
      </c>
      <c r="BF25" s="137">
        <v>0</v>
      </c>
      <c r="BG25" s="137">
        <v>46261.352569444447</v>
      </c>
      <c r="BH25" s="137">
        <v>0</v>
      </c>
      <c r="BI25" s="137">
        <v>46262.575428240743</v>
      </c>
      <c r="BJ25" s="137">
        <v>0</v>
      </c>
      <c r="BK25" s="137">
        <v>46263.351215277777</v>
      </c>
      <c r="BL25" s="137">
        <v>0</v>
      </c>
      <c r="BM25" s="137">
        <v>46264.352951388886</v>
      </c>
      <c r="BN25" s="137">
        <v>46264.958518518521</v>
      </c>
      <c r="BO25" s="137">
        <v>46265.351550925923</v>
      </c>
      <c r="BP25" s="137">
        <v>0</v>
      </c>
      <c r="BQ25" s="99">
        <f t="shared" si="0"/>
        <v>31</v>
      </c>
      <c r="BR25" s="68">
        <v>4</v>
      </c>
      <c r="BS25" s="1">
        <f t="shared" si="2"/>
        <v>31</v>
      </c>
      <c r="BT25" s="2">
        <f t="shared" si="3"/>
        <v>0</v>
      </c>
      <c r="BU25" s="2">
        <f t="shared" si="4"/>
        <v>0</v>
      </c>
      <c r="BV25" s="2">
        <f t="shared" si="5"/>
        <v>0</v>
      </c>
      <c r="BW25" s="2">
        <f t="shared" si="6"/>
        <v>0</v>
      </c>
      <c r="BX25" s="2">
        <f t="shared" si="7"/>
        <v>0</v>
      </c>
      <c r="BY25" s="2">
        <f t="shared" si="8"/>
        <v>0</v>
      </c>
      <c r="BZ25" s="2">
        <f t="shared" si="9"/>
        <v>0</v>
      </c>
      <c r="CA25" s="2">
        <f t="shared" si="10"/>
        <v>0</v>
      </c>
      <c r="CB25" s="2">
        <f t="shared" si="11"/>
        <v>0</v>
      </c>
      <c r="CC25" s="2">
        <f t="shared" si="12"/>
        <v>0</v>
      </c>
      <c r="CD25" s="2">
        <f t="shared" si="13"/>
        <v>0</v>
      </c>
      <c r="CE25" s="71"/>
      <c r="CG25" s="54">
        <v>0</v>
      </c>
      <c r="CH25" s="54">
        <v>0</v>
      </c>
      <c r="CI25" s="55">
        <v>49</v>
      </c>
      <c r="CJ25" s="54">
        <v>0</v>
      </c>
      <c r="CK25" s="54">
        <v>0</v>
      </c>
      <c r="CL25" s="54">
        <v>0</v>
      </c>
      <c r="CM25" s="54">
        <v>0</v>
      </c>
      <c r="CN25" s="54">
        <v>0</v>
      </c>
      <c r="CO25" s="54">
        <v>0</v>
      </c>
      <c r="CP25" s="54">
        <v>0</v>
      </c>
      <c r="CQ25" s="56">
        <f t="shared" si="15"/>
        <v>49</v>
      </c>
    </row>
    <row r="26" spans="1:95" ht="21" customHeight="1" x14ac:dyDescent="0.25">
      <c r="A26" s="179">
        <v>22</v>
      </c>
      <c r="B26" s="11" t="s">
        <v>212</v>
      </c>
      <c r="C26" s="8" t="s">
        <v>245</v>
      </c>
      <c r="D26" s="107"/>
      <c r="E26" s="137">
        <v>711</v>
      </c>
      <c r="F26" s="137">
        <v>46235.980543981481</v>
      </c>
      <c r="G26" s="174" t="s">
        <v>16</v>
      </c>
      <c r="H26" s="174" t="s">
        <v>16</v>
      </c>
      <c r="I26" s="137">
        <v>46237.351863425924</v>
      </c>
      <c r="J26" s="137">
        <v>46237.970069444447</v>
      </c>
      <c r="K26" s="137">
        <v>46238.348344907405</v>
      </c>
      <c r="L26" s="137">
        <v>46238.948368055557</v>
      </c>
      <c r="M26" s="137">
        <v>46239.351226851853</v>
      </c>
      <c r="N26" s="137">
        <v>46239.966782407406</v>
      </c>
      <c r="O26" s="137">
        <v>46240.352060185185</v>
      </c>
      <c r="P26" s="137">
        <v>46240.97247685185</v>
      </c>
      <c r="Q26" s="137">
        <v>46241.573888888888</v>
      </c>
      <c r="R26" s="137">
        <v>46241.945370370369</v>
      </c>
      <c r="S26" s="137">
        <v>46242.352060185185</v>
      </c>
      <c r="T26" s="137">
        <v>46242.989374999997</v>
      </c>
      <c r="U26" s="137">
        <v>46243.35328703704</v>
      </c>
      <c r="V26" s="137">
        <v>46243.938576388886</v>
      </c>
      <c r="W26" s="137">
        <v>46244.354085648149</v>
      </c>
      <c r="X26" s="137">
        <v>46244.969178240739</v>
      </c>
      <c r="Y26" s="137">
        <v>46245.352465277778</v>
      </c>
      <c r="Z26" s="137">
        <v>46245.94263888889</v>
      </c>
      <c r="AA26" s="137">
        <v>46246.352893518517</v>
      </c>
      <c r="AB26" s="137">
        <v>1</v>
      </c>
      <c r="AC26" s="137">
        <v>46247.353414351855</v>
      </c>
      <c r="AD26" s="137">
        <v>46247.983506944445</v>
      </c>
      <c r="AE26" s="141" t="s">
        <v>15</v>
      </c>
      <c r="AF26" s="141" t="s">
        <v>15</v>
      </c>
      <c r="AG26" s="137">
        <v>46249.353078703702</v>
      </c>
      <c r="AH26" s="137">
        <v>46249.973530092589</v>
      </c>
      <c r="AI26" s="137"/>
      <c r="AJ26" s="45">
        <v>22</v>
      </c>
      <c r="AK26" s="137">
        <v>46250.353877314818</v>
      </c>
      <c r="AL26" s="137">
        <v>0</v>
      </c>
      <c r="AM26" s="137">
        <v>46251.353310185186</v>
      </c>
      <c r="AN26" s="137">
        <v>46251.938576388886</v>
      </c>
      <c r="AO26" s="137">
        <v>46252.350821759261</v>
      </c>
      <c r="AP26" s="137">
        <v>46252.946921296294</v>
      </c>
      <c r="AQ26" s="137">
        <v>46253.352685185186</v>
      </c>
      <c r="AR26" s="137">
        <v>46254.005219907405</v>
      </c>
      <c r="AS26" s="137">
        <v>46254.353449074071</v>
      </c>
      <c r="AT26" s="137">
        <v>46254.95380787037</v>
      </c>
      <c r="AU26" s="137">
        <v>46255.580787037034</v>
      </c>
      <c r="AV26" s="137">
        <v>46255.938854166663</v>
      </c>
      <c r="AW26" s="137">
        <v>46256.35255787037</v>
      </c>
      <c r="AX26" s="137">
        <v>46256.959305555552</v>
      </c>
      <c r="AY26" s="137">
        <v>46257.351365740738</v>
      </c>
      <c r="AZ26" s="137">
        <v>46257.939456018517</v>
      </c>
      <c r="BA26" s="137">
        <v>0</v>
      </c>
      <c r="BB26" s="137">
        <v>46258.956400462965</v>
      </c>
      <c r="BC26" s="137">
        <v>46259.333877314813</v>
      </c>
      <c r="BD26" s="137">
        <v>46259.94190972222</v>
      </c>
      <c r="BE26" s="137">
        <v>46260.33971064815</v>
      </c>
      <c r="BF26" s="137">
        <v>46260.974131944444</v>
      </c>
      <c r="BG26" s="137">
        <v>46261.351157407407</v>
      </c>
      <c r="BH26" s="137">
        <v>46261.957650462966</v>
      </c>
      <c r="BI26" s="141" t="s">
        <v>15</v>
      </c>
      <c r="BJ26" s="141" t="s">
        <v>15</v>
      </c>
      <c r="BK26" s="137">
        <v>46263.350011574075</v>
      </c>
      <c r="BL26" s="137">
        <v>46263.964085648149</v>
      </c>
      <c r="BM26" s="137">
        <v>46264.351018518515</v>
      </c>
      <c r="BN26" s="137">
        <v>46264.954143518517</v>
      </c>
      <c r="BO26" s="137">
        <v>46265.353182870371</v>
      </c>
      <c r="BP26" s="137">
        <v>46265.954699074071</v>
      </c>
      <c r="BQ26" s="99">
        <f t="shared" si="0"/>
        <v>31</v>
      </c>
      <c r="BR26" s="68">
        <v>2</v>
      </c>
      <c r="BS26" s="1">
        <f t="shared" si="2"/>
        <v>28</v>
      </c>
      <c r="BT26" s="2">
        <f t="shared" si="3"/>
        <v>2</v>
      </c>
      <c r="BU26" s="2">
        <f t="shared" si="4"/>
        <v>1</v>
      </c>
      <c r="BV26" s="2">
        <f t="shared" si="5"/>
        <v>0</v>
      </c>
      <c r="BW26" s="2">
        <f t="shared" si="6"/>
        <v>0</v>
      </c>
      <c r="BX26" s="2">
        <f t="shared" si="7"/>
        <v>0</v>
      </c>
      <c r="BY26" s="2">
        <f t="shared" si="8"/>
        <v>0</v>
      </c>
      <c r="BZ26" s="2">
        <f t="shared" si="9"/>
        <v>0</v>
      </c>
      <c r="CA26" s="2">
        <f t="shared" si="10"/>
        <v>0</v>
      </c>
      <c r="CB26" s="2">
        <f t="shared" si="11"/>
        <v>0</v>
      </c>
      <c r="CC26" s="2">
        <f t="shared" si="12"/>
        <v>0</v>
      </c>
      <c r="CD26" s="2">
        <f t="shared" si="13"/>
        <v>0</v>
      </c>
      <c r="CE26" s="71"/>
      <c r="CG26" s="54">
        <v>0</v>
      </c>
      <c r="CH26" s="54">
        <v>0</v>
      </c>
      <c r="CI26" s="54">
        <v>30</v>
      </c>
      <c r="CJ26" s="54">
        <v>0</v>
      </c>
      <c r="CK26" s="54">
        <v>0</v>
      </c>
      <c r="CL26" s="54">
        <v>0</v>
      </c>
      <c r="CM26" s="54">
        <v>0</v>
      </c>
      <c r="CN26" s="54">
        <v>0</v>
      </c>
      <c r="CO26" s="54">
        <v>40</v>
      </c>
      <c r="CP26" s="54">
        <v>0</v>
      </c>
      <c r="CQ26" s="56">
        <f t="shared" si="15"/>
        <v>70</v>
      </c>
    </row>
    <row r="27" spans="1:95" ht="22.5" customHeight="1" x14ac:dyDescent="0.25">
      <c r="A27" s="179">
        <v>23</v>
      </c>
      <c r="B27" s="45" t="s">
        <v>235</v>
      </c>
      <c r="C27" s="73" t="s">
        <v>236</v>
      </c>
      <c r="D27" s="88">
        <v>46083</v>
      </c>
      <c r="E27" s="137">
        <v>46235.332650462966</v>
      </c>
      <c r="F27" s="137">
        <v>46235.975127314814</v>
      </c>
      <c r="G27" s="137">
        <v>46236.332499999997</v>
      </c>
      <c r="H27" s="137">
        <v>46236.949247685188</v>
      </c>
      <c r="I27" s="137">
        <v>46237.343935185185</v>
      </c>
      <c r="J27" s="137">
        <v>46237.960520833331</v>
      </c>
      <c r="K27" s="137">
        <v>46238.344849537039</v>
      </c>
      <c r="L27" s="137">
        <v>46238.957326388889</v>
      </c>
      <c r="M27" s="137">
        <v>46239.344189814816</v>
      </c>
      <c r="N27" s="137">
        <v>46239.95516203704</v>
      </c>
      <c r="O27" s="137">
        <v>46240.341782407406</v>
      </c>
      <c r="P27" s="137">
        <v>46240.982546296298</v>
      </c>
      <c r="Q27" s="141" t="s">
        <v>15</v>
      </c>
      <c r="R27" s="141" t="s">
        <v>15</v>
      </c>
      <c r="S27" s="137">
        <v>46242.344351851854</v>
      </c>
      <c r="T27" s="137">
        <v>46242.973414351851</v>
      </c>
      <c r="U27" s="137">
        <v>46243.341215277775</v>
      </c>
      <c r="V27" s="137">
        <v>46243.965266203704</v>
      </c>
      <c r="W27" s="137">
        <v>46244.341967592591</v>
      </c>
      <c r="X27" s="137">
        <v>46244.977719907409</v>
      </c>
      <c r="Y27" s="137">
        <v>46245.341423611113</v>
      </c>
      <c r="Z27" s="137">
        <v>46245.961006944446</v>
      </c>
      <c r="AA27" s="137">
        <v>46246.342835648145</v>
      </c>
      <c r="AB27" s="137">
        <v>46246.969375000001</v>
      </c>
      <c r="AC27" s="137">
        <v>46247.342777777776</v>
      </c>
      <c r="AD27" s="137">
        <v>46247.984305555554</v>
      </c>
      <c r="AE27" s="137">
        <v>46248.569224537037</v>
      </c>
      <c r="AF27" s="137">
        <v>46248.956712962965</v>
      </c>
      <c r="AG27" s="137">
        <v>46249.340462962966</v>
      </c>
      <c r="AH27" s="137">
        <v>46249.973449074074</v>
      </c>
      <c r="AI27" s="137"/>
      <c r="AJ27" s="45">
        <v>23</v>
      </c>
      <c r="AK27" s="137">
        <v>46250.34</v>
      </c>
      <c r="AL27" s="137">
        <v>46262.948634259257</v>
      </c>
      <c r="AM27" s="137">
        <v>46251.338159722225</v>
      </c>
      <c r="AN27" s="137">
        <v>46251.958761574075</v>
      </c>
      <c r="AO27" s="137">
        <v>46252.334965277776</v>
      </c>
      <c r="AP27" s="137">
        <v>46252.960185185184</v>
      </c>
      <c r="AQ27" s="137">
        <v>46253.340682870374</v>
      </c>
      <c r="AR27" s="137">
        <v>46253.956354166665</v>
      </c>
      <c r="AS27" s="137">
        <v>46254.339594907404</v>
      </c>
      <c r="AT27" s="137">
        <v>46254.974340277775</v>
      </c>
      <c r="AU27" s="141" t="s">
        <v>15</v>
      </c>
      <c r="AV27" s="141" t="s">
        <v>15</v>
      </c>
      <c r="AW27" s="137">
        <v>46256.329363425924</v>
      </c>
      <c r="AX27" s="137">
        <v>46256.9687962963</v>
      </c>
      <c r="AY27" s="137">
        <v>46257.339282407411</v>
      </c>
      <c r="AZ27" s="137">
        <v>46257.954375000001</v>
      </c>
      <c r="BA27" s="137">
        <v>46258.349791666667</v>
      </c>
      <c r="BB27" s="137">
        <v>46258.956342592595</v>
      </c>
      <c r="BC27" s="137">
        <v>46259.349270833336</v>
      </c>
      <c r="BD27" s="137">
        <v>46259.963634259257</v>
      </c>
      <c r="BE27" s="137">
        <v>46260.349733796298</v>
      </c>
      <c r="BF27" s="137">
        <v>46260.954062500001</v>
      </c>
      <c r="BG27" s="137">
        <v>46261.34034722222</v>
      </c>
      <c r="BH27" s="137">
        <v>46261.974641203706</v>
      </c>
      <c r="BI27" s="137">
        <v>0</v>
      </c>
      <c r="BJ27" s="137">
        <v>46262.948634259257</v>
      </c>
      <c r="BK27" s="137">
        <v>46263.337129629632</v>
      </c>
      <c r="BL27" s="137">
        <v>46263.994085648148</v>
      </c>
      <c r="BM27" s="137">
        <v>46264.342129629629</v>
      </c>
      <c r="BN27" s="137">
        <v>46264.956134259257</v>
      </c>
      <c r="BO27" s="137">
        <v>46265.340115740742</v>
      </c>
      <c r="BP27" s="137">
        <v>46265.957013888888</v>
      </c>
      <c r="BQ27" s="99">
        <f t="shared" si="0"/>
        <v>31</v>
      </c>
      <c r="BR27" s="68">
        <v>2</v>
      </c>
      <c r="BS27" s="1">
        <f>COUNT(E27:AH27)/2+COUNT(AK27:BP27)/2</f>
        <v>29</v>
      </c>
      <c r="BT27" s="2">
        <f t="shared" si="3"/>
        <v>2</v>
      </c>
      <c r="BU27" s="2">
        <f t="shared" si="4"/>
        <v>0</v>
      </c>
      <c r="BV27" s="2">
        <f t="shared" si="5"/>
        <v>0</v>
      </c>
      <c r="BW27" s="2">
        <f t="shared" si="6"/>
        <v>0</v>
      </c>
      <c r="BX27" s="2">
        <f t="shared" si="7"/>
        <v>0</v>
      </c>
      <c r="BY27" s="2">
        <f t="shared" si="8"/>
        <v>0</v>
      </c>
      <c r="BZ27" s="2">
        <f t="shared" si="9"/>
        <v>0</v>
      </c>
      <c r="CA27" s="2">
        <f t="shared" si="10"/>
        <v>0</v>
      </c>
      <c r="CB27" s="2">
        <f t="shared" si="11"/>
        <v>0</v>
      </c>
      <c r="CC27" s="2">
        <f t="shared" si="12"/>
        <v>0</v>
      </c>
      <c r="CD27" s="2">
        <f t="shared" si="13"/>
        <v>0</v>
      </c>
      <c r="CE27" s="71"/>
      <c r="CG27" s="67">
        <v>0</v>
      </c>
      <c r="CH27" s="67">
        <v>0</v>
      </c>
      <c r="CI27" s="67">
        <v>0</v>
      </c>
      <c r="CJ27" s="67">
        <v>0</v>
      </c>
      <c r="CK27" s="67">
        <v>0</v>
      </c>
      <c r="CL27" s="67">
        <v>1</v>
      </c>
      <c r="CM27" s="67">
        <v>0</v>
      </c>
      <c r="CN27" s="67">
        <v>0</v>
      </c>
      <c r="CO27" s="67">
        <v>0</v>
      </c>
      <c r="CP27" s="67">
        <v>0</v>
      </c>
      <c r="CQ27" s="56">
        <f t="shared" si="15"/>
        <v>1</v>
      </c>
    </row>
    <row r="28" spans="1:95" x14ac:dyDescent="0.25">
      <c r="BS28" s="105"/>
      <c r="BT28" s="106"/>
      <c r="BU28" s="106"/>
      <c r="BV28" s="106"/>
      <c r="BW28" s="106"/>
      <c r="BX28" s="106"/>
      <c r="BY28" s="106"/>
      <c r="BZ28" s="106"/>
      <c r="CA28" s="106"/>
      <c r="CB28" s="106"/>
      <c r="CC28" s="106"/>
      <c r="CD28" s="106"/>
    </row>
    <row r="30" spans="1:95" ht="15.75" x14ac:dyDescent="0.25">
      <c r="E30" s="16"/>
      <c r="F30" s="17" t="s">
        <v>62</v>
      </c>
      <c r="G30" s="18"/>
      <c r="H30" s="17"/>
      <c r="I30" s="19"/>
      <c r="L30" s="19"/>
      <c r="M30" s="20"/>
      <c r="N30" s="21"/>
      <c r="O30" s="21"/>
      <c r="P30" s="22" t="s">
        <v>63</v>
      </c>
      <c r="Q30" s="22"/>
      <c r="R30" s="20"/>
      <c r="S30" s="20"/>
      <c r="T30" s="20"/>
      <c r="U30" s="20"/>
      <c r="V30" s="20" t="s">
        <v>64</v>
      </c>
      <c r="W30" s="20"/>
      <c r="X30" s="20"/>
      <c r="Y30" s="20"/>
      <c r="Z30" s="22" t="s">
        <v>65</v>
      </c>
      <c r="AA30" s="20"/>
      <c r="BR30" s="35" t="s">
        <v>73</v>
      </c>
      <c r="BS30" s="36"/>
      <c r="BT30" s="36"/>
      <c r="BU30" s="37" t="s">
        <v>17</v>
      </c>
      <c r="BV30" s="38"/>
      <c r="BW30" s="43" t="s">
        <v>74</v>
      </c>
      <c r="BX30" s="44"/>
      <c r="BY30" s="44"/>
      <c r="BZ30" s="41"/>
      <c r="CA30" s="42" t="s">
        <v>23</v>
      </c>
    </row>
    <row r="31" spans="1:95" ht="23.25" customHeight="1" x14ac:dyDescent="0.25">
      <c r="E31" s="23"/>
      <c r="F31" s="19"/>
      <c r="G31" s="19"/>
      <c r="H31" s="19"/>
      <c r="I31" s="19"/>
      <c r="L31" s="19"/>
      <c r="M31" s="19"/>
      <c r="N31" s="24"/>
      <c r="O31" s="24"/>
      <c r="P31" s="24"/>
      <c r="Q31" s="19"/>
      <c r="R31" s="19"/>
      <c r="S31" s="19"/>
      <c r="T31" s="25"/>
      <c r="U31" s="25"/>
      <c r="V31" s="25"/>
      <c r="W31" s="25"/>
      <c r="X31" s="25"/>
      <c r="Y31" s="25"/>
      <c r="Z31" s="26"/>
      <c r="AA31" s="26"/>
      <c r="BR31" s="35" t="s">
        <v>75</v>
      </c>
      <c r="BS31" s="36"/>
      <c r="BT31" s="36"/>
      <c r="BU31" s="37" t="s">
        <v>18</v>
      </c>
      <c r="BV31" s="38"/>
      <c r="BW31" s="39" t="s">
        <v>76</v>
      </c>
      <c r="BX31" s="40"/>
      <c r="BY31" s="40"/>
      <c r="BZ31" s="41"/>
      <c r="CA31" s="42" t="s">
        <v>24</v>
      </c>
    </row>
    <row r="32" spans="1:95" ht="17.25" x14ac:dyDescent="0.25">
      <c r="E32" s="23"/>
      <c r="F32" s="27"/>
      <c r="G32" s="19"/>
      <c r="H32" s="27"/>
      <c r="I32" s="19"/>
      <c r="L32" s="19"/>
      <c r="M32" s="27" t="s">
        <v>64</v>
      </c>
      <c r="N32" s="28"/>
      <c r="O32" s="28"/>
      <c r="P32" s="24"/>
      <c r="Q32" s="19"/>
      <c r="R32" s="27"/>
      <c r="S32" s="27"/>
      <c r="T32" s="20"/>
      <c r="U32" s="19"/>
      <c r="V32" s="19"/>
      <c r="W32" s="19"/>
      <c r="X32" s="19"/>
      <c r="Y32" s="19"/>
      <c r="Z32" s="29"/>
      <c r="AA32" s="29"/>
      <c r="BR32" s="35" t="s">
        <v>77</v>
      </c>
      <c r="BS32" s="36"/>
      <c r="BT32" s="36"/>
      <c r="BU32" s="37" t="s">
        <v>19</v>
      </c>
      <c r="BV32" s="38"/>
      <c r="BW32" s="39" t="s">
        <v>78</v>
      </c>
      <c r="BX32" s="40"/>
      <c r="BY32" s="40"/>
      <c r="BZ32" s="41"/>
      <c r="CA32" s="42" t="s">
        <v>25</v>
      </c>
    </row>
    <row r="33" spans="1:95" ht="17.25" x14ac:dyDescent="0.25">
      <c r="E33" s="30"/>
      <c r="F33" s="27"/>
      <c r="G33" s="19"/>
      <c r="H33" s="27"/>
      <c r="I33" s="19"/>
      <c r="L33" s="19"/>
      <c r="M33" s="27"/>
      <c r="N33" s="28"/>
      <c r="O33" s="28"/>
      <c r="P33" s="24"/>
      <c r="Q33" s="20"/>
      <c r="R33" s="27"/>
      <c r="S33" s="27"/>
      <c r="T33" s="20"/>
      <c r="U33" s="19"/>
      <c r="V33" s="19"/>
      <c r="W33" s="19"/>
      <c r="X33" s="19"/>
      <c r="Y33" s="19"/>
      <c r="Z33" s="29"/>
      <c r="AA33" s="29"/>
      <c r="BR33" s="35" t="s">
        <v>79</v>
      </c>
      <c r="BS33" s="36"/>
      <c r="BT33" s="36"/>
      <c r="BU33" s="37" t="s">
        <v>20</v>
      </c>
      <c r="BV33" s="38"/>
      <c r="BW33" s="38"/>
      <c r="BX33" s="38"/>
      <c r="BY33" s="38"/>
      <c r="BZ33" s="38"/>
      <c r="CA33" s="38"/>
    </row>
    <row r="34" spans="1:95" ht="17.25" x14ac:dyDescent="0.25">
      <c r="E34" s="207" t="s">
        <v>274</v>
      </c>
      <c r="F34" s="207"/>
      <c r="G34" s="207"/>
      <c r="H34" s="31"/>
      <c r="I34" s="19"/>
      <c r="L34" s="19"/>
      <c r="M34" s="27"/>
      <c r="N34" s="24"/>
      <c r="O34" s="28"/>
      <c r="P34" s="18" t="s">
        <v>66</v>
      </c>
      <c r="Q34" s="19"/>
      <c r="R34" s="27"/>
      <c r="S34" s="20"/>
      <c r="T34" s="19"/>
      <c r="U34" s="19"/>
      <c r="V34" s="19"/>
      <c r="W34" s="19"/>
      <c r="X34" s="19"/>
      <c r="Y34" s="19"/>
      <c r="Z34" s="18" t="s">
        <v>67</v>
      </c>
      <c r="AA34" s="29"/>
    </row>
    <row r="35" spans="1:95" ht="17.25" x14ac:dyDescent="0.25">
      <c r="E35" s="207" t="s">
        <v>68</v>
      </c>
      <c r="F35" s="207"/>
      <c r="G35" s="207"/>
      <c r="H35" s="30"/>
      <c r="I35" s="19"/>
      <c r="L35" s="19"/>
      <c r="M35" s="18"/>
      <c r="N35" s="33"/>
      <c r="O35" s="33"/>
      <c r="P35" s="18" t="s">
        <v>69</v>
      </c>
      <c r="Q35" s="18"/>
      <c r="R35" s="18"/>
      <c r="S35" s="20"/>
      <c r="T35" s="18"/>
      <c r="U35" s="19"/>
      <c r="V35" s="19"/>
      <c r="W35" s="19"/>
      <c r="X35" s="19"/>
      <c r="Y35" s="19"/>
      <c r="Z35" s="18" t="s">
        <v>70</v>
      </c>
      <c r="AA35" s="29"/>
    </row>
    <row r="36" spans="1:95" ht="15.75" x14ac:dyDescent="0.25"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34"/>
      <c r="Y36" s="34"/>
    </row>
    <row r="37" spans="1:95" ht="25.5" customHeight="1" x14ac:dyDescent="0.25">
      <c r="A37" s="238" t="s">
        <v>264</v>
      </c>
      <c r="B37" s="239"/>
      <c r="C37" s="239"/>
      <c r="D37" s="239"/>
      <c r="E37" s="239"/>
      <c r="F37" s="239"/>
      <c r="G37" s="239"/>
      <c r="H37" s="239"/>
      <c r="I37" s="239"/>
      <c r="J37" s="239"/>
      <c r="K37" s="239"/>
      <c r="L37" s="239"/>
      <c r="M37" s="239"/>
      <c r="N37" s="239"/>
      <c r="O37" s="239"/>
      <c r="P37" s="239"/>
      <c r="Q37" s="239"/>
      <c r="R37" s="239"/>
      <c r="S37" s="239"/>
      <c r="T37" s="239"/>
      <c r="U37" s="239"/>
      <c r="V37" s="239"/>
      <c r="W37" s="239"/>
      <c r="X37" s="239"/>
      <c r="Y37" s="239"/>
      <c r="Z37" s="239"/>
      <c r="AA37" s="239"/>
      <c r="AB37" s="239"/>
      <c r="AC37" s="239"/>
      <c r="AD37" s="239"/>
      <c r="AE37" s="239"/>
      <c r="AF37" s="239"/>
      <c r="AG37" s="239"/>
      <c r="AH37" s="240"/>
      <c r="AI37" s="112"/>
      <c r="AJ37" s="217" t="s">
        <v>264</v>
      </c>
      <c r="AK37" s="217"/>
      <c r="AL37" s="217"/>
      <c r="AM37" s="217"/>
      <c r="AN37" s="217"/>
      <c r="AO37" s="217"/>
      <c r="AP37" s="217"/>
      <c r="AQ37" s="217"/>
      <c r="AR37" s="217"/>
      <c r="AS37" s="217"/>
      <c r="AT37" s="217"/>
      <c r="AU37" s="217"/>
      <c r="AV37" s="217"/>
      <c r="AW37" s="217"/>
      <c r="AX37" s="217"/>
      <c r="AY37" s="217"/>
      <c r="AZ37" s="217"/>
      <c r="BA37" s="217"/>
      <c r="BB37" s="217"/>
      <c r="BC37" s="217"/>
      <c r="BD37" s="217"/>
      <c r="BE37" s="217"/>
      <c r="BF37" s="217"/>
      <c r="BG37" s="217"/>
      <c r="BH37" s="217"/>
      <c r="BI37" s="217"/>
      <c r="BJ37" s="217"/>
      <c r="BK37" s="217"/>
      <c r="BL37" s="217"/>
      <c r="BM37" s="217"/>
      <c r="BN37" s="217"/>
      <c r="BO37" s="217"/>
      <c r="BP37" s="217"/>
      <c r="BQ37" s="217"/>
      <c r="BR37" s="217"/>
      <c r="BS37" s="217"/>
      <c r="BT37" s="217"/>
      <c r="BU37" s="217"/>
      <c r="BV37" s="217"/>
      <c r="BW37" s="217"/>
      <c r="BX37" s="217"/>
      <c r="BY37" s="217"/>
      <c r="BZ37" s="217"/>
      <c r="CA37" s="217"/>
      <c r="CB37" s="217"/>
      <c r="CC37" s="217"/>
      <c r="CD37" s="217"/>
      <c r="CE37" s="217"/>
    </row>
    <row r="38" spans="1:95" ht="22.5" customHeight="1" x14ac:dyDescent="0.25">
      <c r="A38" s="231" t="s">
        <v>170</v>
      </c>
      <c r="B38" s="232"/>
      <c r="C38" s="233"/>
      <c r="D38" s="85"/>
      <c r="E38" s="205" t="s">
        <v>4</v>
      </c>
      <c r="F38" s="205"/>
      <c r="G38" s="205" t="s">
        <v>5</v>
      </c>
      <c r="H38" s="205"/>
      <c r="I38" s="205" t="s">
        <v>6</v>
      </c>
      <c r="J38" s="205"/>
      <c r="K38" s="205" t="s">
        <v>7</v>
      </c>
      <c r="L38" s="205"/>
      <c r="M38" s="205" t="s">
        <v>1</v>
      </c>
      <c r="N38" s="205"/>
      <c r="O38" s="205" t="s">
        <v>2</v>
      </c>
      <c r="P38" s="205"/>
      <c r="Q38" s="205" t="s">
        <v>3</v>
      </c>
      <c r="R38" s="205"/>
      <c r="S38" s="205" t="s">
        <v>4</v>
      </c>
      <c r="T38" s="205"/>
      <c r="U38" s="205" t="s">
        <v>5</v>
      </c>
      <c r="V38" s="205"/>
      <c r="W38" s="205" t="s">
        <v>6</v>
      </c>
      <c r="X38" s="205"/>
      <c r="Y38" s="205" t="s">
        <v>7</v>
      </c>
      <c r="Z38" s="205"/>
      <c r="AA38" s="205" t="s">
        <v>1</v>
      </c>
      <c r="AB38" s="205"/>
      <c r="AC38" s="205" t="s">
        <v>2</v>
      </c>
      <c r="AD38" s="205"/>
      <c r="AE38" s="205" t="s">
        <v>3</v>
      </c>
      <c r="AF38" s="205"/>
      <c r="AG38" s="205" t="s">
        <v>4</v>
      </c>
      <c r="AH38" s="205"/>
      <c r="AI38" s="113"/>
      <c r="AJ38" s="133"/>
      <c r="AK38" s="205" t="s">
        <v>5</v>
      </c>
      <c r="AL38" s="206"/>
      <c r="AM38" s="205" t="s">
        <v>6</v>
      </c>
      <c r="AN38" s="206"/>
      <c r="AO38" s="205" t="s">
        <v>7</v>
      </c>
      <c r="AP38" s="206"/>
      <c r="AQ38" s="205" t="s">
        <v>1</v>
      </c>
      <c r="AR38" s="206"/>
      <c r="AS38" s="205" t="s">
        <v>2</v>
      </c>
      <c r="AT38" s="206"/>
      <c r="AU38" s="205" t="s">
        <v>3</v>
      </c>
      <c r="AV38" s="206"/>
      <c r="AW38" s="205" t="s">
        <v>4</v>
      </c>
      <c r="AX38" s="206"/>
      <c r="AY38" s="205" t="s">
        <v>5</v>
      </c>
      <c r="AZ38" s="206"/>
      <c r="BA38" s="205" t="s">
        <v>6</v>
      </c>
      <c r="BB38" s="206"/>
      <c r="BC38" s="205" t="s">
        <v>7</v>
      </c>
      <c r="BD38" s="206"/>
      <c r="BE38" s="205" t="s">
        <v>1</v>
      </c>
      <c r="BF38" s="206"/>
      <c r="BG38" s="205" t="s">
        <v>2</v>
      </c>
      <c r="BH38" s="206"/>
      <c r="BI38" s="205" t="s">
        <v>3</v>
      </c>
      <c r="BJ38" s="206"/>
      <c r="BK38" s="205" t="s">
        <v>4</v>
      </c>
      <c r="BL38" s="206"/>
      <c r="BM38" s="205" t="s">
        <v>5</v>
      </c>
      <c r="BN38" s="206"/>
      <c r="BO38" s="205" t="s">
        <v>6</v>
      </c>
      <c r="BP38" s="206"/>
      <c r="BQ38" s="213" t="s">
        <v>8</v>
      </c>
      <c r="BR38" s="225" t="s">
        <v>9</v>
      </c>
      <c r="BS38" s="214"/>
      <c r="BT38" s="215"/>
      <c r="BU38" s="215"/>
      <c r="BV38" s="215"/>
      <c r="BW38" s="215"/>
      <c r="BX38" s="215"/>
      <c r="BY38" s="215"/>
      <c r="BZ38" s="215"/>
      <c r="CA38" s="215"/>
      <c r="CB38" s="215"/>
      <c r="CC38" s="215"/>
      <c r="CD38" s="215"/>
      <c r="CE38" s="216"/>
      <c r="CG38" s="237" t="s">
        <v>191</v>
      </c>
      <c r="CH38" s="237"/>
      <c r="CI38" s="237"/>
      <c r="CJ38" s="237"/>
      <c r="CK38" s="237"/>
      <c r="CL38" s="237"/>
      <c r="CM38" s="237"/>
      <c r="CN38" s="237"/>
      <c r="CO38" s="237"/>
      <c r="CP38" s="237"/>
      <c r="CQ38" s="47"/>
    </row>
    <row r="39" spans="1:95" ht="22.5" customHeight="1" x14ac:dyDescent="0.25">
      <c r="A39" s="234"/>
      <c r="B39" s="235"/>
      <c r="C39" s="236"/>
      <c r="D39" s="85"/>
      <c r="E39" s="201">
        <v>46235</v>
      </c>
      <c r="F39" s="201"/>
      <c r="G39" s="201">
        <v>46236</v>
      </c>
      <c r="H39" s="201"/>
      <c r="I39" s="201">
        <v>46237</v>
      </c>
      <c r="J39" s="201"/>
      <c r="K39" s="201">
        <v>46238</v>
      </c>
      <c r="L39" s="201"/>
      <c r="M39" s="201">
        <v>46239</v>
      </c>
      <c r="N39" s="201"/>
      <c r="O39" s="201">
        <v>46240</v>
      </c>
      <c r="P39" s="201"/>
      <c r="Q39" s="201">
        <v>46241</v>
      </c>
      <c r="R39" s="201"/>
      <c r="S39" s="201">
        <v>46242</v>
      </c>
      <c r="T39" s="201"/>
      <c r="U39" s="201">
        <v>46243</v>
      </c>
      <c r="V39" s="201"/>
      <c r="W39" s="201">
        <v>46244</v>
      </c>
      <c r="X39" s="201"/>
      <c r="Y39" s="201">
        <v>46245</v>
      </c>
      <c r="Z39" s="201"/>
      <c r="AA39" s="201">
        <v>46246</v>
      </c>
      <c r="AB39" s="201"/>
      <c r="AC39" s="201">
        <v>46247</v>
      </c>
      <c r="AD39" s="201"/>
      <c r="AE39" s="201">
        <v>46248</v>
      </c>
      <c r="AF39" s="201"/>
      <c r="AG39" s="201">
        <v>46249</v>
      </c>
      <c r="AH39" s="201"/>
      <c r="AI39" s="114"/>
      <c r="AJ39" s="104"/>
      <c r="AK39" s="201">
        <v>46250</v>
      </c>
      <c r="AL39" s="202"/>
      <c r="AM39" s="201">
        <v>46251</v>
      </c>
      <c r="AN39" s="202"/>
      <c r="AO39" s="201">
        <v>46252</v>
      </c>
      <c r="AP39" s="202"/>
      <c r="AQ39" s="201">
        <v>46253</v>
      </c>
      <c r="AR39" s="202"/>
      <c r="AS39" s="201">
        <v>46254</v>
      </c>
      <c r="AT39" s="202"/>
      <c r="AU39" s="201">
        <v>46255</v>
      </c>
      <c r="AV39" s="202"/>
      <c r="AW39" s="201">
        <v>46256</v>
      </c>
      <c r="AX39" s="202"/>
      <c r="AY39" s="201">
        <v>46257</v>
      </c>
      <c r="AZ39" s="202"/>
      <c r="BA39" s="201">
        <v>46258</v>
      </c>
      <c r="BB39" s="202"/>
      <c r="BC39" s="201">
        <v>46259</v>
      </c>
      <c r="BD39" s="202"/>
      <c r="BE39" s="201">
        <v>46260</v>
      </c>
      <c r="BF39" s="202"/>
      <c r="BG39" s="201">
        <v>46261</v>
      </c>
      <c r="BH39" s="202"/>
      <c r="BI39" s="201">
        <v>46262</v>
      </c>
      <c r="BJ39" s="202"/>
      <c r="BK39" s="201">
        <v>46263</v>
      </c>
      <c r="BL39" s="202"/>
      <c r="BM39" s="201">
        <v>46264</v>
      </c>
      <c r="BN39" s="202"/>
      <c r="BO39" s="201">
        <v>46265</v>
      </c>
      <c r="BP39" s="202"/>
      <c r="BQ39" s="241"/>
      <c r="BR39" s="226"/>
      <c r="BS39" s="62"/>
      <c r="BT39" s="63"/>
      <c r="BU39" s="63"/>
      <c r="BV39" s="63"/>
      <c r="BW39" s="63"/>
      <c r="BX39" s="63"/>
      <c r="BY39" s="63"/>
      <c r="BZ39" s="63"/>
      <c r="CA39" s="63"/>
      <c r="CB39" s="63"/>
      <c r="CC39" s="63"/>
      <c r="CD39" s="63"/>
      <c r="CE39" s="64"/>
      <c r="CG39" s="57" t="s">
        <v>246</v>
      </c>
      <c r="CH39" s="57"/>
      <c r="CI39" s="57"/>
      <c r="CJ39" s="57"/>
      <c r="CK39" s="57"/>
      <c r="CL39" s="57"/>
      <c r="CM39" s="57"/>
      <c r="CN39" s="57"/>
      <c r="CO39" s="57"/>
      <c r="CP39" s="57"/>
      <c r="CQ39" s="47"/>
    </row>
    <row r="40" spans="1:95" ht="20.25" customHeight="1" x14ac:dyDescent="0.25">
      <c r="A40" s="4" t="s">
        <v>10</v>
      </c>
      <c r="B40" s="4" t="s">
        <v>11</v>
      </c>
      <c r="C40" s="4" t="s">
        <v>12</v>
      </c>
      <c r="D40" s="13"/>
      <c r="E40" s="13" t="s">
        <v>13</v>
      </c>
      <c r="F40" s="13" t="s">
        <v>14</v>
      </c>
      <c r="G40" s="13" t="s">
        <v>13</v>
      </c>
      <c r="H40" s="13" t="s">
        <v>14</v>
      </c>
      <c r="I40" s="13" t="s">
        <v>13</v>
      </c>
      <c r="J40" s="13" t="s">
        <v>14</v>
      </c>
      <c r="K40" s="13" t="s">
        <v>13</v>
      </c>
      <c r="L40" s="13" t="s">
        <v>14</v>
      </c>
      <c r="M40" s="13" t="s">
        <v>13</v>
      </c>
      <c r="N40" s="13" t="s">
        <v>14</v>
      </c>
      <c r="O40" s="13" t="s">
        <v>13</v>
      </c>
      <c r="P40" s="13" t="s">
        <v>14</v>
      </c>
      <c r="Q40" s="13" t="s">
        <v>13</v>
      </c>
      <c r="R40" s="13" t="s">
        <v>14</v>
      </c>
      <c r="S40" s="13" t="s">
        <v>13</v>
      </c>
      <c r="T40" s="13" t="s">
        <v>14</v>
      </c>
      <c r="U40" s="13" t="s">
        <v>13</v>
      </c>
      <c r="V40" s="13" t="s">
        <v>14</v>
      </c>
      <c r="W40" s="13" t="s">
        <v>13</v>
      </c>
      <c r="X40" s="13" t="s">
        <v>14</v>
      </c>
      <c r="Y40" s="4" t="s">
        <v>13</v>
      </c>
      <c r="Z40" s="4" t="s">
        <v>14</v>
      </c>
      <c r="AA40" s="4" t="s">
        <v>13</v>
      </c>
      <c r="AB40" s="4" t="s">
        <v>14</v>
      </c>
      <c r="AC40" s="4" t="s">
        <v>13</v>
      </c>
      <c r="AD40" s="4" t="s">
        <v>14</v>
      </c>
      <c r="AE40" s="4" t="s">
        <v>13</v>
      </c>
      <c r="AF40" s="4" t="s">
        <v>14</v>
      </c>
      <c r="AG40" s="4" t="s">
        <v>13</v>
      </c>
      <c r="AH40" s="4" t="s">
        <v>14</v>
      </c>
      <c r="AI40" s="115"/>
      <c r="AJ40" s="4"/>
      <c r="AK40" s="4" t="s">
        <v>13</v>
      </c>
      <c r="AL40" s="4" t="s">
        <v>14</v>
      </c>
      <c r="AM40" s="4" t="s">
        <v>13</v>
      </c>
      <c r="AN40" s="4" t="s">
        <v>14</v>
      </c>
      <c r="AO40" s="4" t="s">
        <v>13</v>
      </c>
      <c r="AP40" s="4" t="s">
        <v>14</v>
      </c>
      <c r="AQ40" s="4" t="s">
        <v>13</v>
      </c>
      <c r="AR40" s="4" t="s">
        <v>14</v>
      </c>
      <c r="AS40" s="4" t="s">
        <v>13</v>
      </c>
      <c r="AT40" s="4" t="s">
        <v>14</v>
      </c>
      <c r="AU40" s="13" t="s">
        <v>13</v>
      </c>
      <c r="AV40" s="13" t="s">
        <v>14</v>
      </c>
      <c r="AW40" s="13" t="s">
        <v>13</v>
      </c>
      <c r="AX40" s="13" t="s">
        <v>14</v>
      </c>
      <c r="AY40" s="13" t="s">
        <v>13</v>
      </c>
      <c r="AZ40" s="13" t="s">
        <v>14</v>
      </c>
      <c r="BA40" s="13" t="s">
        <v>13</v>
      </c>
      <c r="BB40" s="13" t="s">
        <v>14</v>
      </c>
      <c r="BC40" s="13" t="s">
        <v>13</v>
      </c>
      <c r="BD40" s="13" t="s">
        <v>14</v>
      </c>
      <c r="BE40" s="4" t="s">
        <v>13</v>
      </c>
      <c r="BF40" s="4" t="s">
        <v>14</v>
      </c>
      <c r="BG40" s="4" t="s">
        <v>13</v>
      </c>
      <c r="BH40" s="4" t="s">
        <v>14</v>
      </c>
      <c r="BI40" s="4" t="s">
        <v>13</v>
      </c>
      <c r="BJ40" s="4" t="s">
        <v>14</v>
      </c>
      <c r="BK40" s="4" t="s">
        <v>13</v>
      </c>
      <c r="BL40" s="4" t="s">
        <v>14</v>
      </c>
      <c r="BM40" s="4" t="s">
        <v>13</v>
      </c>
      <c r="BN40" s="4" t="s">
        <v>14</v>
      </c>
      <c r="BO40" s="4" t="s">
        <v>13</v>
      </c>
      <c r="BP40" s="4" t="s">
        <v>14</v>
      </c>
      <c r="BQ40" s="241"/>
      <c r="BR40" s="227"/>
      <c r="BS40" s="59"/>
      <c r="BT40" s="92" t="s">
        <v>15</v>
      </c>
      <c r="BU40" s="91" t="s">
        <v>16</v>
      </c>
      <c r="BV40" s="91" t="s">
        <v>17</v>
      </c>
      <c r="BW40" s="89" t="s">
        <v>18</v>
      </c>
      <c r="BX40" s="91" t="s">
        <v>19</v>
      </c>
      <c r="BY40" s="91" t="s">
        <v>20</v>
      </c>
      <c r="BZ40" s="75" t="s">
        <v>171</v>
      </c>
      <c r="CA40" s="60" t="s">
        <v>22</v>
      </c>
      <c r="CB40" s="77" t="s">
        <v>23</v>
      </c>
      <c r="CC40" s="77" t="s">
        <v>24</v>
      </c>
      <c r="CD40" s="77" t="s">
        <v>25</v>
      </c>
      <c r="CE40" s="61" t="s">
        <v>26</v>
      </c>
      <c r="CG40" s="51" t="s">
        <v>16</v>
      </c>
      <c r="CH40" s="52" t="s">
        <v>17</v>
      </c>
      <c r="CI40" s="52" t="s">
        <v>18</v>
      </c>
      <c r="CJ40" s="52" t="s">
        <v>19</v>
      </c>
      <c r="CK40" s="52" t="s">
        <v>20</v>
      </c>
      <c r="CL40" s="52" t="s">
        <v>21</v>
      </c>
      <c r="CM40" s="52" t="s">
        <v>22</v>
      </c>
      <c r="CN40" s="52" t="s">
        <v>23</v>
      </c>
      <c r="CO40" s="52" t="s">
        <v>24</v>
      </c>
      <c r="CP40" s="52" t="s">
        <v>25</v>
      </c>
      <c r="CQ40" s="53" t="s">
        <v>192</v>
      </c>
    </row>
    <row r="41" spans="1:95" ht="21.75" customHeight="1" x14ac:dyDescent="0.25">
      <c r="A41" s="45">
        <v>25</v>
      </c>
      <c r="B41" s="11" t="s">
        <v>80</v>
      </c>
      <c r="C41" s="78" t="s">
        <v>81</v>
      </c>
      <c r="D41" s="88">
        <v>41196</v>
      </c>
      <c r="E41" s="137">
        <v>46235.355347222219</v>
      </c>
      <c r="F41" s="137">
        <v>46235.969270833331</v>
      </c>
      <c r="G41" s="137">
        <v>46236.352060185185</v>
      </c>
      <c r="H41" s="137">
        <v>46236.968865740739</v>
      </c>
      <c r="I41" s="137">
        <v>46237.35496527778</v>
      </c>
      <c r="J41" s="137">
        <v>46237.968958333331</v>
      </c>
      <c r="K41" s="137">
        <v>46238.349641203706</v>
      </c>
      <c r="L41" s="137">
        <v>46238.945173611108</v>
      </c>
      <c r="M41" s="137">
        <v>46239.351145833331</v>
      </c>
      <c r="N41" s="137">
        <v>1</v>
      </c>
      <c r="O41" s="137">
        <v>46240.35260416667</v>
      </c>
      <c r="P41" s="137">
        <v>46240.969814814816</v>
      </c>
      <c r="Q41" s="137">
        <v>46241.578750000001</v>
      </c>
      <c r="R41" s="137">
        <v>46241.935370370367</v>
      </c>
      <c r="S41" s="137">
        <v>46242.350208333337</v>
      </c>
      <c r="T41" s="137">
        <v>46242.979768518519</v>
      </c>
      <c r="U41" s="137">
        <v>46243.352777777778</v>
      </c>
      <c r="V41" s="137">
        <v>1</v>
      </c>
      <c r="W41" s="137">
        <v>46244.352812500001</v>
      </c>
      <c r="X41" s="137">
        <v>1</v>
      </c>
      <c r="Y41" s="137">
        <v>46245.3515162037</v>
      </c>
      <c r="Z41" s="137">
        <v>46245.931087962963</v>
      </c>
      <c r="AA41" s="137">
        <v>46246.35297453704</v>
      </c>
      <c r="AB41" s="137">
        <v>1</v>
      </c>
      <c r="AC41" s="137">
        <v>46247.350335648145</v>
      </c>
      <c r="AD41" s="137">
        <v>46247.962268518517</v>
      </c>
      <c r="AE41" s="141" t="s">
        <v>15</v>
      </c>
      <c r="AF41" s="141" t="s">
        <v>15</v>
      </c>
      <c r="AG41" s="137">
        <v>46249.352025462962</v>
      </c>
      <c r="AH41" s="137">
        <v>46249.965196759258</v>
      </c>
      <c r="AI41" s="116"/>
      <c r="AJ41" s="45">
        <v>25</v>
      </c>
      <c r="AK41" s="137">
        <v>46250.352777777778</v>
      </c>
      <c r="AL41" s="137">
        <v>46250.952303240738</v>
      </c>
      <c r="AM41" s="137">
        <v>46251.35297453704</v>
      </c>
      <c r="AN41" s="137">
        <v>46251.926006944443</v>
      </c>
      <c r="AO41" s="137">
        <v>46252.352905092594</v>
      </c>
      <c r="AP41" s="137">
        <v>46252.943344907406</v>
      </c>
      <c r="AQ41" s="137">
        <v>46253.353587962964</v>
      </c>
      <c r="AR41" s="137">
        <v>46253.990115740744</v>
      </c>
      <c r="AS41" s="137">
        <v>46254.352314814816</v>
      </c>
      <c r="AT41" s="137">
        <v>46254.950567129628</v>
      </c>
      <c r="AU41" s="137">
        <v>46255.581423611111</v>
      </c>
      <c r="AV41" s="137">
        <v>46255.932673611111</v>
      </c>
      <c r="AW41" s="137">
        <v>46254.352314814816</v>
      </c>
      <c r="AX41" s="137">
        <v>46256.942685185182</v>
      </c>
      <c r="AY41" s="137">
        <v>46257.35255787037</v>
      </c>
      <c r="AZ41" s="137">
        <v>46257.932662037034</v>
      </c>
      <c r="BA41" s="137">
        <v>0</v>
      </c>
      <c r="BB41" s="137">
        <v>0</v>
      </c>
      <c r="BC41" s="137">
        <v>46259.353391203702</v>
      </c>
      <c r="BD41" s="137">
        <v>46259.937673611108</v>
      </c>
      <c r="BE41" s="137">
        <v>46260.351550925923</v>
      </c>
      <c r="BF41" s="137">
        <v>46260.946238425924</v>
      </c>
      <c r="BG41" s="137">
        <v>46261.352129629631</v>
      </c>
      <c r="BH41" s="137">
        <v>46261.952685185184</v>
      </c>
      <c r="BI41" s="141" t="s">
        <v>15</v>
      </c>
      <c r="BJ41" s="141" t="s">
        <v>15</v>
      </c>
      <c r="BK41" s="137">
        <v>46263.3515162037</v>
      </c>
      <c r="BL41" s="137">
        <v>46263.959444444445</v>
      </c>
      <c r="BM41" s="137">
        <v>46264.350949074076</v>
      </c>
      <c r="BN41" s="170">
        <v>46264.941041666665</v>
      </c>
      <c r="BO41" s="170">
        <v>46265.352662037039</v>
      </c>
      <c r="BP41" s="170">
        <v>46265.942812499998</v>
      </c>
      <c r="BQ41" s="99">
        <f t="shared" ref="BQ41:BQ104" si="16">BS41+BT41+BV41+CA41+BY41+BZ41+CD41+BU41</f>
        <v>31</v>
      </c>
      <c r="BR41" s="68">
        <v>2</v>
      </c>
      <c r="BS41" s="1">
        <f>COUNT(E41:AH41)/2+COUNT(AK41:BP41)/2</f>
        <v>29</v>
      </c>
      <c r="BT41" s="2">
        <f t="shared" ref="BT41" si="17">COUNTIF(E41:BP41,"OFF")/2</f>
        <v>2</v>
      </c>
      <c r="BU41" s="2">
        <f t="shared" ref="BU41" si="18">COUNTIF(E41:BP41,"MC")/2</f>
        <v>0</v>
      </c>
      <c r="BV41" s="2">
        <f t="shared" ref="BV41" si="19">COUNTIF(E41:BP41,"EL")/2</f>
        <v>0</v>
      </c>
      <c r="BW41" s="2">
        <f t="shared" ref="BW41" si="20">COUNTIF(E41:BP41,"AL")/2</f>
        <v>0</v>
      </c>
      <c r="BX41" s="2">
        <f t="shared" ref="BX41" si="21">COUNTIF(E41:BP41,"SUS")/2</f>
        <v>0</v>
      </c>
      <c r="BY41" s="2">
        <f t="shared" ref="BY41" si="22">COUNTIF(E41:BP41,"FL")/2</f>
        <v>0</v>
      </c>
      <c r="BZ41" s="2">
        <f t="shared" ref="BZ41" si="23">COUNTIF(E41:BP41,"SICK")/2</f>
        <v>0</v>
      </c>
      <c r="CA41" s="2">
        <f t="shared" ref="CA41" si="24">COUNTIF(E41:BP41,"HD")/2</f>
        <v>0</v>
      </c>
      <c r="CB41" s="2">
        <f t="shared" ref="CB41" si="25">COUNTIF(E41:BP41,"AB")/2</f>
        <v>0</v>
      </c>
      <c r="CC41" s="2">
        <f t="shared" ref="CC41" si="26">COUNTIF(E41:BP41,"NL")/2</f>
        <v>0</v>
      </c>
      <c r="CD41" s="2">
        <f t="shared" ref="CD41" si="27">COUNTIF(E41:BP41,"SP")/2</f>
        <v>0</v>
      </c>
      <c r="CE41" s="3"/>
      <c r="CG41" s="123">
        <v>0</v>
      </c>
      <c r="CH41" s="124">
        <v>0</v>
      </c>
      <c r="CI41" s="124">
        <v>0</v>
      </c>
      <c r="CJ41" s="124">
        <v>0</v>
      </c>
      <c r="CK41" s="124">
        <v>1</v>
      </c>
      <c r="CL41" s="124">
        <v>0</v>
      </c>
      <c r="CM41" s="124">
        <v>0</v>
      </c>
      <c r="CN41" s="124">
        <v>0</v>
      </c>
      <c r="CO41" s="124">
        <v>0</v>
      </c>
      <c r="CP41" s="124">
        <v>0</v>
      </c>
      <c r="CQ41" s="125">
        <f t="shared" ref="CQ41:CQ49" si="28">SUM(CG41:CP41)</f>
        <v>1</v>
      </c>
    </row>
    <row r="42" spans="1:95" ht="21.75" customHeight="1" x14ac:dyDescent="0.25">
      <c r="A42" s="45">
        <v>26</v>
      </c>
      <c r="B42" s="11" t="s">
        <v>82</v>
      </c>
      <c r="C42" s="78" t="s">
        <v>83</v>
      </c>
      <c r="D42" s="88">
        <v>43466</v>
      </c>
      <c r="E42" s="137">
        <v>46235.351354166669</v>
      </c>
      <c r="F42" s="137">
        <v>46235.969641203701</v>
      </c>
      <c r="G42" s="137">
        <v>46236.351342592592</v>
      </c>
      <c r="H42" s="137">
        <v>46236.950162037036</v>
      </c>
      <c r="I42" s="137">
        <v>46237.3515162037</v>
      </c>
      <c r="J42" s="137">
        <v>46237.950324074074</v>
      </c>
      <c r="K42" s="137">
        <v>46238.351099537038</v>
      </c>
      <c r="L42" s="137">
        <v>46238.946585648147</v>
      </c>
      <c r="M42" s="137">
        <v>46239.350821759261</v>
      </c>
      <c r="N42" s="137">
        <v>46239.948460648149</v>
      </c>
      <c r="O42" s="137">
        <v>46240.351238425923</v>
      </c>
      <c r="P42" s="137">
        <v>46240.977905092594</v>
      </c>
      <c r="Q42" s="141" t="s">
        <v>15</v>
      </c>
      <c r="R42" s="141" t="s">
        <v>15</v>
      </c>
      <c r="S42" s="137">
        <v>46242.351261574076</v>
      </c>
      <c r="T42" s="137">
        <v>46242.972129629627</v>
      </c>
      <c r="U42" s="137">
        <v>46243.351180555554</v>
      </c>
      <c r="V42" s="137">
        <v>46243.963842592595</v>
      </c>
      <c r="W42" s="137">
        <v>46244.351018518515</v>
      </c>
      <c r="X42" s="137">
        <v>1</v>
      </c>
      <c r="Y42" s="137">
        <v>46245.351168981484</v>
      </c>
      <c r="Z42" s="137">
        <v>46245.949062500003</v>
      </c>
      <c r="AA42" s="137">
        <v>46246.350937499999</v>
      </c>
      <c r="AB42" s="137">
        <v>46246.958622685182</v>
      </c>
      <c r="AC42" s="137">
        <v>46247.350937499999</v>
      </c>
      <c r="AD42" s="137">
        <v>46247.974930555552</v>
      </c>
      <c r="AE42" s="137">
        <v>46248.576828703706</v>
      </c>
      <c r="AF42" s="137">
        <v>46248.9534375</v>
      </c>
      <c r="AG42" s="137">
        <v>46249.351354166669</v>
      </c>
      <c r="AH42" s="137">
        <v>46249.967835648145</v>
      </c>
      <c r="AI42" s="116"/>
      <c r="AJ42" s="45">
        <v>26</v>
      </c>
      <c r="AK42" s="137">
        <v>46250.351724537039</v>
      </c>
      <c r="AL42" s="137">
        <v>0</v>
      </c>
      <c r="AM42" s="137">
        <v>46251.351597222223</v>
      </c>
      <c r="AN42" s="137">
        <v>46251.948067129626</v>
      </c>
      <c r="AO42" s="137">
        <v>46252.351539351854</v>
      </c>
      <c r="AP42" s="137">
        <v>46252.957881944443</v>
      </c>
      <c r="AQ42" s="137">
        <v>46253.351238425923</v>
      </c>
      <c r="AR42" s="137">
        <v>46253.949178240742</v>
      </c>
      <c r="AS42" s="137">
        <v>46254.351319444446</v>
      </c>
      <c r="AT42" s="137">
        <v>46254.966921296298</v>
      </c>
      <c r="AU42" s="141" t="s">
        <v>15</v>
      </c>
      <c r="AV42" s="141" t="s">
        <v>15</v>
      </c>
      <c r="AW42" s="137">
        <v>46256.350810185184</v>
      </c>
      <c r="AX42" s="137">
        <v>46256.963379629633</v>
      </c>
      <c r="AY42" s="137">
        <v>46257.35119212963</v>
      </c>
      <c r="AZ42" s="137">
        <v>46257.948587962965</v>
      </c>
      <c r="BA42" s="137">
        <v>46258.347858796296</v>
      </c>
      <c r="BB42" s="137">
        <v>46258.948738425926</v>
      </c>
      <c r="BC42" s="137">
        <v>46259.351446759261</v>
      </c>
      <c r="BD42" s="137">
        <v>46259.951168981483</v>
      </c>
      <c r="BE42" s="137">
        <v>46260.350891203707</v>
      </c>
      <c r="BF42" s="137">
        <v>46260.951608796298</v>
      </c>
      <c r="BG42" s="137">
        <v>46261.351087962961</v>
      </c>
      <c r="BH42" s="137">
        <v>46261.972743055558</v>
      </c>
      <c r="BI42" s="137">
        <v>46262.579085648147</v>
      </c>
      <c r="BJ42" s="137">
        <v>46262.94767361111</v>
      </c>
      <c r="BK42" s="137">
        <v>46263.351793981485</v>
      </c>
      <c r="BL42" s="137">
        <v>0</v>
      </c>
      <c r="BM42" s="137">
        <v>46264.350775462961</v>
      </c>
      <c r="BN42" s="170">
        <v>46264.979178240741</v>
      </c>
      <c r="BO42" s="170">
        <v>46265.351030092592</v>
      </c>
      <c r="BP42" s="170">
        <v>46265.95103009259</v>
      </c>
      <c r="BQ42" s="99">
        <f t="shared" si="16"/>
        <v>31</v>
      </c>
      <c r="BR42" s="68">
        <v>2</v>
      </c>
      <c r="BS42" s="1">
        <f t="shared" ref="BS42:BS59" si="29">COUNT(E42:AH42)/2+COUNT(AK42:BP42)/2</f>
        <v>29</v>
      </c>
      <c r="BT42" s="2">
        <f t="shared" ref="BT42:BT105" si="30">COUNTIF(E42:BP42,"OFF")/2</f>
        <v>2</v>
      </c>
      <c r="BU42" s="2">
        <f t="shared" ref="BU42:BU105" si="31">COUNTIF(E42:BP42,"MC")/2</f>
        <v>0</v>
      </c>
      <c r="BV42" s="2">
        <f t="shared" ref="BV42:BV105" si="32">COUNTIF(E42:BP42,"EL")/2</f>
        <v>0</v>
      </c>
      <c r="BW42" s="2">
        <f t="shared" ref="BW42:BW105" si="33">COUNTIF(E42:BP42,"AL")/2</f>
        <v>0</v>
      </c>
      <c r="BX42" s="2">
        <f t="shared" ref="BX42:BX105" si="34">COUNTIF(E42:BP42,"SUS")/2</f>
        <v>0</v>
      </c>
      <c r="BY42" s="2">
        <f t="shared" ref="BY42:BY105" si="35">COUNTIF(E42:BP42,"FL")/2</f>
        <v>0</v>
      </c>
      <c r="BZ42" s="2">
        <f t="shared" ref="BZ42:BZ105" si="36">COUNTIF(E42:BP42,"SICK")/2</f>
        <v>0</v>
      </c>
      <c r="CA42" s="2">
        <f t="shared" ref="CA42:CA105" si="37">COUNTIF(E42:BP42,"HD")/2</f>
        <v>0</v>
      </c>
      <c r="CB42" s="2">
        <f t="shared" ref="CB42:CB105" si="38">COUNTIF(E42:BP42,"AB")/2</f>
        <v>0</v>
      </c>
      <c r="CC42" s="2">
        <f t="shared" ref="CC42:CC105" si="39">COUNTIF(E42:BP42,"NL")/2</f>
        <v>0</v>
      </c>
      <c r="CD42" s="2">
        <f t="shared" ref="CD42:CD105" si="40">COUNTIF(E42:BP42,"SP")/2</f>
        <v>0</v>
      </c>
      <c r="CE42" s="3"/>
      <c r="CG42" s="123">
        <v>0</v>
      </c>
      <c r="CH42" s="124">
        <v>0</v>
      </c>
      <c r="CI42" s="124">
        <v>13</v>
      </c>
      <c r="CJ42" s="124">
        <v>0</v>
      </c>
      <c r="CK42" s="124">
        <v>0</v>
      </c>
      <c r="CL42" s="124">
        <v>0</v>
      </c>
      <c r="CM42" s="124">
        <v>0</v>
      </c>
      <c r="CN42" s="124">
        <v>0</v>
      </c>
      <c r="CO42" s="124">
        <v>0</v>
      </c>
      <c r="CP42" s="124">
        <v>0</v>
      </c>
      <c r="CQ42" s="126">
        <f t="shared" si="28"/>
        <v>13</v>
      </c>
    </row>
    <row r="43" spans="1:95" ht="21.75" customHeight="1" x14ac:dyDescent="0.25">
      <c r="A43" s="45">
        <v>27</v>
      </c>
      <c r="B43" s="11" t="s">
        <v>84</v>
      </c>
      <c r="C43" s="8" t="s">
        <v>85</v>
      </c>
      <c r="D43" s="78"/>
      <c r="E43" s="137">
        <v>46235.346979166665</v>
      </c>
      <c r="F43" s="137">
        <v>46235.960532407407</v>
      </c>
      <c r="G43" s="137">
        <v>46236.348495370374</v>
      </c>
      <c r="H43" s="137">
        <v>46236.947581018518</v>
      </c>
      <c r="I43" s="137">
        <v>46237.349710648145</v>
      </c>
      <c r="J43" s="137">
        <v>46237.954351851855</v>
      </c>
      <c r="K43" s="137">
        <v>46238.348067129627</v>
      </c>
      <c r="L43" s="137">
        <v>46238.949872685182</v>
      </c>
      <c r="M43" s="137">
        <v>46239.353368055556</v>
      </c>
      <c r="N43" s="137">
        <v>46239.943715277775</v>
      </c>
      <c r="O43" s="137">
        <v>46240.350312499999</v>
      </c>
      <c r="P43" s="137">
        <v>46240.967962962961</v>
      </c>
      <c r="Q43" s="141" t="s">
        <v>15</v>
      </c>
      <c r="R43" s="141" t="s">
        <v>15</v>
      </c>
      <c r="S43" s="137">
        <v>46242.351203703707</v>
      </c>
      <c r="T43" s="137">
        <v>46242.975162037037</v>
      </c>
      <c r="U43" s="137">
        <v>46243.352881944447</v>
      </c>
      <c r="V43" s="137">
        <v>46243.942418981482</v>
      </c>
      <c r="W43" s="137">
        <v>46244.349791666667</v>
      </c>
      <c r="X43" s="137">
        <v>46244.947557870371</v>
      </c>
      <c r="Y43" s="137">
        <v>46245.351076388892</v>
      </c>
      <c r="Z43" s="137">
        <v>46245.939155092594</v>
      </c>
      <c r="AA43" s="137">
        <v>46246.353935185187</v>
      </c>
      <c r="AB43" s="137">
        <v>46246.957106481481</v>
      </c>
      <c r="AC43" s="137">
        <v>46247.350891203707</v>
      </c>
      <c r="AD43" s="137">
        <v>46247.960231481484</v>
      </c>
      <c r="AE43" s="137">
        <v>46248.582638888889</v>
      </c>
      <c r="AF43" s="137">
        <v>1</v>
      </c>
      <c r="AG43" s="137">
        <v>46249.351307870369</v>
      </c>
      <c r="AH43" s="137">
        <v>46249.964305555557</v>
      </c>
      <c r="AI43" s="116"/>
      <c r="AJ43" s="45">
        <v>27</v>
      </c>
      <c r="AK43" s="137">
        <v>46250.350451388891</v>
      </c>
      <c r="AL43" s="137">
        <v>46250.944155092591</v>
      </c>
      <c r="AM43" s="137">
        <v>46251.349108796298</v>
      </c>
      <c r="AN43" s="137">
        <v>46251.941666666666</v>
      </c>
      <c r="AO43" s="137">
        <v>46252.352465277778</v>
      </c>
      <c r="AP43" s="137">
        <v>46252.941932870373</v>
      </c>
      <c r="AQ43" s="137">
        <v>46253.352777777778</v>
      </c>
      <c r="AR43" s="137">
        <v>46253.951192129629</v>
      </c>
      <c r="AS43" s="137">
        <v>46254.350243055553</v>
      </c>
      <c r="AT43" s="137">
        <v>46254.962395833332</v>
      </c>
      <c r="AU43" s="141" t="s">
        <v>15</v>
      </c>
      <c r="AV43" s="141" t="s">
        <v>15</v>
      </c>
      <c r="AW43" s="137">
        <v>46256.351875</v>
      </c>
      <c r="AX43" s="137">
        <v>46256.944409722222</v>
      </c>
      <c r="AY43" s="137">
        <v>46257.350532407407</v>
      </c>
      <c r="AZ43" s="137">
        <v>46257.938518518517</v>
      </c>
      <c r="BA43" s="137">
        <v>46258.410821759258</v>
      </c>
      <c r="BB43" s="137">
        <v>46258.94394675926</v>
      </c>
      <c r="BC43" s="137">
        <v>46259.348761574074</v>
      </c>
      <c r="BD43" s="137">
        <v>46259.938171296293</v>
      </c>
      <c r="BE43" s="137">
        <v>46260.350995370369</v>
      </c>
      <c r="BF43" s="137">
        <v>46260.958136574074</v>
      </c>
      <c r="BG43" s="137">
        <v>46261.35052083333</v>
      </c>
      <c r="BH43" s="137">
        <v>46261.963125000002</v>
      </c>
      <c r="BI43" s="137">
        <v>0</v>
      </c>
      <c r="BJ43" s="137">
        <v>46262.939849537041</v>
      </c>
      <c r="BK43" s="137">
        <v>46263.351064814815</v>
      </c>
      <c r="BL43" s="137">
        <v>46263.960335648146</v>
      </c>
      <c r="BM43" s="137">
        <v>46264.351261574076</v>
      </c>
      <c r="BN43" s="170">
        <v>46264.971643518518</v>
      </c>
      <c r="BO43" s="170">
        <v>46265.351319444446</v>
      </c>
      <c r="BP43" s="170">
        <v>46265.943564814814</v>
      </c>
      <c r="BQ43" s="99">
        <f t="shared" si="16"/>
        <v>31</v>
      </c>
      <c r="BR43" s="68">
        <v>2</v>
      </c>
      <c r="BS43" s="1">
        <f>COUNT(E43:AH43)/2+COUNT(AK43:BP43)/2</f>
        <v>29</v>
      </c>
      <c r="BT43" s="2">
        <f t="shared" si="30"/>
        <v>2</v>
      </c>
      <c r="BU43" s="2">
        <f t="shared" si="31"/>
        <v>0</v>
      </c>
      <c r="BV43" s="2">
        <f t="shared" si="32"/>
        <v>0</v>
      </c>
      <c r="BW43" s="2">
        <f t="shared" si="33"/>
        <v>0</v>
      </c>
      <c r="BX43" s="2">
        <f t="shared" si="34"/>
        <v>0</v>
      </c>
      <c r="BY43" s="2">
        <f t="shared" si="35"/>
        <v>0</v>
      </c>
      <c r="BZ43" s="2">
        <f t="shared" si="36"/>
        <v>0</v>
      </c>
      <c r="CA43" s="2">
        <f t="shared" si="37"/>
        <v>0</v>
      </c>
      <c r="CB43" s="2">
        <f t="shared" si="38"/>
        <v>0</v>
      </c>
      <c r="CC43" s="2">
        <f t="shared" si="39"/>
        <v>0</v>
      </c>
      <c r="CD43" s="2">
        <f t="shared" si="40"/>
        <v>0</v>
      </c>
      <c r="CE43" s="3"/>
      <c r="CG43" s="55">
        <v>0</v>
      </c>
      <c r="CH43" s="54">
        <v>0</v>
      </c>
      <c r="CI43" s="55">
        <v>4</v>
      </c>
      <c r="CJ43" s="54">
        <v>0</v>
      </c>
      <c r="CK43" s="54">
        <v>0</v>
      </c>
      <c r="CL43" s="55">
        <v>11</v>
      </c>
      <c r="CM43" s="54">
        <v>0</v>
      </c>
      <c r="CN43" s="55">
        <v>2</v>
      </c>
      <c r="CO43" s="54">
        <v>0</v>
      </c>
      <c r="CP43" s="54">
        <v>0</v>
      </c>
      <c r="CQ43" s="127">
        <f t="shared" si="28"/>
        <v>17</v>
      </c>
    </row>
    <row r="44" spans="1:95" ht="21.75" customHeight="1" x14ac:dyDescent="0.25">
      <c r="A44" s="45">
        <v>28</v>
      </c>
      <c r="B44" s="11" t="s">
        <v>197</v>
      </c>
      <c r="C44" s="81" t="s">
        <v>242</v>
      </c>
      <c r="D44" s="88">
        <v>43468</v>
      </c>
      <c r="E44" s="137">
        <v>46235.344259259262</v>
      </c>
      <c r="F44" s="137">
        <v>46235.968819444446</v>
      </c>
      <c r="G44" s="137">
        <v>46236.348738425928</v>
      </c>
      <c r="H44" s="137">
        <v>46236.97216435185</v>
      </c>
      <c r="I44" s="137">
        <v>46237.3437962963</v>
      </c>
      <c r="J44" s="137">
        <v>46237.968414351853</v>
      </c>
      <c r="K44" s="137">
        <v>46238.346539351849</v>
      </c>
      <c r="L44" s="137">
        <v>46238.945972222224</v>
      </c>
      <c r="M44" s="137">
        <v>46239.349351851852</v>
      </c>
      <c r="N44" s="137">
        <v>46239.964641203704</v>
      </c>
      <c r="O44" s="137">
        <v>46240.349780092591</v>
      </c>
      <c r="P44" s="137">
        <v>46240.971331018518</v>
      </c>
      <c r="Q44" s="137">
        <v>46241.580011574071</v>
      </c>
      <c r="R44" s="137">
        <v>46241.942569444444</v>
      </c>
      <c r="S44" s="137">
        <v>46242.348124999997</v>
      </c>
      <c r="T44" s="137">
        <v>46242.97693287037</v>
      </c>
      <c r="U44" s="137">
        <v>46243.348414351851</v>
      </c>
      <c r="V44" s="137">
        <v>46243.937627314815</v>
      </c>
      <c r="W44" s="137">
        <v>46244.345185185186</v>
      </c>
      <c r="X44" s="137">
        <v>46244.959745370368</v>
      </c>
      <c r="Y44" s="137">
        <v>46245.346122685187</v>
      </c>
      <c r="Z44" s="137">
        <v>46245.93582175926</v>
      </c>
      <c r="AA44" s="137">
        <v>46246.348599537036</v>
      </c>
      <c r="AB44" s="137">
        <v>46246.993391203701</v>
      </c>
      <c r="AC44" s="137">
        <v>46247.349131944444</v>
      </c>
      <c r="AD44" s="137">
        <v>46247.960763888892</v>
      </c>
      <c r="AE44" s="141" t="s">
        <v>15</v>
      </c>
      <c r="AF44" s="141" t="s">
        <v>15</v>
      </c>
      <c r="AG44" s="137">
        <v>46249.348645833335</v>
      </c>
      <c r="AH44" s="137">
        <v>46249.959814814814</v>
      </c>
      <c r="AI44" s="116"/>
      <c r="AJ44" s="45">
        <v>28</v>
      </c>
      <c r="AK44" s="144">
        <v>46250.34888888889</v>
      </c>
      <c r="AL44" s="145">
        <v>46250.948518518519</v>
      </c>
      <c r="AM44" s="137">
        <v>46251.348935185182</v>
      </c>
      <c r="AN44" s="137">
        <v>46251.936400462961</v>
      </c>
      <c r="AO44" s="137">
        <v>46252.34920138889</v>
      </c>
      <c r="AP44" s="137">
        <v>46252.941932870373</v>
      </c>
      <c r="AQ44" s="137">
        <v>46253.349282407406</v>
      </c>
      <c r="AR44" s="137">
        <v>46253.9840625</v>
      </c>
      <c r="AS44" s="137">
        <v>46254.349050925928</v>
      </c>
      <c r="AT44" s="137">
        <v>46254.948923611111</v>
      </c>
      <c r="AU44" s="137">
        <v>46255.580185185187</v>
      </c>
      <c r="AV44" s="137">
        <v>46255.932592592595</v>
      </c>
      <c r="AW44" s="137">
        <v>46256.348877314813</v>
      </c>
      <c r="AX44" s="137">
        <v>46256.956469907411</v>
      </c>
      <c r="AY44" s="137">
        <v>46257.349409722221</v>
      </c>
      <c r="AZ44" s="137">
        <v>46257.936782407407</v>
      </c>
      <c r="BA44" s="137">
        <v>0</v>
      </c>
      <c r="BB44" s="137">
        <v>46258.954270833332</v>
      </c>
      <c r="BC44" s="137">
        <v>46259.348611111112</v>
      </c>
      <c r="BD44" s="137">
        <v>46259.937569444446</v>
      </c>
      <c r="BE44" s="137">
        <v>46260.348553240743</v>
      </c>
      <c r="BF44" s="137">
        <v>46260.972569444442</v>
      </c>
      <c r="BG44" s="137">
        <v>46261.348067129627</v>
      </c>
      <c r="BH44" s="137">
        <v>46261.955451388887</v>
      </c>
      <c r="BI44" s="141" t="s">
        <v>15</v>
      </c>
      <c r="BJ44" s="141" t="s">
        <v>15</v>
      </c>
      <c r="BK44" s="137">
        <v>46263.348946759259</v>
      </c>
      <c r="BL44" s="137">
        <v>46263.962048611109</v>
      </c>
      <c r="BM44" s="137">
        <v>46264.349062499998</v>
      </c>
      <c r="BN44" s="170">
        <v>46264.722731481481</v>
      </c>
      <c r="BO44" s="170">
        <v>46265.348171296297</v>
      </c>
      <c r="BP44" s="170">
        <v>46265.943784722222</v>
      </c>
      <c r="BQ44" s="99">
        <f t="shared" si="16"/>
        <v>31</v>
      </c>
      <c r="BR44" s="68">
        <v>2</v>
      </c>
      <c r="BS44" s="1">
        <f t="shared" si="29"/>
        <v>29</v>
      </c>
      <c r="BT44" s="2">
        <f t="shared" si="30"/>
        <v>2</v>
      </c>
      <c r="BU44" s="2">
        <f t="shared" si="31"/>
        <v>0</v>
      </c>
      <c r="BV44" s="2">
        <f t="shared" si="32"/>
        <v>0</v>
      </c>
      <c r="BW44" s="2">
        <f t="shared" si="33"/>
        <v>0</v>
      </c>
      <c r="BX44" s="2">
        <f t="shared" si="34"/>
        <v>0</v>
      </c>
      <c r="BY44" s="2">
        <f t="shared" si="35"/>
        <v>0</v>
      </c>
      <c r="BZ44" s="2">
        <f t="shared" si="36"/>
        <v>0</v>
      </c>
      <c r="CA44" s="2">
        <f t="shared" si="37"/>
        <v>0</v>
      </c>
      <c r="CB44" s="2">
        <f t="shared" si="38"/>
        <v>0</v>
      </c>
      <c r="CC44" s="2">
        <f t="shared" si="39"/>
        <v>0</v>
      </c>
      <c r="CD44" s="2">
        <f t="shared" si="40"/>
        <v>0</v>
      </c>
      <c r="CE44" s="3"/>
      <c r="CG44" s="123">
        <v>0</v>
      </c>
      <c r="CH44" s="124">
        <v>0</v>
      </c>
      <c r="CI44" s="124">
        <v>0</v>
      </c>
      <c r="CJ44" s="124">
        <v>0</v>
      </c>
      <c r="CK44" s="124">
        <v>0</v>
      </c>
      <c r="CL44" s="123">
        <v>6</v>
      </c>
      <c r="CM44" s="124">
        <v>0</v>
      </c>
      <c r="CN44" s="124">
        <v>0</v>
      </c>
      <c r="CO44" s="124">
        <v>0</v>
      </c>
      <c r="CP44" s="124">
        <v>0</v>
      </c>
      <c r="CQ44" s="126">
        <f t="shared" si="28"/>
        <v>6</v>
      </c>
    </row>
    <row r="45" spans="1:95" ht="21.75" customHeight="1" x14ac:dyDescent="0.25">
      <c r="A45" s="45">
        <v>29</v>
      </c>
      <c r="B45" s="11" t="s">
        <v>86</v>
      </c>
      <c r="C45" s="78" t="s">
        <v>87</v>
      </c>
      <c r="D45" s="88">
        <v>42522</v>
      </c>
      <c r="E45" s="137">
        <v>46235.348773148151</v>
      </c>
      <c r="F45" s="137">
        <v>1</v>
      </c>
      <c r="G45" s="137">
        <v>46236.346805555557</v>
      </c>
      <c r="H45" s="137">
        <v>1</v>
      </c>
      <c r="I45" s="137">
        <v>46237.343587962961</v>
      </c>
      <c r="J45" s="137">
        <v>1</v>
      </c>
      <c r="K45" s="137">
        <v>46238.345775462964</v>
      </c>
      <c r="L45" s="137">
        <v>1</v>
      </c>
      <c r="M45" s="137">
        <v>46239.353032407409</v>
      </c>
      <c r="N45" s="137">
        <v>1</v>
      </c>
      <c r="O45" s="137">
        <v>46240.349930555552</v>
      </c>
      <c r="P45" s="137">
        <v>46240.970532407409</v>
      </c>
      <c r="Q45" s="137">
        <v>46241.569398148145</v>
      </c>
      <c r="R45" s="137">
        <v>46241.933935185189</v>
      </c>
      <c r="S45" s="137">
        <v>46242.347372685188</v>
      </c>
      <c r="T45" s="137">
        <v>46242.985497685186</v>
      </c>
      <c r="U45" s="137">
        <v>46243.348506944443</v>
      </c>
      <c r="V45" s="137">
        <v>46243.936550925922</v>
      </c>
      <c r="W45" s="137">
        <v>46244.349409722221</v>
      </c>
      <c r="X45" s="137">
        <v>1</v>
      </c>
      <c r="Y45" s="137">
        <v>46245.35193287037</v>
      </c>
      <c r="Z45" s="137">
        <v>46245.927997685183</v>
      </c>
      <c r="AA45" s="137">
        <v>46246.34820601852</v>
      </c>
      <c r="AB45" s="137">
        <v>46246.993796296294</v>
      </c>
      <c r="AC45" s="137">
        <v>46247.348483796297</v>
      </c>
      <c r="AD45" s="137">
        <v>1</v>
      </c>
      <c r="AE45" s="137">
        <v>1</v>
      </c>
      <c r="AF45" s="137">
        <v>1</v>
      </c>
      <c r="AG45" s="137">
        <v>46249.348101851851</v>
      </c>
      <c r="AH45" s="137">
        <v>46249.970960648148</v>
      </c>
      <c r="AI45" s="109"/>
      <c r="AJ45" s="45">
        <v>29</v>
      </c>
      <c r="AK45" s="137">
        <v>46250.351909722223</v>
      </c>
      <c r="AL45" s="137">
        <v>46250.946875000001</v>
      </c>
      <c r="AM45" s="137">
        <v>46251.350555555553</v>
      </c>
      <c r="AN45" s="137">
        <v>0</v>
      </c>
      <c r="AO45" s="137">
        <v>46252.351886574077</v>
      </c>
      <c r="AP45" s="137">
        <v>46252.945659722223</v>
      </c>
      <c r="AQ45" s="137">
        <v>46253.351122685184</v>
      </c>
      <c r="AR45" s="137">
        <v>0</v>
      </c>
      <c r="AS45" s="137">
        <v>46254.34983796296</v>
      </c>
      <c r="AT45" s="137">
        <v>46254.94085648148</v>
      </c>
      <c r="AU45" s="137">
        <v>46255.578472222223</v>
      </c>
      <c r="AV45" s="137">
        <v>46255.923206018517</v>
      </c>
      <c r="AW45" s="137">
        <v>46256.352361111109</v>
      </c>
      <c r="AX45" s="137">
        <v>0</v>
      </c>
      <c r="AY45" s="137">
        <v>46257.350405092591</v>
      </c>
      <c r="AZ45" s="137">
        <v>0</v>
      </c>
      <c r="BA45" s="137">
        <v>46258.348900462966</v>
      </c>
      <c r="BB45" s="137">
        <v>0</v>
      </c>
      <c r="BC45" s="137">
        <v>46259.343877314815</v>
      </c>
      <c r="BD45" s="137">
        <v>0</v>
      </c>
      <c r="BE45" s="137">
        <v>46260.348483796297</v>
      </c>
      <c r="BF45" s="137">
        <v>0</v>
      </c>
      <c r="BG45" s="137">
        <v>46261.349953703706</v>
      </c>
      <c r="BH45" s="137">
        <v>46261.959583333337</v>
      </c>
      <c r="BI45" s="141" t="s">
        <v>15</v>
      </c>
      <c r="BJ45" s="141" t="s">
        <v>15</v>
      </c>
      <c r="BK45" s="137">
        <v>46263.34920138889</v>
      </c>
      <c r="BL45" s="137">
        <v>46263.962233796294</v>
      </c>
      <c r="BM45" s="137">
        <v>46264.351527777777</v>
      </c>
      <c r="BN45" s="170">
        <v>46264.744120370371</v>
      </c>
      <c r="BO45" s="170">
        <v>46265.350127314814</v>
      </c>
      <c r="BP45" s="170">
        <v>46265.942164351851</v>
      </c>
      <c r="BQ45" s="99">
        <f t="shared" si="16"/>
        <v>31</v>
      </c>
      <c r="BR45" s="68">
        <v>3</v>
      </c>
      <c r="BS45" s="1">
        <f t="shared" si="29"/>
        <v>30</v>
      </c>
      <c r="BT45" s="2">
        <f t="shared" si="30"/>
        <v>1</v>
      </c>
      <c r="BU45" s="2">
        <f t="shared" si="31"/>
        <v>0</v>
      </c>
      <c r="BV45" s="2">
        <f t="shared" si="32"/>
        <v>0</v>
      </c>
      <c r="BW45" s="2">
        <f t="shared" si="33"/>
        <v>0</v>
      </c>
      <c r="BX45" s="2">
        <f t="shared" si="34"/>
        <v>0</v>
      </c>
      <c r="BY45" s="2">
        <f t="shared" si="35"/>
        <v>0</v>
      </c>
      <c r="BZ45" s="2">
        <f t="shared" si="36"/>
        <v>0</v>
      </c>
      <c r="CA45" s="2">
        <f t="shared" si="37"/>
        <v>0</v>
      </c>
      <c r="CB45" s="2">
        <f t="shared" si="38"/>
        <v>0</v>
      </c>
      <c r="CC45" s="2">
        <f t="shared" si="39"/>
        <v>0</v>
      </c>
      <c r="CD45" s="2">
        <f t="shared" si="40"/>
        <v>0</v>
      </c>
      <c r="CE45" s="3"/>
      <c r="CG45" s="55">
        <v>0</v>
      </c>
      <c r="CH45" s="54">
        <v>0</v>
      </c>
      <c r="CI45" s="54">
        <v>0</v>
      </c>
      <c r="CJ45" s="54">
        <v>0</v>
      </c>
      <c r="CK45" s="54">
        <v>0</v>
      </c>
      <c r="CL45" s="55">
        <v>2</v>
      </c>
      <c r="CM45" s="54">
        <v>0</v>
      </c>
      <c r="CN45" s="55">
        <v>19</v>
      </c>
      <c r="CO45" s="54">
        <v>0</v>
      </c>
      <c r="CP45" s="54">
        <v>0</v>
      </c>
      <c r="CQ45" s="127">
        <f t="shared" si="28"/>
        <v>21</v>
      </c>
    </row>
    <row r="46" spans="1:95" ht="21.75" customHeight="1" x14ac:dyDescent="0.25">
      <c r="A46" s="45">
        <v>30</v>
      </c>
      <c r="B46" s="11" t="s">
        <v>88</v>
      </c>
      <c r="C46" s="78" t="s">
        <v>89</v>
      </c>
      <c r="D46" s="88">
        <v>42439</v>
      </c>
      <c r="E46" s="137">
        <v>46235.348032407404</v>
      </c>
      <c r="F46" s="137">
        <v>46235.900497685187</v>
      </c>
      <c r="G46" s="146" t="s">
        <v>171</v>
      </c>
      <c r="H46" s="146" t="s">
        <v>171</v>
      </c>
      <c r="I46" s="146" t="s">
        <v>171</v>
      </c>
      <c r="J46" s="146" t="s">
        <v>171</v>
      </c>
      <c r="K46" s="141" t="s">
        <v>15</v>
      </c>
      <c r="L46" s="141" t="s">
        <v>15</v>
      </c>
      <c r="M46" s="137">
        <v>46239.397789351853</v>
      </c>
      <c r="N46" s="137">
        <v>46239.915520833332</v>
      </c>
      <c r="O46" s="137">
        <v>46240.352951388886</v>
      </c>
      <c r="P46" s="137">
        <v>46240.92528935185</v>
      </c>
      <c r="Q46" s="137">
        <v>46241.581631944442</v>
      </c>
      <c r="R46" s="137">
        <v>46241.893506944441</v>
      </c>
      <c r="S46" s="137">
        <v>46242.348553240743</v>
      </c>
      <c r="T46" s="137">
        <v>46242.900243055556</v>
      </c>
      <c r="U46" s="137">
        <v>46243.346608796295</v>
      </c>
      <c r="V46" s="137">
        <v>46243.896620370368</v>
      </c>
      <c r="W46" s="137">
        <v>46244.35261574074</v>
      </c>
      <c r="X46" s="137">
        <v>46244.900821759256</v>
      </c>
      <c r="Y46" s="137">
        <v>46245.348645833335</v>
      </c>
      <c r="Z46" s="137">
        <v>46245.904328703706</v>
      </c>
      <c r="AA46" s="137">
        <v>46246.347592592596</v>
      </c>
      <c r="AB46" s="137">
        <v>46246.912789351853</v>
      </c>
      <c r="AC46" s="137">
        <v>46247.343715277777</v>
      </c>
      <c r="AD46" s="137">
        <v>46247.922569444447</v>
      </c>
      <c r="AE46" s="137">
        <v>46248.582870370374</v>
      </c>
      <c r="AF46" s="137">
        <v>46248.91914351852</v>
      </c>
      <c r="AG46" s="137">
        <v>46249.344375000001</v>
      </c>
      <c r="AH46" s="137">
        <v>46249.946782407409</v>
      </c>
      <c r="AI46" s="109"/>
      <c r="AJ46" s="45">
        <v>30</v>
      </c>
      <c r="AK46" s="137">
        <v>46250.347800925927</v>
      </c>
      <c r="AL46" s="137">
        <v>46250.910486111112</v>
      </c>
      <c r="AM46" s="137">
        <v>46251.352638888886</v>
      </c>
      <c r="AN46" s="137">
        <v>0</v>
      </c>
      <c r="AO46" s="137">
        <v>46252.350601851853</v>
      </c>
      <c r="AP46" s="137">
        <v>46252.907060185185</v>
      </c>
      <c r="AQ46" s="137">
        <v>46253.351793981485</v>
      </c>
      <c r="AR46" s="137">
        <v>46253.910729166666</v>
      </c>
      <c r="AS46" s="137">
        <v>46254.356342592589</v>
      </c>
      <c r="AT46" s="137">
        <v>46254.936932870369</v>
      </c>
      <c r="AU46" s="141" t="s">
        <v>15</v>
      </c>
      <c r="AV46" s="141" t="s">
        <v>15</v>
      </c>
      <c r="AW46" s="137">
        <v>46256.348703703705</v>
      </c>
      <c r="AX46" s="137">
        <v>46256.892384259256</v>
      </c>
      <c r="AY46" s="137">
        <v>46257.351134259261</v>
      </c>
      <c r="AZ46" s="137">
        <v>46257.893113425926</v>
      </c>
      <c r="BA46" s="137">
        <v>46258.349490740744</v>
      </c>
      <c r="BB46" s="137">
        <v>46258.909849537034</v>
      </c>
      <c r="BC46" s="137">
        <v>46259.351805555554</v>
      </c>
      <c r="BD46" s="137">
        <v>46259.897094907406</v>
      </c>
      <c r="BE46" s="137">
        <v>46260.352083333331</v>
      </c>
      <c r="BF46" s="137">
        <v>46260.911076388889</v>
      </c>
      <c r="BG46" s="137">
        <v>46261.353425925925</v>
      </c>
      <c r="BH46" s="137">
        <v>46261.906805555554</v>
      </c>
      <c r="BI46" s="137">
        <v>46262.581435185188</v>
      </c>
      <c r="BJ46" s="137">
        <v>46262.894270833334</v>
      </c>
      <c r="BK46" s="137">
        <v>46263.34820601852</v>
      </c>
      <c r="BL46" s="137">
        <v>46263.915995370371</v>
      </c>
      <c r="BM46" s="137">
        <v>46264.352581018517</v>
      </c>
      <c r="BN46" s="170">
        <v>46264.948553240742</v>
      </c>
      <c r="BO46" s="170">
        <v>46265.349606481483</v>
      </c>
      <c r="BP46" s="170">
        <v>46265.887013888889</v>
      </c>
      <c r="BQ46" s="99">
        <f t="shared" si="16"/>
        <v>31</v>
      </c>
      <c r="BR46" s="68">
        <v>2</v>
      </c>
      <c r="BS46" s="1">
        <f t="shared" si="29"/>
        <v>27</v>
      </c>
      <c r="BT46" s="2">
        <f t="shared" si="30"/>
        <v>2</v>
      </c>
      <c r="BU46" s="2">
        <f t="shared" si="31"/>
        <v>0</v>
      </c>
      <c r="BV46" s="2">
        <f t="shared" si="32"/>
        <v>0</v>
      </c>
      <c r="BW46" s="2">
        <f t="shared" si="33"/>
        <v>0</v>
      </c>
      <c r="BX46" s="2">
        <f t="shared" si="34"/>
        <v>0</v>
      </c>
      <c r="BY46" s="2">
        <f t="shared" si="35"/>
        <v>0</v>
      </c>
      <c r="BZ46" s="2">
        <f t="shared" si="36"/>
        <v>2</v>
      </c>
      <c r="CA46" s="2">
        <f t="shared" si="37"/>
        <v>0</v>
      </c>
      <c r="CB46" s="2">
        <f t="shared" si="38"/>
        <v>0</v>
      </c>
      <c r="CC46" s="2">
        <f t="shared" si="39"/>
        <v>0</v>
      </c>
      <c r="CD46" s="2">
        <f t="shared" si="40"/>
        <v>0</v>
      </c>
      <c r="CE46" s="3"/>
      <c r="CG46" s="123">
        <v>0</v>
      </c>
      <c r="CH46" s="124">
        <v>0</v>
      </c>
      <c r="CI46" s="123">
        <v>80</v>
      </c>
      <c r="CJ46" s="124">
        <v>0</v>
      </c>
      <c r="CK46" s="124">
        <v>0</v>
      </c>
      <c r="CL46" s="123">
        <v>11</v>
      </c>
      <c r="CM46" s="124">
        <v>0</v>
      </c>
      <c r="CN46" s="124">
        <v>1</v>
      </c>
      <c r="CO46" s="124">
        <v>0</v>
      </c>
      <c r="CP46" s="124">
        <v>0</v>
      </c>
      <c r="CQ46" s="126">
        <f t="shared" si="28"/>
        <v>92</v>
      </c>
    </row>
    <row r="47" spans="1:95" ht="23.25" customHeight="1" x14ac:dyDescent="0.25">
      <c r="A47" s="45">
        <v>31</v>
      </c>
      <c r="B47" s="11" t="s">
        <v>90</v>
      </c>
      <c r="C47" s="78" t="s">
        <v>91</v>
      </c>
      <c r="D47" s="88">
        <v>43566</v>
      </c>
      <c r="E47" s="137">
        <v>46235.344074074077</v>
      </c>
      <c r="F47" s="137">
        <v>46235.980115740742</v>
      </c>
      <c r="G47" s="137">
        <v>46236.343865740739</v>
      </c>
      <c r="H47" s="137">
        <v>46236.992268518516</v>
      </c>
      <c r="I47" s="137">
        <v>46237.343715277777</v>
      </c>
      <c r="J47" s="137">
        <v>46237.968564814815</v>
      </c>
      <c r="K47" s="137">
        <v>46238.343854166669</v>
      </c>
      <c r="L47" s="137">
        <v>46238.948506944442</v>
      </c>
      <c r="M47" s="137">
        <v>46239.344768518517</v>
      </c>
      <c r="N47" s="137">
        <v>46239.964571759258</v>
      </c>
      <c r="O47" s="137">
        <v>46240.344247685185</v>
      </c>
      <c r="P47" s="137">
        <v>46240.969143518516</v>
      </c>
      <c r="Q47" s="137">
        <v>46241.581435185188</v>
      </c>
      <c r="R47" s="137">
        <v>46241.917060185187</v>
      </c>
      <c r="S47" s="137">
        <v>46242.323738425926</v>
      </c>
      <c r="T47" s="137">
        <v>46242.9375462963</v>
      </c>
      <c r="U47" s="137">
        <v>46243.328148148146</v>
      </c>
      <c r="V47" s="137">
        <v>46243.920787037037</v>
      </c>
      <c r="W47" s="137">
        <v>46244.32545138889</v>
      </c>
      <c r="X47" s="137">
        <v>46244.917986111112</v>
      </c>
      <c r="Y47" s="137">
        <v>46245.329699074071</v>
      </c>
      <c r="Z47" s="137">
        <v>46245.92895833333</v>
      </c>
      <c r="AA47" s="137">
        <v>46246.325150462966</v>
      </c>
      <c r="AB47" s="137">
        <v>46246.940451388888</v>
      </c>
      <c r="AC47" s="137">
        <v>46247.325648148151</v>
      </c>
      <c r="AD47" s="137">
        <v>46247.962951388887</v>
      </c>
      <c r="AE47" s="141" t="s">
        <v>15</v>
      </c>
      <c r="AF47" s="141" t="s">
        <v>15</v>
      </c>
      <c r="AG47" s="137">
        <v>46249.342430555553</v>
      </c>
      <c r="AH47" s="137">
        <v>46249.95957175926</v>
      </c>
      <c r="AI47" s="116"/>
      <c r="AJ47" s="45">
        <v>31</v>
      </c>
      <c r="AK47" s="137">
        <v>46250.342662037037</v>
      </c>
      <c r="AL47" s="137">
        <v>46250.955439814818</v>
      </c>
      <c r="AM47" s="137">
        <v>46251.342118055552</v>
      </c>
      <c r="AN47" s="137">
        <v>46251.923298611109</v>
      </c>
      <c r="AO47" s="137">
        <v>46252.342442129629</v>
      </c>
      <c r="AP47" s="137">
        <v>46252.93204861111</v>
      </c>
      <c r="AQ47" s="137">
        <v>46253.341562499998</v>
      </c>
      <c r="AR47" s="137">
        <v>46253.989942129629</v>
      </c>
      <c r="AS47" s="137">
        <v>46254.342662037037</v>
      </c>
      <c r="AT47" s="137">
        <v>46254.949618055558</v>
      </c>
      <c r="AU47" s="137">
        <v>46255.580069444448</v>
      </c>
      <c r="AV47" s="137">
        <v>46255.92528935185</v>
      </c>
      <c r="AW47" s="137">
        <v>46256.343055555553</v>
      </c>
      <c r="AX47" s="137">
        <v>46256.940289351849</v>
      </c>
      <c r="AY47" s="137">
        <v>46257.342499999999</v>
      </c>
      <c r="AZ47" s="137">
        <v>46257.937847222223</v>
      </c>
      <c r="BA47" s="137">
        <v>46258.351863425924</v>
      </c>
      <c r="BB47" s="137">
        <v>46258.946712962963</v>
      </c>
      <c r="BC47" s="137">
        <v>46259.343356481484</v>
      </c>
      <c r="BD47" s="137">
        <v>46259.930613425924</v>
      </c>
      <c r="BE47" s="137">
        <v>46260.342881944445</v>
      </c>
      <c r="BF47" s="137">
        <v>0</v>
      </c>
      <c r="BG47" s="137">
        <v>46261.343680555554</v>
      </c>
      <c r="BH47" s="137">
        <v>46261.938472222224</v>
      </c>
      <c r="BI47" s="141" t="s">
        <v>15</v>
      </c>
      <c r="BJ47" s="141" t="s">
        <v>15</v>
      </c>
      <c r="BK47" s="137">
        <v>46263.343738425923</v>
      </c>
      <c r="BL47" s="137">
        <v>46263.958715277775</v>
      </c>
      <c r="BM47" s="137">
        <v>46264.342627314814</v>
      </c>
      <c r="BN47" s="170">
        <v>46264.939791666664</v>
      </c>
      <c r="BO47" s="170">
        <v>46265.343368055554</v>
      </c>
      <c r="BP47" s="170">
        <v>46265.940335648149</v>
      </c>
      <c r="BQ47" s="99">
        <f t="shared" si="16"/>
        <v>31</v>
      </c>
      <c r="BR47" s="68">
        <v>2</v>
      </c>
      <c r="BS47" s="1">
        <f t="shared" si="29"/>
        <v>29</v>
      </c>
      <c r="BT47" s="2">
        <f t="shared" si="30"/>
        <v>2</v>
      </c>
      <c r="BU47" s="2">
        <f t="shared" si="31"/>
        <v>0</v>
      </c>
      <c r="BV47" s="2">
        <f t="shared" si="32"/>
        <v>0</v>
      </c>
      <c r="BW47" s="2">
        <f t="shared" si="33"/>
        <v>0</v>
      </c>
      <c r="BX47" s="2">
        <f t="shared" si="34"/>
        <v>0</v>
      </c>
      <c r="BY47" s="2">
        <f t="shared" si="35"/>
        <v>0</v>
      </c>
      <c r="BZ47" s="2">
        <f t="shared" si="36"/>
        <v>0</v>
      </c>
      <c r="CA47" s="2">
        <f t="shared" si="37"/>
        <v>0</v>
      </c>
      <c r="CB47" s="2">
        <f t="shared" si="38"/>
        <v>0</v>
      </c>
      <c r="CC47" s="2">
        <f t="shared" si="39"/>
        <v>0</v>
      </c>
      <c r="CD47" s="2">
        <f t="shared" si="40"/>
        <v>0</v>
      </c>
      <c r="CE47" s="3"/>
      <c r="CG47" s="55">
        <v>0</v>
      </c>
      <c r="CH47" s="54">
        <v>0</v>
      </c>
      <c r="CI47" s="54">
        <v>0</v>
      </c>
      <c r="CJ47" s="55">
        <v>15</v>
      </c>
      <c r="CK47" s="54">
        <v>0</v>
      </c>
      <c r="CL47" s="55">
        <v>5</v>
      </c>
      <c r="CM47" s="55">
        <v>2</v>
      </c>
      <c r="CN47" s="55">
        <v>1</v>
      </c>
      <c r="CO47" s="54">
        <v>0</v>
      </c>
      <c r="CP47" s="54">
        <v>0</v>
      </c>
      <c r="CQ47" s="127">
        <f t="shared" si="28"/>
        <v>23</v>
      </c>
    </row>
    <row r="48" spans="1:95" ht="21.75" customHeight="1" x14ac:dyDescent="0.25">
      <c r="A48" s="45">
        <v>32</v>
      </c>
      <c r="B48" s="11" t="s">
        <v>92</v>
      </c>
      <c r="C48" s="78" t="s">
        <v>93</v>
      </c>
      <c r="D48" s="88">
        <v>45707</v>
      </c>
      <c r="E48" s="137">
        <v>46235.334849537037</v>
      </c>
      <c r="F48" s="137">
        <v>1</v>
      </c>
      <c r="G48" s="137">
        <v>46236.333657407406</v>
      </c>
      <c r="H48" s="137">
        <v>46236.962500000001</v>
      </c>
      <c r="I48" s="137">
        <v>46237.356666666667</v>
      </c>
      <c r="J48" s="137">
        <v>46237.945497685185</v>
      </c>
      <c r="K48" s="137">
        <v>46238.331111111111</v>
      </c>
      <c r="L48" s="137">
        <v>46238.957372685189</v>
      </c>
      <c r="M48" s="137">
        <v>46239.334930555553</v>
      </c>
      <c r="N48" s="137">
        <v>46239.94872685185</v>
      </c>
      <c r="O48" s="137">
        <v>46240.330578703702</v>
      </c>
      <c r="P48" s="137">
        <v>1</v>
      </c>
      <c r="Q48" s="137">
        <v>46241.565601851849</v>
      </c>
      <c r="R48" s="137">
        <v>1</v>
      </c>
      <c r="S48" s="137">
        <v>46242.330810185187</v>
      </c>
      <c r="T48" s="137">
        <v>46242.948275462964</v>
      </c>
      <c r="U48" s="137">
        <v>46243.332199074073</v>
      </c>
      <c r="V48" s="137">
        <v>1</v>
      </c>
      <c r="W48" s="137">
        <v>46244.329756944448</v>
      </c>
      <c r="X48" s="137">
        <v>1</v>
      </c>
      <c r="Y48" s="137">
        <v>46245.337384259263</v>
      </c>
      <c r="Z48" s="137">
        <v>46245.972777777781</v>
      </c>
      <c r="AA48" s="137">
        <v>46246.328611111108</v>
      </c>
      <c r="AB48" s="137">
        <v>46246.95590277778</v>
      </c>
      <c r="AC48" s="137">
        <v>46247.33222222222</v>
      </c>
      <c r="AD48" s="137">
        <v>46247.992106481484</v>
      </c>
      <c r="AE48" s="137">
        <v>1</v>
      </c>
      <c r="AF48" s="137">
        <v>1</v>
      </c>
      <c r="AG48" s="137">
        <v>46249.325844907406</v>
      </c>
      <c r="AH48" s="137">
        <v>46249.988495370373</v>
      </c>
      <c r="AI48" s="109"/>
      <c r="AJ48" s="45">
        <v>32</v>
      </c>
      <c r="AK48" s="137">
        <v>46250.330451388887</v>
      </c>
      <c r="AL48" s="137">
        <v>46250.954224537039</v>
      </c>
      <c r="AM48" s="147">
        <v>46251.328530092593</v>
      </c>
      <c r="AN48" s="137">
        <v>0</v>
      </c>
      <c r="AO48" s="137">
        <v>46252.336030092592</v>
      </c>
      <c r="AP48" s="137">
        <v>46252.966828703706</v>
      </c>
      <c r="AQ48" s="137">
        <v>46253.329189814816</v>
      </c>
      <c r="AR48" s="137">
        <v>0</v>
      </c>
      <c r="AS48" s="137">
        <v>46254.333553240744</v>
      </c>
      <c r="AT48" s="137">
        <v>0</v>
      </c>
      <c r="AU48" s="137">
        <v>46255.559930555559</v>
      </c>
      <c r="AV48" s="137">
        <v>46255.965729166666</v>
      </c>
      <c r="AW48" s="137">
        <v>46256.32775462963</v>
      </c>
      <c r="AX48" s="137">
        <v>0</v>
      </c>
      <c r="AY48" s="137">
        <v>0</v>
      </c>
      <c r="AZ48" s="137">
        <v>46257.926666666666</v>
      </c>
      <c r="BA48" s="137">
        <v>46258.351018518515</v>
      </c>
      <c r="BB48" s="137">
        <v>0</v>
      </c>
      <c r="BC48" s="137">
        <v>46259.329386574071</v>
      </c>
      <c r="BD48" s="137">
        <v>46259.949108796296</v>
      </c>
      <c r="BE48" s="137">
        <v>46260.328773148147</v>
      </c>
      <c r="BF48" s="137">
        <v>46260.964247685188</v>
      </c>
      <c r="BG48" s="137">
        <v>46261.341180555559</v>
      </c>
      <c r="BH48" s="137">
        <v>46261.962638888886</v>
      </c>
      <c r="BI48" s="141" t="s">
        <v>15</v>
      </c>
      <c r="BJ48" s="141" t="s">
        <v>15</v>
      </c>
      <c r="BK48" s="137">
        <v>46263.322847222225</v>
      </c>
      <c r="BL48" s="137">
        <v>46263.952685185184</v>
      </c>
      <c r="BM48" s="137">
        <v>46264.338831018518</v>
      </c>
      <c r="BN48" s="170">
        <v>46264.929016203707</v>
      </c>
      <c r="BO48" s="170">
        <v>46265.332905092589</v>
      </c>
      <c r="BP48" s="170">
        <v>0</v>
      </c>
      <c r="BQ48" s="99">
        <f t="shared" si="16"/>
        <v>31</v>
      </c>
      <c r="BR48" s="68">
        <v>3</v>
      </c>
      <c r="BS48" s="1">
        <f t="shared" si="29"/>
        <v>30</v>
      </c>
      <c r="BT48" s="2">
        <f t="shared" si="30"/>
        <v>1</v>
      </c>
      <c r="BU48" s="2">
        <f t="shared" si="31"/>
        <v>0</v>
      </c>
      <c r="BV48" s="2">
        <f t="shared" si="32"/>
        <v>0</v>
      </c>
      <c r="BW48" s="2">
        <f t="shared" si="33"/>
        <v>0</v>
      </c>
      <c r="BX48" s="2">
        <f t="shared" si="34"/>
        <v>0</v>
      </c>
      <c r="BY48" s="2">
        <f t="shared" si="35"/>
        <v>0</v>
      </c>
      <c r="BZ48" s="2">
        <f t="shared" si="36"/>
        <v>0</v>
      </c>
      <c r="CA48" s="2">
        <f t="shared" si="37"/>
        <v>0</v>
      </c>
      <c r="CB48" s="2">
        <f t="shared" si="38"/>
        <v>0</v>
      </c>
      <c r="CC48" s="2">
        <f t="shared" si="39"/>
        <v>0</v>
      </c>
      <c r="CD48" s="2">
        <f t="shared" si="40"/>
        <v>0</v>
      </c>
      <c r="CE48" s="3"/>
      <c r="CG48" s="123">
        <v>0</v>
      </c>
      <c r="CH48" s="124">
        <v>0</v>
      </c>
      <c r="CI48" s="124">
        <v>0</v>
      </c>
      <c r="CJ48" s="124">
        <v>0</v>
      </c>
      <c r="CK48" s="124">
        <v>0</v>
      </c>
      <c r="CL48" s="123">
        <v>1</v>
      </c>
      <c r="CM48" s="123">
        <v>0</v>
      </c>
      <c r="CN48" s="123">
        <v>3</v>
      </c>
      <c r="CO48" s="124">
        <v>0</v>
      </c>
      <c r="CP48" s="124">
        <v>0</v>
      </c>
      <c r="CQ48" s="126">
        <f t="shared" si="28"/>
        <v>4</v>
      </c>
    </row>
    <row r="49" spans="1:95" ht="21.75" customHeight="1" x14ac:dyDescent="0.25">
      <c r="A49" s="45">
        <v>33</v>
      </c>
      <c r="B49" s="11" t="s">
        <v>94</v>
      </c>
      <c r="C49" s="78" t="s">
        <v>95</v>
      </c>
      <c r="D49" s="88">
        <v>42262</v>
      </c>
      <c r="E49" s="137">
        <v>1</v>
      </c>
      <c r="F49" s="137">
        <v>1</v>
      </c>
      <c r="G49" s="137">
        <v>1</v>
      </c>
      <c r="H49" s="137">
        <v>1</v>
      </c>
      <c r="I49" s="137">
        <v>1</v>
      </c>
      <c r="J49" s="137">
        <v>1</v>
      </c>
      <c r="K49" s="137">
        <v>1</v>
      </c>
      <c r="L49" s="137">
        <v>1</v>
      </c>
      <c r="M49" s="137">
        <v>1</v>
      </c>
      <c r="N49" s="137">
        <v>1</v>
      </c>
      <c r="O49" s="137">
        <v>1</v>
      </c>
      <c r="P49" s="137">
        <v>1</v>
      </c>
      <c r="Q49" s="137">
        <v>1</v>
      </c>
      <c r="R49" s="137">
        <v>1</v>
      </c>
      <c r="S49" s="137">
        <v>1</v>
      </c>
      <c r="T49" s="137">
        <v>1</v>
      </c>
      <c r="U49" s="137">
        <v>1</v>
      </c>
      <c r="V49" s="137">
        <v>1</v>
      </c>
      <c r="W49" s="137">
        <v>1</v>
      </c>
      <c r="X49" s="137">
        <v>1</v>
      </c>
      <c r="Y49" s="137">
        <v>1</v>
      </c>
      <c r="Z49" s="137">
        <v>1</v>
      </c>
      <c r="AA49" s="137">
        <v>1</v>
      </c>
      <c r="AB49" s="137">
        <v>1</v>
      </c>
      <c r="AC49" s="137">
        <v>1</v>
      </c>
      <c r="AD49" s="137">
        <v>1</v>
      </c>
      <c r="AE49" s="137">
        <v>1</v>
      </c>
      <c r="AF49" s="137">
        <v>1</v>
      </c>
      <c r="AG49" s="137">
        <v>0</v>
      </c>
      <c r="AH49" s="137">
        <v>1</v>
      </c>
      <c r="AI49" s="116"/>
      <c r="AJ49" s="45">
        <v>33</v>
      </c>
      <c r="AK49" s="148">
        <v>0</v>
      </c>
      <c r="AL49" s="148">
        <v>0</v>
      </c>
      <c r="AM49" s="137">
        <v>46251.376863425925</v>
      </c>
      <c r="AN49" s="137">
        <v>0</v>
      </c>
      <c r="AO49" s="137">
        <v>0</v>
      </c>
      <c r="AP49" s="137">
        <v>0</v>
      </c>
      <c r="AQ49" s="137">
        <v>0</v>
      </c>
      <c r="AR49" s="137">
        <v>0</v>
      </c>
      <c r="AS49" s="137">
        <v>46254.366215277776</v>
      </c>
      <c r="AT49" s="137">
        <v>0</v>
      </c>
      <c r="AU49" s="137">
        <v>0</v>
      </c>
      <c r="AV49" s="137">
        <v>0</v>
      </c>
      <c r="AW49" s="137">
        <v>0</v>
      </c>
      <c r="AX49" s="137">
        <v>0</v>
      </c>
      <c r="AY49" s="137">
        <v>0</v>
      </c>
      <c r="AZ49" s="137">
        <v>0</v>
      </c>
      <c r="BA49" s="137">
        <v>0</v>
      </c>
      <c r="BB49" s="137">
        <v>0</v>
      </c>
      <c r="BC49" s="137">
        <v>0</v>
      </c>
      <c r="BD49" s="137">
        <v>0</v>
      </c>
      <c r="BE49" s="137">
        <v>0</v>
      </c>
      <c r="BF49" s="137">
        <v>0</v>
      </c>
      <c r="BG49" s="137">
        <v>0</v>
      </c>
      <c r="BH49" s="137">
        <v>0</v>
      </c>
      <c r="BI49" s="137">
        <v>0</v>
      </c>
      <c r="BJ49" s="137">
        <v>46262.939560185187</v>
      </c>
      <c r="BK49" s="137">
        <v>0</v>
      </c>
      <c r="BL49" s="137">
        <v>0</v>
      </c>
      <c r="BM49" s="137">
        <v>0</v>
      </c>
      <c r="BN49" s="170">
        <v>46264.977731481478</v>
      </c>
      <c r="BO49" s="170">
        <v>0</v>
      </c>
      <c r="BP49" s="170">
        <v>0</v>
      </c>
      <c r="BQ49" s="99">
        <f t="shared" si="16"/>
        <v>31</v>
      </c>
      <c r="BR49" s="68">
        <v>8</v>
      </c>
      <c r="BS49" s="1">
        <f t="shared" si="29"/>
        <v>31</v>
      </c>
      <c r="BT49" s="2">
        <f t="shared" si="30"/>
        <v>0</v>
      </c>
      <c r="BU49" s="2">
        <f t="shared" si="31"/>
        <v>0</v>
      </c>
      <c r="BV49" s="2">
        <f t="shared" si="32"/>
        <v>0</v>
      </c>
      <c r="BW49" s="2">
        <f t="shared" si="33"/>
        <v>0</v>
      </c>
      <c r="BX49" s="2">
        <f t="shared" si="34"/>
        <v>0</v>
      </c>
      <c r="BY49" s="2">
        <f t="shared" si="35"/>
        <v>0</v>
      </c>
      <c r="BZ49" s="2">
        <f t="shared" si="36"/>
        <v>0</v>
      </c>
      <c r="CA49" s="2">
        <f t="shared" si="37"/>
        <v>0</v>
      </c>
      <c r="CB49" s="2">
        <f t="shared" si="38"/>
        <v>0</v>
      </c>
      <c r="CC49" s="2">
        <f t="shared" si="39"/>
        <v>0</v>
      </c>
      <c r="CD49" s="2">
        <f t="shared" si="40"/>
        <v>0</v>
      </c>
      <c r="CE49" s="3" t="s">
        <v>271</v>
      </c>
      <c r="CG49" s="55">
        <v>0</v>
      </c>
      <c r="CH49" s="54">
        <v>0</v>
      </c>
      <c r="CI49" s="55">
        <v>14</v>
      </c>
      <c r="CJ49" s="54">
        <v>0</v>
      </c>
      <c r="CK49" s="54">
        <v>0</v>
      </c>
      <c r="CL49" s="55">
        <v>1</v>
      </c>
      <c r="CM49" s="55">
        <v>0</v>
      </c>
      <c r="CN49" s="54">
        <v>0</v>
      </c>
      <c r="CO49" s="54">
        <v>0</v>
      </c>
      <c r="CP49" s="54">
        <v>0</v>
      </c>
      <c r="CQ49" s="127">
        <f t="shared" si="28"/>
        <v>15</v>
      </c>
    </row>
    <row r="50" spans="1:95" ht="21.75" customHeight="1" x14ac:dyDescent="0.25">
      <c r="A50" s="45">
        <v>34</v>
      </c>
      <c r="B50" s="11" t="s">
        <v>248</v>
      </c>
      <c r="C50" s="78" t="s">
        <v>98</v>
      </c>
      <c r="D50" s="88"/>
      <c r="E50" s="137">
        <v>46235.349224537036</v>
      </c>
      <c r="F50" s="137">
        <v>46235.940266203703</v>
      </c>
      <c r="G50" s="137">
        <v>46236.350335648145</v>
      </c>
      <c r="H50" s="137">
        <v>46236.915335648147</v>
      </c>
      <c r="I50" s="137">
        <v>46237.350219907406</v>
      </c>
      <c r="J50" s="137">
        <v>46237.927488425928</v>
      </c>
      <c r="K50" s="137">
        <v>46238.350659722222</v>
      </c>
      <c r="L50" s="137">
        <v>46238.925763888888</v>
      </c>
      <c r="M50" s="137">
        <v>46239.349861111114</v>
      </c>
      <c r="N50" s="137">
        <v>46239.92150462963</v>
      </c>
      <c r="O50" s="137">
        <v>46240.350983796299</v>
      </c>
      <c r="P50" s="137">
        <v>46240.945</v>
      </c>
      <c r="Q50" s="141" t="s">
        <v>15</v>
      </c>
      <c r="R50" s="141" t="s">
        <v>15</v>
      </c>
      <c r="S50" s="137">
        <v>46242.347974537035</v>
      </c>
      <c r="T50" s="137">
        <v>46242.936990740738</v>
      </c>
      <c r="U50" s="137">
        <v>46243.35019675926</v>
      </c>
      <c r="V50" s="137">
        <v>46243.921354166669</v>
      </c>
      <c r="W50" s="137">
        <v>46244.34851851852</v>
      </c>
      <c r="X50" s="137">
        <v>46244.920034722221</v>
      </c>
      <c r="Y50" s="137">
        <v>46245.346238425926</v>
      </c>
      <c r="Z50" s="137">
        <v>46245.926134259258</v>
      </c>
      <c r="AA50" s="137">
        <v>46246.347280092596</v>
      </c>
      <c r="AB50" s="137">
        <v>46246.946423611109</v>
      </c>
      <c r="AC50" s="137">
        <v>46247.350219907406</v>
      </c>
      <c r="AD50" s="137">
        <v>46247.957858796297</v>
      </c>
      <c r="AE50" s="137">
        <v>46248.579745370371</v>
      </c>
      <c r="AF50" s="137">
        <v>46248.91097222222</v>
      </c>
      <c r="AG50" s="137">
        <v>46249.34851851852</v>
      </c>
      <c r="AH50" s="137">
        <v>46249.97115740741</v>
      </c>
      <c r="AI50" s="116"/>
      <c r="AJ50" s="45">
        <v>34</v>
      </c>
      <c r="AK50" s="137">
        <v>46250.351307870369</v>
      </c>
      <c r="AL50" s="137">
        <v>46250.932754629626</v>
      </c>
      <c r="AM50" s="137">
        <v>46251.349548611113</v>
      </c>
      <c r="AN50" s="137">
        <v>46251.922268518516</v>
      </c>
      <c r="AO50" s="137">
        <v>46252.350659722222</v>
      </c>
      <c r="AP50" s="137">
        <v>46252.949270833335</v>
      </c>
      <c r="AQ50" s="137">
        <v>46253.349560185183</v>
      </c>
      <c r="AR50" s="137">
        <v>46253.932372685187</v>
      </c>
      <c r="AS50" s="137">
        <v>46254.349780092591</v>
      </c>
      <c r="AT50" s="137">
        <v>46254.925636574073</v>
      </c>
      <c r="AU50" s="141" t="s">
        <v>15</v>
      </c>
      <c r="AV50" s="141" t="s">
        <v>15</v>
      </c>
      <c r="AW50" s="137">
        <v>46256.35119212963</v>
      </c>
      <c r="AX50" s="137">
        <v>46256.930775462963</v>
      </c>
      <c r="AY50" s="137">
        <v>46257.350138888891</v>
      </c>
      <c r="AZ50" s="137">
        <v>46257.918900462966</v>
      </c>
      <c r="BA50" s="137">
        <v>46258.35260416667</v>
      </c>
      <c r="BB50" s="137">
        <v>46258.925671296296</v>
      </c>
      <c r="BC50" s="137">
        <v>46259.346435185187</v>
      </c>
      <c r="BD50" s="137">
        <v>46259.915844907409</v>
      </c>
      <c r="BE50" s="137">
        <v>46260.346493055556</v>
      </c>
      <c r="BF50" s="137">
        <v>46260.942291666666</v>
      </c>
      <c r="BG50" s="137">
        <v>46261.350347222222</v>
      </c>
      <c r="BH50" s="137">
        <v>46261.937685185185</v>
      </c>
      <c r="BI50" s="137">
        <v>46262.576041666667</v>
      </c>
      <c r="BJ50" s="137">
        <v>46262.876076388886</v>
      </c>
      <c r="BK50" s="137">
        <v>46263.35261574074</v>
      </c>
      <c r="BL50" s="137">
        <v>46263.931134259263</v>
      </c>
      <c r="BM50" s="137">
        <v>46264.351157407407</v>
      </c>
      <c r="BN50" s="170">
        <v>46264.859305555554</v>
      </c>
      <c r="BO50" s="170">
        <v>46265.352523148147</v>
      </c>
      <c r="BP50" s="170">
        <v>46265.915231481478</v>
      </c>
      <c r="BQ50" s="99">
        <f t="shared" si="16"/>
        <v>31</v>
      </c>
      <c r="BR50" s="68">
        <v>3</v>
      </c>
      <c r="BS50" s="1">
        <f>COUNT(E50:AH50)/2+COUNT(AK50:BP50)/2</f>
        <v>29</v>
      </c>
      <c r="BT50" s="2">
        <f t="shared" si="30"/>
        <v>2</v>
      </c>
      <c r="BU50" s="2">
        <f t="shared" si="31"/>
        <v>0</v>
      </c>
      <c r="BV50" s="2">
        <f t="shared" si="32"/>
        <v>0</v>
      </c>
      <c r="BW50" s="2">
        <f t="shared" si="33"/>
        <v>0</v>
      </c>
      <c r="BX50" s="2">
        <f t="shared" si="34"/>
        <v>0</v>
      </c>
      <c r="BY50" s="2">
        <f t="shared" si="35"/>
        <v>0</v>
      </c>
      <c r="BZ50" s="2">
        <f t="shared" si="36"/>
        <v>0</v>
      </c>
      <c r="CA50" s="2">
        <f t="shared" si="37"/>
        <v>0</v>
      </c>
      <c r="CB50" s="2">
        <f t="shared" si="38"/>
        <v>0</v>
      </c>
      <c r="CC50" s="2">
        <f t="shared" si="39"/>
        <v>0</v>
      </c>
      <c r="CD50" s="2">
        <f t="shared" si="40"/>
        <v>0</v>
      </c>
      <c r="CE50" s="3" t="s">
        <v>272</v>
      </c>
      <c r="CG50" s="55"/>
      <c r="CH50" s="54"/>
      <c r="CI50" s="54"/>
      <c r="CJ50" s="54"/>
      <c r="CK50" s="54"/>
      <c r="CL50" s="55"/>
      <c r="CM50" s="55"/>
      <c r="CN50" s="54"/>
      <c r="CO50" s="54"/>
      <c r="CP50" s="54"/>
      <c r="CQ50" s="127"/>
    </row>
    <row r="51" spans="1:95" ht="21.75" customHeight="1" x14ac:dyDescent="0.25">
      <c r="A51" s="45">
        <v>35</v>
      </c>
      <c r="B51" s="45" t="s">
        <v>99</v>
      </c>
      <c r="C51" s="78" t="s">
        <v>100</v>
      </c>
      <c r="D51" s="88">
        <v>44920</v>
      </c>
      <c r="E51" s="137">
        <v>46235.349791666667</v>
      </c>
      <c r="F51" s="137">
        <v>46235.961018518516</v>
      </c>
      <c r="G51" s="137">
        <v>46236.351412037038</v>
      </c>
      <c r="H51" s="137">
        <v>46236.960219907407</v>
      </c>
      <c r="I51" s="137">
        <v>46237.350277777776</v>
      </c>
      <c r="J51" s="137">
        <v>46237.959305555552</v>
      </c>
      <c r="K51" s="137">
        <v>46238.351759259262</v>
      </c>
      <c r="L51" s="137">
        <v>46238.939305555556</v>
      </c>
      <c r="M51" s="137">
        <v>46239.353310185186</v>
      </c>
      <c r="N51" s="137">
        <v>46239.964062500003</v>
      </c>
      <c r="O51" s="137">
        <v>46240.351898148147</v>
      </c>
      <c r="P51" s="137">
        <v>46240.961504629631</v>
      </c>
      <c r="Q51" s="137">
        <v>46241.580694444441</v>
      </c>
      <c r="R51" s="137">
        <v>1</v>
      </c>
      <c r="S51" s="137">
        <v>46242.353009259263</v>
      </c>
      <c r="T51" s="137">
        <v>46242.959826388891</v>
      </c>
      <c r="U51" s="137">
        <v>46243.351122685184</v>
      </c>
      <c r="V51" s="137">
        <v>46243.918009259258</v>
      </c>
      <c r="W51" s="137">
        <v>46244.353043981479</v>
      </c>
      <c r="X51" s="137">
        <v>1</v>
      </c>
      <c r="Y51" s="137">
        <v>46245.350752314815</v>
      </c>
      <c r="Z51" s="137">
        <v>46245.924224537041</v>
      </c>
      <c r="AA51" s="137">
        <v>46246.355358796296</v>
      </c>
      <c r="AB51" s="137">
        <v>46246.966574074075</v>
      </c>
      <c r="AC51" s="137">
        <v>46247.351157407407</v>
      </c>
      <c r="AD51" s="137">
        <v>46247.971736111111</v>
      </c>
      <c r="AE51" s="141" t="s">
        <v>15</v>
      </c>
      <c r="AF51" s="141" t="s">
        <v>15</v>
      </c>
      <c r="AG51" s="137">
        <v>46249.351886574077</v>
      </c>
      <c r="AH51" s="137">
        <v>46249.959409722222</v>
      </c>
      <c r="AI51" s="109"/>
      <c r="AJ51" s="45">
        <v>35</v>
      </c>
      <c r="AK51" s="137">
        <v>46250.352233796293</v>
      </c>
      <c r="AL51" s="137">
        <v>0</v>
      </c>
      <c r="AM51" s="137">
        <v>46251.350173611114</v>
      </c>
      <c r="AN51" s="137">
        <v>46251.940162037034</v>
      </c>
      <c r="AO51" s="137">
        <v>46252.352824074071</v>
      </c>
      <c r="AP51" s="137">
        <v>46252.942870370367</v>
      </c>
      <c r="AQ51" s="137">
        <v>46253.352581018517</v>
      </c>
      <c r="AR51" s="137">
        <v>46253.960266203707</v>
      </c>
      <c r="AS51" s="137">
        <v>46254.351145833331</v>
      </c>
      <c r="AT51" s="137">
        <v>46254.96025462963</v>
      </c>
      <c r="AU51" s="137">
        <v>46255.560543981483</v>
      </c>
      <c r="AV51" s="137">
        <v>46255.92423611111</v>
      </c>
      <c r="AW51" s="137">
        <v>46256.352442129632</v>
      </c>
      <c r="AX51" s="137">
        <v>46256.938680555555</v>
      </c>
      <c r="AY51" s="137">
        <v>46257.350972222222</v>
      </c>
      <c r="AZ51" s="137">
        <v>46257.937604166669</v>
      </c>
      <c r="BA51" s="137">
        <v>46258.328182870369</v>
      </c>
      <c r="BB51" s="137">
        <v>46258.959097222221</v>
      </c>
      <c r="BC51" s="137">
        <v>46259.347233796296</v>
      </c>
      <c r="BD51" s="137">
        <v>46259.939895833333</v>
      </c>
      <c r="BE51" s="137">
        <v>46260.301145833335</v>
      </c>
      <c r="BF51" s="137">
        <v>0</v>
      </c>
      <c r="BG51" s="137">
        <v>46261.35193287037</v>
      </c>
      <c r="BH51" s="137">
        <v>46261.959120370368</v>
      </c>
      <c r="BI51" s="141" t="s">
        <v>15</v>
      </c>
      <c r="BJ51" s="141" t="s">
        <v>15</v>
      </c>
      <c r="BK51" s="137">
        <v>46263.354212962964</v>
      </c>
      <c r="BL51" s="137">
        <v>46263.964583333334</v>
      </c>
      <c r="BM51" s="137">
        <v>46264.35193287037</v>
      </c>
      <c r="BN51" s="170">
        <v>46264.94090277778</v>
      </c>
      <c r="BO51" s="170">
        <v>46265.354444444441</v>
      </c>
      <c r="BP51" s="170">
        <v>46265.943032407406</v>
      </c>
      <c r="BQ51" s="99">
        <f t="shared" si="16"/>
        <v>31</v>
      </c>
      <c r="BR51" s="68">
        <v>2</v>
      </c>
      <c r="BS51" s="1">
        <f t="shared" si="29"/>
        <v>29</v>
      </c>
      <c r="BT51" s="2">
        <f t="shared" si="30"/>
        <v>2</v>
      </c>
      <c r="BU51" s="2">
        <f t="shared" si="31"/>
        <v>0</v>
      </c>
      <c r="BV51" s="2">
        <f t="shared" si="32"/>
        <v>0</v>
      </c>
      <c r="BW51" s="2">
        <f t="shared" si="33"/>
        <v>0</v>
      </c>
      <c r="BX51" s="2">
        <f t="shared" si="34"/>
        <v>0</v>
      </c>
      <c r="BY51" s="2">
        <f t="shared" si="35"/>
        <v>0</v>
      </c>
      <c r="BZ51" s="2">
        <f t="shared" si="36"/>
        <v>0</v>
      </c>
      <c r="CA51" s="2">
        <f t="shared" si="37"/>
        <v>0</v>
      </c>
      <c r="CB51" s="2">
        <f t="shared" si="38"/>
        <v>0</v>
      </c>
      <c r="CC51" s="2">
        <f t="shared" si="39"/>
        <v>0</v>
      </c>
      <c r="CD51" s="2">
        <f t="shared" si="40"/>
        <v>0</v>
      </c>
      <c r="CE51" s="3"/>
      <c r="CG51" s="123">
        <v>0</v>
      </c>
      <c r="CH51" s="124">
        <v>0</v>
      </c>
      <c r="CI51" s="124">
        <v>0</v>
      </c>
      <c r="CJ51" s="123">
        <v>8</v>
      </c>
      <c r="CK51" s="124">
        <v>0</v>
      </c>
      <c r="CL51" s="123">
        <v>3</v>
      </c>
      <c r="CM51" s="123">
        <v>0</v>
      </c>
      <c r="CN51" s="123">
        <v>4</v>
      </c>
      <c r="CO51" s="124">
        <v>0</v>
      </c>
      <c r="CP51" s="124">
        <v>0</v>
      </c>
      <c r="CQ51" s="126">
        <f t="shared" ref="CQ51:CQ83" si="41">SUM(CG51:CP51)</f>
        <v>15</v>
      </c>
    </row>
    <row r="52" spans="1:95" ht="21.75" customHeight="1" x14ac:dyDescent="0.25">
      <c r="A52" s="45">
        <v>36</v>
      </c>
      <c r="B52" s="11" t="s">
        <v>101</v>
      </c>
      <c r="C52" s="78" t="s">
        <v>102</v>
      </c>
      <c r="D52" s="88">
        <v>44641</v>
      </c>
      <c r="E52" s="137">
        <v>46235.350868055553</v>
      </c>
      <c r="F52" s="137">
        <v>46235.972453703704</v>
      </c>
      <c r="G52" s="137">
        <v>46236.351793981485</v>
      </c>
      <c r="H52" s="137">
        <v>46236.991886574076</v>
      </c>
      <c r="I52" s="137">
        <v>46237.351018518515</v>
      </c>
      <c r="J52" s="137">
        <v>46237.968321759261</v>
      </c>
      <c r="K52" s="137">
        <v>46238.344583333332</v>
      </c>
      <c r="L52" s="137">
        <v>46238.944479166668</v>
      </c>
      <c r="M52" s="137">
        <v>46239.356828703705</v>
      </c>
      <c r="N52" s="137">
        <v>46239.965682870374</v>
      </c>
      <c r="O52" s="137">
        <v>46240.352673611109</v>
      </c>
      <c r="P52" s="137">
        <v>46240.970138888886</v>
      </c>
      <c r="Q52" s="137">
        <v>46241.579953703702</v>
      </c>
      <c r="R52" s="137">
        <v>46241.934108796297</v>
      </c>
      <c r="S52" s="137">
        <v>46242.345856481479</v>
      </c>
      <c r="T52" s="137">
        <v>46242.988020833334</v>
      </c>
      <c r="U52" s="137">
        <v>46243.348171296297</v>
      </c>
      <c r="V52" s="137">
        <v>46243.937152777777</v>
      </c>
      <c r="W52" s="137">
        <v>46244.352662037039</v>
      </c>
      <c r="X52" s="137">
        <v>46244.965150462966</v>
      </c>
      <c r="Y52" s="137">
        <v>46245.346863425926</v>
      </c>
      <c r="Z52" s="137">
        <v>46245.918611111112</v>
      </c>
      <c r="AA52" s="137">
        <v>46246.353032407409</v>
      </c>
      <c r="AB52" s="137">
        <v>46246.994421296295</v>
      </c>
      <c r="AC52" s="137">
        <v>46247.348819444444</v>
      </c>
      <c r="AD52" s="137">
        <v>46247.982615740744</v>
      </c>
      <c r="AE52" s="141" t="s">
        <v>15</v>
      </c>
      <c r="AF52" s="141" t="s">
        <v>15</v>
      </c>
      <c r="AG52" s="137">
        <v>46249.351817129631</v>
      </c>
      <c r="AH52" s="137">
        <v>46249.971284722225</v>
      </c>
      <c r="AI52" s="116"/>
      <c r="AJ52" s="45">
        <v>36</v>
      </c>
      <c r="AK52" s="137">
        <v>46250.350069444445</v>
      </c>
      <c r="AL52" s="137">
        <v>46250.949074074073</v>
      </c>
      <c r="AM52" s="137">
        <v>46251.34747685185</v>
      </c>
      <c r="AN52" s="137">
        <v>46251.916956018518</v>
      </c>
      <c r="AO52" s="137">
        <v>46252.349976851852</v>
      </c>
      <c r="AP52" s="137">
        <v>46252.945416666669</v>
      </c>
      <c r="AQ52" s="137">
        <v>46253.351550925923</v>
      </c>
      <c r="AR52" s="137">
        <v>46253.985034722224</v>
      </c>
      <c r="AS52" s="137">
        <v>46254.35255787037</v>
      </c>
      <c r="AT52" s="137">
        <v>46254.949050925927</v>
      </c>
      <c r="AU52" s="137">
        <v>46255.581643518519</v>
      </c>
      <c r="AV52" s="137">
        <v>46255.917256944442</v>
      </c>
      <c r="AW52" s="137">
        <v>46256.345694444448</v>
      </c>
      <c r="AX52" s="137">
        <v>46256.925925925927</v>
      </c>
      <c r="AY52" s="137">
        <v>46257.3512962963</v>
      </c>
      <c r="AZ52" s="137">
        <v>0</v>
      </c>
      <c r="BA52" s="137">
        <v>46258.349282407406</v>
      </c>
      <c r="BB52" s="137">
        <v>0</v>
      </c>
      <c r="BC52" s="137">
        <v>46259.351041666669</v>
      </c>
      <c r="BD52" s="137">
        <v>46259.926840277774</v>
      </c>
      <c r="BE52" s="137">
        <v>46260.35261574074</v>
      </c>
      <c r="BF52" s="137">
        <v>46260.973275462966</v>
      </c>
      <c r="BG52" s="137">
        <v>46261.342233796298</v>
      </c>
      <c r="BH52" s="137">
        <v>46261.958854166667</v>
      </c>
      <c r="BI52" s="141" t="s">
        <v>15</v>
      </c>
      <c r="BJ52" s="141" t="s">
        <v>15</v>
      </c>
      <c r="BK52" s="137">
        <v>46263.34983796296</v>
      </c>
      <c r="BL52" s="137">
        <v>46263.95921296296</v>
      </c>
      <c r="BM52" s="137">
        <v>46264.350289351853</v>
      </c>
      <c r="BN52" s="170">
        <v>46264.95511574074</v>
      </c>
      <c r="BO52" s="170">
        <v>46265.345416666663</v>
      </c>
      <c r="BP52" s="170">
        <v>46265.942118055558</v>
      </c>
      <c r="BQ52" s="99">
        <f t="shared" si="16"/>
        <v>31</v>
      </c>
      <c r="BR52" s="68">
        <v>2</v>
      </c>
      <c r="BS52" s="1">
        <f t="shared" si="29"/>
        <v>29</v>
      </c>
      <c r="BT52" s="2">
        <f t="shared" si="30"/>
        <v>2</v>
      </c>
      <c r="BU52" s="2">
        <f t="shared" si="31"/>
        <v>0</v>
      </c>
      <c r="BV52" s="2">
        <f t="shared" si="32"/>
        <v>0</v>
      </c>
      <c r="BW52" s="2">
        <f t="shared" si="33"/>
        <v>0</v>
      </c>
      <c r="BX52" s="2">
        <f t="shared" si="34"/>
        <v>0</v>
      </c>
      <c r="BY52" s="2">
        <f t="shared" si="35"/>
        <v>0</v>
      </c>
      <c r="BZ52" s="2">
        <f t="shared" si="36"/>
        <v>0</v>
      </c>
      <c r="CA52" s="2">
        <f t="shared" si="37"/>
        <v>0</v>
      </c>
      <c r="CB52" s="2">
        <f t="shared" si="38"/>
        <v>0</v>
      </c>
      <c r="CC52" s="2">
        <f t="shared" si="39"/>
        <v>0</v>
      </c>
      <c r="CD52" s="2">
        <f t="shared" si="40"/>
        <v>0</v>
      </c>
      <c r="CE52" s="3"/>
      <c r="CG52" s="55">
        <v>0</v>
      </c>
      <c r="CH52" s="54">
        <v>0</v>
      </c>
      <c r="CI52" s="54">
        <v>0</v>
      </c>
      <c r="CJ52" s="54">
        <v>0</v>
      </c>
      <c r="CK52" s="54">
        <v>0</v>
      </c>
      <c r="CL52" s="55">
        <v>1</v>
      </c>
      <c r="CM52" s="55">
        <v>0</v>
      </c>
      <c r="CN52" s="55">
        <v>0</v>
      </c>
      <c r="CO52" s="54">
        <v>0</v>
      </c>
      <c r="CP52" s="54">
        <v>0</v>
      </c>
      <c r="CQ52" s="127">
        <f t="shared" si="41"/>
        <v>1</v>
      </c>
    </row>
    <row r="53" spans="1:95" ht="21.75" customHeight="1" x14ac:dyDescent="0.25">
      <c r="A53" s="45">
        <v>37</v>
      </c>
      <c r="B53" s="11" t="s">
        <v>103</v>
      </c>
      <c r="C53" s="78" t="s">
        <v>104</v>
      </c>
      <c r="D53" s="88">
        <v>45283</v>
      </c>
      <c r="E53" s="137">
        <v>46235.353437500002</v>
      </c>
      <c r="F53" s="137">
        <v>46235.961840277778</v>
      </c>
      <c r="G53" s="137">
        <v>46236.352939814817</v>
      </c>
      <c r="H53" s="137">
        <v>46236.938414351855</v>
      </c>
      <c r="I53" s="137">
        <v>46237.351226851853</v>
      </c>
      <c r="J53" s="137">
        <v>46237.934432870374</v>
      </c>
      <c r="K53" s="137">
        <v>46238.352083333331</v>
      </c>
      <c r="L53" s="137">
        <v>1</v>
      </c>
      <c r="M53" s="137">
        <v>46239.354907407411</v>
      </c>
      <c r="N53" s="137">
        <v>46239.943240740744</v>
      </c>
      <c r="O53" s="137">
        <v>46240.351817129631</v>
      </c>
      <c r="P53" s="137">
        <v>46240.916701388887</v>
      </c>
      <c r="Q53" s="137">
        <v>46241.560474537036</v>
      </c>
      <c r="R53" s="137">
        <v>46241.923171296294</v>
      </c>
      <c r="S53" s="137">
        <v>46242.353483796294</v>
      </c>
      <c r="T53" s="137">
        <v>46242.958564814813</v>
      </c>
      <c r="U53" s="137">
        <v>46243.354537037034</v>
      </c>
      <c r="V53" s="137">
        <v>46243.936631944445</v>
      </c>
      <c r="W53" s="137">
        <v>46244.354502314818</v>
      </c>
      <c r="X53" s="137">
        <v>46244.918229166666</v>
      </c>
      <c r="Y53" s="137">
        <v>46245.350092592591</v>
      </c>
      <c r="Z53" s="137">
        <v>46245.921041666668</v>
      </c>
      <c r="AA53" s="137">
        <v>46246.35564814815</v>
      </c>
      <c r="AB53" s="137">
        <v>46246.944293981483</v>
      </c>
      <c r="AC53" s="137">
        <v>46247.355381944442</v>
      </c>
      <c r="AD53" s="137">
        <v>46247.967939814815</v>
      </c>
      <c r="AE53" s="141" t="s">
        <v>15</v>
      </c>
      <c r="AF53" s="141" t="s">
        <v>15</v>
      </c>
      <c r="AG53" s="137">
        <v>46249.353854166664</v>
      </c>
      <c r="AH53" s="137">
        <v>46249.970763888887</v>
      </c>
      <c r="AI53" s="116"/>
      <c r="AJ53" s="45">
        <v>37</v>
      </c>
      <c r="AK53" s="137">
        <v>46250.354398148149</v>
      </c>
      <c r="AL53" s="137">
        <v>46250.938680555555</v>
      </c>
      <c r="AM53" s="147">
        <v>46251.331817129627</v>
      </c>
      <c r="AN53" s="137">
        <v>46251.925787037035</v>
      </c>
      <c r="AO53" s="137">
        <v>46252.354212962964</v>
      </c>
      <c r="AP53" s="137">
        <v>46252.944085648145</v>
      </c>
      <c r="AQ53" s="137">
        <v>46253.353009259263</v>
      </c>
      <c r="AR53" s="137">
        <v>0</v>
      </c>
      <c r="AS53" s="137">
        <v>46254.392870370371</v>
      </c>
      <c r="AT53" s="137">
        <v>46254.921319444446</v>
      </c>
      <c r="AU53" s="137">
        <v>46255.579050925924</v>
      </c>
      <c r="AV53" s="137">
        <v>46255.925393518519</v>
      </c>
      <c r="AW53" s="137">
        <v>46256.353402777779</v>
      </c>
      <c r="AX53" s="137">
        <v>46256.960694444446</v>
      </c>
      <c r="AY53" s="137">
        <v>46257.353402777779</v>
      </c>
      <c r="AZ53" s="137">
        <v>46257.941122685188</v>
      </c>
      <c r="BA53" s="137">
        <v>0</v>
      </c>
      <c r="BB53" s="137">
        <v>0</v>
      </c>
      <c r="BC53" s="137">
        <v>46259.349641203706</v>
      </c>
      <c r="BD53" s="137">
        <v>46259.924884259257</v>
      </c>
      <c r="BE53" s="137">
        <v>46260.35565972222</v>
      </c>
      <c r="BF53" s="137">
        <v>46260.962557870371</v>
      </c>
      <c r="BG53" s="137">
        <v>46261.352303240739</v>
      </c>
      <c r="BH53" s="137">
        <v>46261.958391203705</v>
      </c>
      <c r="BI53" s="141" t="s">
        <v>15</v>
      </c>
      <c r="BJ53" s="141" t="s">
        <v>15</v>
      </c>
      <c r="BK53" s="137">
        <v>46263.354930555557</v>
      </c>
      <c r="BL53" s="137">
        <v>46263.96434027778</v>
      </c>
      <c r="BM53" s="137">
        <v>46264.351805555554</v>
      </c>
      <c r="BN53" s="170">
        <v>46264.959930555553</v>
      </c>
      <c r="BO53" s="170">
        <v>46265.353622685187</v>
      </c>
      <c r="BP53" s="170">
        <v>46265.921550925923</v>
      </c>
      <c r="BQ53" s="99">
        <f t="shared" si="16"/>
        <v>31</v>
      </c>
      <c r="BR53" s="68">
        <v>2</v>
      </c>
      <c r="BS53" s="1">
        <f t="shared" si="29"/>
        <v>29</v>
      </c>
      <c r="BT53" s="2">
        <f t="shared" si="30"/>
        <v>2</v>
      </c>
      <c r="BU53" s="2">
        <f t="shared" si="31"/>
        <v>0</v>
      </c>
      <c r="BV53" s="2">
        <f t="shared" si="32"/>
        <v>0</v>
      </c>
      <c r="BW53" s="2">
        <f t="shared" si="33"/>
        <v>0</v>
      </c>
      <c r="BX53" s="2">
        <f t="shared" si="34"/>
        <v>0</v>
      </c>
      <c r="BY53" s="2">
        <f t="shared" si="35"/>
        <v>0</v>
      </c>
      <c r="BZ53" s="2">
        <f t="shared" si="36"/>
        <v>0</v>
      </c>
      <c r="CA53" s="2">
        <f t="shared" si="37"/>
        <v>0</v>
      </c>
      <c r="CB53" s="2">
        <f t="shared" si="38"/>
        <v>0</v>
      </c>
      <c r="CC53" s="2">
        <f t="shared" si="39"/>
        <v>0</v>
      </c>
      <c r="CD53" s="2">
        <f t="shared" si="40"/>
        <v>0</v>
      </c>
      <c r="CE53" s="3"/>
      <c r="CG53" s="123">
        <v>0</v>
      </c>
      <c r="CH53" s="124">
        <v>0</v>
      </c>
      <c r="CI53" s="124">
        <v>0</v>
      </c>
      <c r="CJ53" s="124">
        <v>0</v>
      </c>
      <c r="CK53" s="124">
        <v>0</v>
      </c>
      <c r="CL53" s="123">
        <v>3</v>
      </c>
      <c r="CM53" s="123">
        <v>0</v>
      </c>
      <c r="CN53" s="123">
        <v>0</v>
      </c>
      <c r="CO53" s="124">
        <v>0</v>
      </c>
      <c r="CP53" s="124">
        <v>0</v>
      </c>
      <c r="CQ53" s="126">
        <f t="shared" si="41"/>
        <v>3</v>
      </c>
    </row>
    <row r="54" spans="1:95" ht="21.75" customHeight="1" x14ac:dyDescent="0.25">
      <c r="A54" s="45">
        <v>38</v>
      </c>
      <c r="B54" s="11" t="s">
        <v>108</v>
      </c>
      <c r="C54" s="78" t="s">
        <v>176</v>
      </c>
      <c r="D54" s="88">
        <v>45148</v>
      </c>
      <c r="E54" s="139" t="s">
        <v>18</v>
      </c>
      <c r="F54" s="139" t="s">
        <v>18</v>
      </c>
      <c r="G54" s="139" t="s">
        <v>18</v>
      </c>
      <c r="H54" s="139" t="s">
        <v>18</v>
      </c>
      <c r="I54" s="139" t="s">
        <v>18</v>
      </c>
      <c r="J54" s="139" t="s">
        <v>18</v>
      </c>
      <c r="K54" s="139" t="s">
        <v>18</v>
      </c>
      <c r="L54" s="139" t="s">
        <v>18</v>
      </c>
      <c r="M54" s="139" t="s">
        <v>18</v>
      </c>
      <c r="N54" s="139" t="s">
        <v>18</v>
      </c>
      <c r="O54" s="139" t="s">
        <v>18</v>
      </c>
      <c r="P54" s="139" t="s">
        <v>18</v>
      </c>
      <c r="Q54" s="140">
        <v>46241.574641203704</v>
      </c>
      <c r="R54" s="140">
        <v>46241.90016203704</v>
      </c>
      <c r="S54" s="140">
        <v>46242.345011574071</v>
      </c>
      <c r="T54" s="137">
        <v>46242.948229166665</v>
      </c>
      <c r="U54" s="137">
        <v>46243.346307870372</v>
      </c>
      <c r="V54" s="137">
        <v>46243.931354166663</v>
      </c>
      <c r="W54" s="137">
        <v>46244.349675925929</v>
      </c>
      <c r="X54" s="137">
        <v>46244.939479166664</v>
      </c>
      <c r="Y54" s="137">
        <v>46245.348182870373</v>
      </c>
      <c r="Z54" s="137">
        <v>46245.936666666668</v>
      </c>
      <c r="AA54" s="137">
        <v>46246.350324074076</v>
      </c>
      <c r="AB54" s="137">
        <v>46246.940625000003</v>
      </c>
      <c r="AC54" s="137">
        <v>46247.348020833335</v>
      </c>
      <c r="AD54" s="137">
        <v>46247.952835648146</v>
      </c>
      <c r="AE54" s="137">
        <v>46248.578287037039</v>
      </c>
      <c r="AF54" s="137">
        <v>1</v>
      </c>
      <c r="AG54" s="137">
        <v>46249.347962962966</v>
      </c>
      <c r="AH54" s="137">
        <v>46249.965543981481</v>
      </c>
      <c r="AI54" s="137"/>
      <c r="AJ54" s="45">
        <v>38</v>
      </c>
      <c r="AK54" s="137">
        <v>46250.350277777776</v>
      </c>
      <c r="AL54" s="137">
        <v>46250.922303240739</v>
      </c>
      <c r="AM54" s="174" t="s">
        <v>171</v>
      </c>
      <c r="AN54" s="174" t="s">
        <v>171</v>
      </c>
      <c r="AO54" s="137">
        <v>46252.352025462962</v>
      </c>
      <c r="AP54" s="137">
        <v>46252.933391203704</v>
      </c>
      <c r="AQ54" s="137">
        <v>46253.34574074074</v>
      </c>
      <c r="AR54" s="137">
        <v>46253.939641203702</v>
      </c>
      <c r="AS54" s="137">
        <v>46254.349907407406</v>
      </c>
      <c r="AT54" s="137">
        <v>46254.925717592596</v>
      </c>
      <c r="AU54" s="141" t="s">
        <v>15</v>
      </c>
      <c r="AV54" s="141" t="s">
        <v>15</v>
      </c>
      <c r="AW54" s="137">
        <v>46256.352476851855</v>
      </c>
      <c r="AX54" s="137">
        <v>46256.918634259258</v>
      </c>
      <c r="AY54" s="137">
        <v>46257.350081018521</v>
      </c>
      <c r="AZ54" s="137">
        <v>46257.914363425924</v>
      </c>
      <c r="BA54" s="137">
        <v>1</v>
      </c>
      <c r="BB54" s="137">
        <v>46258.930844907409</v>
      </c>
      <c r="BC54" s="137">
        <v>46259.346053240741</v>
      </c>
      <c r="BD54" s="137">
        <v>46259.907395833332</v>
      </c>
      <c r="BE54" s="137">
        <v>0</v>
      </c>
      <c r="BF54" s="137">
        <v>46260.928148148145</v>
      </c>
      <c r="BG54" s="137">
        <v>46261.349618055552</v>
      </c>
      <c r="BH54" s="137">
        <v>0</v>
      </c>
      <c r="BI54" s="137">
        <v>0</v>
      </c>
      <c r="BJ54" s="137">
        <v>46262.903344907405</v>
      </c>
      <c r="BK54" s="137">
        <v>46263.352407407408</v>
      </c>
      <c r="BL54" s="137">
        <v>46263.949189814812</v>
      </c>
      <c r="BM54" s="137">
        <v>46264.351620370369</v>
      </c>
      <c r="BN54" s="137">
        <v>46264.918946759259</v>
      </c>
      <c r="BO54" s="137">
        <v>46265.347893518519</v>
      </c>
      <c r="BP54" s="137">
        <v>46265.935868055552</v>
      </c>
      <c r="BQ54" s="99">
        <f t="shared" si="16"/>
        <v>25</v>
      </c>
      <c r="BR54" s="68">
        <v>3</v>
      </c>
      <c r="BS54" s="1">
        <f>COUNT(E54:AH54)/2+COUNT(AK54:BP54)/2</f>
        <v>23</v>
      </c>
      <c r="BT54" s="2">
        <f t="shared" si="30"/>
        <v>1</v>
      </c>
      <c r="BU54" s="2">
        <f t="shared" si="31"/>
        <v>0</v>
      </c>
      <c r="BV54" s="2">
        <f t="shared" si="32"/>
        <v>0</v>
      </c>
      <c r="BW54" s="2">
        <f t="shared" si="33"/>
        <v>6</v>
      </c>
      <c r="BX54" s="2">
        <f t="shared" si="34"/>
        <v>0</v>
      </c>
      <c r="BY54" s="2">
        <f t="shared" si="35"/>
        <v>0</v>
      </c>
      <c r="BZ54" s="2">
        <f t="shared" si="36"/>
        <v>1</v>
      </c>
      <c r="CA54" s="2">
        <f t="shared" si="37"/>
        <v>0</v>
      </c>
      <c r="CB54" s="2">
        <f t="shared" si="38"/>
        <v>0</v>
      </c>
      <c r="CC54" s="2">
        <f t="shared" si="39"/>
        <v>0</v>
      </c>
      <c r="CD54" s="2">
        <f t="shared" si="40"/>
        <v>0</v>
      </c>
      <c r="CE54" s="3"/>
      <c r="CG54" s="54">
        <v>0</v>
      </c>
      <c r="CH54" s="54">
        <v>0</v>
      </c>
      <c r="CI54" s="54">
        <v>0</v>
      </c>
      <c r="CJ54" s="54">
        <v>0</v>
      </c>
      <c r="CK54" s="54">
        <v>0</v>
      </c>
      <c r="CL54" s="55">
        <v>4</v>
      </c>
      <c r="CM54" s="55">
        <v>1</v>
      </c>
      <c r="CN54" s="54">
        <v>0</v>
      </c>
      <c r="CO54" s="54">
        <v>0</v>
      </c>
      <c r="CP54" s="54">
        <v>0</v>
      </c>
      <c r="CQ54" s="56">
        <f>SUM(CG54:CP54)</f>
        <v>5</v>
      </c>
    </row>
    <row r="55" spans="1:95" ht="21.75" customHeight="1" x14ac:dyDescent="0.25">
      <c r="A55" s="45">
        <v>39</v>
      </c>
      <c r="B55" s="11" t="s">
        <v>111</v>
      </c>
      <c r="C55" s="78" t="s">
        <v>112</v>
      </c>
      <c r="D55" s="88">
        <v>45330</v>
      </c>
      <c r="E55" s="137">
        <v>46235.324270833335</v>
      </c>
      <c r="F55" s="137">
        <v>46235.974270833336</v>
      </c>
      <c r="G55" s="137">
        <v>46236.329733796294</v>
      </c>
      <c r="H55" s="137">
        <v>46236.958634259259</v>
      </c>
      <c r="I55" s="137">
        <v>46237.330925925926</v>
      </c>
      <c r="J55" s="137">
        <v>46237.960381944446</v>
      </c>
      <c r="K55" s="137">
        <v>46238.328553240739</v>
      </c>
      <c r="L55" s="137">
        <v>46238.956724537034</v>
      </c>
      <c r="M55" s="137">
        <v>46239.33016203704</v>
      </c>
      <c r="N55" s="137">
        <v>46239.955254629633</v>
      </c>
      <c r="O55" s="137">
        <v>46240.328981481478</v>
      </c>
      <c r="P55" s="137">
        <v>46240.982627314814</v>
      </c>
      <c r="Q55" s="137">
        <v>46241.572418981479</v>
      </c>
      <c r="R55" s="137">
        <v>46241.958749999998</v>
      </c>
      <c r="S55" s="137">
        <v>46242.327118055553</v>
      </c>
      <c r="T55" s="137">
        <v>46242.973067129627</v>
      </c>
      <c r="U55" s="137">
        <v>46243.328206018516</v>
      </c>
      <c r="V55" s="137">
        <v>46243.96465277778</v>
      </c>
      <c r="W55" s="137">
        <v>46244.325532407405</v>
      </c>
      <c r="X55" s="137">
        <v>46244.957569444443</v>
      </c>
      <c r="Y55" s="137">
        <v>46245.330069444448</v>
      </c>
      <c r="Z55" s="137">
        <v>46245.959907407407</v>
      </c>
      <c r="AA55" s="137">
        <v>46246.32503472222</v>
      </c>
      <c r="AB55" s="137">
        <v>46246.969189814816</v>
      </c>
      <c r="AC55" s="137">
        <v>46247.325532407405</v>
      </c>
      <c r="AD55" s="137">
        <v>46247.983391203707</v>
      </c>
      <c r="AE55" s="137">
        <v>1</v>
      </c>
      <c r="AF55" s="137">
        <v>46248.956666666665</v>
      </c>
      <c r="AG55" s="137">
        <v>46249.336655092593</v>
      </c>
      <c r="AH55" s="137">
        <v>46249.973379629628</v>
      </c>
      <c r="AI55" s="137"/>
      <c r="AJ55" s="45">
        <v>39</v>
      </c>
      <c r="AK55" s="137">
        <v>46250.327870370369</v>
      </c>
      <c r="AL55" s="137">
        <v>46262.94635416667</v>
      </c>
      <c r="AM55" s="137">
        <v>46251.325578703705</v>
      </c>
      <c r="AN55" s="137">
        <v>46251.958622685182</v>
      </c>
      <c r="AO55" s="137">
        <v>46252.330243055556</v>
      </c>
      <c r="AP55" s="137">
        <v>46252.960127314815</v>
      </c>
      <c r="AQ55" s="137">
        <v>46253.325358796297</v>
      </c>
      <c r="AR55" s="137">
        <v>46253.956284722219</v>
      </c>
      <c r="AS55" s="137">
        <v>46254.332060185188</v>
      </c>
      <c r="AT55" s="137">
        <v>46254.970879629633</v>
      </c>
      <c r="AU55" s="137">
        <v>46255.56517361111</v>
      </c>
      <c r="AV55" s="137">
        <v>46255.977592592593</v>
      </c>
      <c r="AW55" s="137">
        <v>46256.32675925926</v>
      </c>
      <c r="AX55" s="137">
        <v>46256.967812499999</v>
      </c>
      <c r="AY55" s="137">
        <v>46257.32240740741</v>
      </c>
      <c r="AZ55" s="137">
        <v>46257.952893518515</v>
      </c>
      <c r="BA55" s="137">
        <v>46258.33090277778</v>
      </c>
      <c r="BB55" s="137">
        <v>46258.955208333333</v>
      </c>
      <c r="BC55" s="137">
        <v>46259.35434027778</v>
      </c>
      <c r="BD55" s="137">
        <v>46259.962175925924</v>
      </c>
      <c r="BE55" s="137">
        <v>46260.353784722225</v>
      </c>
      <c r="BF55" s="137">
        <v>46260.953240740739</v>
      </c>
      <c r="BG55" s="137">
        <v>46261.330081018517</v>
      </c>
      <c r="BH55" s="137">
        <v>46261.97246527778</v>
      </c>
      <c r="BI55" s="137">
        <v>46262.563159722224</v>
      </c>
      <c r="BJ55" s="137">
        <v>46262.94635416667</v>
      </c>
      <c r="BK55" s="137">
        <v>46263.340555555558</v>
      </c>
      <c r="BL55" s="137">
        <v>46263.97347222222</v>
      </c>
      <c r="BM55" s="137">
        <v>46264.337372685186</v>
      </c>
      <c r="BN55" s="137">
        <v>46264.929085648146</v>
      </c>
      <c r="BO55" s="137">
        <v>46265.327106481483</v>
      </c>
      <c r="BP55" s="137">
        <v>46265.955254629633</v>
      </c>
      <c r="BQ55" s="99">
        <f t="shared" si="16"/>
        <v>31</v>
      </c>
      <c r="BR55" s="68">
        <v>4</v>
      </c>
      <c r="BS55" s="1">
        <f>COUNT(E55:AH55)/2+COUNT(AK55:BP55)/2</f>
        <v>31</v>
      </c>
      <c r="BT55" s="2">
        <f t="shared" si="30"/>
        <v>0</v>
      </c>
      <c r="BU55" s="2">
        <f t="shared" si="31"/>
        <v>0</v>
      </c>
      <c r="BV55" s="2">
        <f t="shared" si="32"/>
        <v>0</v>
      </c>
      <c r="BW55" s="2">
        <f t="shared" si="33"/>
        <v>0</v>
      </c>
      <c r="BX55" s="2">
        <f t="shared" si="34"/>
        <v>0</v>
      </c>
      <c r="BY55" s="2">
        <f t="shared" si="35"/>
        <v>0</v>
      </c>
      <c r="BZ55" s="2">
        <f t="shared" si="36"/>
        <v>0</v>
      </c>
      <c r="CA55" s="2">
        <f t="shared" si="37"/>
        <v>0</v>
      </c>
      <c r="CB55" s="2">
        <f t="shared" si="38"/>
        <v>0</v>
      </c>
      <c r="CC55" s="2">
        <f t="shared" si="39"/>
        <v>0</v>
      </c>
      <c r="CD55" s="2">
        <f t="shared" si="40"/>
        <v>0</v>
      </c>
      <c r="CE55" s="3"/>
    </row>
    <row r="56" spans="1:95" ht="21.75" customHeight="1" x14ac:dyDescent="0.25">
      <c r="A56" s="45">
        <v>40</v>
      </c>
      <c r="B56" s="11" t="s">
        <v>109</v>
      </c>
      <c r="C56" s="78" t="s">
        <v>175</v>
      </c>
      <c r="D56" s="88">
        <v>45243</v>
      </c>
      <c r="E56" s="137">
        <v>46235.353506944448</v>
      </c>
      <c r="F56" s="137">
        <v>46235.95884259259</v>
      </c>
      <c r="G56" s="137">
        <v>46236.351712962962</v>
      </c>
      <c r="H56" s="137">
        <v>46236.961168981485</v>
      </c>
      <c r="I56" s="137">
        <v>46237.350740740738</v>
      </c>
      <c r="J56" s="137">
        <v>46237.968888888892</v>
      </c>
      <c r="K56" s="137">
        <v>46238.354780092595</v>
      </c>
      <c r="L56" s="137">
        <v>46238.940196759257</v>
      </c>
      <c r="M56" s="137">
        <v>46239.354259259257</v>
      </c>
      <c r="N56" s="137">
        <v>46239.956354166665</v>
      </c>
      <c r="O56" s="137">
        <v>46240.344699074078</v>
      </c>
      <c r="P56" s="137">
        <v>46240.956678240742</v>
      </c>
      <c r="Q56" s="141" t="s">
        <v>15</v>
      </c>
      <c r="R56" s="141" t="s">
        <v>15</v>
      </c>
      <c r="S56" s="137">
        <v>46242.353298611109</v>
      </c>
      <c r="T56" s="137">
        <v>46242.940405092595</v>
      </c>
      <c r="U56" s="137">
        <v>46243.353437500002</v>
      </c>
      <c r="V56" s="137">
        <v>1</v>
      </c>
      <c r="W56" s="137">
        <v>46244.340196759258</v>
      </c>
      <c r="X56" s="137">
        <v>46244.942002314812</v>
      </c>
      <c r="Y56" s="137">
        <v>46245.351747685185</v>
      </c>
      <c r="Z56" s="137">
        <v>46245.921493055554</v>
      </c>
      <c r="AA56" s="137">
        <v>46246.345775462964</v>
      </c>
      <c r="AB56" s="137">
        <v>46246.974687499998</v>
      </c>
      <c r="AC56" s="137">
        <v>46247.349618055552</v>
      </c>
      <c r="AD56" s="137">
        <v>1</v>
      </c>
      <c r="AE56" s="137">
        <v>46248.580081018517</v>
      </c>
      <c r="AF56" s="137">
        <v>46248.923576388886</v>
      </c>
      <c r="AG56" s="137">
        <v>46249.35392361111</v>
      </c>
      <c r="AH56" s="137">
        <v>46249.971678240741</v>
      </c>
      <c r="AI56" s="116"/>
      <c r="AJ56" s="45">
        <v>40</v>
      </c>
      <c r="AK56" s="137">
        <v>46250.349861111114</v>
      </c>
      <c r="AL56" s="137">
        <v>46262.958807870367</v>
      </c>
      <c r="AM56" s="137">
        <v>46251.352881944447</v>
      </c>
      <c r="AN56" s="137">
        <v>46251.940081018518</v>
      </c>
      <c r="AO56" s="137">
        <v>46252.351620370369</v>
      </c>
      <c r="AP56" s="137">
        <v>46252.932893518519</v>
      </c>
      <c r="AQ56" s="137">
        <v>46253.352488425924</v>
      </c>
      <c r="AR56" s="137">
        <v>46253.931030092594</v>
      </c>
      <c r="AS56" s="137">
        <v>46254.351875</v>
      </c>
      <c r="AT56" s="137">
        <v>46254.941990740743</v>
      </c>
      <c r="AU56" s="141" t="s">
        <v>15</v>
      </c>
      <c r="AV56" s="141" t="s">
        <v>15</v>
      </c>
      <c r="AW56" s="137">
        <v>46256.3203125</v>
      </c>
      <c r="AX56" s="137">
        <v>46256.925717592596</v>
      </c>
      <c r="AY56" s="137">
        <v>46257.323981481481</v>
      </c>
      <c r="AZ56" s="137">
        <v>46257.921342592592</v>
      </c>
      <c r="BA56" s="137">
        <v>46258.372604166667</v>
      </c>
      <c r="BB56" s="137">
        <v>46258.925208333334</v>
      </c>
      <c r="BC56" s="137">
        <v>0</v>
      </c>
      <c r="BD56" s="137">
        <v>46259.926874999997</v>
      </c>
      <c r="BE56" s="137">
        <v>46260.390381944446</v>
      </c>
      <c r="BF56" s="137">
        <v>46260.938472222224</v>
      </c>
      <c r="BG56" s="137">
        <v>46261.329583333332</v>
      </c>
      <c r="BH56" s="137">
        <v>46261.938344907408</v>
      </c>
      <c r="BI56" s="137">
        <v>46262.334490740737</v>
      </c>
      <c r="BJ56" s="137">
        <v>46262.958807870367</v>
      </c>
      <c r="BK56" s="137">
        <v>46263.346446759257</v>
      </c>
      <c r="BL56" s="137">
        <v>46263.959155092591</v>
      </c>
      <c r="BM56" s="137">
        <v>46264.352025462962</v>
      </c>
      <c r="BN56" s="170">
        <v>46264.949976851851</v>
      </c>
      <c r="BO56" s="170">
        <v>46265.34684027778</v>
      </c>
      <c r="BP56" s="170">
        <v>46265.940462962964</v>
      </c>
      <c r="BQ56" s="99">
        <f t="shared" si="16"/>
        <v>31</v>
      </c>
      <c r="BR56" s="68">
        <v>2</v>
      </c>
      <c r="BS56" s="1">
        <f t="shared" si="29"/>
        <v>29</v>
      </c>
      <c r="BT56" s="2">
        <f t="shared" si="30"/>
        <v>2</v>
      </c>
      <c r="BU56" s="2">
        <f t="shared" si="31"/>
        <v>0</v>
      </c>
      <c r="BV56" s="2">
        <f t="shared" si="32"/>
        <v>0</v>
      </c>
      <c r="BW56" s="2">
        <f t="shared" si="33"/>
        <v>0</v>
      </c>
      <c r="BX56" s="2">
        <f t="shared" si="34"/>
        <v>0</v>
      </c>
      <c r="BY56" s="2">
        <f t="shared" si="35"/>
        <v>0</v>
      </c>
      <c r="BZ56" s="2">
        <f t="shared" si="36"/>
        <v>0</v>
      </c>
      <c r="CA56" s="2">
        <f t="shared" si="37"/>
        <v>0</v>
      </c>
      <c r="CB56" s="2">
        <f t="shared" si="38"/>
        <v>0</v>
      </c>
      <c r="CC56" s="2">
        <f t="shared" si="39"/>
        <v>0</v>
      </c>
      <c r="CD56" s="2">
        <f t="shared" si="40"/>
        <v>0</v>
      </c>
      <c r="CE56" s="3"/>
      <c r="CG56" s="123">
        <v>0</v>
      </c>
      <c r="CH56" s="124">
        <v>0</v>
      </c>
      <c r="CI56" s="124">
        <v>0</v>
      </c>
      <c r="CJ56" s="124">
        <v>0</v>
      </c>
      <c r="CK56" s="124">
        <v>0</v>
      </c>
      <c r="CL56" s="124">
        <v>0</v>
      </c>
      <c r="CM56" s="124">
        <v>0</v>
      </c>
      <c r="CN56" s="124">
        <v>0</v>
      </c>
      <c r="CO56" s="124">
        <v>0</v>
      </c>
      <c r="CP56" s="124">
        <v>0</v>
      </c>
      <c r="CQ56" s="126">
        <f t="shared" si="41"/>
        <v>0</v>
      </c>
    </row>
    <row r="57" spans="1:95" ht="21.75" customHeight="1" x14ac:dyDescent="0.25">
      <c r="A57" s="45">
        <v>41</v>
      </c>
      <c r="B57" s="11" t="s">
        <v>113</v>
      </c>
      <c r="C57" s="78" t="s">
        <v>227</v>
      </c>
      <c r="D57" s="88"/>
      <c r="E57" s="139" t="s">
        <v>18</v>
      </c>
      <c r="F57" s="139" t="s">
        <v>18</v>
      </c>
      <c r="G57" s="139" t="s">
        <v>18</v>
      </c>
      <c r="H57" s="139" t="s">
        <v>18</v>
      </c>
      <c r="I57" s="139" t="s">
        <v>18</v>
      </c>
      <c r="J57" s="139" t="s">
        <v>18</v>
      </c>
      <c r="K57" s="139" t="s">
        <v>18</v>
      </c>
      <c r="L57" s="139" t="s">
        <v>18</v>
      </c>
      <c r="M57" s="139" t="s">
        <v>18</v>
      </c>
      <c r="N57" s="139" t="s">
        <v>18</v>
      </c>
      <c r="O57" s="139" t="s">
        <v>18</v>
      </c>
      <c r="P57" s="139" t="s">
        <v>18</v>
      </c>
      <c r="Q57" s="139" t="s">
        <v>18</v>
      </c>
      <c r="R57" s="139" t="s">
        <v>18</v>
      </c>
      <c r="S57" s="139" t="s">
        <v>18</v>
      </c>
      <c r="T57" s="139" t="s">
        <v>18</v>
      </c>
      <c r="U57" s="139" t="s">
        <v>18</v>
      </c>
      <c r="V57" s="139" t="s">
        <v>18</v>
      </c>
      <c r="W57" s="139" t="s">
        <v>18</v>
      </c>
      <c r="X57" s="139" t="s">
        <v>18</v>
      </c>
      <c r="Y57" s="139" t="s">
        <v>18</v>
      </c>
      <c r="Z57" s="139" t="s">
        <v>18</v>
      </c>
      <c r="AA57" s="139" t="s">
        <v>18</v>
      </c>
      <c r="AB57" s="139" t="s">
        <v>18</v>
      </c>
      <c r="AC57" s="139" t="s">
        <v>18</v>
      </c>
      <c r="AD57" s="139" t="s">
        <v>18</v>
      </c>
      <c r="AE57" s="139" t="s">
        <v>18</v>
      </c>
      <c r="AF57" s="139" t="s">
        <v>18</v>
      </c>
      <c r="AG57" s="139" t="s">
        <v>18</v>
      </c>
      <c r="AH57" s="139" t="s">
        <v>18</v>
      </c>
      <c r="AI57" s="108"/>
      <c r="AJ57" s="45">
        <v>41</v>
      </c>
      <c r="AK57" s="75">
        <v>46250.354467592595</v>
      </c>
      <c r="AL57" s="75">
        <v>0</v>
      </c>
      <c r="AM57" s="178">
        <v>46251.350914351853</v>
      </c>
      <c r="AN57" s="178">
        <v>46251.941817129627</v>
      </c>
      <c r="AO57" s="75">
        <v>46252.349108796298</v>
      </c>
      <c r="AP57" s="75">
        <v>46252.94390046296</v>
      </c>
      <c r="AQ57" s="75">
        <v>46253.347708333335</v>
      </c>
      <c r="AR57" s="75">
        <v>46254.002627314818</v>
      </c>
      <c r="AS57" s="75">
        <v>46254.348460648151</v>
      </c>
      <c r="AT57" s="75">
        <v>46254.948865740742</v>
      </c>
      <c r="AU57" s="75">
        <v>46255.582349537035</v>
      </c>
      <c r="AV57" s="75">
        <v>46255.946527777778</v>
      </c>
      <c r="AW57" s="75">
        <v>46256.349131944444</v>
      </c>
      <c r="AX57" s="75">
        <v>46256.951354166667</v>
      </c>
      <c r="AY57" s="75">
        <v>46257.346782407411</v>
      </c>
      <c r="AZ57" s="75">
        <v>46257.93650462963</v>
      </c>
      <c r="BA57" s="75">
        <v>46258.332303240742</v>
      </c>
      <c r="BB57" s="75">
        <v>46258.955370370371</v>
      </c>
      <c r="BC57" s="75">
        <v>46259.348865740743</v>
      </c>
      <c r="BD57" s="75">
        <v>46259.949236111112</v>
      </c>
      <c r="BE57" s="75">
        <v>46260.346365740741</v>
      </c>
      <c r="BF57" s="75">
        <v>46260.972800925927</v>
      </c>
      <c r="BG57" s="75">
        <v>46261.34815972222</v>
      </c>
      <c r="BH57" s="75">
        <v>46261.952569444446</v>
      </c>
      <c r="BI57" s="141" t="s">
        <v>15</v>
      </c>
      <c r="BJ57" s="141" t="s">
        <v>15</v>
      </c>
      <c r="BK57" s="75">
        <v>46263.349745370368</v>
      </c>
      <c r="BL57" s="75">
        <v>46263.960925925923</v>
      </c>
      <c r="BM57" s="75">
        <v>46264.350219907406</v>
      </c>
      <c r="BN57" s="75">
        <v>46264.913055555553</v>
      </c>
      <c r="BO57" s="132">
        <v>46265.348368055558</v>
      </c>
      <c r="BP57" s="132">
        <v>46265.944861111115</v>
      </c>
      <c r="BQ57" s="99">
        <f t="shared" si="16"/>
        <v>15</v>
      </c>
      <c r="BR57" s="68">
        <v>1</v>
      </c>
      <c r="BS57" s="1">
        <f>COUNT(E57:AH57)/2+COUNT(AK57:BN57)/2</f>
        <v>14</v>
      </c>
      <c r="BT57" s="2">
        <f t="shared" si="30"/>
        <v>1</v>
      </c>
      <c r="BU57" s="2">
        <f t="shared" si="31"/>
        <v>0</v>
      </c>
      <c r="BV57" s="2">
        <f t="shared" si="32"/>
        <v>0</v>
      </c>
      <c r="BW57" s="2">
        <f t="shared" si="33"/>
        <v>15</v>
      </c>
      <c r="BX57" s="2">
        <f t="shared" si="34"/>
        <v>0</v>
      </c>
      <c r="BY57" s="2">
        <f t="shared" si="35"/>
        <v>0</v>
      </c>
      <c r="BZ57" s="2">
        <f t="shared" si="36"/>
        <v>0</v>
      </c>
      <c r="CA57" s="2">
        <f t="shared" si="37"/>
        <v>0</v>
      </c>
      <c r="CB57" s="2">
        <f t="shared" si="38"/>
        <v>0</v>
      </c>
      <c r="CC57" s="2">
        <f t="shared" si="39"/>
        <v>0</v>
      </c>
      <c r="CD57" s="2">
        <f t="shared" si="40"/>
        <v>0</v>
      </c>
      <c r="CE57" s="3"/>
      <c r="CG57" s="54">
        <v>0</v>
      </c>
      <c r="CH57" s="54">
        <v>0</v>
      </c>
      <c r="CI57" s="54">
        <v>0</v>
      </c>
      <c r="CJ57" s="54">
        <v>0</v>
      </c>
      <c r="CK57" s="54">
        <v>0</v>
      </c>
      <c r="CL57" s="54">
        <v>0</v>
      </c>
      <c r="CM57" s="55">
        <v>0</v>
      </c>
      <c r="CN57" s="55">
        <v>0</v>
      </c>
      <c r="CO57" s="54">
        <v>0</v>
      </c>
      <c r="CP57" s="54">
        <v>0</v>
      </c>
      <c r="CQ57" s="56">
        <f>SUM(CG57:CP57)</f>
        <v>0</v>
      </c>
    </row>
    <row r="58" spans="1:95" ht="21.75" customHeight="1" x14ac:dyDescent="0.25">
      <c r="A58" s="45">
        <v>42</v>
      </c>
      <c r="B58" s="11" t="s">
        <v>110</v>
      </c>
      <c r="C58" s="8" t="s">
        <v>178</v>
      </c>
      <c r="E58" s="137">
        <v>46235.352962962963</v>
      </c>
      <c r="F58" s="137">
        <v>46235.97</v>
      </c>
      <c r="G58" s="137">
        <v>46236.353865740741</v>
      </c>
      <c r="H58" s="137">
        <v>46236.945648148147</v>
      </c>
      <c r="I58" s="137">
        <v>46237.353506944448</v>
      </c>
      <c r="J58" s="137">
        <v>46237.949513888889</v>
      </c>
      <c r="K58" s="137">
        <v>46238.353136574071</v>
      </c>
      <c r="L58" s="137">
        <v>46238.952731481484</v>
      </c>
      <c r="M58" s="137">
        <v>46239.353773148148</v>
      </c>
      <c r="N58" s="137">
        <v>46239.944050925929</v>
      </c>
      <c r="O58" s="137">
        <v>46240.352777777778</v>
      </c>
      <c r="P58" s="137">
        <v>46240.9765162037</v>
      </c>
      <c r="Q58" s="137">
        <v>46241.580937500003</v>
      </c>
      <c r="R58" s="137">
        <v>46241.955787037034</v>
      </c>
      <c r="S58" s="137">
        <v>46242.353182870371</v>
      </c>
      <c r="T58" s="137">
        <v>46242.971018518518</v>
      </c>
      <c r="U58" s="137">
        <v>46243.353518518517</v>
      </c>
      <c r="V58" s="137">
        <v>46243.963101851848</v>
      </c>
      <c r="W58" s="137">
        <v>46244.353576388887</v>
      </c>
      <c r="X58" s="137">
        <v>1</v>
      </c>
      <c r="Y58" s="137">
        <v>46245.353576388887</v>
      </c>
      <c r="Z58" s="137">
        <v>46245.956979166665</v>
      </c>
      <c r="AA58" s="137">
        <v>46246.354398148149</v>
      </c>
      <c r="AB58" s="137">
        <v>46246.957291666666</v>
      </c>
      <c r="AC58" s="137">
        <v>46247.351793981485</v>
      </c>
      <c r="AD58" s="137">
        <v>46247.969976851855</v>
      </c>
      <c r="AE58" s="141" t="s">
        <v>15</v>
      </c>
      <c r="AF58" s="141" t="s">
        <v>15</v>
      </c>
      <c r="AG58" s="137">
        <v>46249.35125</v>
      </c>
      <c r="AH58" s="137">
        <v>46249.964675925927</v>
      </c>
      <c r="AI58" s="116"/>
      <c r="AJ58" s="45">
        <v>42</v>
      </c>
      <c r="AK58" s="137">
        <v>46250.353634259256</v>
      </c>
      <c r="AL58" s="137">
        <v>0</v>
      </c>
      <c r="AM58" s="137">
        <v>46251.353217592594</v>
      </c>
      <c r="AN58" s="137">
        <v>46251.948773148149</v>
      </c>
      <c r="AO58" s="137">
        <v>46252.354074074072</v>
      </c>
      <c r="AP58" s="137">
        <v>46252.958402777775</v>
      </c>
      <c r="AQ58" s="137">
        <v>46253.353530092594</v>
      </c>
      <c r="AR58" s="137">
        <v>46253.946192129632</v>
      </c>
      <c r="AS58" s="137">
        <v>46254.35428240741</v>
      </c>
      <c r="AT58" s="137">
        <v>46254.967187499999</v>
      </c>
      <c r="AU58" s="137">
        <v>46255.581747685188</v>
      </c>
      <c r="AV58" s="137">
        <v>46255.976504629631</v>
      </c>
      <c r="AW58" s="137">
        <v>46256.354224537034</v>
      </c>
      <c r="AX58" s="137">
        <v>46256.963587962964</v>
      </c>
      <c r="AY58" s="137">
        <v>46257.353692129633</v>
      </c>
      <c r="AZ58" s="137">
        <v>46257.94866898148</v>
      </c>
      <c r="BA58" s="137">
        <v>46258.327303240738</v>
      </c>
      <c r="BB58" s="137">
        <v>46258.949282407404</v>
      </c>
      <c r="BC58" s="137">
        <v>46259.343287037038</v>
      </c>
      <c r="BD58" s="137">
        <v>46259.951226851852</v>
      </c>
      <c r="BE58" s="137">
        <v>46260.346631944441</v>
      </c>
      <c r="BF58" s="137">
        <v>46260.950787037036</v>
      </c>
      <c r="BG58" s="137">
        <v>46261.354178240741</v>
      </c>
      <c r="BH58" s="137">
        <v>46261.971967592595</v>
      </c>
      <c r="BI58" s="141" t="s">
        <v>15</v>
      </c>
      <c r="BJ58" s="141" t="s">
        <v>15</v>
      </c>
      <c r="BK58" s="137">
        <v>46263.353668981479</v>
      </c>
      <c r="BL58" s="137">
        <v>0</v>
      </c>
      <c r="BM58" s="137">
        <v>46264.354444444441</v>
      </c>
      <c r="BN58" s="170">
        <v>46264.959120370368</v>
      </c>
      <c r="BO58" s="170">
        <v>46265.354317129626</v>
      </c>
      <c r="BP58" s="170">
        <v>46265.949212962965</v>
      </c>
      <c r="BQ58" s="99">
        <f t="shared" si="16"/>
        <v>31</v>
      </c>
      <c r="BR58" s="68">
        <v>2</v>
      </c>
      <c r="BS58" s="1">
        <f t="shared" si="29"/>
        <v>29</v>
      </c>
      <c r="BT58" s="2">
        <f t="shared" si="30"/>
        <v>2</v>
      </c>
      <c r="BU58" s="2">
        <f t="shared" si="31"/>
        <v>0</v>
      </c>
      <c r="BV58" s="2">
        <f t="shared" si="32"/>
        <v>0</v>
      </c>
      <c r="BW58" s="2">
        <f t="shared" si="33"/>
        <v>0</v>
      </c>
      <c r="BX58" s="2">
        <f t="shared" si="34"/>
        <v>0</v>
      </c>
      <c r="BY58" s="2">
        <f t="shared" si="35"/>
        <v>0</v>
      </c>
      <c r="BZ58" s="2">
        <f t="shared" si="36"/>
        <v>0</v>
      </c>
      <c r="CA58" s="2">
        <f t="shared" si="37"/>
        <v>0</v>
      </c>
      <c r="CB58" s="2">
        <f t="shared" si="38"/>
        <v>0</v>
      </c>
      <c r="CC58" s="2">
        <f t="shared" si="39"/>
        <v>0</v>
      </c>
      <c r="CD58" s="2">
        <f t="shared" si="40"/>
        <v>0</v>
      </c>
      <c r="CE58" s="3"/>
      <c r="CG58" s="55">
        <v>0</v>
      </c>
      <c r="CH58" s="54">
        <v>0</v>
      </c>
      <c r="CI58" s="54">
        <v>0</v>
      </c>
      <c r="CJ58" s="54">
        <v>0</v>
      </c>
      <c r="CK58" s="54">
        <v>0</v>
      </c>
      <c r="CL58" s="55">
        <v>-1</v>
      </c>
      <c r="CM58" s="55">
        <v>0</v>
      </c>
      <c r="CN58" s="55">
        <v>-2</v>
      </c>
      <c r="CO58" s="54">
        <v>0</v>
      </c>
      <c r="CP58" s="54">
        <v>0</v>
      </c>
      <c r="CQ58" s="127">
        <f t="shared" si="41"/>
        <v>-3</v>
      </c>
    </row>
    <row r="59" spans="1:95" ht="21.75" customHeight="1" x14ac:dyDescent="0.25">
      <c r="A59" s="45">
        <v>43</v>
      </c>
      <c r="B59" s="11" t="s">
        <v>115</v>
      </c>
      <c r="C59" s="78" t="s">
        <v>116</v>
      </c>
      <c r="D59" s="88">
        <v>45371</v>
      </c>
      <c r="E59" s="137">
        <v>46235.333194444444</v>
      </c>
      <c r="F59" s="137">
        <v>46235.962962962964</v>
      </c>
      <c r="G59" s="137">
        <v>46236.330393518518</v>
      </c>
      <c r="H59" s="137">
        <v>46236.947511574072</v>
      </c>
      <c r="I59" s="137">
        <v>46237.331296296295</v>
      </c>
      <c r="J59" s="137">
        <v>46237.969849537039</v>
      </c>
      <c r="K59" s="137">
        <v>46238.332731481481</v>
      </c>
      <c r="L59" s="137">
        <v>46238.942326388889</v>
      </c>
      <c r="M59" s="137">
        <v>46239.331145833334</v>
      </c>
      <c r="N59" s="137">
        <v>46239.943796296298</v>
      </c>
      <c r="O59" s="137">
        <v>46240.332604166666</v>
      </c>
      <c r="P59" s="137">
        <v>46240.966006944444</v>
      </c>
      <c r="Q59" s="137">
        <v>46241.572893518518</v>
      </c>
      <c r="R59" s="137">
        <v>46241.94090277778</v>
      </c>
      <c r="S59" s="137">
        <v>46242.329710648148</v>
      </c>
      <c r="T59" s="137">
        <v>1</v>
      </c>
      <c r="U59" s="137">
        <v>46243.328831018516</v>
      </c>
      <c r="V59" s="137">
        <v>46243.938518518517</v>
      </c>
      <c r="W59" s="137">
        <v>46244.33016203704</v>
      </c>
      <c r="X59" s="137">
        <v>46244.962395833332</v>
      </c>
      <c r="Y59" s="137">
        <v>46245.330925925926</v>
      </c>
      <c r="Z59" s="137">
        <v>46245.939351851855</v>
      </c>
      <c r="AA59" s="137">
        <v>46246.332037037035</v>
      </c>
      <c r="AB59" s="137">
        <v>46246.954664351855</v>
      </c>
      <c r="AC59" s="137">
        <v>46247.337256944447</v>
      </c>
      <c r="AD59" s="137">
        <v>46247.96365740741</v>
      </c>
      <c r="AE59" s="141" t="s">
        <v>15</v>
      </c>
      <c r="AF59" s="141" t="s">
        <v>15</v>
      </c>
      <c r="AG59" s="137">
        <v>46249.332488425927</v>
      </c>
      <c r="AH59" s="137">
        <v>46249.962557870371</v>
      </c>
      <c r="AI59" s="116"/>
      <c r="AJ59" s="45">
        <v>43</v>
      </c>
      <c r="AK59" s="137">
        <v>46250.332662037035</v>
      </c>
      <c r="AL59" s="137">
        <v>0</v>
      </c>
      <c r="AM59" s="137">
        <v>46251.331979166665</v>
      </c>
      <c r="AN59" s="137">
        <v>0</v>
      </c>
      <c r="AO59" s="137">
        <v>46252.330428240741</v>
      </c>
      <c r="AP59" s="137">
        <v>46252.945277777777</v>
      </c>
      <c r="AQ59" s="137">
        <v>46253.330775462964</v>
      </c>
      <c r="AR59" s="137">
        <v>46253.960335648146</v>
      </c>
      <c r="AS59" s="137">
        <v>46254.330474537041</v>
      </c>
      <c r="AT59" s="137">
        <v>46254.958194444444</v>
      </c>
      <c r="AU59" s="137">
        <v>46255.574953703705</v>
      </c>
      <c r="AV59" s="137">
        <v>46255.940208333333</v>
      </c>
      <c r="AW59" s="137">
        <v>46256.329293981478</v>
      </c>
      <c r="AX59" s="137">
        <v>46256.957916666666</v>
      </c>
      <c r="AY59" s="137">
        <v>46257.331631944442</v>
      </c>
      <c r="AZ59" s="137">
        <v>46257.938275462962</v>
      </c>
      <c r="BA59" s="137">
        <v>46258.350659722222</v>
      </c>
      <c r="BB59" s="137">
        <v>46258.946967592594</v>
      </c>
      <c r="BC59" s="137">
        <v>46259.34851851852</v>
      </c>
      <c r="BD59" s="137">
        <v>46259.942395833335</v>
      </c>
      <c r="BE59" s="137">
        <v>46260.353356481479</v>
      </c>
      <c r="BF59" s="137">
        <v>46260.957604166666</v>
      </c>
      <c r="BG59" s="137">
        <v>46261.329884259256</v>
      </c>
      <c r="BH59" s="137">
        <v>46261.962233796294</v>
      </c>
      <c r="BI59" s="137">
        <v>46262.571944444448</v>
      </c>
      <c r="BJ59" s="137">
        <v>0</v>
      </c>
      <c r="BK59" s="137">
        <v>46263.330567129633</v>
      </c>
      <c r="BL59" s="137">
        <v>46263.964675925927</v>
      </c>
      <c r="BM59" s="137">
        <v>46264.330706018518</v>
      </c>
      <c r="BN59" s="170">
        <v>46264.745937500003</v>
      </c>
      <c r="BO59" s="170">
        <v>46265.332013888888</v>
      </c>
      <c r="BP59" s="170">
        <v>46265.942025462966</v>
      </c>
      <c r="BQ59" s="99">
        <f t="shared" si="16"/>
        <v>31</v>
      </c>
      <c r="BR59" s="68">
        <v>3</v>
      </c>
      <c r="BS59" s="1">
        <f t="shared" si="29"/>
        <v>30</v>
      </c>
      <c r="BT59" s="2">
        <f t="shared" si="30"/>
        <v>1</v>
      </c>
      <c r="BU59" s="2">
        <f t="shared" si="31"/>
        <v>0</v>
      </c>
      <c r="BV59" s="2">
        <f t="shared" si="32"/>
        <v>0</v>
      </c>
      <c r="BW59" s="2">
        <f t="shared" si="33"/>
        <v>0</v>
      </c>
      <c r="BX59" s="2">
        <f t="shared" si="34"/>
        <v>0</v>
      </c>
      <c r="BY59" s="2">
        <f t="shared" si="35"/>
        <v>0</v>
      </c>
      <c r="BZ59" s="2">
        <f t="shared" si="36"/>
        <v>0</v>
      </c>
      <c r="CA59" s="2">
        <f t="shared" si="37"/>
        <v>0</v>
      </c>
      <c r="CB59" s="2">
        <f t="shared" si="38"/>
        <v>0</v>
      </c>
      <c r="CC59" s="2">
        <f t="shared" si="39"/>
        <v>0</v>
      </c>
      <c r="CD59" s="2">
        <f t="shared" si="40"/>
        <v>0</v>
      </c>
      <c r="CE59" s="3"/>
      <c r="CG59" s="55">
        <v>0</v>
      </c>
      <c r="CH59" s="54">
        <v>0</v>
      </c>
      <c r="CI59" s="54">
        <v>0</v>
      </c>
      <c r="CJ59" s="54">
        <v>0</v>
      </c>
      <c r="CK59" s="54">
        <v>0</v>
      </c>
      <c r="CL59" s="54">
        <v>7</v>
      </c>
      <c r="CM59" s="55">
        <v>0</v>
      </c>
      <c r="CN59" s="55">
        <v>4</v>
      </c>
      <c r="CO59" s="54">
        <v>0</v>
      </c>
      <c r="CP59" s="54">
        <v>0</v>
      </c>
      <c r="CQ59" s="127">
        <f t="shared" si="41"/>
        <v>11</v>
      </c>
    </row>
    <row r="60" spans="1:95" ht="21.75" customHeight="1" x14ac:dyDescent="0.25">
      <c r="A60" s="45">
        <v>44</v>
      </c>
      <c r="B60" s="49" t="s">
        <v>190</v>
      </c>
      <c r="C60" s="82" t="s">
        <v>189</v>
      </c>
      <c r="D60" s="88">
        <v>45371</v>
      </c>
      <c r="E60" s="146" t="s">
        <v>171</v>
      </c>
      <c r="F60" s="146" t="s">
        <v>171</v>
      </c>
      <c r="G60" s="137">
        <v>46236.353518518517</v>
      </c>
      <c r="H60" s="137">
        <v>46236.983090277776</v>
      </c>
      <c r="I60" s="137">
        <v>46237.353090277778</v>
      </c>
      <c r="J60" s="137">
        <v>46237.967974537038</v>
      </c>
      <c r="K60" s="137">
        <v>46238.353229166663</v>
      </c>
      <c r="L60" s="137">
        <v>46238.944664351853</v>
      </c>
      <c r="M60" s="137">
        <v>46239.353831018518</v>
      </c>
      <c r="N60" s="137">
        <v>46239.967673611114</v>
      </c>
      <c r="O60" s="137">
        <v>46240.352870370371</v>
      </c>
      <c r="P60" s="137">
        <v>46240.970335648148</v>
      </c>
      <c r="Q60" s="141" t="s">
        <v>15</v>
      </c>
      <c r="R60" s="141" t="s">
        <v>15</v>
      </c>
      <c r="S60" s="137">
        <v>46242.348703703705</v>
      </c>
      <c r="T60" s="137">
        <v>46242.988113425927</v>
      </c>
      <c r="U60" s="137">
        <v>46243.352638888886</v>
      </c>
      <c r="V60" s="137">
        <v>46243.935740740744</v>
      </c>
      <c r="W60" s="137">
        <v>46244.352488425924</v>
      </c>
      <c r="X60" s="137">
        <v>46244.965312499997</v>
      </c>
      <c r="Y60" s="137">
        <v>46245.351469907408</v>
      </c>
      <c r="Z60" s="137">
        <v>46245.922118055554</v>
      </c>
      <c r="AA60" s="137">
        <v>46246.352418981478</v>
      </c>
      <c r="AB60" s="137">
        <v>46246.994328703702</v>
      </c>
      <c r="AC60" s="137">
        <v>46247.348402777781</v>
      </c>
      <c r="AD60" s="137">
        <v>46247.981261574074</v>
      </c>
      <c r="AE60" s="137">
        <v>46248.56994212963</v>
      </c>
      <c r="AF60" s="137">
        <v>1</v>
      </c>
      <c r="AG60" s="174" t="s">
        <v>171</v>
      </c>
      <c r="AH60" s="174" t="s">
        <v>171</v>
      </c>
      <c r="AI60" s="116"/>
      <c r="AJ60" s="45">
        <v>44</v>
      </c>
      <c r="AK60" s="137">
        <v>46250.349803240744</v>
      </c>
      <c r="AL60" s="137">
        <v>46262.921064814815</v>
      </c>
      <c r="AM60" s="137">
        <v>46251.35119212963</v>
      </c>
      <c r="AN60" s="137">
        <v>46251.93341435185</v>
      </c>
      <c r="AO60" s="137">
        <v>46252.349374999998</v>
      </c>
      <c r="AP60" s="137">
        <v>46252.943483796298</v>
      </c>
      <c r="AQ60" s="137">
        <v>46253.353217592594</v>
      </c>
      <c r="AR60" s="137">
        <v>46253.985243055555</v>
      </c>
      <c r="AS60" s="137">
        <v>46254.353009259263</v>
      </c>
      <c r="AT60" s="137">
        <v>46254.946423611109</v>
      </c>
      <c r="AU60" s="141" t="s">
        <v>15</v>
      </c>
      <c r="AV60" s="141" t="s">
        <v>15</v>
      </c>
      <c r="AW60" s="137">
        <v>46256.352118055554</v>
      </c>
      <c r="AX60" s="137">
        <v>46256.933611111112</v>
      </c>
      <c r="AY60" s="137">
        <v>46257.349502314813</v>
      </c>
      <c r="AZ60" s="137">
        <v>46257.933657407404</v>
      </c>
      <c r="BA60" s="137">
        <v>46258.348506944443</v>
      </c>
      <c r="BB60" s="137">
        <v>46258.951990740738</v>
      </c>
      <c r="BC60" s="137">
        <v>46259.329479166663</v>
      </c>
      <c r="BD60" s="137">
        <v>46259.926006944443</v>
      </c>
      <c r="BE60" s="137">
        <v>46260.330150462964</v>
      </c>
      <c r="BF60" s="137">
        <v>46260.972905092596</v>
      </c>
      <c r="BG60" s="137">
        <v>46261.351585648146</v>
      </c>
      <c r="BH60" s="137">
        <v>46261.953136574077</v>
      </c>
      <c r="BI60" s="137">
        <v>46262.582708333335</v>
      </c>
      <c r="BJ60" s="137">
        <v>46262.921064814815</v>
      </c>
      <c r="BK60" s="137">
        <v>46263.350381944445</v>
      </c>
      <c r="BL60" s="137">
        <v>46263.958437499998</v>
      </c>
      <c r="BM60" s="137">
        <v>46264.350011574075</v>
      </c>
      <c r="BN60" s="170">
        <v>46264.938067129631</v>
      </c>
      <c r="BO60" s="170">
        <v>46265.347777777781</v>
      </c>
      <c r="BP60" s="170">
        <v>46265.941018518519</v>
      </c>
      <c r="BQ60" s="99">
        <f t="shared" si="16"/>
        <v>31</v>
      </c>
      <c r="BR60" s="68">
        <v>2</v>
      </c>
      <c r="BS60" s="1">
        <f>COUNT(E60:AH60)/2+COUNT(AK60:BP60)/2</f>
        <v>27</v>
      </c>
      <c r="BT60" s="2">
        <f t="shared" si="30"/>
        <v>2</v>
      </c>
      <c r="BU60" s="2">
        <f t="shared" si="31"/>
        <v>0</v>
      </c>
      <c r="BV60" s="2">
        <f t="shared" si="32"/>
        <v>0</v>
      </c>
      <c r="BW60" s="2">
        <f t="shared" si="33"/>
        <v>0</v>
      </c>
      <c r="BX60" s="2">
        <f t="shared" si="34"/>
        <v>0</v>
      </c>
      <c r="BY60" s="2">
        <f t="shared" si="35"/>
        <v>0</v>
      </c>
      <c r="BZ60" s="2">
        <f t="shared" si="36"/>
        <v>2</v>
      </c>
      <c r="CA60" s="2">
        <f t="shared" si="37"/>
        <v>0</v>
      </c>
      <c r="CB60" s="2">
        <f t="shared" si="38"/>
        <v>0</v>
      </c>
      <c r="CC60" s="2">
        <f t="shared" si="39"/>
        <v>0</v>
      </c>
      <c r="CD60" s="2">
        <f t="shared" si="40"/>
        <v>0</v>
      </c>
      <c r="CE60" s="3"/>
      <c r="CG60" s="123">
        <v>0</v>
      </c>
      <c r="CH60" s="124">
        <v>0</v>
      </c>
      <c r="CI60" s="124">
        <v>0</v>
      </c>
      <c r="CJ60" s="124">
        <v>0</v>
      </c>
      <c r="CK60" s="124">
        <v>0</v>
      </c>
      <c r="CL60" s="123">
        <v>6</v>
      </c>
      <c r="CM60" s="123">
        <v>1</v>
      </c>
      <c r="CN60" s="123">
        <v>1</v>
      </c>
      <c r="CO60" s="124">
        <v>0</v>
      </c>
      <c r="CP60" s="124">
        <v>0</v>
      </c>
      <c r="CQ60" s="126">
        <f t="shared" si="41"/>
        <v>8</v>
      </c>
    </row>
    <row r="61" spans="1:95" ht="21.75" customHeight="1" x14ac:dyDescent="0.25">
      <c r="A61" s="45">
        <v>45</v>
      </c>
      <c r="B61" s="11" t="s">
        <v>117</v>
      </c>
      <c r="C61" s="78" t="s">
        <v>118</v>
      </c>
      <c r="D61" s="88">
        <v>45382</v>
      </c>
      <c r="E61" s="137">
        <v>46235.334374999999</v>
      </c>
      <c r="F61" s="137">
        <v>46235.962789351855</v>
      </c>
      <c r="G61" s="137">
        <v>46236.343692129631</v>
      </c>
      <c r="H61" s="137">
        <v>46236.948194444441</v>
      </c>
      <c r="I61" s="137">
        <v>46237.341458333336</v>
      </c>
      <c r="J61" s="137">
        <v>46237.970358796294</v>
      </c>
      <c r="K61" s="137">
        <v>46238.347141203703</v>
      </c>
      <c r="L61" s="137">
        <v>46238.942418981482</v>
      </c>
      <c r="M61" s="137">
        <v>46239.346030092594</v>
      </c>
      <c r="N61" s="137">
        <v>46239.944293981483</v>
      </c>
      <c r="O61" s="137">
        <v>46240.342233796298</v>
      </c>
      <c r="P61" s="137">
        <v>46240.966099537036</v>
      </c>
      <c r="Q61" s="141" t="s">
        <v>15</v>
      </c>
      <c r="R61" s="141" t="s">
        <v>15</v>
      </c>
      <c r="S61" s="137">
        <v>46242.348449074074</v>
      </c>
      <c r="T61" s="137">
        <v>46242.961134259262</v>
      </c>
      <c r="U61" s="137">
        <v>46243.34269675926</v>
      </c>
      <c r="V61" s="137">
        <v>46243.941099537034</v>
      </c>
      <c r="W61" s="137">
        <v>46244.345069444447</v>
      </c>
      <c r="X61" s="137">
        <v>46244.961724537039</v>
      </c>
      <c r="Y61" s="137">
        <v>46245.339837962965</v>
      </c>
      <c r="Z61" s="137">
        <v>46245.934895833336</v>
      </c>
      <c r="AA61" s="137">
        <v>46246.345648148148</v>
      </c>
      <c r="AB61" s="137">
        <v>46246.974016203705</v>
      </c>
      <c r="AC61" s="137">
        <v>46247.340104166666</v>
      </c>
      <c r="AD61" s="137">
        <v>46247.963912037034</v>
      </c>
      <c r="AE61" s="137">
        <v>46248.562256944446</v>
      </c>
      <c r="AF61" s="137">
        <v>46248.942106481481</v>
      </c>
      <c r="AG61" s="137">
        <v>46249.34412037037</v>
      </c>
      <c r="AH61" s="137">
        <v>46249.965416666666</v>
      </c>
      <c r="AI61" s="116"/>
      <c r="AJ61" s="45">
        <v>45</v>
      </c>
      <c r="AK61" s="137">
        <v>46250.343553240738</v>
      </c>
      <c r="AL61" s="137">
        <v>46250.948645833334</v>
      </c>
      <c r="AM61" s="137">
        <v>46251.341793981483</v>
      </c>
      <c r="AN61" s="137">
        <v>46251.934606481482</v>
      </c>
      <c r="AO61" s="137">
        <v>46252.349826388891</v>
      </c>
      <c r="AP61" s="137">
        <v>46252.9453587963</v>
      </c>
      <c r="AQ61" s="137">
        <v>46253.344687500001</v>
      </c>
      <c r="AR61" s="137">
        <v>46254.001828703702</v>
      </c>
      <c r="AS61" s="137">
        <v>46254.351481481484</v>
      </c>
      <c r="AT61" s="137">
        <v>46254.953518518516</v>
      </c>
      <c r="AU61" s="141" t="s">
        <v>15</v>
      </c>
      <c r="AV61" s="141" t="s">
        <v>15</v>
      </c>
      <c r="AW61" s="137">
        <v>46256.348564814813</v>
      </c>
      <c r="AX61" s="137">
        <v>46256.939502314817</v>
      </c>
      <c r="AY61" s="137">
        <v>46257.338067129633</v>
      </c>
      <c r="AZ61" s="137">
        <v>46257.938622685186</v>
      </c>
      <c r="BA61" s="137">
        <v>46258.321550925924</v>
      </c>
      <c r="BB61" s="137">
        <v>46258.94159722222</v>
      </c>
      <c r="BC61" s="137">
        <v>0</v>
      </c>
      <c r="BD61" s="137">
        <v>46259.942569444444</v>
      </c>
      <c r="BE61" s="137">
        <v>0</v>
      </c>
      <c r="BF61" s="137">
        <v>46260.959722222222</v>
      </c>
      <c r="BG61" s="137">
        <v>46261.344490740739</v>
      </c>
      <c r="BH61" s="137">
        <v>46261.959768518522</v>
      </c>
      <c r="BI61" s="137">
        <v>0</v>
      </c>
      <c r="BJ61" s="137">
        <v>46262.939988425926</v>
      </c>
      <c r="BK61" s="137">
        <v>46263.344849537039</v>
      </c>
      <c r="BL61" s="137">
        <v>46263.962060185186</v>
      </c>
      <c r="BM61" s="137">
        <v>46264.346805555557</v>
      </c>
      <c r="BN61" s="170">
        <v>46264.962442129632</v>
      </c>
      <c r="BO61" s="170">
        <v>46265.343969907408</v>
      </c>
      <c r="BP61" s="170">
        <v>46265.942233796297</v>
      </c>
      <c r="BQ61" s="99">
        <f t="shared" si="16"/>
        <v>31</v>
      </c>
      <c r="BR61" s="68">
        <v>2</v>
      </c>
      <c r="BS61" s="1">
        <f t="shared" ref="BS61:BS115" si="42">COUNT(E61:AH61)/2+COUNT(AK61:BP61)/2</f>
        <v>29</v>
      </c>
      <c r="BT61" s="2">
        <f t="shared" si="30"/>
        <v>2</v>
      </c>
      <c r="BU61" s="2">
        <f t="shared" si="31"/>
        <v>0</v>
      </c>
      <c r="BV61" s="2">
        <f t="shared" si="32"/>
        <v>0</v>
      </c>
      <c r="BW61" s="2">
        <f t="shared" si="33"/>
        <v>0</v>
      </c>
      <c r="BX61" s="2">
        <f t="shared" si="34"/>
        <v>0</v>
      </c>
      <c r="BY61" s="2">
        <f t="shared" si="35"/>
        <v>0</v>
      </c>
      <c r="BZ61" s="2">
        <f t="shared" si="36"/>
        <v>0</v>
      </c>
      <c r="CA61" s="2">
        <f t="shared" si="37"/>
        <v>0</v>
      </c>
      <c r="CB61" s="2">
        <f t="shared" si="38"/>
        <v>0</v>
      </c>
      <c r="CC61" s="2">
        <f t="shared" si="39"/>
        <v>0</v>
      </c>
      <c r="CD61" s="2">
        <f t="shared" si="40"/>
        <v>0</v>
      </c>
      <c r="CE61" s="3"/>
      <c r="CG61" s="55">
        <v>0</v>
      </c>
      <c r="CH61" s="54">
        <v>0</v>
      </c>
      <c r="CI61" s="54">
        <v>0</v>
      </c>
      <c r="CJ61" s="54">
        <v>0</v>
      </c>
      <c r="CK61" s="54">
        <v>0</v>
      </c>
      <c r="CL61" s="55">
        <v>11</v>
      </c>
      <c r="CM61" s="54">
        <v>0</v>
      </c>
      <c r="CN61" s="54">
        <v>0</v>
      </c>
      <c r="CO61" s="54">
        <v>0</v>
      </c>
      <c r="CP61" s="54">
        <v>0</v>
      </c>
      <c r="CQ61" s="127">
        <f t="shared" si="41"/>
        <v>11</v>
      </c>
    </row>
    <row r="62" spans="1:95" ht="21.75" customHeight="1" x14ac:dyDescent="0.25">
      <c r="A62" s="45">
        <v>46</v>
      </c>
      <c r="B62" s="11" t="s">
        <v>121</v>
      </c>
      <c r="C62" s="78" t="s">
        <v>122</v>
      </c>
      <c r="D62" s="88">
        <v>45401</v>
      </c>
      <c r="E62" s="137">
        <v>46235.348877314813</v>
      </c>
      <c r="F62" s="137">
        <v>46235.957280092596</v>
      </c>
      <c r="G62" s="137">
        <v>46236.349409722221</v>
      </c>
      <c r="H62" s="137">
        <v>46236.942256944443</v>
      </c>
      <c r="I62" s="137">
        <v>46237.350532407407</v>
      </c>
      <c r="J62" s="137">
        <v>46237.943136574075</v>
      </c>
      <c r="K62" s="137">
        <v>46238.349317129629</v>
      </c>
      <c r="L62" s="137">
        <v>46238.9453587963</v>
      </c>
      <c r="M62" s="137">
        <v>46239.348738425928</v>
      </c>
      <c r="N62" s="137">
        <v>46239.93377314815</v>
      </c>
      <c r="O62" s="137">
        <v>46240.34814814815</v>
      </c>
      <c r="P62" s="137">
        <v>46240.929340277777</v>
      </c>
      <c r="Q62" s="141" t="s">
        <v>15</v>
      </c>
      <c r="R62" s="141" t="s">
        <v>15</v>
      </c>
      <c r="S62" s="137">
        <v>46242.34784722222</v>
      </c>
      <c r="T62" s="137">
        <v>46242.968460648146</v>
      </c>
      <c r="U62" s="137">
        <v>46243.345729166664</v>
      </c>
      <c r="V62" s="137">
        <v>46243.958553240744</v>
      </c>
      <c r="W62" s="137">
        <v>46244.353321759256</v>
      </c>
      <c r="X62" s="137">
        <v>46244.939270833333</v>
      </c>
      <c r="Y62" s="137">
        <v>46245.346631944441</v>
      </c>
      <c r="Z62" s="137">
        <v>46245.936759259261</v>
      </c>
      <c r="AA62" s="137">
        <v>46246.345995370371</v>
      </c>
      <c r="AB62" s="137">
        <v>46246.940671296295</v>
      </c>
      <c r="AC62" s="137">
        <v>46247.346944444442</v>
      </c>
      <c r="AD62" s="137">
        <v>46247.952800925923</v>
      </c>
      <c r="AE62" s="137">
        <v>46248.580659722225</v>
      </c>
      <c r="AF62" s="137">
        <v>46248.924247685187</v>
      </c>
      <c r="AG62" s="137">
        <v>46249.348495370374</v>
      </c>
      <c r="AH62" s="137">
        <v>46249.965624999997</v>
      </c>
      <c r="AI62" s="116"/>
      <c r="AJ62" s="45">
        <v>46</v>
      </c>
      <c r="AK62" s="137">
        <v>46250.346782407411</v>
      </c>
      <c r="AL62" s="137">
        <v>46250.922256944446</v>
      </c>
      <c r="AM62" s="137">
        <v>46251.348483796297</v>
      </c>
      <c r="AN62" s="137">
        <v>46251.940266203703</v>
      </c>
      <c r="AO62" s="137">
        <v>46252.349421296298</v>
      </c>
      <c r="AP62" s="137">
        <v>46252.933495370373</v>
      </c>
      <c r="AQ62" s="137">
        <v>46253.34747685185</v>
      </c>
      <c r="AR62" s="137">
        <v>46253.93959490741</v>
      </c>
      <c r="AS62" s="137">
        <v>46254.347384259258</v>
      </c>
      <c r="AT62" s="137">
        <v>46254.956157407411</v>
      </c>
      <c r="AU62" s="141" t="s">
        <v>15</v>
      </c>
      <c r="AV62" s="141" t="s">
        <v>15</v>
      </c>
      <c r="AW62" s="137">
        <v>46256.348935185182</v>
      </c>
      <c r="AX62" s="137">
        <v>46256.953229166669</v>
      </c>
      <c r="AY62" s="137">
        <v>46257.348067129627</v>
      </c>
      <c r="AZ62" s="137">
        <v>46257.921712962961</v>
      </c>
      <c r="BA62" s="137">
        <v>46258.346701388888</v>
      </c>
      <c r="BB62" s="137">
        <v>46258.932719907411</v>
      </c>
      <c r="BC62" s="137">
        <v>0</v>
      </c>
      <c r="BD62" s="137">
        <v>46259.942650462966</v>
      </c>
      <c r="BE62" s="137">
        <v>0</v>
      </c>
      <c r="BF62" s="137">
        <v>46260.930972222224</v>
      </c>
      <c r="BG62" s="137">
        <v>46261.347858796296</v>
      </c>
      <c r="BH62" s="137">
        <v>46261.971712962964</v>
      </c>
      <c r="BI62" s="137">
        <v>46262.580092592594</v>
      </c>
      <c r="BJ62" s="137">
        <v>46262.893240740741</v>
      </c>
      <c r="BK62" s="137">
        <v>46263.344756944447</v>
      </c>
      <c r="BL62" s="137">
        <v>46263.961319444446</v>
      </c>
      <c r="BM62" s="137">
        <v>46264.345694444448</v>
      </c>
      <c r="BN62" s="137">
        <v>46264.959085648145</v>
      </c>
      <c r="BO62" s="137">
        <v>46265.347569444442</v>
      </c>
      <c r="BP62" s="137">
        <v>46265.926238425927</v>
      </c>
      <c r="BQ62" s="99">
        <f t="shared" si="16"/>
        <v>31</v>
      </c>
      <c r="BR62" s="68">
        <v>2</v>
      </c>
      <c r="BS62" s="1">
        <f t="shared" si="42"/>
        <v>29</v>
      </c>
      <c r="BT62" s="2">
        <f t="shared" si="30"/>
        <v>2</v>
      </c>
      <c r="BU62" s="2">
        <f t="shared" si="31"/>
        <v>0</v>
      </c>
      <c r="BV62" s="2">
        <f t="shared" si="32"/>
        <v>0</v>
      </c>
      <c r="BW62" s="2">
        <f t="shared" si="33"/>
        <v>0</v>
      </c>
      <c r="BX62" s="2">
        <f t="shared" si="34"/>
        <v>0</v>
      </c>
      <c r="BY62" s="2">
        <f t="shared" si="35"/>
        <v>0</v>
      </c>
      <c r="BZ62" s="2">
        <f t="shared" si="36"/>
        <v>0</v>
      </c>
      <c r="CA62" s="2">
        <f t="shared" si="37"/>
        <v>0</v>
      </c>
      <c r="CB62" s="2">
        <f t="shared" si="38"/>
        <v>0</v>
      </c>
      <c r="CC62" s="2">
        <f t="shared" si="39"/>
        <v>0</v>
      </c>
      <c r="CD62" s="2">
        <f t="shared" si="40"/>
        <v>0</v>
      </c>
      <c r="CE62" s="3"/>
      <c r="CG62" s="55">
        <v>0</v>
      </c>
      <c r="CH62" s="54">
        <v>0</v>
      </c>
      <c r="CI62" s="54">
        <v>0</v>
      </c>
      <c r="CJ62" s="54">
        <v>0</v>
      </c>
      <c r="CK62" s="54">
        <v>0</v>
      </c>
      <c r="CL62" s="55">
        <v>2</v>
      </c>
      <c r="CM62" s="54">
        <v>0</v>
      </c>
      <c r="CN62" s="54">
        <v>0</v>
      </c>
      <c r="CO62" s="54">
        <v>0</v>
      </c>
      <c r="CP62" s="54">
        <v>0</v>
      </c>
      <c r="CQ62" s="127">
        <f t="shared" si="41"/>
        <v>2</v>
      </c>
    </row>
    <row r="63" spans="1:95" ht="21.75" customHeight="1" x14ac:dyDescent="0.25">
      <c r="A63" s="45">
        <v>47</v>
      </c>
      <c r="B63" s="11" t="s">
        <v>124</v>
      </c>
      <c r="C63" s="78" t="s">
        <v>179</v>
      </c>
      <c r="D63" s="88">
        <v>45447</v>
      </c>
      <c r="E63" s="137">
        <v>46235.352199074077</v>
      </c>
      <c r="F63" s="137">
        <v>46235.937800925924</v>
      </c>
      <c r="G63" s="137">
        <v>46236.346377314818</v>
      </c>
      <c r="H63" s="137">
        <v>46236.935266203705</v>
      </c>
      <c r="I63" s="137">
        <v>46237.347303240742</v>
      </c>
      <c r="J63" s="137">
        <v>46237.925532407404</v>
      </c>
      <c r="K63" s="137">
        <v>46238.351493055554</v>
      </c>
      <c r="L63" s="137">
        <v>46238.922407407408</v>
      </c>
      <c r="M63" s="137">
        <v>46239.349675925929</v>
      </c>
      <c r="N63" s="137">
        <v>46239.923993055556</v>
      </c>
      <c r="O63" s="137">
        <v>46240.346041666664</v>
      </c>
      <c r="P63" s="137">
        <v>46240.936608796299</v>
      </c>
      <c r="Q63" s="141" t="s">
        <v>15</v>
      </c>
      <c r="R63" s="141" t="s">
        <v>15</v>
      </c>
      <c r="S63" s="137">
        <v>46242.345462962963</v>
      </c>
      <c r="T63" s="137">
        <v>46242.938993055555</v>
      </c>
      <c r="U63" s="137">
        <v>46243.346168981479</v>
      </c>
      <c r="V63" s="137">
        <v>46243.921863425923</v>
      </c>
      <c r="W63" s="137">
        <v>46244.349351851852</v>
      </c>
      <c r="X63" s="137">
        <v>46244.912488425929</v>
      </c>
      <c r="Y63" s="137">
        <v>46245.344490740739</v>
      </c>
      <c r="Z63" s="137">
        <v>46245.911643518521</v>
      </c>
      <c r="AA63" s="137">
        <v>46246.351585648146</v>
      </c>
      <c r="AB63" s="137">
        <v>46246.910381944443</v>
      </c>
      <c r="AC63" s="137">
        <v>46247.34270833333</v>
      </c>
      <c r="AD63" s="137">
        <v>46247.935659722221</v>
      </c>
      <c r="AE63" s="137">
        <v>46248.573136574072</v>
      </c>
      <c r="AF63" s="137">
        <v>46248.893680555557</v>
      </c>
      <c r="AG63" s="137">
        <v>46249.347256944442</v>
      </c>
      <c r="AH63" s="137">
        <v>46249.933900462966</v>
      </c>
      <c r="AI63" s="116"/>
      <c r="AJ63" s="45">
        <v>47</v>
      </c>
      <c r="AK63" s="137">
        <v>46250.342974537038</v>
      </c>
      <c r="AL63" s="137">
        <v>46250.935937499999</v>
      </c>
      <c r="AM63" s="137">
        <v>46251.346296296295</v>
      </c>
      <c r="AN63" s="137">
        <v>46251.913113425922</v>
      </c>
      <c r="AO63" s="137">
        <v>46252.347430555557</v>
      </c>
      <c r="AP63" s="137">
        <v>46252.919606481482</v>
      </c>
      <c r="AQ63" s="137">
        <v>46253.345266203702</v>
      </c>
      <c r="AR63" s="137">
        <v>46253.921226851853</v>
      </c>
      <c r="AS63" s="137">
        <v>46254.343622685185</v>
      </c>
      <c r="AT63" s="137">
        <v>46254.93677083333</v>
      </c>
      <c r="AU63" s="141" t="s">
        <v>15</v>
      </c>
      <c r="AV63" s="141" t="s">
        <v>15</v>
      </c>
      <c r="AW63" s="137">
        <v>46256.34778935185</v>
      </c>
      <c r="AX63" s="137">
        <v>46256.936828703707</v>
      </c>
      <c r="AY63" s="137">
        <v>46257.341562499998</v>
      </c>
      <c r="AZ63" s="137">
        <v>46257.921134259261</v>
      </c>
      <c r="BA63" s="137">
        <v>46258.354016203702</v>
      </c>
      <c r="BB63" s="137">
        <v>46258.917175925926</v>
      </c>
      <c r="BC63" s="137">
        <v>0</v>
      </c>
      <c r="BD63" s="137">
        <v>46259.919733796298</v>
      </c>
      <c r="BE63" s="137">
        <v>0</v>
      </c>
      <c r="BF63" s="137">
        <v>46260.90966435185</v>
      </c>
      <c r="BG63" s="137">
        <v>46261.343333333331</v>
      </c>
      <c r="BH63" s="137">
        <v>46261.948194444441</v>
      </c>
      <c r="BI63" s="137">
        <v>0</v>
      </c>
      <c r="BJ63" s="137">
        <v>46262.893321759257</v>
      </c>
      <c r="BK63" s="137">
        <v>46263.350208333337</v>
      </c>
      <c r="BL63" s="137">
        <v>46263.934120370373</v>
      </c>
      <c r="BM63" s="137">
        <v>46264.348090277781</v>
      </c>
      <c r="BN63" s="137">
        <v>46264.952766203707</v>
      </c>
      <c r="BO63" s="137">
        <v>46265.347638888888</v>
      </c>
      <c r="BP63" s="137">
        <v>46265.919062499997</v>
      </c>
      <c r="BQ63" s="99">
        <f t="shared" si="16"/>
        <v>31</v>
      </c>
      <c r="BR63" s="68">
        <v>2</v>
      </c>
      <c r="BS63" s="1">
        <f t="shared" si="42"/>
        <v>29</v>
      </c>
      <c r="BT63" s="2">
        <f t="shared" si="30"/>
        <v>2</v>
      </c>
      <c r="BU63" s="2">
        <f t="shared" si="31"/>
        <v>0</v>
      </c>
      <c r="BV63" s="2">
        <f t="shared" si="32"/>
        <v>0</v>
      </c>
      <c r="BW63" s="2">
        <f t="shared" si="33"/>
        <v>0</v>
      </c>
      <c r="BX63" s="2">
        <f t="shared" si="34"/>
        <v>0</v>
      </c>
      <c r="BY63" s="2">
        <f t="shared" si="35"/>
        <v>0</v>
      </c>
      <c r="BZ63" s="2">
        <f t="shared" si="36"/>
        <v>0</v>
      </c>
      <c r="CA63" s="2">
        <f t="shared" si="37"/>
        <v>0</v>
      </c>
      <c r="CB63" s="2">
        <f t="shared" si="38"/>
        <v>0</v>
      </c>
      <c r="CC63" s="2">
        <f t="shared" si="39"/>
        <v>0</v>
      </c>
      <c r="CD63" s="2">
        <f t="shared" si="40"/>
        <v>0</v>
      </c>
      <c r="CE63" s="3"/>
      <c r="CG63" s="123">
        <v>0</v>
      </c>
      <c r="CH63" s="124">
        <v>0</v>
      </c>
      <c r="CI63" s="124">
        <v>0</v>
      </c>
      <c r="CJ63" s="124">
        <v>0</v>
      </c>
      <c r="CK63" s="124">
        <v>0</v>
      </c>
      <c r="CL63" s="123">
        <v>1</v>
      </c>
      <c r="CM63" s="124">
        <v>0</v>
      </c>
      <c r="CN63" s="124">
        <v>0</v>
      </c>
      <c r="CO63" s="124">
        <v>0</v>
      </c>
      <c r="CP63" s="124">
        <v>0</v>
      </c>
      <c r="CQ63" s="126">
        <f t="shared" si="41"/>
        <v>1</v>
      </c>
    </row>
    <row r="64" spans="1:95" ht="21.75" customHeight="1" x14ac:dyDescent="0.25">
      <c r="A64" s="45">
        <v>48</v>
      </c>
      <c r="B64" s="11" t="s">
        <v>125</v>
      </c>
      <c r="C64" s="78" t="s">
        <v>180</v>
      </c>
      <c r="D64" s="88">
        <v>45467</v>
      </c>
      <c r="E64" s="137">
        <v>46235.354884259257</v>
      </c>
      <c r="F64" s="137">
        <v>46235.968576388892</v>
      </c>
      <c r="G64" s="137">
        <v>46236.355428240742</v>
      </c>
      <c r="H64" s="137">
        <v>1</v>
      </c>
      <c r="I64" s="137">
        <v>46237.354328703703</v>
      </c>
      <c r="J64" s="137">
        <v>46237.949664351851</v>
      </c>
      <c r="K64" s="137">
        <v>46238.355555555558</v>
      </c>
      <c r="L64" s="137">
        <v>46238.948020833333</v>
      </c>
      <c r="M64" s="137">
        <v>46239.354756944442</v>
      </c>
      <c r="N64" s="137">
        <v>46239.947337962964</v>
      </c>
      <c r="O64" s="137">
        <v>46240.353958333333</v>
      </c>
      <c r="P64" s="137">
        <v>1</v>
      </c>
      <c r="Q64" s="137">
        <v>46241.583587962959</v>
      </c>
      <c r="R64" s="137">
        <v>46241.946620370371</v>
      </c>
      <c r="S64" s="137">
        <v>46242.354895833334</v>
      </c>
      <c r="T64" s="137">
        <v>1</v>
      </c>
      <c r="U64" s="137">
        <v>46243.354942129627</v>
      </c>
      <c r="V64" s="137">
        <v>46243.950590277775</v>
      </c>
      <c r="W64" s="137">
        <v>46244.354016203702</v>
      </c>
      <c r="X64" s="137">
        <v>46244.94872685185</v>
      </c>
      <c r="Y64" s="137">
        <v>46245.353726851848</v>
      </c>
      <c r="Z64" s="137">
        <v>46245.946400462963</v>
      </c>
      <c r="AA64" s="137">
        <v>46246.354004629633</v>
      </c>
      <c r="AB64" s="137">
        <v>1</v>
      </c>
      <c r="AC64" s="137">
        <v>46247.353518518517</v>
      </c>
      <c r="AD64" s="137">
        <v>46247.968344907407</v>
      </c>
      <c r="AE64" s="141" t="s">
        <v>15</v>
      </c>
      <c r="AF64" s="141" t="s">
        <v>15</v>
      </c>
      <c r="AG64" s="137">
        <v>46249.35429398148</v>
      </c>
      <c r="AH64" s="137">
        <v>46249.963831018518</v>
      </c>
      <c r="AI64" s="109"/>
      <c r="AJ64" s="45">
        <v>48</v>
      </c>
      <c r="AK64" s="174" t="s">
        <v>171</v>
      </c>
      <c r="AL64" s="174" t="s">
        <v>171</v>
      </c>
      <c r="AM64" s="147">
        <v>46251.354479166665</v>
      </c>
      <c r="AN64" s="137">
        <v>46251.947002314817</v>
      </c>
      <c r="AO64" s="137">
        <v>46252.354201388887</v>
      </c>
      <c r="AP64" s="137">
        <v>0</v>
      </c>
      <c r="AQ64" s="137" t="s">
        <v>171</v>
      </c>
      <c r="AR64" s="137" t="s">
        <v>171</v>
      </c>
      <c r="AS64" s="137">
        <v>46254.355347222219</v>
      </c>
      <c r="AT64" s="137">
        <v>46254.972905092596</v>
      </c>
      <c r="AU64" s="137">
        <v>46255.583368055559</v>
      </c>
      <c r="AV64" s="137">
        <v>46255.943923611114</v>
      </c>
      <c r="AW64" s="137">
        <v>46256.355011574073</v>
      </c>
      <c r="AX64" s="137">
        <v>0</v>
      </c>
      <c r="AY64" s="137">
        <v>46257.341562499998</v>
      </c>
      <c r="AZ64" s="137">
        <v>46257.944293981483</v>
      </c>
      <c r="BA64" s="137">
        <v>46258.354016203702</v>
      </c>
      <c r="BB64" s="137">
        <v>46258.949583333335</v>
      </c>
      <c r="BC64" s="137">
        <v>46259.346377314818</v>
      </c>
      <c r="BD64" s="137">
        <v>46259.945335648146</v>
      </c>
      <c r="BE64" s="137">
        <v>46260.343831018516</v>
      </c>
      <c r="BF64" s="137">
        <v>46260.90966435185</v>
      </c>
      <c r="BG64" s="137">
        <v>46261.343333333331</v>
      </c>
      <c r="BH64" s="137">
        <v>46261.948194444441</v>
      </c>
      <c r="BI64" s="141" t="s">
        <v>15</v>
      </c>
      <c r="BJ64" s="141" t="s">
        <v>15</v>
      </c>
      <c r="BK64" s="137">
        <v>46263.350208333337</v>
      </c>
      <c r="BL64" s="137">
        <v>46263.964861111112</v>
      </c>
      <c r="BM64" s="137">
        <v>46264.348090277781</v>
      </c>
      <c r="BN64" s="137">
        <v>46264.951284722221</v>
      </c>
      <c r="BO64" s="137">
        <v>46265.347638888888</v>
      </c>
      <c r="BP64" s="137">
        <v>46265.947199074071</v>
      </c>
      <c r="BQ64" s="99">
        <f t="shared" si="16"/>
        <v>31</v>
      </c>
      <c r="BR64" s="68">
        <v>2</v>
      </c>
      <c r="BS64" s="1">
        <f t="shared" si="42"/>
        <v>27</v>
      </c>
      <c r="BT64" s="2">
        <f t="shared" si="30"/>
        <v>2</v>
      </c>
      <c r="BU64" s="2">
        <f t="shared" si="31"/>
        <v>0</v>
      </c>
      <c r="BV64" s="2">
        <f t="shared" si="32"/>
        <v>0</v>
      </c>
      <c r="BW64" s="2">
        <f t="shared" si="33"/>
        <v>0</v>
      </c>
      <c r="BX64" s="2">
        <f t="shared" si="34"/>
        <v>0</v>
      </c>
      <c r="BY64" s="2">
        <f t="shared" si="35"/>
        <v>0</v>
      </c>
      <c r="BZ64" s="2">
        <f t="shared" si="36"/>
        <v>2</v>
      </c>
      <c r="CA64" s="2">
        <f t="shared" si="37"/>
        <v>0</v>
      </c>
      <c r="CB64" s="2">
        <f t="shared" si="38"/>
        <v>0</v>
      </c>
      <c r="CC64" s="2">
        <f t="shared" si="39"/>
        <v>0</v>
      </c>
      <c r="CD64" s="2">
        <f t="shared" si="40"/>
        <v>0</v>
      </c>
      <c r="CE64" s="3"/>
      <c r="CG64" s="55">
        <v>0</v>
      </c>
      <c r="CH64" s="54">
        <v>0</v>
      </c>
      <c r="CI64" s="54">
        <v>0</v>
      </c>
      <c r="CJ64" s="54">
        <v>0</v>
      </c>
      <c r="CK64" s="54">
        <v>0</v>
      </c>
      <c r="CL64" s="55">
        <v>1</v>
      </c>
      <c r="CM64" s="54">
        <v>0</v>
      </c>
      <c r="CN64" s="54">
        <v>0</v>
      </c>
      <c r="CO64" s="54">
        <v>0</v>
      </c>
      <c r="CP64" s="54">
        <v>0</v>
      </c>
      <c r="CQ64" s="127">
        <f t="shared" si="41"/>
        <v>1</v>
      </c>
    </row>
    <row r="65" spans="1:95" ht="21.75" customHeight="1" x14ac:dyDescent="0.25">
      <c r="A65" s="45">
        <v>49</v>
      </c>
      <c r="B65" s="11" t="s">
        <v>128</v>
      </c>
      <c r="C65" s="78" t="s">
        <v>129</v>
      </c>
      <c r="D65" s="88">
        <v>45512</v>
      </c>
      <c r="E65" s="137">
        <v>46235.352858796294</v>
      </c>
      <c r="F65" s="137">
        <v>46235.975428240738</v>
      </c>
      <c r="G65" s="137">
        <v>46236.352349537039</v>
      </c>
      <c r="H65" s="137">
        <v>46236.958449074074</v>
      </c>
      <c r="I65" s="137">
        <v>46237.351458333331</v>
      </c>
      <c r="J65" s="137">
        <v>46237.960590277777</v>
      </c>
      <c r="K65" s="137">
        <v>46238.352997685186</v>
      </c>
      <c r="L65" s="137">
        <v>46238.957256944443</v>
      </c>
      <c r="M65" s="137">
        <v>46239.352881944447</v>
      </c>
      <c r="N65" s="137">
        <v>46239.955601851849</v>
      </c>
      <c r="O65" s="137">
        <v>46240.351643518516</v>
      </c>
      <c r="P65" s="137">
        <v>46240.981770833336</v>
      </c>
      <c r="Q65" s="141" t="s">
        <v>15</v>
      </c>
      <c r="R65" s="141" t="s">
        <v>15</v>
      </c>
      <c r="S65" s="137">
        <v>46242.349861111114</v>
      </c>
      <c r="T65" s="137">
        <v>46242.97314814815</v>
      </c>
      <c r="U65" s="137">
        <v>46243.352037037039</v>
      </c>
      <c r="V65" s="137">
        <v>46243.966296296298</v>
      </c>
      <c r="W65" s="137">
        <v>46244.352094907408</v>
      </c>
      <c r="X65" s="137">
        <v>46244.957731481481</v>
      </c>
      <c r="Y65" s="137">
        <v>46245.352916666663</v>
      </c>
      <c r="Z65" s="137">
        <v>46245.960821759261</v>
      </c>
      <c r="AA65" s="137">
        <v>46246.352152777778</v>
      </c>
      <c r="AB65" s="137">
        <v>46246.956342592595</v>
      </c>
      <c r="AC65" s="137">
        <v>46247.351979166669</v>
      </c>
      <c r="AD65" s="137">
        <v>46247.983217592591</v>
      </c>
      <c r="AE65" s="137">
        <v>46248.576643518521</v>
      </c>
      <c r="AF65" s="137">
        <v>1</v>
      </c>
      <c r="AG65" s="137">
        <v>46249.351967592593</v>
      </c>
      <c r="AH65" s="137">
        <v>46249.973009259258</v>
      </c>
      <c r="AI65" s="116"/>
      <c r="AJ65" s="45">
        <v>49</v>
      </c>
      <c r="AK65" s="137">
        <v>46250.352037037039</v>
      </c>
      <c r="AL65" s="137">
        <v>46262.94703703704</v>
      </c>
      <c r="AM65" s="137">
        <v>46251.352592592593</v>
      </c>
      <c r="AN65" s="137">
        <v>46251.958495370367</v>
      </c>
      <c r="AO65" s="137">
        <v>46252.352696759262</v>
      </c>
      <c r="AP65" s="137">
        <v>46252.959791666668</v>
      </c>
      <c r="AQ65" s="137">
        <v>46253.353344907409</v>
      </c>
      <c r="AR65" s="137">
        <v>46253.95616898148</v>
      </c>
      <c r="AS65" s="137">
        <v>46254.352835648147</v>
      </c>
      <c r="AT65" s="137">
        <v>46254.973124999997</v>
      </c>
      <c r="AU65" s="141" t="s">
        <v>15</v>
      </c>
      <c r="AV65" s="141" t="s">
        <v>15</v>
      </c>
      <c r="AW65" s="137">
        <v>46256.353472222225</v>
      </c>
      <c r="AX65" s="137">
        <v>46256.968298611115</v>
      </c>
      <c r="AY65" s="137">
        <v>46257.353020833332</v>
      </c>
      <c r="AZ65" s="137">
        <v>46257.953518518516</v>
      </c>
      <c r="BA65" s="137">
        <v>46258.345219907409</v>
      </c>
      <c r="BB65" s="137">
        <v>46258.955787037034</v>
      </c>
      <c r="BC65" s="137">
        <v>46259.351979166669</v>
      </c>
      <c r="BD65" s="137">
        <v>46259.962280092594</v>
      </c>
      <c r="BE65" s="137">
        <v>46260.352175925924</v>
      </c>
      <c r="BF65" s="137">
        <v>46260.953460648147</v>
      </c>
      <c r="BG65" s="137">
        <v>46261.353055555555</v>
      </c>
      <c r="BH65" s="137">
        <v>46261.973912037036</v>
      </c>
      <c r="BI65" s="137">
        <v>46262.575902777775</v>
      </c>
      <c r="BJ65" s="137">
        <v>46262.94703703704</v>
      </c>
      <c r="BK65" s="137">
        <v>46263.352777777778</v>
      </c>
      <c r="BL65" s="137">
        <v>0</v>
      </c>
      <c r="BM65" s="137">
        <v>46264.352280092593</v>
      </c>
      <c r="BN65" s="170">
        <v>46264.95652777778</v>
      </c>
      <c r="BO65" s="170">
        <v>46265.352905092594</v>
      </c>
      <c r="BP65" s="170">
        <v>46265.956064814818</v>
      </c>
      <c r="BQ65" s="99">
        <f t="shared" si="16"/>
        <v>31</v>
      </c>
      <c r="BR65" s="68">
        <v>2</v>
      </c>
      <c r="BS65" s="1">
        <f t="shared" si="42"/>
        <v>29</v>
      </c>
      <c r="BT65" s="2">
        <f t="shared" si="30"/>
        <v>2</v>
      </c>
      <c r="BU65" s="2">
        <f t="shared" si="31"/>
        <v>0</v>
      </c>
      <c r="BV65" s="2">
        <f t="shared" si="32"/>
        <v>0</v>
      </c>
      <c r="BW65" s="2">
        <f t="shared" si="33"/>
        <v>0</v>
      </c>
      <c r="BX65" s="2">
        <f t="shared" si="34"/>
        <v>0</v>
      </c>
      <c r="BY65" s="2">
        <f t="shared" si="35"/>
        <v>0</v>
      </c>
      <c r="BZ65" s="2">
        <f t="shared" si="36"/>
        <v>0</v>
      </c>
      <c r="CA65" s="2">
        <f t="shared" si="37"/>
        <v>0</v>
      </c>
      <c r="CB65" s="2">
        <f t="shared" si="38"/>
        <v>0</v>
      </c>
      <c r="CC65" s="2">
        <f t="shared" si="39"/>
        <v>0</v>
      </c>
      <c r="CD65" s="2">
        <f t="shared" si="40"/>
        <v>0</v>
      </c>
      <c r="CE65" s="3"/>
      <c r="CG65" s="55">
        <v>0</v>
      </c>
      <c r="CH65" s="54">
        <v>0</v>
      </c>
      <c r="CI65" s="54">
        <v>0</v>
      </c>
      <c r="CJ65" s="54">
        <v>0</v>
      </c>
      <c r="CK65" s="54">
        <v>0</v>
      </c>
      <c r="CL65" s="54">
        <v>6</v>
      </c>
      <c r="CM65" s="54">
        <v>0</v>
      </c>
      <c r="CN65" s="55">
        <v>1</v>
      </c>
      <c r="CO65" s="54">
        <v>0</v>
      </c>
      <c r="CP65" s="54">
        <v>0</v>
      </c>
      <c r="CQ65" s="127">
        <f t="shared" si="41"/>
        <v>7</v>
      </c>
    </row>
    <row r="66" spans="1:95" ht="21.75" customHeight="1" x14ac:dyDescent="0.25">
      <c r="A66" s="45">
        <v>50</v>
      </c>
      <c r="B66" s="11" t="s">
        <v>130</v>
      </c>
      <c r="C66" s="78" t="s">
        <v>231</v>
      </c>
      <c r="D66" s="88">
        <v>45536</v>
      </c>
      <c r="E66" s="137">
        <v>46235.352546296293</v>
      </c>
      <c r="F66" s="137">
        <v>46235.970532407409</v>
      </c>
      <c r="G66" s="137">
        <v>46236.353761574072</v>
      </c>
      <c r="H66" s="137">
        <v>46236.991759259261</v>
      </c>
      <c r="I66" s="137">
        <v>46237.353946759256</v>
      </c>
      <c r="J66" s="137">
        <v>46237.968217592592</v>
      </c>
      <c r="K66" s="137">
        <v>46238.353495370371</v>
      </c>
      <c r="L66" s="137">
        <v>46238.944143518522</v>
      </c>
      <c r="M66" s="137">
        <v>46239.352094907408</v>
      </c>
      <c r="N66" s="137">
        <v>46239.965300925927</v>
      </c>
      <c r="O66" s="137">
        <v>46240.352349537039</v>
      </c>
      <c r="P66" s="137">
        <v>46240.969513888886</v>
      </c>
      <c r="Q66" s="141" t="s">
        <v>15</v>
      </c>
      <c r="R66" s="141" t="s">
        <v>15</v>
      </c>
      <c r="S66" s="137">
        <v>46242.348819444444</v>
      </c>
      <c r="T66" s="137">
        <v>46242.989652777775</v>
      </c>
      <c r="U66" s="137">
        <v>46243.352303240739</v>
      </c>
      <c r="V66" s="137">
        <v>1</v>
      </c>
      <c r="W66" s="137">
        <v>46244.349039351851</v>
      </c>
      <c r="X66" s="137">
        <v>46244.967476851853</v>
      </c>
      <c r="Y66" s="137">
        <v>46245.349710648145</v>
      </c>
      <c r="Z66" s="137">
        <v>46245.925092592595</v>
      </c>
      <c r="AA66" s="137">
        <v>46246.350972222222</v>
      </c>
      <c r="AB66" s="137">
        <v>46246.994641203702</v>
      </c>
      <c r="AC66" s="137">
        <v>46247.354733796295</v>
      </c>
      <c r="AD66" s="137">
        <v>46247.981863425928</v>
      </c>
      <c r="AE66" s="137">
        <v>46248.581863425927</v>
      </c>
      <c r="AF66" s="137">
        <v>1</v>
      </c>
      <c r="AG66" s="137">
        <v>46249.355254629627</v>
      </c>
      <c r="AH66" s="137">
        <v>46249.96947916667</v>
      </c>
      <c r="AI66" s="116"/>
      <c r="AJ66" s="45">
        <v>50</v>
      </c>
      <c r="AK66" s="137">
        <v>46250.353819444441</v>
      </c>
      <c r="AL66" s="137">
        <v>46262.923159722224</v>
      </c>
      <c r="AM66" s="137">
        <v>46251.354097222225</v>
      </c>
      <c r="AN66" s="137">
        <v>46251.933252314811</v>
      </c>
      <c r="AO66" s="137">
        <v>46252.351967592593</v>
      </c>
      <c r="AP66" s="137">
        <v>46252.94226851852</v>
      </c>
      <c r="AQ66" s="137">
        <v>46253.353148148148</v>
      </c>
      <c r="AR66" s="137">
        <v>46253.985196759262</v>
      </c>
      <c r="AS66" s="137">
        <v>46254.352337962962</v>
      </c>
      <c r="AT66" s="137">
        <v>46254.955405092594</v>
      </c>
      <c r="AU66" s="141" t="s">
        <v>15</v>
      </c>
      <c r="AV66" s="141" t="s">
        <v>15</v>
      </c>
      <c r="AW66" s="137">
        <v>46256.348807870374</v>
      </c>
      <c r="AX66" s="137">
        <v>46256.939027777778</v>
      </c>
      <c r="AY66" s="137">
        <v>46257.348124999997</v>
      </c>
      <c r="AZ66" s="137">
        <v>46257.94462962963</v>
      </c>
      <c r="BA66" s="137">
        <v>46258.352569444447</v>
      </c>
      <c r="BB66" s="137">
        <v>46258.951967592591</v>
      </c>
      <c r="BC66" s="137">
        <v>46259.353726851848</v>
      </c>
      <c r="BD66" s="137">
        <v>46259.93</v>
      </c>
      <c r="BE66" s="137">
        <v>46260.353564814817</v>
      </c>
      <c r="BF66" s="137">
        <v>46260.973356481481</v>
      </c>
      <c r="BG66" s="137">
        <v>46261.354780092595</v>
      </c>
      <c r="BH66" s="137">
        <v>46261.965277777781</v>
      </c>
      <c r="BI66" s="137">
        <v>0</v>
      </c>
      <c r="BJ66" s="137">
        <v>46262.923159722224</v>
      </c>
      <c r="BK66" s="137">
        <v>46263.352037037039</v>
      </c>
      <c r="BL66" s="137">
        <v>46263.958657407406</v>
      </c>
      <c r="BM66" s="137">
        <v>46264.353750000002</v>
      </c>
      <c r="BN66" s="170">
        <v>46264.946828703702</v>
      </c>
      <c r="BO66" s="170">
        <v>46265.354629629626</v>
      </c>
      <c r="BP66" s="170">
        <v>46265.941284722219</v>
      </c>
      <c r="BQ66" s="99">
        <f t="shared" si="16"/>
        <v>31</v>
      </c>
      <c r="BR66" s="68">
        <v>2</v>
      </c>
      <c r="BS66" s="1">
        <f t="shared" si="42"/>
        <v>29</v>
      </c>
      <c r="BT66" s="2">
        <f t="shared" si="30"/>
        <v>2</v>
      </c>
      <c r="BU66" s="2">
        <f t="shared" si="31"/>
        <v>0</v>
      </c>
      <c r="BV66" s="2">
        <f t="shared" si="32"/>
        <v>0</v>
      </c>
      <c r="BW66" s="2">
        <f t="shared" si="33"/>
        <v>0</v>
      </c>
      <c r="BX66" s="2">
        <f t="shared" si="34"/>
        <v>0</v>
      </c>
      <c r="BY66" s="2">
        <f t="shared" si="35"/>
        <v>0</v>
      </c>
      <c r="BZ66" s="2">
        <f t="shared" si="36"/>
        <v>0</v>
      </c>
      <c r="CA66" s="2">
        <f t="shared" si="37"/>
        <v>0</v>
      </c>
      <c r="CB66" s="2">
        <f t="shared" si="38"/>
        <v>0</v>
      </c>
      <c r="CC66" s="2">
        <f t="shared" si="39"/>
        <v>0</v>
      </c>
      <c r="CD66" s="2">
        <f t="shared" si="40"/>
        <v>0</v>
      </c>
      <c r="CE66" s="3"/>
      <c r="CG66" s="123">
        <v>0</v>
      </c>
      <c r="CH66" s="124">
        <v>0</v>
      </c>
      <c r="CI66" s="124">
        <v>0</v>
      </c>
      <c r="CJ66" s="123">
        <v>8</v>
      </c>
      <c r="CK66" s="124">
        <v>0</v>
      </c>
      <c r="CL66" s="123">
        <v>4</v>
      </c>
      <c r="CM66" s="124">
        <v>0</v>
      </c>
      <c r="CN66" s="124">
        <v>0</v>
      </c>
      <c r="CO66" s="124">
        <v>0</v>
      </c>
      <c r="CP66" s="124">
        <v>0</v>
      </c>
      <c r="CQ66" s="126">
        <f t="shared" si="41"/>
        <v>12</v>
      </c>
    </row>
    <row r="67" spans="1:95" ht="21.75" customHeight="1" x14ac:dyDescent="0.25">
      <c r="A67" s="45">
        <v>51</v>
      </c>
      <c r="B67" s="11" t="s">
        <v>131</v>
      </c>
      <c r="C67" s="78" t="s">
        <v>132</v>
      </c>
      <c r="D67" s="88">
        <v>45562</v>
      </c>
      <c r="E67" s="137">
        <v>46235.361956018518</v>
      </c>
      <c r="F67" s="137">
        <v>1</v>
      </c>
      <c r="G67" s="137">
        <v>0</v>
      </c>
      <c r="H67" s="137">
        <v>46236.93953703704</v>
      </c>
      <c r="I67" s="137">
        <v>46237.34883101852</v>
      </c>
      <c r="J67" s="137">
        <v>46237.916724537034</v>
      </c>
      <c r="K67" s="137">
        <v>46238.346724537034</v>
      </c>
      <c r="L67" s="137">
        <v>1</v>
      </c>
      <c r="M67" s="137">
        <v>46239.354537037034</v>
      </c>
      <c r="N67" s="137">
        <v>1</v>
      </c>
      <c r="O67" s="137">
        <v>46240.345196759263</v>
      </c>
      <c r="P67" s="137">
        <v>1</v>
      </c>
      <c r="Q67" s="137">
        <v>46241.564282407409</v>
      </c>
      <c r="R67" s="137">
        <v>46241.914942129632</v>
      </c>
      <c r="S67" s="137">
        <v>46242.361122685186</v>
      </c>
      <c r="T67" s="137">
        <v>46242.916724537034</v>
      </c>
      <c r="U67" s="137">
        <v>46243.333981481483</v>
      </c>
      <c r="V67" s="137">
        <v>1</v>
      </c>
      <c r="W67" s="137">
        <v>46244.427777777775</v>
      </c>
      <c r="X67" s="137">
        <v>46244.919814814813</v>
      </c>
      <c r="Y67" s="137">
        <v>46245.418796296297</v>
      </c>
      <c r="Z67" s="137">
        <v>46245.939236111109</v>
      </c>
      <c r="AA67" s="137">
        <v>1</v>
      </c>
      <c r="AB67" s="137">
        <v>1</v>
      </c>
      <c r="AC67" s="137">
        <v>46247.350590277776</v>
      </c>
      <c r="AD67" s="137">
        <v>46247.978773148148</v>
      </c>
      <c r="AE67" s="137">
        <v>46248.55878472222</v>
      </c>
      <c r="AF67" s="137">
        <v>46248.924837962964</v>
      </c>
      <c r="AG67" s="137">
        <v>46249.339826388888</v>
      </c>
      <c r="AH67" s="137">
        <v>1</v>
      </c>
      <c r="AI67" s="109"/>
      <c r="AJ67" s="45">
        <v>51</v>
      </c>
      <c r="AK67" s="137">
        <v>46250.343321759261</v>
      </c>
      <c r="AL67" s="137">
        <v>46262.917858796296</v>
      </c>
      <c r="AM67" s="137">
        <v>46251.413391203707</v>
      </c>
      <c r="AN67" s="137">
        <v>46251.922164351854</v>
      </c>
      <c r="AO67" s="137">
        <v>46252.416666666664</v>
      </c>
      <c r="AP67" s="137">
        <v>46252.922708333332</v>
      </c>
      <c r="AQ67" s="137">
        <v>0</v>
      </c>
      <c r="AR67" s="137">
        <v>46253.939201388886</v>
      </c>
      <c r="AS67" s="137">
        <v>0</v>
      </c>
      <c r="AT67" s="12">
        <v>1</v>
      </c>
      <c r="AU67" s="137">
        <v>46255.561516203707</v>
      </c>
      <c r="AV67" s="137">
        <v>46255.929270833331</v>
      </c>
      <c r="AW67" s="137">
        <v>46256.360219907408</v>
      </c>
      <c r="AX67" s="137">
        <v>0</v>
      </c>
      <c r="AY67" s="137">
        <v>0</v>
      </c>
      <c r="AZ67" s="137">
        <v>0</v>
      </c>
      <c r="BA67" s="137">
        <v>46258.35</v>
      </c>
      <c r="BB67" s="137">
        <v>0</v>
      </c>
      <c r="BC67" s="137">
        <v>46259.350046296298</v>
      </c>
      <c r="BD67" s="137">
        <v>0</v>
      </c>
      <c r="BE67" s="137">
        <v>46260.352743055555</v>
      </c>
      <c r="BF67" s="137">
        <v>46260.918900462966</v>
      </c>
      <c r="BG67" s="137">
        <v>46261.412858796299</v>
      </c>
      <c r="BH67" s="137">
        <v>46261.949745370373</v>
      </c>
      <c r="BI67" s="137">
        <v>0</v>
      </c>
      <c r="BJ67" s="137">
        <v>46262.917858796296</v>
      </c>
      <c r="BK67" s="137">
        <v>46263.356921296298</v>
      </c>
      <c r="BL67" s="137">
        <v>0</v>
      </c>
      <c r="BM67" s="137">
        <v>0</v>
      </c>
      <c r="BN67" s="170">
        <v>46264.963877314818</v>
      </c>
      <c r="BO67" s="170">
        <v>46265.412847222222</v>
      </c>
      <c r="BP67" s="170">
        <v>0</v>
      </c>
      <c r="BQ67" s="99">
        <f t="shared" si="16"/>
        <v>31</v>
      </c>
      <c r="BR67" s="68">
        <v>4</v>
      </c>
      <c r="BS67" s="1">
        <f t="shared" si="42"/>
        <v>31</v>
      </c>
      <c r="BT67" s="2">
        <f t="shared" si="30"/>
        <v>0</v>
      </c>
      <c r="BU67" s="2">
        <f t="shared" si="31"/>
        <v>0</v>
      </c>
      <c r="BV67" s="2">
        <f t="shared" si="32"/>
        <v>0</v>
      </c>
      <c r="BW67" s="2">
        <f t="shared" si="33"/>
        <v>0</v>
      </c>
      <c r="BX67" s="2">
        <f t="shared" si="34"/>
        <v>0</v>
      </c>
      <c r="BY67" s="2">
        <f t="shared" si="35"/>
        <v>0</v>
      </c>
      <c r="BZ67" s="2">
        <f t="shared" si="36"/>
        <v>0</v>
      </c>
      <c r="CA67" s="2">
        <f t="shared" si="37"/>
        <v>0</v>
      </c>
      <c r="CB67" s="2">
        <f t="shared" si="38"/>
        <v>0</v>
      </c>
      <c r="CC67" s="2">
        <f t="shared" si="39"/>
        <v>0</v>
      </c>
      <c r="CD67" s="2">
        <f t="shared" si="40"/>
        <v>0</v>
      </c>
      <c r="CE67" s="72"/>
      <c r="CG67" s="55">
        <v>0</v>
      </c>
      <c r="CH67" s="54">
        <v>0</v>
      </c>
      <c r="CI67" s="54">
        <v>0</v>
      </c>
      <c r="CJ67" s="54">
        <v>0</v>
      </c>
      <c r="CK67" s="54">
        <v>0</v>
      </c>
      <c r="CL67" s="54">
        <v>0</v>
      </c>
      <c r="CM67" s="54">
        <v>0</v>
      </c>
      <c r="CN67" s="54">
        <v>0</v>
      </c>
      <c r="CO67" s="54">
        <v>0</v>
      </c>
      <c r="CP67" s="54">
        <v>0</v>
      </c>
      <c r="CQ67" s="127">
        <f t="shared" si="41"/>
        <v>0</v>
      </c>
    </row>
    <row r="68" spans="1:95" ht="21.75" customHeight="1" x14ac:dyDescent="0.25">
      <c r="A68" s="45">
        <v>52</v>
      </c>
      <c r="B68" s="11" t="s">
        <v>114</v>
      </c>
      <c r="C68" s="78" t="s">
        <v>228</v>
      </c>
      <c r="D68" s="88"/>
      <c r="E68" s="177">
        <v>46235.345902777779</v>
      </c>
      <c r="F68" s="177">
        <v>46235.972812499997</v>
      </c>
      <c r="G68" s="178">
        <v>46236.349039351851</v>
      </c>
      <c r="H68" s="178">
        <v>46236.959490740737</v>
      </c>
      <c r="I68" s="178">
        <v>46237.349560185183</v>
      </c>
      <c r="J68" s="178">
        <v>46237.971550925926</v>
      </c>
      <c r="K68" s="178">
        <v>46238.349374999998</v>
      </c>
      <c r="L68" s="178">
        <v>46238.940324074072</v>
      </c>
      <c r="M68" s="178">
        <v>46239.348819444444</v>
      </c>
      <c r="N68" s="178">
        <v>46239.965428240743</v>
      </c>
      <c r="O68" s="178">
        <v>46240.348587962966</v>
      </c>
      <c r="P68" s="178">
        <v>46240.958472222221</v>
      </c>
      <c r="Q68" s="183" t="s">
        <v>15</v>
      </c>
      <c r="R68" s="183" t="s">
        <v>15</v>
      </c>
      <c r="S68" s="178">
        <v>46242.344884259262</v>
      </c>
      <c r="T68" s="178">
        <v>46242.95994212963</v>
      </c>
      <c r="U68" s="178">
        <v>46243.346377314818</v>
      </c>
      <c r="V68" s="178">
        <v>46243.937418981484</v>
      </c>
      <c r="W68" s="178">
        <v>46244.346863425926</v>
      </c>
      <c r="X68" s="178">
        <v>46244.939652777779</v>
      </c>
      <c r="Y68" s="178">
        <v>46245.345648148148</v>
      </c>
      <c r="Z68" s="178">
        <v>46245.938240740739</v>
      </c>
      <c r="AA68" s="178">
        <v>46246.349791666667</v>
      </c>
      <c r="AB68" s="178">
        <v>46246.959027777775</v>
      </c>
      <c r="AC68" s="178">
        <v>46247.346296296295</v>
      </c>
      <c r="AD68" s="178">
        <v>46247.96675925926</v>
      </c>
      <c r="AE68" s="178">
        <v>46248.569143518522</v>
      </c>
      <c r="AF68" s="178">
        <v>46248.956828703704</v>
      </c>
      <c r="AG68" s="181">
        <v>46249.345000000001</v>
      </c>
      <c r="AH68" s="177">
        <v>46249.965451388889</v>
      </c>
      <c r="AI68" s="122"/>
      <c r="AJ68" s="45">
        <v>52</v>
      </c>
      <c r="AK68" s="182">
        <v>46250.349016203705</v>
      </c>
      <c r="AL68" s="178">
        <v>46262.917627314811</v>
      </c>
      <c r="AM68" s="178">
        <v>46251.345937500002</v>
      </c>
      <c r="AN68" s="178">
        <v>46251.9375462963</v>
      </c>
      <c r="AO68" s="178">
        <v>46252.349340277775</v>
      </c>
      <c r="AP68" s="178">
        <v>46252.944039351853</v>
      </c>
      <c r="AQ68" s="178">
        <v>46253.346018518518</v>
      </c>
      <c r="AR68" s="178">
        <v>46253.95994212963</v>
      </c>
      <c r="AS68" s="178">
        <v>46254.34646990741</v>
      </c>
      <c r="AT68" s="178">
        <v>46254.955578703702</v>
      </c>
      <c r="AU68" s="183" t="s">
        <v>15</v>
      </c>
      <c r="AV68" s="183" t="s">
        <v>15</v>
      </c>
      <c r="AW68" s="178">
        <v>46256.349641203706</v>
      </c>
      <c r="AX68" s="178">
        <v>46256.957303240742</v>
      </c>
      <c r="AY68" s="178">
        <v>46257.347777777781</v>
      </c>
      <c r="AZ68" s="178">
        <v>46257.9377662037</v>
      </c>
      <c r="BA68" s="178">
        <v>46258.354502314818</v>
      </c>
      <c r="BB68" s="178">
        <v>46258.95653935185</v>
      </c>
      <c r="BC68" s="178">
        <v>46259.327835648146</v>
      </c>
      <c r="BD68" s="178">
        <v>46259.939826388887</v>
      </c>
      <c r="BE68" s="178">
        <v>46260.326643518521</v>
      </c>
      <c r="BF68" s="178">
        <v>46260.962337962963</v>
      </c>
      <c r="BG68" s="178">
        <v>46261.349560185183</v>
      </c>
      <c r="BH68" s="178">
        <v>46261.958020833335</v>
      </c>
      <c r="BI68" s="96">
        <v>1</v>
      </c>
      <c r="BJ68" s="178">
        <v>46262.917627314811</v>
      </c>
      <c r="BK68" s="178">
        <v>46263.350092592591</v>
      </c>
      <c r="BL68" s="178">
        <v>46263.959027777775</v>
      </c>
      <c r="BM68" s="178">
        <v>46264.348877314813</v>
      </c>
      <c r="BN68" s="178">
        <v>46264.713553240741</v>
      </c>
      <c r="BO68" s="182">
        <v>46265.347500000003</v>
      </c>
      <c r="BP68" s="96">
        <v>1</v>
      </c>
      <c r="BQ68" s="99">
        <f>BS68+BT68+BV68+CA68+BY68+BZ68+CD68+BU68</f>
        <v>31</v>
      </c>
      <c r="BR68" s="68">
        <v>2</v>
      </c>
      <c r="BS68" s="1">
        <f t="shared" si="42"/>
        <v>29</v>
      </c>
      <c r="BT68" s="2">
        <f t="shared" si="30"/>
        <v>2</v>
      </c>
      <c r="BU68" s="2">
        <f t="shared" si="31"/>
        <v>0</v>
      </c>
      <c r="BV68" s="2">
        <f t="shared" si="32"/>
        <v>0</v>
      </c>
      <c r="BW68" s="2">
        <f t="shared" si="33"/>
        <v>0</v>
      </c>
      <c r="BX68" s="2">
        <f t="shared" si="34"/>
        <v>0</v>
      </c>
      <c r="BY68" s="2">
        <f t="shared" si="35"/>
        <v>0</v>
      </c>
      <c r="BZ68" s="2">
        <f t="shared" si="36"/>
        <v>0</v>
      </c>
      <c r="CA68" s="2">
        <f t="shared" si="37"/>
        <v>0</v>
      </c>
      <c r="CB68" s="2">
        <f t="shared" si="38"/>
        <v>0</v>
      </c>
      <c r="CC68" s="2">
        <f t="shared" si="39"/>
        <v>0</v>
      </c>
      <c r="CD68" s="2">
        <f t="shared" si="40"/>
        <v>0</v>
      </c>
      <c r="CE68" s="3"/>
      <c r="CG68" s="54">
        <v>0</v>
      </c>
      <c r="CH68" s="54">
        <v>0</v>
      </c>
      <c r="CI68" s="54">
        <v>0</v>
      </c>
      <c r="CJ68" s="54">
        <v>0</v>
      </c>
      <c r="CK68" s="54">
        <v>0</v>
      </c>
      <c r="CL68" s="55">
        <v>3</v>
      </c>
      <c r="CM68" s="55">
        <v>0</v>
      </c>
      <c r="CN68" s="55">
        <v>0</v>
      </c>
      <c r="CO68" s="54">
        <v>0</v>
      </c>
      <c r="CP68" s="54">
        <v>0</v>
      </c>
      <c r="CQ68" s="56">
        <f>SUM(CG68:CP68)</f>
        <v>3</v>
      </c>
    </row>
    <row r="69" spans="1:95" ht="21.75" customHeight="1" x14ac:dyDescent="0.25">
      <c r="A69" s="45">
        <v>53</v>
      </c>
      <c r="B69" s="11" t="s">
        <v>173</v>
      </c>
      <c r="C69" s="78" t="s">
        <v>172</v>
      </c>
      <c r="D69" s="88">
        <v>45562</v>
      </c>
      <c r="E69" s="137">
        <v>46235.349050925928</v>
      </c>
      <c r="F69" s="137">
        <v>46235.940023148149</v>
      </c>
      <c r="G69" s="137">
        <v>46236.347349537034</v>
      </c>
      <c r="H69" s="137">
        <v>46236.93677083333</v>
      </c>
      <c r="I69" s="137">
        <v>46237.347245370373</v>
      </c>
      <c r="J69" s="137">
        <v>46237.927430555559</v>
      </c>
      <c r="K69" s="137">
        <v>46238.34684027778</v>
      </c>
      <c r="L69" s="137">
        <v>46238.925844907404</v>
      </c>
      <c r="M69" s="137">
        <v>46239.347245370373</v>
      </c>
      <c r="N69" s="137">
        <v>46239.921423611115</v>
      </c>
      <c r="O69" s="137">
        <v>46240.345983796295</v>
      </c>
      <c r="P69" s="137">
        <v>46240.945208333331</v>
      </c>
      <c r="Q69" s="137">
        <v>46241.57707175926</v>
      </c>
      <c r="R69" s="137">
        <v>46241.914710648147</v>
      </c>
      <c r="S69" s="137">
        <v>46242.345937500002</v>
      </c>
      <c r="T69" s="137">
        <v>46242.936967592592</v>
      </c>
      <c r="U69" s="137">
        <v>46243.344849537039</v>
      </c>
      <c r="V69" s="137">
        <v>46243.911400462966</v>
      </c>
      <c r="W69" s="137">
        <v>46244.347002314818</v>
      </c>
      <c r="X69" s="137">
        <v>46244.920115740744</v>
      </c>
      <c r="Y69" s="137">
        <v>46245.344317129631</v>
      </c>
      <c r="Z69" s="137">
        <v>46245.926249999997</v>
      </c>
      <c r="AA69" s="137">
        <v>46246.346064814818</v>
      </c>
      <c r="AB69" s="137">
        <v>46246.94630787037</v>
      </c>
      <c r="AC69" s="137">
        <v>46247.344571759262</v>
      </c>
      <c r="AD69" s="137">
        <v>46247.956921296296</v>
      </c>
      <c r="AE69" s="141" t="s">
        <v>15</v>
      </c>
      <c r="AF69" s="141" t="s">
        <v>15</v>
      </c>
      <c r="AG69" s="137">
        <v>46249.345625000002</v>
      </c>
      <c r="AH69" s="137">
        <v>46249.949247685188</v>
      </c>
      <c r="AI69" s="116"/>
      <c r="AJ69" s="45">
        <v>53</v>
      </c>
      <c r="AK69" s="137">
        <v>46250.347488425927</v>
      </c>
      <c r="AL69" s="12">
        <v>1</v>
      </c>
      <c r="AM69" s="137">
        <v>46251.345231481479</v>
      </c>
      <c r="AN69" s="137">
        <v>46251.922349537039</v>
      </c>
      <c r="AO69" s="137">
        <v>46252.34646990741</v>
      </c>
      <c r="AP69" s="137">
        <v>46252.949224537035</v>
      </c>
      <c r="AQ69" s="137">
        <v>46253.34516203704</v>
      </c>
      <c r="AR69" s="137">
        <v>46253.938437500001</v>
      </c>
      <c r="AS69" s="137">
        <v>46254.346944444442</v>
      </c>
      <c r="AT69" s="137">
        <v>46254.925567129627</v>
      </c>
      <c r="AU69" s="137">
        <v>46255.577962962961</v>
      </c>
      <c r="AV69" s="137">
        <v>46255.919247685182</v>
      </c>
      <c r="AW69" s="137">
        <v>46256.345462962963</v>
      </c>
      <c r="AX69" s="137">
        <v>0</v>
      </c>
      <c r="AY69" s="137">
        <v>46257.345289351855</v>
      </c>
      <c r="AZ69" s="137">
        <v>46257.943842592591</v>
      </c>
      <c r="BA69" s="137">
        <v>46258.351620370369</v>
      </c>
      <c r="BB69" s="137">
        <v>46258.925752314812</v>
      </c>
      <c r="BC69" s="137">
        <v>46259.344918981478</v>
      </c>
      <c r="BD69" s="137">
        <v>46259.91578703704</v>
      </c>
      <c r="BE69" s="137">
        <v>46260.411296296297</v>
      </c>
      <c r="BF69" s="137">
        <v>46260.942465277774</v>
      </c>
      <c r="BG69" s="137">
        <v>46261.345960648148</v>
      </c>
      <c r="BH69" s="137">
        <v>46261.933055555557</v>
      </c>
      <c r="BI69" s="141" t="s">
        <v>15</v>
      </c>
      <c r="BJ69" s="141" t="s">
        <v>15</v>
      </c>
      <c r="BK69" s="137">
        <v>46263.346736111111</v>
      </c>
      <c r="BL69" s="137">
        <v>46263.931203703702</v>
      </c>
      <c r="BM69" s="137">
        <v>46264.348020833335</v>
      </c>
      <c r="BN69" s="170">
        <v>46264.881631944445</v>
      </c>
      <c r="BO69" s="170">
        <v>46265.344328703701</v>
      </c>
      <c r="BP69" s="170">
        <v>46265.91547453704</v>
      </c>
      <c r="BQ69" s="99">
        <f t="shared" si="16"/>
        <v>31</v>
      </c>
      <c r="BR69" s="68">
        <v>2</v>
      </c>
      <c r="BS69" s="1">
        <f t="shared" si="42"/>
        <v>29</v>
      </c>
      <c r="BT69" s="2">
        <f t="shared" si="30"/>
        <v>2</v>
      </c>
      <c r="BU69" s="2">
        <f t="shared" si="31"/>
        <v>0</v>
      </c>
      <c r="BV69" s="2">
        <f t="shared" si="32"/>
        <v>0</v>
      </c>
      <c r="BW69" s="2">
        <f t="shared" si="33"/>
        <v>0</v>
      </c>
      <c r="BX69" s="2">
        <f t="shared" si="34"/>
        <v>0</v>
      </c>
      <c r="BY69" s="2">
        <f t="shared" si="35"/>
        <v>0</v>
      </c>
      <c r="BZ69" s="2">
        <f t="shared" si="36"/>
        <v>0</v>
      </c>
      <c r="CA69" s="2">
        <f t="shared" si="37"/>
        <v>0</v>
      </c>
      <c r="CB69" s="2">
        <f t="shared" si="38"/>
        <v>0</v>
      </c>
      <c r="CC69" s="2">
        <f t="shared" si="39"/>
        <v>0</v>
      </c>
      <c r="CD69" s="2">
        <f t="shared" si="40"/>
        <v>0</v>
      </c>
      <c r="CE69" s="3"/>
      <c r="CG69" s="123">
        <v>0</v>
      </c>
      <c r="CH69" s="124">
        <v>0</v>
      </c>
      <c r="CI69" s="124">
        <v>0</v>
      </c>
      <c r="CJ69" s="124">
        <v>0</v>
      </c>
      <c r="CK69" s="124">
        <v>0</v>
      </c>
      <c r="CL69" s="123">
        <v>3</v>
      </c>
      <c r="CM69" s="124">
        <v>0</v>
      </c>
      <c r="CN69" s="124">
        <v>0</v>
      </c>
      <c r="CO69" s="124">
        <v>0</v>
      </c>
      <c r="CP69" s="124">
        <v>0</v>
      </c>
      <c r="CQ69" s="126">
        <f t="shared" si="41"/>
        <v>3</v>
      </c>
    </row>
    <row r="70" spans="1:95" s="74" customFormat="1" ht="21.75" customHeight="1" x14ac:dyDescent="0.25">
      <c r="A70" s="45">
        <v>54</v>
      </c>
      <c r="B70" s="97" t="s">
        <v>133</v>
      </c>
      <c r="C70" s="78" t="s">
        <v>134</v>
      </c>
      <c r="D70" s="98">
        <v>45648</v>
      </c>
      <c r="E70" s="137">
        <v>46235.351747685185</v>
      </c>
      <c r="F70" s="137">
        <v>46235.961585648147</v>
      </c>
      <c r="G70" s="137">
        <v>46236.350115740737</v>
      </c>
      <c r="H70" s="137">
        <v>46236.937800925924</v>
      </c>
      <c r="I70" s="137">
        <v>46237.350428240738</v>
      </c>
      <c r="J70" s="137">
        <v>46237.9377662037</v>
      </c>
      <c r="K70" s="137">
        <v>46238.352465277778</v>
      </c>
      <c r="L70" s="137">
        <v>46238.939918981479</v>
      </c>
      <c r="M70" s="137">
        <v>46239.352731481478</v>
      </c>
      <c r="N70" s="137">
        <v>46239.938796296294</v>
      </c>
      <c r="O70" s="137">
        <v>46240.350243055553</v>
      </c>
      <c r="P70" s="137">
        <v>46240.937476851854</v>
      </c>
      <c r="Q70" s="137">
        <v>46241.576053240744</v>
      </c>
      <c r="R70" s="137">
        <v>46241.937928240739</v>
      </c>
      <c r="S70" s="137">
        <v>46242.395335648151</v>
      </c>
      <c r="T70" s="137">
        <v>46242.937650462962</v>
      </c>
      <c r="U70" s="137">
        <v>46243.350752314815</v>
      </c>
      <c r="V70" s="137">
        <v>46243.937673611108</v>
      </c>
      <c r="W70" s="146" t="s">
        <v>171</v>
      </c>
      <c r="X70" s="146" t="s">
        <v>171</v>
      </c>
      <c r="Y70" s="137">
        <v>46245.352581018517</v>
      </c>
      <c r="Z70" s="137">
        <v>46245.948842592596</v>
      </c>
      <c r="AA70" s="137">
        <v>46246.3512962963</v>
      </c>
      <c r="AB70" s="137">
        <v>46246.937384259261</v>
      </c>
      <c r="AC70" s="137">
        <v>46247.350659722222</v>
      </c>
      <c r="AD70" s="137">
        <v>46247.95994212963</v>
      </c>
      <c r="AE70" s="141" t="s">
        <v>15</v>
      </c>
      <c r="AF70" s="141" t="s">
        <v>15</v>
      </c>
      <c r="AG70" s="137">
        <v>46249.35050925926</v>
      </c>
      <c r="AH70" s="137">
        <v>46249.961944444447</v>
      </c>
      <c r="AI70" s="108"/>
      <c r="AJ70" s="45">
        <v>54</v>
      </c>
      <c r="AK70" s="137">
        <v>46250.35052083333</v>
      </c>
      <c r="AL70" s="12">
        <v>1</v>
      </c>
      <c r="AM70" s="137">
        <v>46251.350798611114</v>
      </c>
      <c r="AN70" s="137">
        <v>46251.9374537037</v>
      </c>
      <c r="AO70" s="137">
        <v>46252.351689814815</v>
      </c>
      <c r="AP70" s="137">
        <v>46252.938020833331</v>
      </c>
      <c r="AQ70" s="137">
        <v>46253.350983796299</v>
      </c>
      <c r="AR70" s="12">
        <v>1</v>
      </c>
      <c r="AS70" s="137" t="s">
        <v>171</v>
      </c>
      <c r="AT70" s="137" t="s">
        <v>171</v>
      </c>
      <c r="AU70" s="137">
        <v>46255.583020833335</v>
      </c>
      <c r="AV70" s="137">
        <v>46255.932939814818</v>
      </c>
      <c r="AW70" s="137">
        <v>46256.351388888892</v>
      </c>
      <c r="AX70" s="137">
        <v>46256.958622685182</v>
      </c>
      <c r="AY70" s="137">
        <v>46257.351597222223</v>
      </c>
      <c r="AZ70" s="137">
        <v>46257.931875000002</v>
      </c>
      <c r="BA70" s="137">
        <v>0</v>
      </c>
      <c r="BB70" s="137">
        <v>46258.932314814818</v>
      </c>
      <c r="BC70" s="137">
        <v>46259.374745370369</v>
      </c>
      <c r="BD70" s="137">
        <v>46259.941365740742</v>
      </c>
      <c r="BE70" s="137">
        <v>46260.375185185185</v>
      </c>
      <c r="BF70" s="137">
        <v>46260.946516203701</v>
      </c>
      <c r="BG70" s="137">
        <v>46261.350659722222</v>
      </c>
      <c r="BH70" s="137">
        <v>0</v>
      </c>
      <c r="BI70" s="137">
        <v>46262.565509259257</v>
      </c>
      <c r="BJ70" s="137">
        <v>0</v>
      </c>
      <c r="BK70" s="137">
        <v>46263.356666666667</v>
      </c>
      <c r="BL70" s="137">
        <v>46263.926620370374</v>
      </c>
      <c r="BM70" s="137">
        <v>46264.354826388888</v>
      </c>
      <c r="BN70" s="170">
        <v>46264.938240740739</v>
      </c>
      <c r="BO70" s="170">
        <v>46265.353055555555</v>
      </c>
      <c r="BP70" s="170">
        <v>46265.938958333332</v>
      </c>
      <c r="BQ70" s="99">
        <f t="shared" si="16"/>
        <v>31</v>
      </c>
      <c r="BR70" s="68">
        <v>4</v>
      </c>
      <c r="BS70" s="1">
        <f t="shared" si="42"/>
        <v>28</v>
      </c>
      <c r="BT70" s="2">
        <f t="shared" si="30"/>
        <v>1</v>
      </c>
      <c r="BU70" s="2">
        <f t="shared" si="31"/>
        <v>0</v>
      </c>
      <c r="BV70" s="2">
        <f t="shared" si="32"/>
        <v>0</v>
      </c>
      <c r="BW70" s="2">
        <f t="shared" si="33"/>
        <v>0</v>
      </c>
      <c r="BX70" s="2">
        <f t="shared" si="34"/>
        <v>0</v>
      </c>
      <c r="BY70" s="2">
        <f t="shared" si="35"/>
        <v>0</v>
      </c>
      <c r="BZ70" s="2">
        <f t="shared" si="36"/>
        <v>2</v>
      </c>
      <c r="CA70" s="2">
        <f t="shared" si="37"/>
        <v>0</v>
      </c>
      <c r="CB70" s="2">
        <f t="shared" si="38"/>
        <v>0</v>
      </c>
      <c r="CC70" s="2">
        <f t="shared" si="39"/>
        <v>0</v>
      </c>
      <c r="CD70" s="2">
        <f t="shared" si="40"/>
        <v>0</v>
      </c>
      <c r="CE70" s="3" t="s">
        <v>272</v>
      </c>
      <c r="CG70" s="123">
        <v>0</v>
      </c>
      <c r="CH70" s="124">
        <v>0</v>
      </c>
      <c r="CI70" s="124">
        <v>30</v>
      </c>
      <c r="CJ70" s="124">
        <v>0</v>
      </c>
      <c r="CK70" s="124">
        <v>0</v>
      </c>
      <c r="CL70" s="123">
        <v>0</v>
      </c>
      <c r="CM70" s="124">
        <v>0</v>
      </c>
      <c r="CN70" s="124">
        <v>0</v>
      </c>
      <c r="CO70" s="124">
        <v>6</v>
      </c>
      <c r="CP70" s="124">
        <v>0</v>
      </c>
      <c r="CQ70" s="126">
        <f t="shared" si="41"/>
        <v>36</v>
      </c>
    </row>
    <row r="71" spans="1:95" ht="21.75" customHeight="1" x14ac:dyDescent="0.25">
      <c r="A71" s="45">
        <v>55</v>
      </c>
      <c r="B71" s="11" t="s">
        <v>135</v>
      </c>
      <c r="C71" s="78" t="s">
        <v>136</v>
      </c>
      <c r="D71" s="88">
        <v>45653</v>
      </c>
      <c r="E71" s="137">
        <v>46235.34988425926</v>
      </c>
      <c r="F71" s="137">
        <v>46235.959537037037</v>
      </c>
      <c r="G71" s="137">
        <v>46236.354027777779</v>
      </c>
      <c r="H71" s="137">
        <v>46236.991064814814</v>
      </c>
      <c r="I71" s="137">
        <v>46237.347361111111</v>
      </c>
      <c r="J71" s="137">
        <v>46237.968993055554</v>
      </c>
      <c r="K71" s="137">
        <v>46238.350706018522</v>
      </c>
      <c r="L71" s="137">
        <v>46238.94427083333</v>
      </c>
      <c r="M71" s="137">
        <v>46239.35460648148</v>
      </c>
      <c r="N71" s="137">
        <v>46239.940312500003</v>
      </c>
      <c r="O71" s="137">
        <v>46240.347233796296</v>
      </c>
      <c r="P71" s="137">
        <v>46240.919548611113</v>
      </c>
      <c r="Q71" s="141" t="s">
        <v>15</v>
      </c>
      <c r="R71" s="141" t="s">
        <v>15</v>
      </c>
      <c r="S71" s="137">
        <v>46242.352314814816</v>
      </c>
      <c r="T71" s="137">
        <v>46242.98809027778</v>
      </c>
      <c r="U71" s="137">
        <v>46243.353217592594</v>
      </c>
      <c r="V71" s="137">
        <v>46243.937060185184</v>
      </c>
      <c r="W71" s="137">
        <v>46244.352164351854</v>
      </c>
      <c r="X71" s="137">
        <v>46244.967569444445</v>
      </c>
      <c r="Y71" s="137">
        <v>46245.346712962964</v>
      </c>
      <c r="Z71" s="137">
        <v>46245.921122685184</v>
      </c>
      <c r="AA71" s="137">
        <v>46246.350810185184</v>
      </c>
      <c r="AB71" s="137">
        <v>46246.994398148148</v>
      </c>
      <c r="AC71" s="137">
        <v>46247.348310185182</v>
      </c>
      <c r="AD71" s="137">
        <v>46247.981076388889</v>
      </c>
      <c r="AE71" s="137">
        <v>46248.581828703704</v>
      </c>
      <c r="AF71" s="137">
        <v>1</v>
      </c>
      <c r="AG71" s="137">
        <v>46249.353726851848</v>
      </c>
      <c r="AH71" s="137">
        <v>46249.971967592595</v>
      </c>
      <c r="AI71" s="116"/>
      <c r="AJ71" s="45">
        <v>55</v>
      </c>
      <c r="AK71" s="137">
        <v>46250.353344907409</v>
      </c>
      <c r="AL71" s="137">
        <v>46262.920358796298</v>
      </c>
      <c r="AM71" s="137">
        <v>46251.353703703702</v>
      </c>
      <c r="AN71" s="137">
        <v>46251.932280092595</v>
      </c>
      <c r="AO71" s="137">
        <v>46252.354375000003</v>
      </c>
      <c r="AP71" s="137">
        <v>46252.942662037036</v>
      </c>
      <c r="AQ71" s="137">
        <v>46253.353310185186</v>
      </c>
      <c r="AR71" s="137">
        <v>46253.984988425924</v>
      </c>
      <c r="AS71" s="137">
        <v>46254.3515625</v>
      </c>
      <c r="AT71" s="137">
        <v>46254.947245370371</v>
      </c>
      <c r="AU71" s="141" t="s">
        <v>15</v>
      </c>
      <c r="AV71" s="141" t="s">
        <v>15</v>
      </c>
      <c r="AW71" s="137">
        <v>46256.351539351854</v>
      </c>
      <c r="AX71" s="137">
        <v>46256.927129629628</v>
      </c>
      <c r="AY71" s="137">
        <v>46257.348958333336</v>
      </c>
      <c r="AZ71" s="137">
        <v>46257.937997685185</v>
      </c>
      <c r="BA71" s="137">
        <v>46258.374305555553</v>
      </c>
      <c r="BB71" s="137">
        <v>0</v>
      </c>
      <c r="BC71" s="137">
        <v>46259.351504629631</v>
      </c>
      <c r="BD71" s="137">
        <v>46259.927152777775</v>
      </c>
      <c r="BE71" s="137">
        <v>46260.350763888891</v>
      </c>
      <c r="BF71" s="137">
        <v>46260.973321759258</v>
      </c>
      <c r="BG71" s="137">
        <v>46261.350254629629</v>
      </c>
      <c r="BH71" s="137">
        <v>46261.974074074074</v>
      </c>
      <c r="BI71" s="137">
        <v>46262.562476851854</v>
      </c>
      <c r="BJ71" s="137">
        <v>46262.920358796298</v>
      </c>
      <c r="BK71" s="137">
        <v>46263.350266203706</v>
      </c>
      <c r="BL71" s="137">
        <v>46263.958472222221</v>
      </c>
      <c r="BM71" s="137">
        <v>46264.35328703704</v>
      </c>
      <c r="BN71" s="170">
        <v>46264.889618055553</v>
      </c>
      <c r="BO71" s="170">
        <v>46265.351087962961</v>
      </c>
      <c r="BP71" s="170">
        <v>46265.94054398148</v>
      </c>
      <c r="BQ71" s="99">
        <f t="shared" si="16"/>
        <v>31</v>
      </c>
      <c r="BR71" s="68">
        <v>2</v>
      </c>
      <c r="BS71" s="1">
        <f t="shared" si="42"/>
        <v>29</v>
      </c>
      <c r="BT71" s="2">
        <f t="shared" si="30"/>
        <v>2</v>
      </c>
      <c r="BU71" s="2">
        <f t="shared" si="31"/>
        <v>0</v>
      </c>
      <c r="BV71" s="2">
        <f t="shared" si="32"/>
        <v>0</v>
      </c>
      <c r="BW71" s="2">
        <f t="shared" si="33"/>
        <v>0</v>
      </c>
      <c r="BX71" s="2">
        <f t="shared" si="34"/>
        <v>0</v>
      </c>
      <c r="BY71" s="2">
        <f t="shared" si="35"/>
        <v>0</v>
      </c>
      <c r="BZ71" s="2">
        <f t="shared" si="36"/>
        <v>0</v>
      </c>
      <c r="CA71" s="2">
        <f t="shared" si="37"/>
        <v>0</v>
      </c>
      <c r="CB71" s="2">
        <f t="shared" si="38"/>
        <v>0</v>
      </c>
      <c r="CC71" s="2">
        <f t="shared" si="39"/>
        <v>0</v>
      </c>
      <c r="CD71" s="2">
        <f t="shared" si="40"/>
        <v>0</v>
      </c>
      <c r="CE71" s="3"/>
      <c r="CG71" s="123">
        <v>0</v>
      </c>
      <c r="CH71" s="124">
        <v>0</v>
      </c>
      <c r="CI71" s="124">
        <v>0</v>
      </c>
      <c r="CJ71" s="124">
        <v>0</v>
      </c>
      <c r="CK71" s="124">
        <v>0</v>
      </c>
      <c r="CL71" s="123">
        <v>6</v>
      </c>
      <c r="CM71" s="124">
        <v>0</v>
      </c>
      <c r="CN71" s="124">
        <v>0</v>
      </c>
      <c r="CO71" s="124">
        <v>0</v>
      </c>
      <c r="CP71" s="124">
        <v>0</v>
      </c>
      <c r="CQ71" s="126">
        <f t="shared" si="41"/>
        <v>6</v>
      </c>
    </row>
    <row r="72" spans="1:95" ht="21.75" customHeight="1" x14ac:dyDescent="0.25">
      <c r="A72" s="45">
        <v>56</v>
      </c>
      <c r="B72" s="11" t="s">
        <v>137</v>
      </c>
      <c r="C72" s="78" t="s">
        <v>138</v>
      </c>
      <c r="D72" s="88">
        <v>45670</v>
      </c>
      <c r="E72" s="137">
        <v>46235.346006944441</v>
      </c>
      <c r="F72" s="137">
        <v>46235.975277777776</v>
      </c>
      <c r="G72" s="137">
        <v>46236.34103009259</v>
      </c>
      <c r="H72" s="137">
        <v>46236.991331018522</v>
      </c>
      <c r="I72" s="137">
        <v>46237.341122685182</v>
      </c>
      <c r="J72" s="137">
        <v>46237.971458333333</v>
      </c>
      <c r="K72" s="137">
        <v>46238.345937500002</v>
      </c>
      <c r="L72" s="137">
        <v>46238.966319444444</v>
      </c>
      <c r="M72" s="137">
        <v>46239.351400462961</v>
      </c>
      <c r="N72" s="137">
        <v>46239.967245370368</v>
      </c>
      <c r="O72" s="137">
        <v>46240.329050925924</v>
      </c>
      <c r="P72" s="137">
        <v>46240.99181712963</v>
      </c>
      <c r="Q72" s="137">
        <v>46241.576122685183</v>
      </c>
      <c r="R72" s="137">
        <v>46241.969548611109</v>
      </c>
      <c r="S72" s="137">
        <v>46242.353402777779</v>
      </c>
      <c r="T72" s="137">
        <v>46242.985439814816</v>
      </c>
      <c r="U72" s="137">
        <v>46243.354247685187</v>
      </c>
      <c r="V72" s="137">
        <v>46243.96665509259</v>
      </c>
      <c r="W72" s="137">
        <v>46244.353148148148</v>
      </c>
      <c r="X72" s="137">
        <v>46244.968275462961</v>
      </c>
      <c r="Y72" s="137">
        <v>46245.346956018519</v>
      </c>
      <c r="Z72" s="137">
        <v>46245.967476851853</v>
      </c>
      <c r="AA72" s="137">
        <v>46246.346319444441</v>
      </c>
      <c r="AB72" s="137">
        <v>46246.96266203704</v>
      </c>
      <c r="AC72" s="137">
        <v>46247.345555555556</v>
      </c>
      <c r="AD72" s="137">
        <v>46247.991851851853</v>
      </c>
      <c r="AE72" s="141" t="s">
        <v>15</v>
      </c>
      <c r="AF72" s="141" t="s">
        <v>15</v>
      </c>
      <c r="AG72" s="137">
        <v>46249.351134259261</v>
      </c>
      <c r="AH72" s="137">
        <v>46249.99527777778</v>
      </c>
      <c r="AI72" s="116"/>
      <c r="AJ72" s="45">
        <v>56</v>
      </c>
      <c r="AK72" s="137">
        <v>46250.353761574072</v>
      </c>
      <c r="AL72" s="12">
        <v>1</v>
      </c>
      <c r="AM72" s="137">
        <v>46251.344363425924</v>
      </c>
      <c r="AN72" s="137">
        <v>46251.962476851855</v>
      </c>
      <c r="AO72" s="137">
        <v>46252.353622685187</v>
      </c>
      <c r="AP72" s="137">
        <v>46252.966851851852</v>
      </c>
      <c r="AQ72" s="137">
        <v>46253.353113425925</v>
      </c>
      <c r="AR72" s="137">
        <v>46253.988402777781</v>
      </c>
      <c r="AS72" s="137">
        <v>46254.355138888888</v>
      </c>
      <c r="AT72" s="137">
        <v>46254.984872685185</v>
      </c>
      <c r="AU72" s="137">
        <v>46255.580914351849</v>
      </c>
      <c r="AV72" s="137">
        <v>46255.982534722221</v>
      </c>
      <c r="AW72" s="137">
        <v>46256.353784722225</v>
      </c>
      <c r="AX72" s="137">
        <v>46256.958981481483</v>
      </c>
      <c r="AY72" s="137">
        <v>46257.35359953704</v>
      </c>
      <c r="AZ72" s="137">
        <v>46257.960034722222</v>
      </c>
      <c r="BA72" s="137">
        <v>0</v>
      </c>
      <c r="BB72" s="137">
        <v>46258.960231481484</v>
      </c>
      <c r="BC72" s="137">
        <v>46259.352060185185</v>
      </c>
      <c r="BD72" s="137">
        <v>46259.968321759261</v>
      </c>
      <c r="BE72" s="137">
        <v>46260.348877314813</v>
      </c>
      <c r="BF72" s="137">
        <v>46260.973437499997</v>
      </c>
      <c r="BG72" s="137">
        <v>46261.354745370372</v>
      </c>
      <c r="BH72" s="137">
        <v>46261.984560185185</v>
      </c>
      <c r="BI72" s="141" t="s">
        <v>15</v>
      </c>
      <c r="BJ72" s="141" t="s">
        <v>15</v>
      </c>
      <c r="BK72" s="137">
        <v>46263.350937499999</v>
      </c>
      <c r="BL72" s="137">
        <v>46263.980925925927</v>
      </c>
      <c r="BM72" s="137">
        <v>46264.352905092594</v>
      </c>
      <c r="BN72" s="170">
        <v>46264.958935185183</v>
      </c>
      <c r="BO72" s="170">
        <v>46265.353113425925</v>
      </c>
      <c r="BP72" s="170">
        <v>46265.960509259261</v>
      </c>
      <c r="BQ72" s="99">
        <f t="shared" si="16"/>
        <v>31</v>
      </c>
      <c r="BR72" s="68">
        <v>2</v>
      </c>
      <c r="BS72" s="1">
        <f t="shared" si="42"/>
        <v>29</v>
      </c>
      <c r="BT72" s="2">
        <f t="shared" si="30"/>
        <v>2</v>
      </c>
      <c r="BU72" s="2">
        <f t="shared" si="31"/>
        <v>0</v>
      </c>
      <c r="BV72" s="2">
        <f t="shared" si="32"/>
        <v>0</v>
      </c>
      <c r="BW72" s="2">
        <f t="shared" si="33"/>
        <v>0</v>
      </c>
      <c r="BX72" s="2">
        <f t="shared" si="34"/>
        <v>0</v>
      </c>
      <c r="BY72" s="2">
        <f t="shared" si="35"/>
        <v>0</v>
      </c>
      <c r="BZ72" s="2">
        <f t="shared" si="36"/>
        <v>0</v>
      </c>
      <c r="CA72" s="2">
        <f t="shared" si="37"/>
        <v>0</v>
      </c>
      <c r="CB72" s="2">
        <f t="shared" si="38"/>
        <v>0</v>
      </c>
      <c r="CC72" s="2">
        <f t="shared" si="39"/>
        <v>0</v>
      </c>
      <c r="CD72" s="2">
        <f t="shared" si="40"/>
        <v>0</v>
      </c>
      <c r="CE72" s="3"/>
      <c r="CG72" s="55">
        <v>0</v>
      </c>
      <c r="CH72" s="54">
        <v>0</v>
      </c>
      <c r="CI72" s="54">
        <v>0</v>
      </c>
      <c r="CJ72" s="54">
        <v>0</v>
      </c>
      <c r="CK72" s="54">
        <v>0</v>
      </c>
      <c r="CL72" s="54">
        <v>0</v>
      </c>
      <c r="CM72" s="54">
        <v>0</v>
      </c>
      <c r="CN72" s="54">
        <v>0</v>
      </c>
      <c r="CO72" s="54">
        <v>0</v>
      </c>
      <c r="CP72" s="54">
        <v>0</v>
      </c>
      <c r="CQ72" s="127">
        <f t="shared" si="41"/>
        <v>0</v>
      </c>
    </row>
    <row r="73" spans="1:95" ht="21.75" customHeight="1" x14ac:dyDescent="0.25">
      <c r="A73" s="45">
        <v>57</v>
      </c>
      <c r="B73" s="11" t="s">
        <v>139</v>
      </c>
      <c r="C73" s="78" t="s">
        <v>140</v>
      </c>
      <c r="D73" s="88">
        <v>45670</v>
      </c>
      <c r="E73" s="12">
        <v>1</v>
      </c>
      <c r="F73" s="12">
        <v>1</v>
      </c>
      <c r="G73" s="137">
        <v>0</v>
      </c>
      <c r="H73" s="137">
        <v>46236.952384259261</v>
      </c>
      <c r="I73" s="137">
        <v>0</v>
      </c>
      <c r="J73" s="137">
        <v>46237.947916666664</v>
      </c>
      <c r="K73" s="137">
        <v>46238.417581018519</v>
      </c>
      <c r="L73" s="137">
        <v>46238.949618055558</v>
      </c>
      <c r="M73" s="137">
        <v>46239.409571759257</v>
      </c>
      <c r="N73" s="137">
        <v>46239.942881944444</v>
      </c>
      <c r="O73" s="137">
        <v>46240.409594907411</v>
      </c>
      <c r="P73" s="137">
        <v>46240.977962962963</v>
      </c>
      <c r="Q73" s="137">
        <v>1</v>
      </c>
      <c r="R73" s="137">
        <v>46241.953229166669</v>
      </c>
      <c r="S73" s="137">
        <v>46242.40347222222</v>
      </c>
      <c r="T73" s="137">
        <v>46242.967858796299</v>
      </c>
      <c r="U73" s="12">
        <v>1</v>
      </c>
      <c r="V73" s="137">
        <v>46243.964050925926</v>
      </c>
      <c r="W73" s="12">
        <v>1</v>
      </c>
      <c r="X73" s="137">
        <v>1</v>
      </c>
      <c r="Y73" s="12">
        <v>1</v>
      </c>
      <c r="Z73" s="137">
        <v>46245.949201388888</v>
      </c>
      <c r="AA73" s="12">
        <v>1</v>
      </c>
      <c r="AB73" s="137">
        <v>46246.957002314812</v>
      </c>
      <c r="AC73" s="12">
        <v>1</v>
      </c>
      <c r="AD73" s="137">
        <v>46247.96502314815</v>
      </c>
      <c r="AE73" s="12">
        <v>1</v>
      </c>
      <c r="AF73" s="137">
        <v>1</v>
      </c>
      <c r="AG73" s="12">
        <v>1</v>
      </c>
      <c r="AH73" s="137">
        <v>46249.967997685184</v>
      </c>
      <c r="AI73" s="109"/>
      <c r="AJ73" s="45">
        <v>57</v>
      </c>
      <c r="AK73" s="12">
        <v>1</v>
      </c>
      <c r="AL73" s="137">
        <v>46262.942511574074</v>
      </c>
      <c r="AM73" s="147">
        <v>46251.416643518518</v>
      </c>
      <c r="AN73" s="137">
        <v>46251.9375</v>
      </c>
      <c r="AO73" s="137">
        <v>46252.422743055555</v>
      </c>
      <c r="AP73" s="137">
        <v>46252.960243055553</v>
      </c>
      <c r="AQ73" s="137">
        <v>46253.422696759262</v>
      </c>
      <c r="AR73" s="137">
        <v>46253.942152777781</v>
      </c>
      <c r="AS73" s="137">
        <v>46254.415497685186</v>
      </c>
      <c r="AT73" s="137">
        <v>46254.970150462963</v>
      </c>
      <c r="AU73" s="137">
        <v>46255.571018518516</v>
      </c>
      <c r="AV73" s="137">
        <v>46255.949317129627</v>
      </c>
      <c r="AW73" s="137">
        <v>46256.414421296293</v>
      </c>
      <c r="AX73" s="137">
        <v>46256.960995370369</v>
      </c>
      <c r="AY73" s="137">
        <v>46257.41170138889</v>
      </c>
      <c r="AZ73" s="137">
        <v>46257.945891203701</v>
      </c>
      <c r="BA73" s="137">
        <v>0</v>
      </c>
      <c r="BB73" s="137">
        <v>0</v>
      </c>
      <c r="BC73" s="137">
        <v>46259.353414351855</v>
      </c>
      <c r="BD73" s="137">
        <v>46259.943819444445</v>
      </c>
      <c r="BE73" s="137">
        <v>46260.353136574071</v>
      </c>
      <c r="BF73" s="137">
        <v>46260.941099537034</v>
      </c>
      <c r="BG73" s="137">
        <v>46261.413668981484</v>
      </c>
      <c r="BH73" s="137">
        <v>46261.959027777775</v>
      </c>
      <c r="BI73" s="137">
        <v>0</v>
      </c>
      <c r="BJ73" s="137">
        <v>46262.942511574074</v>
      </c>
      <c r="BK73" s="137">
        <v>46263.407118055555</v>
      </c>
      <c r="BL73" s="12">
        <v>1</v>
      </c>
      <c r="BM73" s="12">
        <v>1</v>
      </c>
      <c r="BN73" s="170">
        <v>46264.943645833337</v>
      </c>
      <c r="BO73" s="170">
        <v>46265.398657407408</v>
      </c>
      <c r="BP73" s="12">
        <v>1</v>
      </c>
      <c r="BQ73" s="99">
        <f t="shared" si="16"/>
        <v>31</v>
      </c>
      <c r="BR73" s="68">
        <v>4</v>
      </c>
      <c r="BS73" s="1">
        <f t="shared" si="42"/>
        <v>31</v>
      </c>
      <c r="BT73" s="2">
        <f t="shared" si="30"/>
        <v>0</v>
      </c>
      <c r="BU73" s="2">
        <f t="shared" si="31"/>
        <v>0</v>
      </c>
      <c r="BV73" s="2">
        <f t="shared" si="32"/>
        <v>0</v>
      </c>
      <c r="BW73" s="2">
        <f t="shared" si="33"/>
        <v>0</v>
      </c>
      <c r="BX73" s="2">
        <f t="shared" si="34"/>
        <v>0</v>
      </c>
      <c r="BY73" s="2">
        <f t="shared" si="35"/>
        <v>0</v>
      </c>
      <c r="BZ73" s="2">
        <f t="shared" si="36"/>
        <v>0</v>
      </c>
      <c r="CA73" s="2">
        <f t="shared" si="37"/>
        <v>0</v>
      </c>
      <c r="CB73" s="2">
        <f t="shared" si="38"/>
        <v>0</v>
      </c>
      <c r="CC73" s="2">
        <f t="shared" si="39"/>
        <v>0</v>
      </c>
      <c r="CD73" s="2">
        <f t="shared" si="40"/>
        <v>0</v>
      </c>
      <c r="CE73" s="3"/>
      <c r="CG73" s="123">
        <v>0</v>
      </c>
      <c r="CH73" s="124">
        <v>0</v>
      </c>
      <c r="CI73" s="124">
        <v>0</v>
      </c>
      <c r="CJ73" s="124">
        <v>0</v>
      </c>
      <c r="CK73" s="124">
        <v>0</v>
      </c>
      <c r="CL73" s="124">
        <v>0</v>
      </c>
      <c r="CM73" s="124">
        <v>0</v>
      </c>
      <c r="CN73" s="124">
        <v>0</v>
      </c>
      <c r="CO73" s="124">
        <v>0</v>
      </c>
      <c r="CP73" s="124">
        <v>0</v>
      </c>
      <c r="CQ73" s="126">
        <f t="shared" si="41"/>
        <v>0</v>
      </c>
    </row>
    <row r="74" spans="1:95" ht="21.75" customHeight="1" x14ac:dyDescent="0.25">
      <c r="A74" s="45">
        <v>58</v>
      </c>
      <c r="B74" s="11" t="s">
        <v>141</v>
      </c>
      <c r="C74" s="78" t="s">
        <v>142</v>
      </c>
      <c r="D74" s="88">
        <v>45670</v>
      </c>
      <c r="E74" s="137">
        <v>46235.342870370368</v>
      </c>
      <c r="F74" s="137">
        <v>46235.972245370373</v>
      </c>
      <c r="G74" s="137">
        <v>46236.342361111114</v>
      </c>
      <c r="H74" s="137">
        <v>46236.991828703707</v>
      </c>
      <c r="I74" s="137">
        <v>46237.342835648145</v>
      </c>
      <c r="J74" s="137">
        <v>46237.937673611108</v>
      </c>
      <c r="K74" s="137">
        <v>46238.339571759258</v>
      </c>
      <c r="L74" s="137">
        <v>46238.950092592589</v>
      </c>
      <c r="M74" s="137">
        <v>46239.341608796298</v>
      </c>
      <c r="N74" s="137">
        <v>46239.965486111112</v>
      </c>
      <c r="O74" s="137">
        <v>46240.343819444446</v>
      </c>
      <c r="P74" s="137">
        <v>46240.970636574071</v>
      </c>
      <c r="Q74" s="137">
        <v>46241.58053240741</v>
      </c>
      <c r="R74" s="137">
        <v>46241.942118055558</v>
      </c>
      <c r="S74" s="137">
        <v>46242.346238425926</v>
      </c>
      <c r="T74" s="137">
        <v>46242.961805555555</v>
      </c>
      <c r="U74" s="137">
        <v>46243.345289351855</v>
      </c>
      <c r="V74" s="137">
        <v>46243.941354166665</v>
      </c>
      <c r="W74" s="137">
        <v>46244.345300925925</v>
      </c>
      <c r="X74" s="137">
        <v>46244.965578703705</v>
      </c>
      <c r="Y74" s="137">
        <v>46245.344375000001</v>
      </c>
      <c r="Z74" s="137">
        <v>46245.943171296298</v>
      </c>
      <c r="AA74" s="137">
        <v>46246.343993055554</v>
      </c>
      <c r="AB74" s="137">
        <v>46246.994050925925</v>
      </c>
      <c r="AC74" s="137">
        <v>46247.341817129629</v>
      </c>
      <c r="AD74" s="137">
        <v>46247.982708333337</v>
      </c>
      <c r="AE74" s="141" t="s">
        <v>15</v>
      </c>
      <c r="AF74" s="141" t="s">
        <v>15</v>
      </c>
      <c r="AG74" s="137">
        <v>46249.344259259262</v>
      </c>
      <c r="AH74" s="137">
        <v>46249.971331018518</v>
      </c>
      <c r="AI74" s="116"/>
      <c r="AJ74" s="45">
        <v>58</v>
      </c>
      <c r="AK74" s="137">
        <v>46250.353449074071</v>
      </c>
      <c r="AL74" s="12">
        <v>1</v>
      </c>
      <c r="AM74" s="137">
        <v>46251.353020833332</v>
      </c>
      <c r="AN74" s="137">
        <v>46251.934247685182</v>
      </c>
      <c r="AO74" s="137">
        <v>46252.352523148147</v>
      </c>
      <c r="AP74" s="137">
        <v>46252.942442129628</v>
      </c>
      <c r="AQ74" s="137">
        <v>46253.352824074071</v>
      </c>
      <c r="AR74" s="137">
        <v>46254.002511574072</v>
      </c>
      <c r="AS74" s="137">
        <v>46254.352233796293</v>
      </c>
      <c r="AT74" s="137">
        <v>46254.942476851851</v>
      </c>
      <c r="AU74" s="137">
        <v>46255.579907407409</v>
      </c>
      <c r="AV74" s="137">
        <v>46255.917395833334</v>
      </c>
      <c r="AW74" s="137">
        <v>46256.352025462962</v>
      </c>
      <c r="AX74" s="137">
        <v>46256.929594907408</v>
      </c>
      <c r="AY74" s="137">
        <v>46257.352118055554</v>
      </c>
      <c r="AZ74" s="137">
        <v>46257.937835648147</v>
      </c>
      <c r="BA74" s="137">
        <v>46258.353958333333</v>
      </c>
      <c r="BB74" s="137">
        <v>46258.981481481482</v>
      </c>
      <c r="BC74" s="137">
        <v>46259.415335648147</v>
      </c>
      <c r="BD74" s="137">
        <v>46259.926759259259</v>
      </c>
      <c r="BE74" s="137">
        <v>46260.401018518518</v>
      </c>
      <c r="BF74" s="137">
        <v>46260.97388888889</v>
      </c>
      <c r="BG74" s="137">
        <v>46261.351736111108</v>
      </c>
      <c r="BH74" s="137">
        <v>46261.959456018521</v>
      </c>
      <c r="BI74" s="141" t="s">
        <v>15</v>
      </c>
      <c r="BJ74" s="141" t="s">
        <v>15</v>
      </c>
      <c r="BK74" s="137">
        <v>46263.351284722223</v>
      </c>
      <c r="BL74" s="137">
        <v>46263.958726851852</v>
      </c>
      <c r="BM74" s="137">
        <v>46264.351481481484</v>
      </c>
      <c r="BN74" s="170">
        <v>46264.954942129632</v>
      </c>
      <c r="BO74" s="170">
        <v>46265.352453703701</v>
      </c>
      <c r="BP74" s="170">
        <v>46265.941041666665</v>
      </c>
      <c r="BQ74" s="99">
        <f t="shared" si="16"/>
        <v>31</v>
      </c>
      <c r="BR74" s="68">
        <v>2</v>
      </c>
      <c r="BS74" s="1">
        <f t="shared" si="42"/>
        <v>29</v>
      </c>
      <c r="BT74" s="2">
        <f t="shared" si="30"/>
        <v>2</v>
      </c>
      <c r="BU74" s="2">
        <f t="shared" si="31"/>
        <v>0</v>
      </c>
      <c r="BV74" s="2">
        <f t="shared" si="32"/>
        <v>0</v>
      </c>
      <c r="BW74" s="2">
        <f t="shared" si="33"/>
        <v>0</v>
      </c>
      <c r="BX74" s="2">
        <f t="shared" si="34"/>
        <v>0</v>
      </c>
      <c r="BY74" s="2">
        <f t="shared" si="35"/>
        <v>0</v>
      </c>
      <c r="BZ74" s="2">
        <f t="shared" si="36"/>
        <v>0</v>
      </c>
      <c r="CA74" s="2">
        <f t="shared" si="37"/>
        <v>0</v>
      </c>
      <c r="CB74" s="2">
        <f t="shared" si="38"/>
        <v>0</v>
      </c>
      <c r="CC74" s="2">
        <f t="shared" si="39"/>
        <v>0</v>
      </c>
      <c r="CD74" s="2">
        <f t="shared" si="40"/>
        <v>0</v>
      </c>
      <c r="CE74" s="3"/>
      <c r="CG74" s="55">
        <v>0</v>
      </c>
      <c r="CH74" s="54">
        <v>0</v>
      </c>
      <c r="CI74" s="54">
        <v>30</v>
      </c>
      <c r="CJ74" s="54">
        <v>0</v>
      </c>
      <c r="CK74" s="54">
        <v>0</v>
      </c>
      <c r="CL74" s="54">
        <v>0</v>
      </c>
      <c r="CM74" s="54">
        <v>0</v>
      </c>
      <c r="CN74" s="54">
        <v>0</v>
      </c>
      <c r="CO74" s="54">
        <v>0</v>
      </c>
      <c r="CP74" s="54">
        <v>0</v>
      </c>
      <c r="CQ74" s="127">
        <f t="shared" si="41"/>
        <v>30</v>
      </c>
    </row>
    <row r="75" spans="1:95" ht="21.75" customHeight="1" x14ac:dyDescent="0.25">
      <c r="A75" s="45">
        <v>59</v>
      </c>
      <c r="B75" s="11" t="s">
        <v>143</v>
      </c>
      <c r="C75" s="78" t="s">
        <v>144</v>
      </c>
      <c r="D75" s="88">
        <v>45673</v>
      </c>
      <c r="E75" s="137">
        <v>46235.352800925924</v>
      </c>
      <c r="F75" s="137">
        <v>46235.975486111114</v>
      </c>
      <c r="G75" s="137">
        <v>46236.352303240739</v>
      </c>
      <c r="H75" s="137">
        <v>46236.958553240744</v>
      </c>
      <c r="I75" s="137">
        <v>46237.351412037038</v>
      </c>
      <c r="J75" s="137">
        <v>46237.960046296299</v>
      </c>
      <c r="K75" s="137">
        <v>46238.353055555555</v>
      </c>
      <c r="L75" s="137">
        <v>46238.957442129627</v>
      </c>
      <c r="M75" s="137">
        <v>46239.352847222224</v>
      </c>
      <c r="N75" s="137">
        <v>46239.955543981479</v>
      </c>
      <c r="O75" s="137">
        <v>46240.351597222223</v>
      </c>
      <c r="P75" s="137">
        <v>46240.981898148151</v>
      </c>
      <c r="Q75" s="137">
        <v>46241.578032407408</v>
      </c>
      <c r="R75" s="137">
        <v>46241.958657407406</v>
      </c>
      <c r="S75" s="137">
        <v>46242.349814814814</v>
      </c>
      <c r="T75" s="137">
        <v>46242.973240740743</v>
      </c>
      <c r="U75" s="137">
        <v>46243.351979166669</v>
      </c>
      <c r="V75" s="137">
        <v>1</v>
      </c>
      <c r="W75" s="137">
        <v>46244.352013888885</v>
      </c>
      <c r="X75" s="137">
        <v>46244.957812499997</v>
      </c>
      <c r="Y75" s="137">
        <v>46245.352962962963</v>
      </c>
      <c r="Z75" s="137">
        <v>46245.960879629631</v>
      </c>
      <c r="AA75" s="137">
        <v>46246.352118055554</v>
      </c>
      <c r="AB75" s="137">
        <v>46246.956412037034</v>
      </c>
      <c r="AC75" s="137">
        <v>46247.351944444446</v>
      </c>
      <c r="AD75" s="137">
        <v>46247.98333333333</v>
      </c>
      <c r="AE75" s="137">
        <v>46248.576701388891</v>
      </c>
      <c r="AF75" s="137">
        <v>1</v>
      </c>
      <c r="AG75" s="137">
        <v>46249.352071759262</v>
      </c>
      <c r="AH75" s="137">
        <v>46249.972951388889</v>
      </c>
      <c r="AI75" s="116"/>
      <c r="AJ75" s="45">
        <v>59</v>
      </c>
      <c r="AK75" s="137">
        <v>46250.351979166669</v>
      </c>
      <c r="AL75" s="137">
        <v>46250.956909722219</v>
      </c>
      <c r="AM75" s="137">
        <v>46251.352210648147</v>
      </c>
      <c r="AN75" s="137">
        <v>46251.958935185183</v>
      </c>
      <c r="AO75" s="137">
        <v>46252.352337962962</v>
      </c>
      <c r="AP75" s="137">
        <v>46252.95989583333</v>
      </c>
      <c r="AQ75" s="137">
        <v>46253.353449074071</v>
      </c>
      <c r="AR75" s="137">
        <v>46253.956226851849</v>
      </c>
      <c r="AS75" s="137">
        <v>46254.353078703702</v>
      </c>
      <c r="AT75" s="137">
        <v>46254.97315972222</v>
      </c>
      <c r="AU75" s="137">
        <v>46255.580590277779</v>
      </c>
      <c r="AV75" s="137">
        <v>46255.976770833331</v>
      </c>
      <c r="AW75" s="137">
        <v>46256.353564814817</v>
      </c>
      <c r="AX75" s="137">
        <v>46256.968159722222</v>
      </c>
      <c r="AY75" s="137">
        <v>46257.353159722225</v>
      </c>
      <c r="AZ75" s="137">
        <v>46257.953784722224</v>
      </c>
      <c r="BA75" s="137">
        <v>0</v>
      </c>
      <c r="BB75" s="137">
        <v>46258.95585648148</v>
      </c>
      <c r="BC75" s="137">
        <v>46259.352430555555</v>
      </c>
      <c r="BD75" s="137">
        <v>46259.962430555555</v>
      </c>
      <c r="BE75" s="137">
        <v>46260.352303240739</v>
      </c>
      <c r="BF75" s="137">
        <v>0</v>
      </c>
      <c r="BG75" s="137">
        <v>46261.352997685186</v>
      </c>
      <c r="BH75" s="137">
        <v>46261.973969907405</v>
      </c>
      <c r="BI75" s="141" t="s">
        <v>15</v>
      </c>
      <c r="BJ75" s="141" t="s">
        <v>15</v>
      </c>
      <c r="BK75" s="137">
        <v>46263.352962962963</v>
      </c>
      <c r="BL75" s="137">
        <v>0</v>
      </c>
      <c r="BM75" s="137">
        <v>46264.352164351854</v>
      </c>
      <c r="BN75" s="170">
        <v>46264.959664351853</v>
      </c>
      <c r="BO75" s="170">
        <v>46265.352719907409</v>
      </c>
      <c r="BP75" s="170">
        <v>46265.956099537034</v>
      </c>
      <c r="BQ75" s="99">
        <f t="shared" si="16"/>
        <v>31</v>
      </c>
      <c r="BR75" s="68">
        <v>3</v>
      </c>
      <c r="BS75" s="1">
        <f t="shared" si="42"/>
        <v>30</v>
      </c>
      <c r="BT75" s="2">
        <f t="shared" si="30"/>
        <v>1</v>
      </c>
      <c r="BU75" s="2">
        <f t="shared" si="31"/>
        <v>0</v>
      </c>
      <c r="BV75" s="2">
        <f t="shared" si="32"/>
        <v>0</v>
      </c>
      <c r="BW75" s="2">
        <f t="shared" si="33"/>
        <v>0</v>
      </c>
      <c r="BX75" s="2">
        <f t="shared" si="34"/>
        <v>0</v>
      </c>
      <c r="BY75" s="2">
        <f t="shared" si="35"/>
        <v>0</v>
      </c>
      <c r="BZ75" s="2">
        <f t="shared" si="36"/>
        <v>0</v>
      </c>
      <c r="CA75" s="2">
        <f t="shared" si="37"/>
        <v>0</v>
      </c>
      <c r="CB75" s="2">
        <f t="shared" si="38"/>
        <v>0</v>
      </c>
      <c r="CC75" s="2">
        <f t="shared" si="39"/>
        <v>0</v>
      </c>
      <c r="CD75" s="2">
        <f t="shared" si="40"/>
        <v>0</v>
      </c>
      <c r="CE75" s="3"/>
      <c r="CG75" s="123">
        <v>0</v>
      </c>
      <c r="CH75" s="124">
        <v>0</v>
      </c>
      <c r="CI75" s="124">
        <v>0</v>
      </c>
      <c r="CJ75" s="124">
        <v>0</v>
      </c>
      <c r="CK75" s="124">
        <v>0</v>
      </c>
      <c r="CL75" s="124">
        <v>1</v>
      </c>
      <c r="CM75" s="124">
        <v>0</v>
      </c>
      <c r="CN75" s="124">
        <v>0</v>
      </c>
      <c r="CO75" s="124">
        <v>0</v>
      </c>
      <c r="CP75" s="124">
        <v>0</v>
      </c>
      <c r="CQ75" s="126">
        <f t="shared" si="41"/>
        <v>1</v>
      </c>
    </row>
    <row r="76" spans="1:95" ht="21.75" customHeight="1" x14ac:dyDescent="0.25">
      <c r="A76" s="45">
        <v>60</v>
      </c>
      <c r="B76" s="11" t="s">
        <v>145</v>
      </c>
      <c r="C76" s="78" t="s">
        <v>146</v>
      </c>
      <c r="D76" s="88">
        <v>45679</v>
      </c>
      <c r="E76" s="137">
        <v>46235.351469907408</v>
      </c>
      <c r="F76" s="137">
        <v>46235.973969907405</v>
      </c>
      <c r="G76" s="137">
        <v>46236.34884259259</v>
      </c>
      <c r="H76" s="137">
        <v>46236.952928240738</v>
      </c>
      <c r="I76" s="137">
        <v>46237.352395833332</v>
      </c>
      <c r="J76" s="137">
        <v>46237.949861111112</v>
      </c>
      <c r="K76" s="137">
        <v>46238.352395833332</v>
      </c>
      <c r="L76" s="137">
        <v>46238.953113425923</v>
      </c>
      <c r="M76" s="137">
        <v>46239.351817129631</v>
      </c>
      <c r="N76" s="137">
        <v>46239.950856481482</v>
      </c>
      <c r="O76" s="137">
        <v>46240.351377314815</v>
      </c>
      <c r="P76" s="137">
        <v>46240.981157407405</v>
      </c>
      <c r="Q76" s="137">
        <v>46241.577488425923</v>
      </c>
      <c r="R76" s="137">
        <v>46241.959189814814</v>
      </c>
      <c r="S76" s="137">
        <v>46242.349004629628</v>
      </c>
      <c r="T76" s="137">
        <v>46242.97079861111</v>
      </c>
      <c r="U76" s="137">
        <v>46243.35125</v>
      </c>
      <c r="V76" s="137">
        <v>46243.964745370373</v>
      </c>
      <c r="W76" s="137">
        <v>46244.349583333336</v>
      </c>
      <c r="X76" s="137">
        <v>1</v>
      </c>
      <c r="Y76" s="137">
        <v>46245.351319444446</v>
      </c>
      <c r="Z76" s="137">
        <v>46245.952650462961</v>
      </c>
      <c r="AA76" s="137">
        <v>46246.350648148145</v>
      </c>
      <c r="AB76" s="137">
        <v>46246.953425925924</v>
      </c>
      <c r="AC76" s="137">
        <v>46247.351006944446</v>
      </c>
      <c r="AD76" s="137">
        <v>46247.976006944446</v>
      </c>
      <c r="AE76" s="141" t="s">
        <v>15</v>
      </c>
      <c r="AF76" s="141" t="s">
        <v>15</v>
      </c>
      <c r="AG76" s="137">
        <v>46249.351550925923</v>
      </c>
      <c r="AH76" s="137">
        <v>46249.973263888889</v>
      </c>
      <c r="AI76" s="116"/>
      <c r="AJ76" s="45">
        <v>60</v>
      </c>
      <c r="AK76" s="137">
        <v>46250.350636574076</v>
      </c>
      <c r="AL76" s="12">
        <v>1</v>
      </c>
      <c r="AM76" s="137">
        <v>46251.3515162037</v>
      </c>
      <c r="AN76" s="137">
        <v>46251.958715277775</v>
      </c>
      <c r="AO76" s="137">
        <v>46252.351307870369</v>
      </c>
      <c r="AP76" s="137">
        <v>46252.959953703707</v>
      </c>
      <c r="AQ76" s="137">
        <v>46253.350798611114</v>
      </c>
      <c r="AR76" s="137">
        <v>46253.956655092596</v>
      </c>
      <c r="AS76" s="137">
        <v>46254.351782407408</v>
      </c>
      <c r="AT76" s="137">
        <v>46254.975810185184</v>
      </c>
      <c r="AU76" s="137">
        <v>46255.577326388891</v>
      </c>
      <c r="AV76" s="137">
        <v>46255.977500000001</v>
      </c>
      <c r="AW76" s="137">
        <v>46256.35052083333</v>
      </c>
      <c r="AX76" s="137">
        <v>46256.968715277777</v>
      </c>
      <c r="AY76" s="137">
        <v>46257.351030092592</v>
      </c>
      <c r="AZ76" s="137">
        <v>46257.954293981478</v>
      </c>
      <c r="BA76" s="137">
        <v>46258.353310185186</v>
      </c>
      <c r="BB76" s="137">
        <v>46258.956458333334</v>
      </c>
      <c r="BC76" s="137">
        <v>46259.353680555556</v>
      </c>
      <c r="BD76" s="137">
        <v>46259.962893518517</v>
      </c>
      <c r="BE76" s="137">
        <v>46260.352835648147</v>
      </c>
      <c r="BF76" s="137">
        <v>46260.954143518517</v>
      </c>
      <c r="BG76" s="137">
        <v>46261.351469907408</v>
      </c>
      <c r="BH76" s="137">
        <v>46261.974560185183</v>
      </c>
      <c r="BI76" s="141" t="s">
        <v>15</v>
      </c>
      <c r="BJ76" s="141" t="s">
        <v>15</v>
      </c>
      <c r="BK76" s="137">
        <v>46263.350138888891</v>
      </c>
      <c r="BL76" s="137">
        <v>0</v>
      </c>
      <c r="BM76" s="137">
        <v>46264.351875</v>
      </c>
      <c r="BN76" s="170">
        <v>46264.959849537037</v>
      </c>
      <c r="BO76" s="170">
        <v>46265.352129629631</v>
      </c>
      <c r="BP76" s="170">
        <v>46265.952511574076</v>
      </c>
      <c r="BQ76" s="99">
        <f t="shared" si="16"/>
        <v>31</v>
      </c>
      <c r="BR76" s="68">
        <v>2</v>
      </c>
      <c r="BS76" s="1">
        <f t="shared" si="42"/>
        <v>29</v>
      </c>
      <c r="BT76" s="2">
        <f t="shared" si="30"/>
        <v>2</v>
      </c>
      <c r="BU76" s="2">
        <f t="shared" si="31"/>
        <v>0</v>
      </c>
      <c r="BV76" s="2">
        <f t="shared" si="32"/>
        <v>0</v>
      </c>
      <c r="BW76" s="2">
        <f t="shared" si="33"/>
        <v>0</v>
      </c>
      <c r="BX76" s="2">
        <f t="shared" si="34"/>
        <v>0</v>
      </c>
      <c r="BY76" s="2">
        <f t="shared" si="35"/>
        <v>0</v>
      </c>
      <c r="BZ76" s="2">
        <f t="shared" si="36"/>
        <v>0</v>
      </c>
      <c r="CA76" s="2">
        <f t="shared" si="37"/>
        <v>0</v>
      </c>
      <c r="CB76" s="2">
        <f t="shared" si="38"/>
        <v>0</v>
      </c>
      <c r="CC76" s="2">
        <f t="shared" si="39"/>
        <v>0</v>
      </c>
      <c r="CD76" s="2">
        <f t="shared" si="40"/>
        <v>0</v>
      </c>
      <c r="CE76" s="3"/>
      <c r="CG76" s="55">
        <v>0</v>
      </c>
      <c r="CH76" s="54">
        <v>0</v>
      </c>
      <c r="CI76" s="54">
        <v>0</v>
      </c>
      <c r="CJ76" s="54">
        <v>0</v>
      </c>
      <c r="CK76" s="54">
        <v>0</v>
      </c>
      <c r="CL76" s="54">
        <v>0</v>
      </c>
      <c r="CM76" s="54">
        <v>0</v>
      </c>
      <c r="CN76" s="54">
        <v>0</v>
      </c>
      <c r="CO76" s="54">
        <v>0</v>
      </c>
      <c r="CP76" s="54">
        <v>0</v>
      </c>
      <c r="CQ76" s="127">
        <f t="shared" si="41"/>
        <v>0</v>
      </c>
    </row>
    <row r="77" spans="1:95" ht="21.75" customHeight="1" x14ac:dyDescent="0.25">
      <c r="A77" s="45">
        <v>61</v>
      </c>
      <c r="B77" s="11" t="s">
        <v>147</v>
      </c>
      <c r="C77" s="78" t="s">
        <v>148</v>
      </c>
      <c r="D77" s="88">
        <v>45679</v>
      </c>
      <c r="E77" s="137">
        <v>46235.35428240741</v>
      </c>
      <c r="F77" s="137">
        <v>46235.969722222224</v>
      </c>
      <c r="G77" s="137">
        <v>46236.354108796295</v>
      </c>
      <c r="H77" s="137">
        <v>46236.968391203707</v>
      </c>
      <c r="I77" s="137">
        <v>46237.354571759257</v>
      </c>
      <c r="J77" s="137">
        <v>46237.969224537039</v>
      </c>
      <c r="K77" s="137">
        <v>46238.354398148149</v>
      </c>
      <c r="L77" s="137">
        <v>46238.947141203702</v>
      </c>
      <c r="M77" s="137">
        <v>46239.353877314818</v>
      </c>
      <c r="N77" s="137">
        <v>46239.966574074075</v>
      </c>
      <c r="O77" s="137">
        <v>46240.353831018518</v>
      </c>
      <c r="P77" s="137">
        <v>46240.970335648148</v>
      </c>
      <c r="Q77" s="141" t="s">
        <v>15</v>
      </c>
      <c r="R77" s="141" t="s">
        <v>15</v>
      </c>
      <c r="S77" s="137">
        <v>46242.354270833333</v>
      </c>
      <c r="T77" s="137">
        <v>46242.979444444441</v>
      </c>
      <c r="U77" s="137">
        <v>46243.353784722225</v>
      </c>
      <c r="V77" s="137">
        <v>46243.94059027778</v>
      </c>
      <c r="W77" s="137">
        <v>46244.354189814818</v>
      </c>
      <c r="X77" s="137">
        <v>46244.9608912037</v>
      </c>
      <c r="Y77" s="137">
        <v>46245.354178240741</v>
      </c>
      <c r="Z77" s="137">
        <v>46245.930601851855</v>
      </c>
      <c r="AA77" s="137">
        <v>46246.353854166664</v>
      </c>
      <c r="AB77" s="137">
        <v>46246.995023148149</v>
      </c>
      <c r="AC77" s="137">
        <v>46247.354363425926</v>
      </c>
      <c r="AD77" s="137">
        <v>46247.981504629628</v>
      </c>
      <c r="AE77" s="137">
        <v>46248.580752314818</v>
      </c>
      <c r="AF77" s="137">
        <v>1</v>
      </c>
      <c r="AG77" s="137">
        <v>46249.355185185188</v>
      </c>
      <c r="AH77" s="137">
        <v>46249.965810185182</v>
      </c>
      <c r="AI77" s="116"/>
      <c r="AJ77" s="45">
        <v>61</v>
      </c>
      <c r="AK77" s="137">
        <v>46250.354594907411</v>
      </c>
      <c r="AL77" s="137">
        <v>46262.930578703701</v>
      </c>
      <c r="AM77" s="137">
        <v>46251.352754629632</v>
      </c>
      <c r="AN77" s="137">
        <v>46251.926481481481</v>
      </c>
      <c r="AO77" s="137">
        <v>46252.354479166665</v>
      </c>
      <c r="AP77" s="137">
        <v>46252.943761574075</v>
      </c>
      <c r="AQ77" s="137">
        <v>46253.354479166665</v>
      </c>
      <c r="AR77" s="137">
        <v>46254.002025462964</v>
      </c>
      <c r="AS77" s="137">
        <v>46254.353483796294</v>
      </c>
      <c r="AT77" s="137">
        <v>46254.942037037035</v>
      </c>
      <c r="AU77" s="141" t="s">
        <v>15</v>
      </c>
      <c r="AV77" s="141" t="s">
        <v>15</v>
      </c>
      <c r="AW77" s="137">
        <v>46256.354178240741</v>
      </c>
      <c r="AX77" s="137">
        <v>46256.940092592595</v>
      </c>
      <c r="AY77" s="137">
        <v>46257.355034722219</v>
      </c>
      <c r="AZ77" s="137">
        <v>46257.93509259259</v>
      </c>
      <c r="BA77" s="137">
        <v>0</v>
      </c>
      <c r="BB77" s="137">
        <v>46258.937997685185</v>
      </c>
      <c r="BC77" s="137">
        <v>46259.351550925923</v>
      </c>
      <c r="BD77" s="137">
        <v>46259.931388888886</v>
      </c>
      <c r="BE77" s="137">
        <v>46260.351875</v>
      </c>
      <c r="BF77" s="137">
        <v>46260.971030092594</v>
      </c>
      <c r="BG77" s="137">
        <v>46261.353229166663</v>
      </c>
      <c r="BH77" s="137">
        <v>46261.952719907407</v>
      </c>
      <c r="BI77" s="137">
        <v>0</v>
      </c>
      <c r="BJ77" s="137">
        <v>46262.930578703701</v>
      </c>
      <c r="BK77" s="137">
        <v>46263.353495370371</v>
      </c>
      <c r="BL77" s="137">
        <v>46263.962256944447</v>
      </c>
      <c r="BM77" s="137">
        <v>46264.354259259257</v>
      </c>
      <c r="BN77" s="170">
        <v>46264.938657407409</v>
      </c>
      <c r="BO77" s="170">
        <v>46265.354074074072</v>
      </c>
      <c r="BP77" s="170">
        <v>46265.942731481482</v>
      </c>
      <c r="BQ77" s="99">
        <f t="shared" si="16"/>
        <v>31</v>
      </c>
      <c r="BR77" s="68">
        <v>2</v>
      </c>
      <c r="BS77" s="1">
        <f t="shared" si="42"/>
        <v>29</v>
      </c>
      <c r="BT77" s="2">
        <f t="shared" si="30"/>
        <v>2</v>
      </c>
      <c r="BU77" s="2">
        <f t="shared" si="31"/>
        <v>0</v>
      </c>
      <c r="BV77" s="2">
        <f t="shared" si="32"/>
        <v>0</v>
      </c>
      <c r="BW77" s="2">
        <f t="shared" si="33"/>
        <v>0</v>
      </c>
      <c r="BX77" s="2">
        <f t="shared" si="34"/>
        <v>0</v>
      </c>
      <c r="BY77" s="2">
        <f t="shared" si="35"/>
        <v>0</v>
      </c>
      <c r="BZ77" s="2">
        <f t="shared" si="36"/>
        <v>0</v>
      </c>
      <c r="CA77" s="2">
        <f t="shared" si="37"/>
        <v>0</v>
      </c>
      <c r="CB77" s="2">
        <f t="shared" si="38"/>
        <v>0</v>
      </c>
      <c r="CC77" s="2">
        <f t="shared" si="39"/>
        <v>0</v>
      </c>
      <c r="CD77" s="2">
        <f t="shared" si="40"/>
        <v>0</v>
      </c>
      <c r="CE77" s="3"/>
      <c r="CG77" s="123">
        <v>0</v>
      </c>
      <c r="CH77" s="124">
        <v>0</v>
      </c>
      <c r="CI77" s="124">
        <v>0</v>
      </c>
      <c r="CJ77" s="124">
        <v>0</v>
      </c>
      <c r="CK77" s="124">
        <v>0</v>
      </c>
      <c r="CL77" s="124">
        <v>0</v>
      </c>
      <c r="CM77" s="124">
        <v>0</v>
      </c>
      <c r="CN77" s="124">
        <v>0</v>
      </c>
      <c r="CO77" s="124">
        <v>0</v>
      </c>
      <c r="CP77" s="124">
        <v>0</v>
      </c>
      <c r="CQ77" s="126">
        <f t="shared" si="41"/>
        <v>0</v>
      </c>
    </row>
    <row r="78" spans="1:95" ht="21.75" customHeight="1" x14ac:dyDescent="0.25">
      <c r="A78" s="45">
        <v>62</v>
      </c>
      <c r="B78" s="11" t="s">
        <v>149</v>
      </c>
      <c r="C78" s="78" t="s">
        <v>232</v>
      </c>
      <c r="D78" s="88">
        <v>45679</v>
      </c>
      <c r="E78" s="137">
        <v>46235.353136574071</v>
      </c>
      <c r="F78" s="137">
        <v>46235.975231481483</v>
      </c>
      <c r="G78" s="137">
        <v>46236.351979166669</v>
      </c>
      <c r="H78" s="137">
        <v>46236.958738425928</v>
      </c>
      <c r="I78" s="137">
        <v>46237.352546296293</v>
      </c>
      <c r="J78" s="137">
        <v>46237.960451388892</v>
      </c>
      <c r="K78" s="137">
        <v>46238.352731481478</v>
      </c>
      <c r="L78" s="137">
        <v>46238.95721064815</v>
      </c>
      <c r="M78" s="137">
        <v>46239.353414351855</v>
      </c>
      <c r="N78" s="137">
        <v>46239.955451388887</v>
      </c>
      <c r="O78" s="137">
        <v>46240.353032407409</v>
      </c>
      <c r="P78" s="137">
        <v>46240.979166666664</v>
      </c>
      <c r="Q78" s="141" t="s">
        <v>15</v>
      </c>
      <c r="R78" s="141" t="s">
        <v>15</v>
      </c>
      <c r="S78" s="137">
        <v>46242.352164351854</v>
      </c>
      <c r="T78" s="137">
        <v>46242.973576388889</v>
      </c>
      <c r="U78" s="137">
        <v>46243.353368055556</v>
      </c>
      <c r="V78" s="137">
        <v>46243.966365740744</v>
      </c>
      <c r="W78" s="137">
        <v>46244.352256944447</v>
      </c>
      <c r="X78" s="137">
        <v>1</v>
      </c>
      <c r="Y78" s="137">
        <v>46245.353506944448</v>
      </c>
      <c r="Z78" s="137">
        <v>46245.960949074077</v>
      </c>
      <c r="AA78" s="137">
        <v>46246.35324074074</v>
      </c>
      <c r="AB78" s="137">
        <v>46246.969259259262</v>
      </c>
      <c r="AC78" s="137">
        <v>46247.352858796294</v>
      </c>
      <c r="AD78" s="137">
        <v>46247.98364583333</v>
      </c>
      <c r="AE78" s="137">
        <v>46248.582048611112</v>
      </c>
      <c r="AF78" s="137">
        <v>1</v>
      </c>
      <c r="AG78" s="137">
        <v>46249.353009259263</v>
      </c>
      <c r="AH78" s="137">
        <v>46249.969178240739</v>
      </c>
      <c r="AI78" s="116"/>
      <c r="AJ78" s="45">
        <v>62</v>
      </c>
      <c r="AK78" s="137">
        <v>46250.353252314817</v>
      </c>
      <c r="AL78" s="137">
        <v>46262.946863425925</v>
      </c>
      <c r="AM78" s="137">
        <v>46251.352824074071</v>
      </c>
      <c r="AN78" s="137">
        <v>46251.958564814813</v>
      </c>
      <c r="AO78" s="137">
        <v>46252.353460648148</v>
      </c>
      <c r="AP78" s="137">
        <v>46252.960057870368</v>
      </c>
      <c r="AQ78" s="137">
        <v>46253.353078703702</v>
      </c>
      <c r="AR78" s="137">
        <v>46253.956574074073</v>
      </c>
      <c r="AS78" s="137">
        <v>46254.352719907409</v>
      </c>
      <c r="AT78" s="137">
        <v>46254.969548611109</v>
      </c>
      <c r="AU78" s="141" t="s">
        <v>15</v>
      </c>
      <c r="AV78" s="141" t="s">
        <v>15</v>
      </c>
      <c r="AW78" s="137">
        <v>46256.35365740741</v>
      </c>
      <c r="AX78" s="137">
        <v>46256.968344907407</v>
      </c>
      <c r="AY78" s="137">
        <v>46257.353310185186</v>
      </c>
      <c r="AZ78" s="137">
        <v>46257.953680555554</v>
      </c>
      <c r="BA78" s="137">
        <v>0</v>
      </c>
      <c r="BB78" s="137">
        <v>46258.955717592595</v>
      </c>
      <c r="BC78" s="137">
        <v>46259.355578703704</v>
      </c>
      <c r="BD78" s="137">
        <v>46259.960428240738</v>
      </c>
      <c r="BE78" s="137">
        <v>46260.353263888886</v>
      </c>
      <c r="BF78" s="137">
        <v>46260.953599537039</v>
      </c>
      <c r="BG78" s="137">
        <v>46261.353680555556</v>
      </c>
      <c r="BH78" s="137">
        <v>46261.973356481481</v>
      </c>
      <c r="BI78" s="137">
        <v>46262.582638888889</v>
      </c>
      <c r="BJ78" s="137">
        <v>46262.946863425925</v>
      </c>
      <c r="BK78" s="137">
        <v>46263.352696759262</v>
      </c>
      <c r="BL78" s="137">
        <v>0</v>
      </c>
      <c r="BM78" s="137">
        <v>46264.35359953704</v>
      </c>
      <c r="BN78" s="170">
        <v>46264.952604166669</v>
      </c>
      <c r="BO78" s="170">
        <v>46265.354016203702</v>
      </c>
      <c r="BP78" s="170">
        <v>46265.953912037039</v>
      </c>
      <c r="BQ78" s="99">
        <f t="shared" si="16"/>
        <v>31</v>
      </c>
      <c r="BR78" s="68">
        <v>2</v>
      </c>
      <c r="BS78" s="1">
        <f t="shared" si="42"/>
        <v>29</v>
      </c>
      <c r="BT78" s="2">
        <f t="shared" si="30"/>
        <v>2</v>
      </c>
      <c r="BU78" s="2">
        <f t="shared" si="31"/>
        <v>0</v>
      </c>
      <c r="BV78" s="2">
        <f t="shared" si="32"/>
        <v>0</v>
      </c>
      <c r="BW78" s="2">
        <f t="shared" si="33"/>
        <v>0</v>
      </c>
      <c r="BX78" s="2">
        <f t="shared" si="34"/>
        <v>0</v>
      </c>
      <c r="BY78" s="2">
        <f t="shared" si="35"/>
        <v>0</v>
      </c>
      <c r="BZ78" s="2">
        <f t="shared" si="36"/>
        <v>0</v>
      </c>
      <c r="CA78" s="2">
        <f t="shared" si="37"/>
        <v>0</v>
      </c>
      <c r="CB78" s="2">
        <f t="shared" si="38"/>
        <v>0</v>
      </c>
      <c r="CC78" s="2">
        <f t="shared" si="39"/>
        <v>0</v>
      </c>
      <c r="CD78" s="2">
        <f t="shared" si="40"/>
        <v>0</v>
      </c>
      <c r="CE78" s="3"/>
      <c r="CG78" s="55">
        <v>0</v>
      </c>
      <c r="CH78" s="54">
        <v>0</v>
      </c>
      <c r="CI78" s="54">
        <v>0</v>
      </c>
      <c r="CJ78" s="54">
        <v>0</v>
      </c>
      <c r="CK78" s="54">
        <v>0</v>
      </c>
      <c r="CL78" s="55">
        <v>14</v>
      </c>
      <c r="CM78" s="55">
        <v>1</v>
      </c>
      <c r="CN78" s="54">
        <v>0</v>
      </c>
      <c r="CO78" s="54">
        <v>0</v>
      </c>
      <c r="CP78" s="54">
        <v>0</v>
      </c>
      <c r="CQ78" s="127">
        <f t="shared" si="41"/>
        <v>15</v>
      </c>
    </row>
    <row r="79" spans="1:95" ht="21.75" customHeight="1" x14ac:dyDescent="0.25">
      <c r="A79" s="45">
        <v>63</v>
      </c>
      <c r="B79" s="11" t="s">
        <v>150</v>
      </c>
      <c r="C79" s="78" t="s">
        <v>151</v>
      </c>
      <c r="D79" s="88">
        <v>45812</v>
      </c>
      <c r="E79" s="137">
        <v>46235.350393518522</v>
      </c>
      <c r="F79" s="137">
        <v>46235.946574074071</v>
      </c>
      <c r="G79" s="137">
        <v>46236.350266203706</v>
      </c>
      <c r="H79" s="137">
        <v>46236.950729166667</v>
      </c>
      <c r="I79" s="137">
        <v>46237.350358796299</v>
      </c>
      <c r="J79" s="137">
        <v>46237.929155092592</v>
      </c>
      <c r="K79" s="137">
        <v>46238.351979166669</v>
      </c>
      <c r="L79" s="137">
        <v>46238.93341435185</v>
      </c>
      <c r="M79" s="137">
        <v>46239.349456018521</v>
      </c>
      <c r="N79" s="137">
        <v>46239.925219907411</v>
      </c>
      <c r="O79" s="137">
        <v>46240.350821759261</v>
      </c>
      <c r="P79" s="137">
        <v>46240.936701388891</v>
      </c>
      <c r="Q79" s="141" t="s">
        <v>15</v>
      </c>
      <c r="R79" s="141" t="s">
        <v>15</v>
      </c>
      <c r="S79" s="137">
        <v>46242.346921296295</v>
      </c>
      <c r="T79" s="137">
        <v>46242.939259259256</v>
      </c>
      <c r="U79" s="137">
        <v>46243.347951388889</v>
      </c>
      <c r="V79" s="137">
        <v>46243.942291666666</v>
      </c>
      <c r="W79" s="137">
        <v>46244.345925925925</v>
      </c>
      <c r="X79" s="137">
        <v>46244.966122685182</v>
      </c>
      <c r="Y79" s="137">
        <v>46245.346192129633</v>
      </c>
      <c r="Z79" s="137">
        <v>46245.934201388889</v>
      </c>
      <c r="AA79" s="137">
        <v>46246.347233796296</v>
      </c>
      <c r="AB79" s="137">
        <v>46246.956655092596</v>
      </c>
      <c r="AC79" s="137">
        <v>46247.351354166669</v>
      </c>
      <c r="AD79" s="137">
        <v>46247.98027777778</v>
      </c>
      <c r="AE79" s="137">
        <v>46248.579652777778</v>
      </c>
      <c r="AF79" s="137">
        <v>1</v>
      </c>
      <c r="AG79" s="137">
        <v>46249.346354166664</v>
      </c>
      <c r="AH79" s="137">
        <v>1</v>
      </c>
      <c r="AI79" s="116"/>
      <c r="AJ79" s="45">
        <v>63</v>
      </c>
      <c r="AK79" s="137">
        <v>46250.350381944445</v>
      </c>
      <c r="AL79" s="137">
        <v>46262.917118055557</v>
      </c>
      <c r="AM79" s="137">
        <v>46251.35050925926</v>
      </c>
      <c r="AN79" s="137">
        <v>46251.908194444448</v>
      </c>
      <c r="AO79" s="137">
        <v>46252.350405092591</v>
      </c>
      <c r="AP79" s="137">
        <v>46252.95171296296</v>
      </c>
      <c r="AQ79" s="137">
        <v>46253.351076388892</v>
      </c>
      <c r="AR79" s="137">
        <v>46253.951145833336</v>
      </c>
      <c r="AS79" s="137">
        <v>46254.350474537037</v>
      </c>
      <c r="AT79" s="137">
        <v>46254.957430555558</v>
      </c>
      <c r="AU79" s="141" t="s">
        <v>15</v>
      </c>
      <c r="AV79" s="141" t="s">
        <v>15</v>
      </c>
      <c r="AW79" s="137">
        <v>46256.341851851852</v>
      </c>
      <c r="AX79" s="137">
        <v>46256.96497685185</v>
      </c>
      <c r="AY79" s="137">
        <v>46257.350034722222</v>
      </c>
      <c r="AZ79" s="137">
        <v>46257.942118055558</v>
      </c>
      <c r="BA79" s="137">
        <v>46258.347939814812</v>
      </c>
      <c r="BB79" s="137">
        <v>46258.938379629632</v>
      </c>
      <c r="BC79" s="137">
        <v>46259.349745370368</v>
      </c>
      <c r="BD79" s="137">
        <v>46259.938796296294</v>
      </c>
      <c r="BE79" s="137">
        <v>46260.350254629629</v>
      </c>
      <c r="BF79" s="137">
        <v>46260.934884259259</v>
      </c>
      <c r="BG79" s="137">
        <v>46261.346030092594</v>
      </c>
      <c r="BH79" s="137">
        <v>46261.956620370373</v>
      </c>
      <c r="BI79" s="137">
        <v>46262.583182870374</v>
      </c>
      <c r="BJ79" s="137">
        <v>46262.917118055557</v>
      </c>
      <c r="BK79" s="137">
        <v>46263.349386574075</v>
      </c>
      <c r="BL79" s="137">
        <v>46263.946759259263</v>
      </c>
      <c r="BM79" s="137">
        <v>46264.345324074071</v>
      </c>
      <c r="BN79" s="170">
        <v>46264.932569444441</v>
      </c>
      <c r="BO79" s="170">
        <v>46265.350312499999</v>
      </c>
      <c r="BP79" s="170">
        <v>46265.934988425928</v>
      </c>
      <c r="BQ79" s="99">
        <f t="shared" si="16"/>
        <v>31</v>
      </c>
      <c r="BR79" s="68">
        <v>2</v>
      </c>
      <c r="BS79" s="1">
        <f t="shared" si="42"/>
        <v>29</v>
      </c>
      <c r="BT79" s="2">
        <f t="shared" si="30"/>
        <v>2</v>
      </c>
      <c r="BU79" s="2">
        <f t="shared" si="31"/>
        <v>0</v>
      </c>
      <c r="BV79" s="2">
        <f t="shared" si="32"/>
        <v>0</v>
      </c>
      <c r="BW79" s="2">
        <f t="shared" si="33"/>
        <v>0</v>
      </c>
      <c r="BX79" s="2">
        <f t="shared" si="34"/>
        <v>0</v>
      </c>
      <c r="BY79" s="2">
        <f t="shared" si="35"/>
        <v>0</v>
      </c>
      <c r="BZ79" s="2">
        <f t="shared" si="36"/>
        <v>0</v>
      </c>
      <c r="CA79" s="2">
        <f t="shared" si="37"/>
        <v>0</v>
      </c>
      <c r="CB79" s="2">
        <f t="shared" si="38"/>
        <v>0</v>
      </c>
      <c r="CC79" s="2">
        <f t="shared" si="39"/>
        <v>0</v>
      </c>
      <c r="CD79" s="2">
        <f t="shared" si="40"/>
        <v>0</v>
      </c>
      <c r="CE79" s="3"/>
      <c r="CG79" s="123">
        <v>0</v>
      </c>
      <c r="CH79" s="124">
        <v>0</v>
      </c>
      <c r="CI79" s="124">
        <v>0</v>
      </c>
      <c r="CJ79" s="124">
        <v>0</v>
      </c>
      <c r="CK79" s="124">
        <v>0</v>
      </c>
      <c r="CL79" s="124">
        <v>2</v>
      </c>
      <c r="CM79" s="124">
        <v>0</v>
      </c>
      <c r="CN79" s="123">
        <v>1</v>
      </c>
      <c r="CO79" s="124">
        <v>0</v>
      </c>
      <c r="CP79" s="124">
        <v>0</v>
      </c>
      <c r="CQ79" s="126">
        <f t="shared" si="41"/>
        <v>3</v>
      </c>
    </row>
    <row r="80" spans="1:95" ht="21.75" customHeight="1" x14ac:dyDescent="0.25">
      <c r="A80" s="45">
        <v>64</v>
      </c>
      <c r="B80" s="11" t="s">
        <v>152</v>
      </c>
      <c r="C80" s="78" t="s">
        <v>153</v>
      </c>
      <c r="D80" s="88">
        <v>45826</v>
      </c>
      <c r="E80" s="137">
        <v>46235.359699074077</v>
      </c>
      <c r="F80" s="137">
        <v>1</v>
      </c>
      <c r="G80" s="137">
        <v>46236.361261574071</v>
      </c>
      <c r="H80" s="137">
        <v>46236.940787037034</v>
      </c>
      <c r="I80" s="137">
        <v>46237.354618055557</v>
      </c>
      <c r="J80" s="137">
        <v>46237.939212962963</v>
      </c>
      <c r="K80" s="137">
        <v>46238.354456018518</v>
      </c>
      <c r="L80" s="137">
        <v>46238.940289351849</v>
      </c>
      <c r="M80" s="137">
        <v>46239.354699074072</v>
      </c>
      <c r="N80" s="137">
        <v>1</v>
      </c>
      <c r="O80" s="137">
        <v>46240.354733796295</v>
      </c>
      <c r="P80" s="137">
        <v>1</v>
      </c>
      <c r="Q80" s="137">
        <v>46241.580451388887</v>
      </c>
      <c r="R80" s="137">
        <v>1</v>
      </c>
      <c r="S80" s="137">
        <v>46242.35565972222</v>
      </c>
      <c r="T80" s="137">
        <v>46242.96770833333</v>
      </c>
      <c r="U80" s="137">
        <v>46243.355034722219</v>
      </c>
      <c r="V80" s="137">
        <v>46243.937916666669</v>
      </c>
      <c r="W80" s="137">
        <v>46244.354641203703</v>
      </c>
      <c r="X80" s="137">
        <v>46244.942060185182</v>
      </c>
      <c r="Y80" s="137">
        <v>46245.353425925925</v>
      </c>
      <c r="Z80" s="137">
        <v>46245.929502314815</v>
      </c>
      <c r="AA80" s="137">
        <v>46246.355428240742</v>
      </c>
      <c r="AB80" s="137">
        <v>46246.956909722219</v>
      </c>
      <c r="AC80" s="137">
        <v>46247.354409722226</v>
      </c>
      <c r="AD80" s="137">
        <v>46247.963495370372</v>
      </c>
      <c r="AE80" s="137">
        <v>46248.581250000003</v>
      </c>
      <c r="AF80" s="137">
        <v>1</v>
      </c>
      <c r="AG80" s="137">
        <v>46249.355138888888</v>
      </c>
      <c r="AH80" s="137">
        <v>46249.965844907405</v>
      </c>
      <c r="AI80" s="116"/>
      <c r="AJ80" s="45">
        <v>64</v>
      </c>
      <c r="AK80" s="137">
        <v>46250.354884259257</v>
      </c>
      <c r="AL80" s="12">
        <v>1</v>
      </c>
      <c r="AM80" s="137">
        <v>46251.327673611115</v>
      </c>
      <c r="AN80" s="137">
        <v>46251.937222222223</v>
      </c>
      <c r="AO80" s="137">
        <v>46252.354525462964</v>
      </c>
      <c r="AP80" s="137">
        <v>46252.942986111113</v>
      </c>
      <c r="AQ80" s="137">
        <v>46253.354432870372</v>
      </c>
      <c r="AR80" s="137">
        <v>46253.973796296297</v>
      </c>
      <c r="AS80" s="137">
        <v>46254.354745370372</v>
      </c>
      <c r="AT80" s="12">
        <v>1</v>
      </c>
      <c r="AU80" s="137">
        <v>46255.562569444446</v>
      </c>
      <c r="AV80" s="137">
        <v>0</v>
      </c>
      <c r="AW80" s="137">
        <v>46256.354351851849</v>
      </c>
      <c r="AX80" s="137">
        <v>0</v>
      </c>
      <c r="AY80" s="137">
        <v>46257.355000000003</v>
      </c>
      <c r="AZ80" s="137">
        <v>46257.935636574075</v>
      </c>
      <c r="BA80" s="137">
        <v>46258.349930555552</v>
      </c>
      <c r="BB80" s="137">
        <v>0</v>
      </c>
      <c r="BC80" s="137">
        <v>46259.349942129629</v>
      </c>
      <c r="BD80" s="137">
        <v>46259.940717592595</v>
      </c>
      <c r="BE80" s="137">
        <v>46260.348993055559</v>
      </c>
      <c r="BF80" s="137">
        <v>46260.942372685182</v>
      </c>
      <c r="BG80" s="137">
        <v>46261.354050925926</v>
      </c>
      <c r="BH80" s="137">
        <v>46261.95890046296</v>
      </c>
      <c r="BI80" s="137">
        <v>46262.576655092591</v>
      </c>
      <c r="BJ80" s="137">
        <v>0</v>
      </c>
      <c r="BK80" s="137">
        <v>46263.354270833333</v>
      </c>
      <c r="BL80" s="137">
        <v>0</v>
      </c>
      <c r="BM80" s="137">
        <v>46264.354201388887</v>
      </c>
      <c r="BN80" s="170">
        <v>46264.964259259257</v>
      </c>
      <c r="BO80" s="170">
        <v>46265.354143518518</v>
      </c>
      <c r="BP80" s="170">
        <v>46265.945289351854</v>
      </c>
      <c r="BQ80" s="99">
        <f t="shared" si="16"/>
        <v>31</v>
      </c>
      <c r="BR80" s="68">
        <v>4</v>
      </c>
      <c r="BS80" s="1">
        <f t="shared" si="42"/>
        <v>31</v>
      </c>
      <c r="BT80" s="2">
        <f t="shared" si="30"/>
        <v>0</v>
      </c>
      <c r="BU80" s="2">
        <f t="shared" si="31"/>
        <v>0</v>
      </c>
      <c r="BV80" s="2">
        <f t="shared" si="32"/>
        <v>0</v>
      </c>
      <c r="BW80" s="2">
        <f t="shared" si="33"/>
        <v>0</v>
      </c>
      <c r="BX80" s="2">
        <f t="shared" si="34"/>
        <v>0</v>
      </c>
      <c r="BY80" s="2">
        <f t="shared" si="35"/>
        <v>0</v>
      </c>
      <c r="BZ80" s="2">
        <f t="shared" si="36"/>
        <v>0</v>
      </c>
      <c r="CA80" s="2">
        <f t="shared" si="37"/>
        <v>0</v>
      </c>
      <c r="CB80" s="2">
        <f t="shared" si="38"/>
        <v>0</v>
      </c>
      <c r="CC80" s="2">
        <f t="shared" si="39"/>
        <v>0</v>
      </c>
      <c r="CD80" s="2">
        <f t="shared" si="40"/>
        <v>0</v>
      </c>
      <c r="CE80" s="72"/>
      <c r="CG80" s="55">
        <v>0</v>
      </c>
      <c r="CH80" s="54">
        <v>0</v>
      </c>
      <c r="CI80" s="54">
        <v>0</v>
      </c>
      <c r="CJ80" s="54">
        <v>0</v>
      </c>
      <c r="CK80" s="54">
        <v>0</v>
      </c>
      <c r="CL80" s="54">
        <v>0</v>
      </c>
      <c r="CM80" s="54">
        <v>0</v>
      </c>
      <c r="CN80" s="54">
        <v>0</v>
      </c>
      <c r="CO80" s="54">
        <v>0</v>
      </c>
      <c r="CP80" s="54">
        <v>0</v>
      </c>
      <c r="CQ80" s="127">
        <f t="shared" si="41"/>
        <v>0</v>
      </c>
    </row>
    <row r="81" spans="1:95" ht="21.75" customHeight="1" x14ac:dyDescent="0.25">
      <c r="A81" s="45">
        <v>65</v>
      </c>
      <c r="B81" s="11" t="s">
        <v>154</v>
      </c>
      <c r="C81" s="78" t="s">
        <v>233</v>
      </c>
      <c r="D81" s="88">
        <v>45841</v>
      </c>
      <c r="E81" s="137">
        <v>46235.350474537037</v>
      </c>
      <c r="F81" s="137">
        <v>46235.969224537039</v>
      </c>
      <c r="G81" s="137">
        <v>46236.351122685184</v>
      </c>
      <c r="H81" s="137">
        <v>46236.968113425923</v>
      </c>
      <c r="I81" s="137">
        <v>46237.351574074077</v>
      </c>
      <c r="J81" s="137">
        <v>46237.970138888886</v>
      </c>
      <c r="K81" s="137">
        <v>46238.3516087963</v>
      </c>
      <c r="L81" s="137">
        <v>46238.944884259261</v>
      </c>
      <c r="M81" s="146" t="s">
        <v>171</v>
      </c>
      <c r="N81" s="146" t="s">
        <v>171</v>
      </c>
      <c r="O81" s="137">
        <v>46240.351458333331</v>
      </c>
      <c r="P81" s="137">
        <v>46240.969907407409</v>
      </c>
      <c r="Q81" s="137">
        <v>46241.577060185184</v>
      </c>
      <c r="R81" s="137">
        <v>46240.969907407409</v>
      </c>
      <c r="S81" s="137">
        <v>46242.351319444446</v>
      </c>
      <c r="T81" s="137">
        <v>46242.979351851849</v>
      </c>
      <c r="U81" s="137">
        <v>46243.350925925923</v>
      </c>
      <c r="V81" s="137">
        <v>46243.936539351853</v>
      </c>
      <c r="W81" s="137">
        <v>46244.351446759261</v>
      </c>
      <c r="X81" s="137">
        <v>46244.960219907407</v>
      </c>
      <c r="Y81" s="137">
        <v>46245.351377314815</v>
      </c>
      <c r="Z81" s="137">
        <v>46245.933749999997</v>
      </c>
      <c r="AA81" s="137">
        <v>46246.352233796293</v>
      </c>
      <c r="AB81" s="137">
        <v>46246.994953703703</v>
      </c>
      <c r="AC81" s="137">
        <v>46247.349328703705</v>
      </c>
      <c r="AD81" s="137">
        <v>46247.980821759258</v>
      </c>
      <c r="AE81" s="137">
        <v>46248.58152777778</v>
      </c>
      <c r="AF81" s="137">
        <v>1</v>
      </c>
      <c r="AG81" s="137">
        <v>46249.351921296293</v>
      </c>
      <c r="AH81" s="137">
        <v>46249.965289351851</v>
      </c>
      <c r="AI81" s="116"/>
      <c r="AJ81" s="45">
        <v>65</v>
      </c>
      <c r="AK81" s="137">
        <v>46250.350752314815</v>
      </c>
      <c r="AL81" s="137">
        <v>46262.932083333333</v>
      </c>
      <c r="AM81" s="137">
        <v>46251.351377314815</v>
      </c>
      <c r="AN81" s="137">
        <v>46251.926979166667</v>
      </c>
      <c r="AO81" s="137">
        <v>46252.349236111113</v>
      </c>
      <c r="AP81" s="137">
        <v>46252.943298611113</v>
      </c>
      <c r="AQ81" s="137">
        <v>46253.350624999999</v>
      </c>
      <c r="AR81" s="137">
        <v>46253.999108796299</v>
      </c>
      <c r="AS81" s="137">
        <v>46254.351273148146</v>
      </c>
      <c r="AT81" s="137">
        <v>46254.946886574071</v>
      </c>
      <c r="AU81" s="141" t="s">
        <v>15</v>
      </c>
      <c r="AV81" s="141" t="s">
        <v>15</v>
      </c>
      <c r="AW81" s="137">
        <v>46256.351469907408</v>
      </c>
      <c r="AX81" s="137">
        <v>46256.940023148149</v>
      </c>
      <c r="AY81" s="137">
        <v>46257.351435185185</v>
      </c>
      <c r="AZ81" s="137">
        <v>46257.932592592595</v>
      </c>
      <c r="BA81" s="137">
        <v>46258.345011574071</v>
      </c>
      <c r="BB81" s="137">
        <v>46258.938217592593</v>
      </c>
      <c r="BC81" s="137">
        <v>46259.348993055559</v>
      </c>
      <c r="BD81" s="137">
        <v>46259.932824074072</v>
      </c>
      <c r="BE81" s="137">
        <v>46260.344618055555</v>
      </c>
      <c r="BF81" s="137">
        <v>46260.972418981481</v>
      </c>
      <c r="BG81" s="137">
        <v>46261.352476851855</v>
      </c>
      <c r="BH81" s="137">
        <v>46261.95894675926</v>
      </c>
      <c r="BI81" s="137">
        <v>46262.563981481479</v>
      </c>
      <c r="BJ81" s="137">
        <v>46262.932083333333</v>
      </c>
      <c r="BK81" s="137">
        <v>46263.351412037038</v>
      </c>
      <c r="BL81" s="137">
        <v>46263.961192129631</v>
      </c>
      <c r="BM81" s="137">
        <v>46264.350671296299</v>
      </c>
      <c r="BN81" s="170">
        <v>46264.958657407406</v>
      </c>
      <c r="BO81" s="170">
        <v>46265.351157407407</v>
      </c>
      <c r="BP81" s="170">
        <v>46265.951145833336</v>
      </c>
      <c r="BQ81" s="99">
        <f t="shared" si="16"/>
        <v>31</v>
      </c>
      <c r="BR81" s="68">
        <v>3</v>
      </c>
      <c r="BS81" s="1">
        <f t="shared" si="42"/>
        <v>29</v>
      </c>
      <c r="BT81" s="2">
        <f t="shared" si="30"/>
        <v>1</v>
      </c>
      <c r="BU81" s="2">
        <f t="shared" si="31"/>
        <v>0</v>
      </c>
      <c r="BV81" s="2">
        <f t="shared" si="32"/>
        <v>0</v>
      </c>
      <c r="BW81" s="2">
        <f t="shared" si="33"/>
        <v>0</v>
      </c>
      <c r="BX81" s="2">
        <f t="shared" si="34"/>
        <v>0</v>
      </c>
      <c r="BY81" s="2">
        <f t="shared" si="35"/>
        <v>0</v>
      </c>
      <c r="BZ81" s="2">
        <f t="shared" si="36"/>
        <v>1</v>
      </c>
      <c r="CA81" s="2">
        <f t="shared" si="37"/>
        <v>0</v>
      </c>
      <c r="CB81" s="2">
        <f t="shared" si="38"/>
        <v>0</v>
      </c>
      <c r="CC81" s="2">
        <f t="shared" si="39"/>
        <v>0</v>
      </c>
      <c r="CD81" s="2">
        <f t="shared" si="40"/>
        <v>0</v>
      </c>
      <c r="CE81" s="3"/>
      <c r="CG81" s="123">
        <v>0</v>
      </c>
      <c r="CH81" s="124">
        <v>0</v>
      </c>
      <c r="CI81" s="124">
        <v>0</v>
      </c>
      <c r="CJ81" s="124">
        <v>0</v>
      </c>
      <c r="CK81" s="124">
        <v>0</v>
      </c>
      <c r="CL81" s="124">
        <v>2</v>
      </c>
      <c r="CM81" s="124">
        <v>0</v>
      </c>
      <c r="CN81" s="124">
        <v>0</v>
      </c>
      <c r="CO81" s="124">
        <v>0</v>
      </c>
      <c r="CP81" s="124">
        <v>0</v>
      </c>
      <c r="CQ81" s="126">
        <f t="shared" si="41"/>
        <v>2</v>
      </c>
    </row>
    <row r="82" spans="1:95" ht="21.75" customHeight="1" x14ac:dyDescent="0.25">
      <c r="A82" s="45">
        <v>66</v>
      </c>
      <c r="B82" s="11" t="s">
        <v>155</v>
      </c>
      <c r="C82" s="78" t="s">
        <v>156</v>
      </c>
      <c r="D82" s="88">
        <v>45841</v>
      </c>
      <c r="E82" s="137">
        <v>46235.351689814815</v>
      </c>
      <c r="F82" s="137">
        <v>46235.969895833332</v>
      </c>
      <c r="G82" s="137">
        <v>46236.351574074077</v>
      </c>
      <c r="H82" s="137">
        <v>46236.945740740739</v>
      </c>
      <c r="I82" s="137">
        <v>46237.352187500001</v>
      </c>
      <c r="J82" s="137">
        <v>46237.947685185187</v>
      </c>
      <c r="K82" s="137">
        <v>46238.353379629632</v>
      </c>
      <c r="L82" s="137">
        <v>46238.946782407409</v>
      </c>
      <c r="M82" s="137">
        <v>46239.353495370371</v>
      </c>
      <c r="N82" s="137">
        <v>46239.943981481483</v>
      </c>
      <c r="O82" s="137">
        <v>46240.351087962961</v>
      </c>
      <c r="P82" s="137">
        <v>46240.97761574074</v>
      </c>
      <c r="Q82" s="137">
        <v>46241.577060185184</v>
      </c>
      <c r="R82" s="137">
        <v>46240.97761574074</v>
      </c>
      <c r="S82" s="137">
        <v>46242.351666666669</v>
      </c>
      <c r="T82" s="137">
        <v>1</v>
      </c>
      <c r="U82" s="137">
        <v>46243.353009259263</v>
      </c>
      <c r="V82" s="137">
        <v>46243.964953703704</v>
      </c>
      <c r="W82" s="137">
        <v>46244.356620370374</v>
      </c>
      <c r="X82" s="137">
        <v>1</v>
      </c>
      <c r="Y82" s="137">
        <v>46245.351377314815</v>
      </c>
      <c r="Z82" s="137">
        <v>46245.951354166667</v>
      </c>
      <c r="AA82" s="137">
        <v>46246.352766203701</v>
      </c>
      <c r="AB82" s="137">
        <v>1</v>
      </c>
      <c r="AC82" s="137">
        <v>46247.349328703705</v>
      </c>
      <c r="AD82" s="137">
        <v>46247.971365740741</v>
      </c>
      <c r="AE82" s="137">
        <v>46248.571446759262</v>
      </c>
      <c r="AF82" s="137">
        <v>46248.951736111114</v>
      </c>
      <c r="AG82" s="137">
        <v>46249.353425925925</v>
      </c>
      <c r="AH82" s="137">
        <v>46249.964733796296</v>
      </c>
      <c r="AI82" s="116"/>
      <c r="AJ82" s="45">
        <v>66</v>
      </c>
      <c r="AK82" s="137">
        <v>46250.353032407409</v>
      </c>
      <c r="AL82" s="137">
        <v>46250.949340277781</v>
      </c>
      <c r="AM82" s="147">
        <v>46251.352546296293</v>
      </c>
      <c r="AN82" s="137">
        <v>46251.948229166665</v>
      </c>
      <c r="AO82" s="137">
        <v>46252.352581018517</v>
      </c>
      <c r="AP82" s="12">
        <v>1</v>
      </c>
      <c r="AQ82" s="137">
        <v>46253.35297453704</v>
      </c>
      <c r="AR82" s="137">
        <v>46253.946620370371</v>
      </c>
      <c r="AS82" s="137">
        <v>46254.352523148147</v>
      </c>
      <c r="AT82" s="137">
        <v>46254.967511574076</v>
      </c>
      <c r="AU82" s="137">
        <v>1</v>
      </c>
      <c r="AV82" s="137">
        <v>46254.967511574076</v>
      </c>
      <c r="AW82" s="137">
        <v>46256.352812500001</v>
      </c>
      <c r="AX82" s="137">
        <v>46256.963449074072</v>
      </c>
      <c r="AY82" s="137">
        <v>46257.353935185187</v>
      </c>
      <c r="AZ82" s="137">
        <v>46257.948784722219</v>
      </c>
      <c r="BA82" s="137">
        <v>46258.373437499999</v>
      </c>
      <c r="BB82" s="137">
        <v>46258.948854166665</v>
      </c>
      <c r="BC82" s="137">
        <v>46259.351689814815</v>
      </c>
      <c r="BD82" s="137">
        <v>46259.951817129629</v>
      </c>
      <c r="BE82" s="137">
        <v>46260.3512962963</v>
      </c>
      <c r="BF82" s="137">
        <v>46260.950972222221</v>
      </c>
      <c r="BG82" s="137">
        <v>46261.35355324074</v>
      </c>
      <c r="BH82" s="137">
        <v>46261.972199074073</v>
      </c>
      <c r="BI82" s="137">
        <v>46262.566400462965</v>
      </c>
      <c r="BJ82" s="137">
        <v>46262.947245370371</v>
      </c>
      <c r="BK82" s="137">
        <v>46263.353171296294</v>
      </c>
      <c r="BL82" s="137">
        <v>0</v>
      </c>
      <c r="BM82" s="137">
        <v>46264.353032407409</v>
      </c>
      <c r="BN82" s="170">
        <v>46264.930949074071</v>
      </c>
      <c r="BO82" s="170">
        <v>46265.353877314818</v>
      </c>
      <c r="BP82" s="170">
        <v>46265.950509259259</v>
      </c>
      <c r="BQ82" s="99">
        <f t="shared" si="16"/>
        <v>31</v>
      </c>
      <c r="BR82" s="180">
        <v>4</v>
      </c>
      <c r="BS82" s="1">
        <f t="shared" si="42"/>
        <v>31</v>
      </c>
      <c r="BT82" s="2">
        <f t="shared" si="30"/>
        <v>0</v>
      </c>
      <c r="BU82" s="2">
        <f t="shared" si="31"/>
        <v>0</v>
      </c>
      <c r="BV82" s="2">
        <f t="shared" si="32"/>
        <v>0</v>
      </c>
      <c r="BW82" s="2">
        <f t="shared" si="33"/>
        <v>0</v>
      </c>
      <c r="BX82" s="2">
        <f t="shared" si="34"/>
        <v>0</v>
      </c>
      <c r="BY82" s="2">
        <f t="shared" si="35"/>
        <v>0</v>
      </c>
      <c r="BZ82" s="2">
        <f t="shared" si="36"/>
        <v>0</v>
      </c>
      <c r="CA82" s="2">
        <f t="shared" si="37"/>
        <v>0</v>
      </c>
      <c r="CB82" s="2">
        <f t="shared" si="38"/>
        <v>0</v>
      </c>
      <c r="CC82" s="2">
        <f t="shared" si="39"/>
        <v>0</v>
      </c>
      <c r="CD82" s="2">
        <f t="shared" si="40"/>
        <v>0</v>
      </c>
      <c r="CE82" s="3"/>
      <c r="CG82" s="55">
        <v>0</v>
      </c>
      <c r="CH82" s="54">
        <v>0</v>
      </c>
      <c r="CI82" s="54">
        <v>0</v>
      </c>
      <c r="CJ82" s="54">
        <v>0</v>
      </c>
      <c r="CK82" s="54">
        <v>0</v>
      </c>
      <c r="CL82" s="55">
        <v>1</v>
      </c>
      <c r="CM82" s="54">
        <v>0</v>
      </c>
      <c r="CN82" s="54">
        <v>0</v>
      </c>
      <c r="CO82" s="54">
        <v>0</v>
      </c>
      <c r="CP82" s="54">
        <v>0</v>
      </c>
      <c r="CQ82" s="127">
        <f t="shared" si="41"/>
        <v>1</v>
      </c>
    </row>
    <row r="83" spans="1:95" ht="21.75" customHeight="1" x14ac:dyDescent="0.25">
      <c r="A83" s="45">
        <v>67</v>
      </c>
      <c r="B83" s="11" t="s">
        <v>157</v>
      </c>
      <c r="C83" s="78" t="s">
        <v>158</v>
      </c>
      <c r="D83" s="88">
        <v>45912</v>
      </c>
      <c r="E83" s="137">
        <v>46235.350115740737</v>
      </c>
      <c r="F83" s="137">
        <v>46235.981493055559</v>
      </c>
      <c r="G83" s="137">
        <v>46236.34642361111</v>
      </c>
      <c r="H83" s="137">
        <v>46236.992789351854</v>
      </c>
      <c r="I83" s="137">
        <v>46237.350821759261</v>
      </c>
      <c r="J83" s="137">
        <v>46237.97215277778</v>
      </c>
      <c r="K83" s="137">
        <v>46238.351307870369</v>
      </c>
      <c r="L83" s="137">
        <v>46238.966458333336</v>
      </c>
      <c r="M83" s="137">
        <v>46239.348287037035</v>
      </c>
      <c r="N83" s="137">
        <v>46239.967511574076</v>
      </c>
      <c r="O83" s="146" t="s">
        <v>171</v>
      </c>
      <c r="P83" s="146" t="s">
        <v>171</v>
      </c>
      <c r="Q83" s="146" t="s">
        <v>171</v>
      </c>
      <c r="R83" s="146" t="s">
        <v>171</v>
      </c>
      <c r="S83" s="137">
        <v>46242.352905092594</v>
      </c>
      <c r="T83" s="137">
        <v>1</v>
      </c>
      <c r="U83" s="137">
        <v>46243.35050925926</v>
      </c>
      <c r="V83" s="137">
        <v>46243.971817129626</v>
      </c>
      <c r="W83" s="137">
        <v>46244.350173611114</v>
      </c>
      <c r="X83" s="137">
        <v>46244.969664351855</v>
      </c>
      <c r="Y83" s="137">
        <v>46245.353263888886</v>
      </c>
      <c r="Z83" s="137">
        <v>1</v>
      </c>
      <c r="AA83" s="137">
        <v>46246.349826388891</v>
      </c>
      <c r="AB83" s="137">
        <v>46246.99894675926</v>
      </c>
      <c r="AC83" s="137">
        <v>46247.350358796299</v>
      </c>
      <c r="AD83" s="137">
        <v>46247.968981481485</v>
      </c>
      <c r="AE83" s="137">
        <v>46248.578148148146</v>
      </c>
      <c r="AF83" s="137">
        <v>1</v>
      </c>
      <c r="AG83" s="137">
        <v>46249.348576388889</v>
      </c>
      <c r="AH83" s="137">
        <v>46249.968171296299</v>
      </c>
      <c r="AI83" s="116"/>
      <c r="AJ83" s="45">
        <v>67</v>
      </c>
      <c r="AK83" s="137">
        <v>46250.352673611109</v>
      </c>
      <c r="AL83" s="137">
        <v>46262.960150462961</v>
      </c>
      <c r="AM83" s="137">
        <v>46251.345995370371</v>
      </c>
      <c r="AN83" s="137">
        <v>46251.964317129627</v>
      </c>
      <c r="AO83" s="137">
        <v>46252.347615740742</v>
      </c>
      <c r="AP83" s="137">
        <v>46252.967442129629</v>
      </c>
      <c r="AQ83" s="137">
        <v>46253.353935185187</v>
      </c>
      <c r="AR83" s="137">
        <v>46254.006967592592</v>
      </c>
      <c r="AS83" s="137">
        <v>46254.34888888889</v>
      </c>
      <c r="AT83" s="137">
        <v>46254.963807870372</v>
      </c>
      <c r="AU83" s="137">
        <v>1</v>
      </c>
      <c r="AV83" s="137">
        <v>46254.963807870372</v>
      </c>
      <c r="AW83" s="137">
        <v>46256.350254629629</v>
      </c>
      <c r="AX83" s="137">
        <v>46256.979861111111</v>
      </c>
      <c r="AY83" s="137">
        <v>46257.346921296295</v>
      </c>
      <c r="AZ83" s="137">
        <v>46257.9608912037</v>
      </c>
      <c r="BA83" s="137">
        <v>46258.321585648147</v>
      </c>
      <c r="BB83" s="137">
        <v>46258.96</v>
      </c>
      <c r="BC83" s="137">
        <v>46259.350856481484</v>
      </c>
      <c r="BD83" s="137">
        <v>46259.968414351853</v>
      </c>
      <c r="BE83" s="137">
        <v>46260.352268518516</v>
      </c>
      <c r="BF83" s="137">
        <v>46260.973981481482</v>
      </c>
      <c r="BG83" s="137">
        <v>46261.345393518517</v>
      </c>
      <c r="BH83" s="137">
        <v>46261.975405092591</v>
      </c>
      <c r="BI83" s="137">
        <v>0</v>
      </c>
      <c r="BJ83" s="137">
        <v>46262.960150462961</v>
      </c>
      <c r="BK83" s="137">
        <v>46263.346365740741</v>
      </c>
      <c r="BL83" s="137">
        <v>46263.965127314812</v>
      </c>
      <c r="BM83" s="137">
        <v>46264.352662037039</v>
      </c>
      <c r="BN83" s="170">
        <v>46264.946157407408</v>
      </c>
      <c r="BO83" s="170">
        <v>46265.345219907409</v>
      </c>
      <c r="BP83" s="170">
        <v>46265.960729166669</v>
      </c>
      <c r="BQ83" s="99">
        <f t="shared" si="16"/>
        <v>31</v>
      </c>
      <c r="BR83" s="180">
        <v>3</v>
      </c>
      <c r="BS83" s="1">
        <f t="shared" si="42"/>
        <v>29</v>
      </c>
      <c r="BT83" s="2">
        <f t="shared" si="30"/>
        <v>0</v>
      </c>
      <c r="BU83" s="2">
        <f t="shared" si="31"/>
        <v>0</v>
      </c>
      <c r="BV83" s="2">
        <f t="shared" si="32"/>
        <v>0</v>
      </c>
      <c r="BW83" s="2">
        <f t="shared" si="33"/>
        <v>0</v>
      </c>
      <c r="BX83" s="2">
        <f t="shared" si="34"/>
        <v>0</v>
      </c>
      <c r="BY83" s="2">
        <f t="shared" si="35"/>
        <v>0</v>
      </c>
      <c r="BZ83" s="2">
        <f t="shared" si="36"/>
        <v>2</v>
      </c>
      <c r="CA83" s="2">
        <f t="shared" si="37"/>
        <v>0</v>
      </c>
      <c r="CB83" s="2">
        <f t="shared" si="38"/>
        <v>0</v>
      </c>
      <c r="CC83" s="2">
        <f t="shared" si="39"/>
        <v>0</v>
      </c>
      <c r="CD83" s="2">
        <f t="shared" si="40"/>
        <v>0</v>
      </c>
      <c r="CE83" s="3"/>
      <c r="CG83" s="123">
        <v>0</v>
      </c>
      <c r="CH83" s="124">
        <v>0</v>
      </c>
      <c r="CI83" s="124">
        <v>0</v>
      </c>
      <c r="CJ83" s="124">
        <v>0</v>
      </c>
      <c r="CK83" s="124">
        <v>0</v>
      </c>
      <c r="CL83" s="124">
        <v>3</v>
      </c>
      <c r="CM83" s="124">
        <v>0</v>
      </c>
      <c r="CN83" s="124">
        <v>0</v>
      </c>
      <c r="CO83" s="124">
        <v>0</v>
      </c>
      <c r="CP83" s="124">
        <v>0</v>
      </c>
      <c r="CQ83" s="126">
        <f t="shared" si="41"/>
        <v>3</v>
      </c>
    </row>
    <row r="84" spans="1:95" ht="21.75" customHeight="1" x14ac:dyDescent="0.25">
      <c r="A84" s="45">
        <v>68</v>
      </c>
      <c r="B84" s="11" t="s">
        <v>159</v>
      </c>
      <c r="C84" s="78" t="s">
        <v>160</v>
      </c>
      <c r="D84" s="88">
        <v>45882</v>
      </c>
      <c r="E84" s="137">
        <v>46235.34847222222</v>
      </c>
      <c r="F84" s="137">
        <v>46235.911157407405</v>
      </c>
      <c r="G84" s="137">
        <v>46236.349918981483</v>
      </c>
      <c r="H84" s="137">
        <v>46236.879780092589</v>
      </c>
      <c r="I84" s="137">
        <v>46237.347488425927</v>
      </c>
      <c r="J84" s="137">
        <v>46237.920914351853</v>
      </c>
      <c r="K84" s="137">
        <v>46238.347395833334</v>
      </c>
      <c r="L84" s="137">
        <v>46238.921296296299</v>
      </c>
      <c r="M84" s="137">
        <v>46239.351319444446</v>
      </c>
      <c r="N84" s="137">
        <v>46239.897974537038</v>
      </c>
      <c r="O84" s="137">
        <v>46240.349421296298</v>
      </c>
      <c r="P84" s="137">
        <v>46240.936805555553</v>
      </c>
      <c r="Q84" s="137">
        <v>46241.575462962966</v>
      </c>
      <c r="R84" s="137">
        <v>46240.936805555553</v>
      </c>
      <c r="S84" s="137">
        <v>46242.347777777781</v>
      </c>
      <c r="T84" s="137">
        <v>46242.940138888887</v>
      </c>
      <c r="U84" s="137">
        <v>46243.347569444442</v>
      </c>
      <c r="V84" s="137">
        <v>46243.896527777775</v>
      </c>
      <c r="W84" s="137">
        <v>46244.348993055559</v>
      </c>
      <c r="X84" s="137">
        <v>46244.87740740741</v>
      </c>
      <c r="Y84" s="137">
        <v>46245.339965277781</v>
      </c>
      <c r="Z84" s="137">
        <v>46245.918391203704</v>
      </c>
      <c r="AA84" s="137">
        <v>46246.342499999999</v>
      </c>
      <c r="AB84" s="137">
        <v>46246.919849537036</v>
      </c>
      <c r="AC84" s="137">
        <v>46247.348067129627</v>
      </c>
      <c r="AD84" s="137">
        <v>46247.934652777774</v>
      </c>
      <c r="AE84" s="141" t="s">
        <v>15</v>
      </c>
      <c r="AF84" s="141" t="s">
        <v>15</v>
      </c>
      <c r="AG84" s="137">
        <v>46249.343402777777</v>
      </c>
      <c r="AH84" s="137">
        <v>46249.93236111111</v>
      </c>
      <c r="AI84" s="116"/>
      <c r="AJ84" s="45">
        <v>68</v>
      </c>
      <c r="AK84" s="137">
        <v>46250.343854166669</v>
      </c>
      <c r="AL84" s="12">
        <v>1</v>
      </c>
      <c r="AM84" s="137">
        <v>46251.344502314816</v>
      </c>
      <c r="AN84" s="137">
        <v>46251.879386574074</v>
      </c>
      <c r="AO84" s="137">
        <v>46252.350752314815</v>
      </c>
      <c r="AP84" s="137">
        <v>46252.918749999997</v>
      </c>
      <c r="AQ84" s="137">
        <v>46253.344201388885</v>
      </c>
      <c r="AR84" s="137">
        <v>46253.908425925925</v>
      </c>
      <c r="AS84" s="137">
        <v>46254.345543981479</v>
      </c>
      <c r="AT84" s="137">
        <v>46254.898865740739</v>
      </c>
      <c r="AU84" s="137">
        <v>46255.574895833335</v>
      </c>
      <c r="AV84" s="137">
        <v>46255.904872685183</v>
      </c>
      <c r="AW84" s="137">
        <v>46256.350451388891</v>
      </c>
      <c r="AX84" s="137">
        <v>46256.905289351853</v>
      </c>
      <c r="AY84" s="137">
        <v>46257.34883101852</v>
      </c>
      <c r="AZ84" s="137">
        <v>46257.875254629631</v>
      </c>
      <c r="BA84" s="137">
        <v>46258.353402777779</v>
      </c>
      <c r="BB84" s="137">
        <v>46258.898541666669</v>
      </c>
      <c r="BC84" s="137">
        <v>46259.345972222225</v>
      </c>
      <c r="BD84" s="137">
        <v>46259.896377314813</v>
      </c>
      <c r="BE84" s="137">
        <v>46260.342268518521</v>
      </c>
      <c r="BF84" s="137">
        <v>46260.931979166664</v>
      </c>
      <c r="BG84" s="137">
        <v>46261.345856481479</v>
      </c>
      <c r="BH84" s="137">
        <v>46261.899513888886</v>
      </c>
      <c r="BI84" s="137">
        <v>46262.579502314817</v>
      </c>
      <c r="BJ84" s="137">
        <v>0</v>
      </c>
      <c r="BK84" s="137">
        <v>46263.346215277779</v>
      </c>
      <c r="BL84" s="137">
        <v>46263.889861111114</v>
      </c>
      <c r="BM84" s="137">
        <v>46264.344641203701</v>
      </c>
      <c r="BN84" s="170">
        <v>46264.95103009259</v>
      </c>
      <c r="BO84" s="170">
        <v>46265.346261574072</v>
      </c>
      <c r="BP84" s="170">
        <v>46265.890972222223</v>
      </c>
      <c r="BQ84" s="99">
        <f t="shared" si="16"/>
        <v>31</v>
      </c>
      <c r="BR84" s="68">
        <v>3</v>
      </c>
      <c r="BS84" s="1">
        <f t="shared" si="42"/>
        <v>30</v>
      </c>
      <c r="BT84" s="2">
        <f t="shared" si="30"/>
        <v>1</v>
      </c>
      <c r="BU84" s="2">
        <f t="shared" si="31"/>
        <v>0</v>
      </c>
      <c r="BV84" s="2">
        <f t="shared" si="32"/>
        <v>0</v>
      </c>
      <c r="BW84" s="2">
        <f t="shared" si="33"/>
        <v>0</v>
      </c>
      <c r="BX84" s="2">
        <f t="shared" si="34"/>
        <v>0</v>
      </c>
      <c r="BY84" s="2">
        <f t="shared" si="35"/>
        <v>0</v>
      </c>
      <c r="BZ84" s="2">
        <f t="shared" si="36"/>
        <v>0</v>
      </c>
      <c r="CA84" s="2">
        <f t="shared" si="37"/>
        <v>0</v>
      </c>
      <c r="CB84" s="2">
        <f t="shared" si="38"/>
        <v>0</v>
      </c>
      <c r="CC84" s="2">
        <f t="shared" si="39"/>
        <v>0</v>
      </c>
      <c r="CD84" s="2">
        <f t="shared" si="40"/>
        <v>0</v>
      </c>
      <c r="CE84" s="3"/>
      <c r="CG84" s="55">
        <v>0</v>
      </c>
      <c r="CH84" s="54">
        <v>0</v>
      </c>
      <c r="CI84" s="54">
        <v>0</v>
      </c>
      <c r="CJ84" s="54">
        <v>0</v>
      </c>
      <c r="CK84" s="54">
        <v>0</v>
      </c>
      <c r="CL84" s="55">
        <v>13</v>
      </c>
      <c r="CM84" s="54">
        <v>0</v>
      </c>
      <c r="CN84" s="54">
        <v>0</v>
      </c>
      <c r="CO84" s="54">
        <v>0</v>
      </c>
      <c r="CP84" s="54">
        <v>0</v>
      </c>
      <c r="CQ84" s="127">
        <f t="shared" ref="CQ84:CQ108" si="43">SUM(CG84:CP84)</f>
        <v>13</v>
      </c>
    </row>
    <row r="85" spans="1:95" ht="22.5" customHeight="1" x14ac:dyDescent="0.25">
      <c r="A85" s="45">
        <v>69</v>
      </c>
      <c r="B85" s="11" t="s">
        <v>161</v>
      </c>
      <c r="C85" s="79" t="s">
        <v>234</v>
      </c>
      <c r="D85" s="88">
        <v>45935</v>
      </c>
      <c r="E85" s="137">
        <v>46235.346435185187</v>
      </c>
      <c r="F85" s="137">
        <v>46235.970532407409</v>
      </c>
      <c r="G85" s="137">
        <v>46236.347696759258</v>
      </c>
      <c r="H85" s="137">
        <v>46236.948148148149</v>
      </c>
      <c r="I85" s="137">
        <v>46237.349236111113</v>
      </c>
      <c r="J85" s="137">
        <v>46237.949965277781</v>
      </c>
      <c r="K85" s="137">
        <v>46238.349537037036</v>
      </c>
      <c r="L85" s="137">
        <v>46238.948946759258</v>
      </c>
      <c r="M85" s="137">
        <v>46239.34784722222</v>
      </c>
      <c r="N85" s="137">
        <v>46239.951504629629</v>
      </c>
      <c r="O85" s="137">
        <v>46240.346458333333</v>
      </c>
      <c r="P85" s="137">
        <v>46240.984375</v>
      </c>
      <c r="Q85" s="141" t="s">
        <v>15</v>
      </c>
      <c r="R85" s="141" t="s">
        <v>15</v>
      </c>
      <c r="S85" s="137">
        <v>46242.348368055558</v>
      </c>
      <c r="T85" s="137">
        <v>1</v>
      </c>
      <c r="U85" s="137">
        <v>46243.350613425922</v>
      </c>
      <c r="V85" s="137">
        <v>46243.95144675926</v>
      </c>
      <c r="W85" s="137">
        <v>46244.349166666667</v>
      </c>
      <c r="X85" s="137">
        <v>46244.949467592596</v>
      </c>
      <c r="Y85" s="137">
        <v>46245.350590277776</v>
      </c>
      <c r="Z85" s="137">
        <v>46245.954131944447</v>
      </c>
      <c r="AA85" s="137">
        <v>46246.349687499998</v>
      </c>
      <c r="AB85" s="137">
        <v>46246.94427083333</v>
      </c>
      <c r="AC85" s="137">
        <v>46247.353483796294</v>
      </c>
      <c r="AD85" s="137">
        <v>46247.969907407409</v>
      </c>
      <c r="AE85" s="137">
        <v>46248.573645833334</v>
      </c>
      <c r="AF85" s="137">
        <v>1</v>
      </c>
      <c r="AG85" s="137">
        <v>46249.348796296297</v>
      </c>
      <c r="AH85" s="137">
        <v>46249.965891203705</v>
      </c>
      <c r="AI85" s="109"/>
      <c r="AJ85" s="45">
        <v>69</v>
      </c>
      <c r="AK85" s="137">
        <v>46250.34710648148</v>
      </c>
      <c r="AL85" s="137">
        <v>46262.946134259262</v>
      </c>
      <c r="AM85" s="137">
        <v>46251.347175925926</v>
      </c>
      <c r="AN85" s="137">
        <v>46251.945856481485</v>
      </c>
      <c r="AO85" s="137">
        <v>46252.347824074073</v>
      </c>
      <c r="AP85" s="137">
        <v>46252.945810185185</v>
      </c>
      <c r="AQ85" s="137">
        <v>46253.348020833335</v>
      </c>
      <c r="AR85" s="137">
        <v>46253.952604166669</v>
      </c>
      <c r="AS85" s="137">
        <v>46254.348576388889</v>
      </c>
      <c r="AT85" s="137">
        <v>46254.965648148151</v>
      </c>
      <c r="AU85" s="137">
        <v>1</v>
      </c>
      <c r="AV85" s="137">
        <v>46254.965648148151</v>
      </c>
      <c r="AW85" s="137">
        <v>46256.435972222222</v>
      </c>
      <c r="AX85" s="137">
        <v>46256.965300925927</v>
      </c>
      <c r="AY85" s="137">
        <v>46257.346851851849</v>
      </c>
      <c r="AZ85" s="137">
        <v>46257.944571759261</v>
      </c>
      <c r="BA85" s="137">
        <v>46258.347245370373</v>
      </c>
      <c r="BB85" s="137">
        <v>46258.94939814815</v>
      </c>
      <c r="BC85" s="137">
        <v>46258.346828703703</v>
      </c>
      <c r="BD85" s="137">
        <v>46259.943252314813</v>
      </c>
      <c r="BE85" s="137">
        <v>46258.346828703703</v>
      </c>
      <c r="BF85" s="137">
        <v>46260.945636574077</v>
      </c>
      <c r="BG85" s="137">
        <v>46261.348668981482</v>
      </c>
      <c r="BH85" s="137">
        <v>46261.987013888887</v>
      </c>
      <c r="BI85" s="137">
        <v>0</v>
      </c>
      <c r="BJ85" s="137">
        <v>46262.946134259262</v>
      </c>
      <c r="BK85" s="137">
        <v>46263.347141203703</v>
      </c>
      <c r="BL85" s="137">
        <v>46263.96334490741</v>
      </c>
      <c r="BM85" s="137">
        <v>46264.348657407405</v>
      </c>
      <c r="BN85" s="170">
        <v>46264.947442129633</v>
      </c>
      <c r="BO85" s="170">
        <v>46265.347418981481</v>
      </c>
      <c r="BP85" s="170">
        <v>46265.945451388892</v>
      </c>
      <c r="BQ85" s="99">
        <f t="shared" si="16"/>
        <v>31</v>
      </c>
      <c r="BR85" s="68">
        <v>3</v>
      </c>
      <c r="BS85" s="1">
        <f t="shared" si="42"/>
        <v>30</v>
      </c>
      <c r="BT85" s="2">
        <f t="shared" si="30"/>
        <v>1</v>
      </c>
      <c r="BU85" s="2">
        <f t="shared" si="31"/>
        <v>0</v>
      </c>
      <c r="BV85" s="2">
        <f t="shared" si="32"/>
        <v>0</v>
      </c>
      <c r="BW85" s="2">
        <f t="shared" si="33"/>
        <v>0</v>
      </c>
      <c r="BX85" s="2">
        <f t="shared" si="34"/>
        <v>0</v>
      </c>
      <c r="BY85" s="2">
        <f t="shared" si="35"/>
        <v>0</v>
      </c>
      <c r="BZ85" s="2">
        <f t="shared" si="36"/>
        <v>0</v>
      </c>
      <c r="CA85" s="2">
        <f t="shared" si="37"/>
        <v>0</v>
      </c>
      <c r="CB85" s="2">
        <f t="shared" si="38"/>
        <v>0</v>
      </c>
      <c r="CC85" s="2">
        <f t="shared" si="39"/>
        <v>0</v>
      </c>
      <c r="CD85" s="2">
        <f t="shared" si="40"/>
        <v>0</v>
      </c>
      <c r="CE85" s="3"/>
      <c r="CG85" s="123">
        <v>0</v>
      </c>
      <c r="CH85" s="124">
        <v>0</v>
      </c>
      <c r="CI85" s="124">
        <v>0</v>
      </c>
      <c r="CJ85" s="124">
        <v>0</v>
      </c>
      <c r="CK85" s="124">
        <v>0</v>
      </c>
      <c r="CL85" s="123">
        <v>1</v>
      </c>
      <c r="CM85" s="124">
        <v>0</v>
      </c>
      <c r="CN85" s="124">
        <v>0</v>
      </c>
      <c r="CO85" s="124">
        <v>0</v>
      </c>
      <c r="CP85" s="124">
        <v>0</v>
      </c>
      <c r="CQ85" s="126">
        <f t="shared" si="43"/>
        <v>1</v>
      </c>
    </row>
    <row r="86" spans="1:95" ht="21.75" customHeight="1" x14ac:dyDescent="0.25">
      <c r="A86" s="45">
        <v>70</v>
      </c>
      <c r="B86" s="11" t="s">
        <v>162</v>
      </c>
      <c r="C86" s="83" t="s">
        <v>163</v>
      </c>
      <c r="D86" s="88">
        <v>45929</v>
      </c>
      <c r="E86" s="137">
        <v>46235.329074074078</v>
      </c>
      <c r="F86" s="137">
        <v>46235.958622685182</v>
      </c>
      <c r="G86" s="137">
        <v>46236.330682870372</v>
      </c>
      <c r="H86" s="137">
        <v>46236.918530092589</v>
      </c>
      <c r="I86" s="137">
        <v>46237.332384259258</v>
      </c>
      <c r="J86" s="137">
        <v>46237.927893518521</v>
      </c>
      <c r="K86" s="137">
        <v>46238.330601851849</v>
      </c>
      <c r="L86" s="137">
        <v>1</v>
      </c>
      <c r="M86" s="137">
        <v>46239.333449074074</v>
      </c>
      <c r="N86" s="137">
        <v>46239.924861111111</v>
      </c>
      <c r="O86" s="137">
        <v>46240.335636574076</v>
      </c>
      <c r="P86" s="137">
        <v>1</v>
      </c>
      <c r="Q86" s="141" t="s">
        <v>15</v>
      </c>
      <c r="R86" s="141" t="s">
        <v>15</v>
      </c>
      <c r="S86" s="137">
        <v>46242.35392361111</v>
      </c>
      <c r="T86" s="137">
        <v>46242.97929398148</v>
      </c>
      <c r="U86" s="137">
        <v>46243.351886574077</v>
      </c>
      <c r="V86" s="137">
        <v>46243.939027777778</v>
      </c>
      <c r="W86" s="137">
        <v>46244.352962962963</v>
      </c>
      <c r="X86" s="137">
        <v>46244.962118055555</v>
      </c>
      <c r="Y86" s="137">
        <v>46245.351886574077</v>
      </c>
      <c r="Z86" s="137">
        <v>1</v>
      </c>
      <c r="AA86" s="137">
        <v>46246.349351851852</v>
      </c>
      <c r="AB86" s="137">
        <v>46246.965497685182</v>
      </c>
      <c r="AC86" s="137">
        <v>46247.351261574076</v>
      </c>
      <c r="AD86" s="137">
        <v>1</v>
      </c>
      <c r="AE86" s="137">
        <v>46248.580706018518</v>
      </c>
      <c r="AF86" s="137">
        <v>1</v>
      </c>
      <c r="AG86" s="137">
        <v>46249.354270833333</v>
      </c>
      <c r="AH86" s="137">
        <v>46249.963148148148</v>
      </c>
      <c r="AI86" s="116"/>
      <c r="AJ86" s="45">
        <v>70</v>
      </c>
      <c r="AK86" s="137">
        <v>46250.351180555554</v>
      </c>
      <c r="AL86" s="137">
        <v>46262.917881944442</v>
      </c>
      <c r="AM86" s="137">
        <v>46251.353182870371</v>
      </c>
      <c r="AN86" s="137">
        <v>46251.927858796298</v>
      </c>
      <c r="AO86" s="137">
        <v>46252.352129629631</v>
      </c>
      <c r="AP86" s="137">
        <v>46252.937615740739</v>
      </c>
      <c r="AQ86" s="137">
        <v>46253.353888888887</v>
      </c>
      <c r="AR86" s="137">
        <v>46253.957708333335</v>
      </c>
      <c r="AS86" s="137">
        <v>46254.353194444448</v>
      </c>
      <c r="AT86" s="137">
        <v>46254.94809027778</v>
      </c>
      <c r="AU86" s="137">
        <v>1</v>
      </c>
      <c r="AV86" s="137">
        <v>46254.94809027778</v>
      </c>
      <c r="AW86" s="137">
        <v>46256.352638888886</v>
      </c>
      <c r="AX86" s="137">
        <v>46256.927337962959</v>
      </c>
      <c r="AY86" s="137">
        <v>46257.350624999999</v>
      </c>
      <c r="AZ86" s="137">
        <v>46257.924386574072</v>
      </c>
      <c r="BA86" s="137">
        <v>46258.349027777775</v>
      </c>
      <c r="BB86" s="137">
        <v>46258.990543981483</v>
      </c>
      <c r="BC86" s="137">
        <v>46259.346620370372</v>
      </c>
      <c r="BD86" s="137">
        <v>46259.937719907408</v>
      </c>
      <c r="BE86" s="137">
        <v>46260.344583333332</v>
      </c>
      <c r="BF86" s="137">
        <v>46260.966053240743</v>
      </c>
      <c r="BG86" s="137">
        <v>46261.352766203701</v>
      </c>
      <c r="BH86" s="137">
        <v>46261.939618055556</v>
      </c>
      <c r="BI86" s="137">
        <v>46262.57130787037</v>
      </c>
      <c r="BJ86" s="137">
        <v>46262.917881944442</v>
      </c>
      <c r="BK86" s="137">
        <v>46263.352546296293</v>
      </c>
      <c r="BL86" s="137">
        <v>46263.95888888889</v>
      </c>
      <c r="BM86" s="137">
        <v>46264.352627314816</v>
      </c>
      <c r="BN86" s="170">
        <v>46264.950196759259</v>
      </c>
      <c r="BO86" s="170">
        <v>46265.35224537037</v>
      </c>
      <c r="BP86" s="170">
        <v>46265.940127314818</v>
      </c>
      <c r="BQ86" s="99">
        <f t="shared" si="16"/>
        <v>31</v>
      </c>
      <c r="BR86" s="68">
        <v>3</v>
      </c>
      <c r="BS86" s="1">
        <f t="shared" si="42"/>
        <v>30</v>
      </c>
      <c r="BT86" s="2">
        <f t="shared" si="30"/>
        <v>1</v>
      </c>
      <c r="BU86" s="2">
        <f t="shared" si="31"/>
        <v>0</v>
      </c>
      <c r="BV86" s="2">
        <f t="shared" si="32"/>
        <v>0</v>
      </c>
      <c r="BW86" s="2">
        <f t="shared" si="33"/>
        <v>0</v>
      </c>
      <c r="BX86" s="2">
        <f t="shared" si="34"/>
        <v>0</v>
      </c>
      <c r="BY86" s="2">
        <f t="shared" si="35"/>
        <v>0</v>
      </c>
      <c r="BZ86" s="2">
        <f t="shared" si="36"/>
        <v>0</v>
      </c>
      <c r="CA86" s="2">
        <f t="shared" si="37"/>
        <v>0</v>
      </c>
      <c r="CB86" s="2">
        <f t="shared" si="38"/>
        <v>0</v>
      </c>
      <c r="CC86" s="2">
        <f t="shared" si="39"/>
        <v>0</v>
      </c>
      <c r="CD86" s="2">
        <f t="shared" si="40"/>
        <v>0</v>
      </c>
      <c r="CE86" s="3"/>
      <c r="CG86" s="55">
        <v>0</v>
      </c>
      <c r="CH86" s="54">
        <v>0</v>
      </c>
      <c r="CI86" s="54">
        <v>0</v>
      </c>
      <c r="CJ86" s="54">
        <v>0</v>
      </c>
      <c r="CK86" s="54">
        <v>0</v>
      </c>
      <c r="CL86" s="54">
        <v>0</v>
      </c>
      <c r="CM86" s="54">
        <v>0</v>
      </c>
      <c r="CN86" s="54">
        <v>0</v>
      </c>
      <c r="CO86" s="54">
        <v>0</v>
      </c>
      <c r="CP86" s="54">
        <v>0</v>
      </c>
      <c r="CQ86" s="127">
        <f t="shared" si="43"/>
        <v>0</v>
      </c>
    </row>
    <row r="87" spans="1:95" ht="21.75" customHeight="1" x14ac:dyDescent="0.25">
      <c r="A87" s="45">
        <v>71</v>
      </c>
      <c r="B87" s="11" t="s">
        <v>164</v>
      </c>
      <c r="C87" s="79" t="s">
        <v>165</v>
      </c>
      <c r="D87" s="88">
        <v>45944</v>
      </c>
      <c r="E87" s="137">
        <v>46235.346863425926</v>
      </c>
      <c r="F87" s="137">
        <v>46235.940381944441</v>
      </c>
      <c r="G87" s="137">
        <v>46236.348194444443</v>
      </c>
      <c r="H87" s="137">
        <v>46236.908043981479</v>
      </c>
      <c r="I87" s="137">
        <v>1</v>
      </c>
      <c r="J87" s="137">
        <v>1</v>
      </c>
      <c r="K87" s="137">
        <v>46238.343368055554</v>
      </c>
      <c r="L87" s="137">
        <v>46238.920173611114</v>
      </c>
      <c r="M87" s="137">
        <v>46239.348553240743</v>
      </c>
      <c r="N87" s="137">
        <v>46239.922511574077</v>
      </c>
      <c r="O87" s="137">
        <v>46240.346620370372</v>
      </c>
      <c r="P87" s="137">
        <v>46240.939965277779</v>
      </c>
      <c r="Q87" s="137">
        <v>46241.561724537038</v>
      </c>
      <c r="R87" s="137">
        <v>46240.939965277779</v>
      </c>
      <c r="S87" s="137">
        <v>46242.348599537036</v>
      </c>
      <c r="T87" s="137">
        <v>46242.929571759261</v>
      </c>
      <c r="U87" s="137">
        <v>46243.350115740737</v>
      </c>
      <c r="V87" s="137">
        <v>46243.918611111112</v>
      </c>
      <c r="W87" s="137">
        <v>46244.347650462965</v>
      </c>
      <c r="X87" s="137">
        <v>46244.920185185183</v>
      </c>
      <c r="Y87" s="137">
        <v>46245.345937500002</v>
      </c>
      <c r="Z87" s="137">
        <v>46245.925810185188</v>
      </c>
      <c r="AA87" s="137">
        <v>46246.345486111109</v>
      </c>
      <c r="AB87" s="137">
        <v>46246.90216435185</v>
      </c>
      <c r="AC87" s="137">
        <v>46247.346863425926</v>
      </c>
      <c r="AD87" s="137">
        <v>46247.954756944448</v>
      </c>
      <c r="AE87" s="141" t="s">
        <v>15</v>
      </c>
      <c r="AF87" s="141" t="s">
        <v>15</v>
      </c>
      <c r="AG87" s="137">
        <v>46249.347129629627</v>
      </c>
      <c r="AH87" s="137">
        <v>46249.971203703702</v>
      </c>
      <c r="AI87" s="116"/>
      <c r="AJ87" s="45">
        <v>71</v>
      </c>
      <c r="AK87" s="137">
        <v>46250.343680555554</v>
      </c>
      <c r="AL87" s="137">
        <v>46250.918020833335</v>
      </c>
      <c r="AM87" s="137">
        <v>46251.344548611109</v>
      </c>
      <c r="AN87" s="137">
        <v>46251.909803240742</v>
      </c>
      <c r="AO87" s="137">
        <v>46252.346319444441</v>
      </c>
      <c r="AP87" s="137">
        <v>46252.943692129629</v>
      </c>
      <c r="AQ87" s="137">
        <v>46253.345625000002</v>
      </c>
      <c r="AR87" s="137">
        <v>46253.94190972222</v>
      </c>
      <c r="AS87" s="137">
        <v>46254.348078703704</v>
      </c>
      <c r="AT87" s="137">
        <v>46254.91</v>
      </c>
      <c r="AU87" s="137">
        <v>46255.560231481482</v>
      </c>
      <c r="AV87" s="137">
        <v>46255.909895833334</v>
      </c>
      <c r="AW87" s="137">
        <v>46256.348101851851</v>
      </c>
      <c r="AX87" s="137">
        <v>46256.917719907404</v>
      </c>
      <c r="AY87" s="137">
        <v>46257.345023148147</v>
      </c>
      <c r="AZ87" s="137">
        <v>46257.903020833335</v>
      </c>
      <c r="BA87" s="137">
        <v>46258.352222222224</v>
      </c>
      <c r="BB87" s="137">
        <v>46258.902916666666</v>
      </c>
      <c r="BC87" s="137">
        <v>46259.345856481479</v>
      </c>
      <c r="BD87" s="137">
        <v>46259.930034722223</v>
      </c>
      <c r="BE87" s="137">
        <v>46260.348437499997</v>
      </c>
      <c r="BF87" s="137">
        <v>46260.938472222224</v>
      </c>
      <c r="BG87" s="137">
        <v>46261.346597222226</v>
      </c>
      <c r="BH87" s="137">
        <v>46261.918379629627</v>
      </c>
      <c r="BI87" s="137">
        <v>46262.559930555559</v>
      </c>
      <c r="BJ87" s="137">
        <v>0</v>
      </c>
      <c r="BK87" s="137">
        <v>46263.344513888886</v>
      </c>
      <c r="BL87" s="137">
        <v>46263.916747685187</v>
      </c>
      <c r="BM87" s="137">
        <v>46264.344699074078</v>
      </c>
      <c r="BN87" s="170">
        <v>46264.959432870368</v>
      </c>
      <c r="BO87" s="170">
        <v>46265.344907407409</v>
      </c>
      <c r="BP87" s="170">
        <v>46265.884895833333</v>
      </c>
      <c r="BQ87" s="99">
        <f t="shared" si="16"/>
        <v>31</v>
      </c>
      <c r="BR87" s="68">
        <v>3</v>
      </c>
      <c r="BS87" s="1">
        <f t="shared" si="42"/>
        <v>30</v>
      </c>
      <c r="BT87" s="2">
        <f t="shared" si="30"/>
        <v>1</v>
      </c>
      <c r="BU87" s="2">
        <f t="shared" si="31"/>
        <v>0</v>
      </c>
      <c r="BV87" s="2">
        <f t="shared" si="32"/>
        <v>0</v>
      </c>
      <c r="BW87" s="2">
        <f t="shared" si="33"/>
        <v>0</v>
      </c>
      <c r="BX87" s="2">
        <f t="shared" si="34"/>
        <v>0</v>
      </c>
      <c r="BY87" s="2">
        <f t="shared" si="35"/>
        <v>0</v>
      </c>
      <c r="BZ87" s="2">
        <f t="shared" si="36"/>
        <v>0</v>
      </c>
      <c r="CA87" s="2">
        <f t="shared" si="37"/>
        <v>0</v>
      </c>
      <c r="CB87" s="2">
        <f t="shared" si="38"/>
        <v>0</v>
      </c>
      <c r="CC87" s="2">
        <f t="shared" si="39"/>
        <v>0</v>
      </c>
      <c r="CD87" s="2">
        <f t="shared" si="40"/>
        <v>0</v>
      </c>
      <c r="CE87" s="3"/>
      <c r="CG87" s="123">
        <v>0</v>
      </c>
      <c r="CH87" s="124">
        <v>0</v>
      </c>
      <c r="CI87" s="124">
        <v>0</v>
      </c>
      <c r="CJ87" s="124">
        <v>0</v>
      </c>
      <c r="CK87" s="124">
        <v>0</v>
      </c>
      <c r="CL87" s="124">
        <v>2</v>
      </c>
      <c r="CM87" s="124">
        <v>0</v>
      </c>
      <c r="CN87" s="124">
        <v>0</v>
      </c>
      <c r="CO87" s="124">
        <v>0</v>
      </c>
      <c r="CP87" s="124">
        <v>0</v>
      </c>
      <c r="CQ87" s="126">
        <f t="shared" si="43"/>
        <v>2</v>
      </c>
    </row>
    <row r="88" spans="1:95" ht="21.75" customHeight="1" x14ac:dyDescent="0.25">
      <c r="A88" s="45">
        <v>72</v>
      </c>
      <c r="B88" s="48" t="s">
        <v>168</v>
      </c>
      <c r="C88" s="84" t="s">
        <v>169</v>
      </c>
      <c r="D88" s="88">
        <v>45956</v>
      </c>
      <c r="E88" s="137">
        <v>46235.352997685186</v>
      </c>
      <c r="F88" s="137">
        <v>46235.966990740744</v>
      </c>
      <c r="G88" s="137">
        <v>46236.353518518517</v>
      </c>
      <c r="H88" s="137">
        <v>46236.947395833333</v>
      </c>
      <c r="I88" s="137">
        <v>46237.354039351849</v>
      </c>
      <c r="J88" s="137">
        <v>46237.948067129626</v>
      </c>
      <c r="K88" s="137">
        <v>46238.354699074072</v>
      </c>
      <c r="L88" s="137">
        <v>46238.94940972222</v>
      </c>
      <c r="M88" s="137">
        <v>46239.353993055556</v>
      </c>
      <c r="N88" s="137">
        <v>46239.947256944448</v>
      </c>
      <c r="O88" s="137">
        <v>46240.352824074071</v>
      </c>
      <c r="P88" s="137">
        <v>46240.983761574076</v>
      </c>
      <c r="Q88" s="141" t="s">
        <v>15</v>
      </c>
      <c r="R88" s="141" t="s">
        <v>15</v>
      </c>
      <c r="S88" s="137">
        <v>46242.352465277778</v>
      </c>
      <c r="T88" s="137">
        <v>46242.969583333332</v>
      </c>
      <c r="U88" s="137">
        <v>46243.353113425925</v>
      </c>
      <c r="V88" s="137">
        <v>46243.949733796297</v>
      </c>
      <c r="W88" s="137">
        <v>46244.354166666664</v>
      </c>
      <c r="X88" s="137">
        <v>46244.948252314818</v>
      </c>
      <c r="Y88" s="137">
        <v>46245.353831018518</v>
      </c>
      <c r="Z88" s="137">
        <v>46245.944988425923</v>
      </c>
      <c r="AA88" s="137">
        <v>46246.352650462963</v>
      </c>
      <c r="AB88" s="137">
        <v>46246.943495370368</v>
      </c>
      <c r="AC88" s="137">
        <v>46247.352893518517</v>
      </c>
      <c r="AD88" s="137">
        <v>46247.966643518521</v>
      </c>
      <c r="AE88" s="137">
        <v>46248.579768518517</v>
      </c>
      <c r="AF88" s="137">
        <v>1</v>
      </c>
      <c r="AG88" s="137">
        <v>46249.351203703707</v>
      </c>
      <c r="AH88" s="137">
        <v>46249.965381944443</v>
      </c>
      <c r="AI88" s="109"/>
      <c r="AJ88" s="45">
        <v>72</v>
      </c>
      <c r="AK88" s="137">
        <v>46250.352418981478</v>
      </c>
      <c r="AL88" s="137">
        <v>46262.946076388886</v>
      </c>
      <c r="AM88" s="137">
        <v>46251.35465277778</v>
      </c>
      <c r="AN88" s="137">
        <v>46251.946493055555</v>
      </c>
      <c r="AO88" s="137">
        <v>46252.352083333331</v>
      </c>
      <c r="AP88" s="137">
        <v>46252.946319444447</v>
      </c>
      <c r="AQ88" s="137">
        <v>46253.352476851855</v>
      </c>
      <c r="AR88" s="137">
        <v>46253.951782407406</v>
      </c>
      <c r="AS88" s="137">
        <v>46254.353252314817</v>
      </c>
      <c r="AT88" s="137">
        <v>46254.972407407404</v>
      </c>
      <c r="AU88" s="141" t="s">
        <v>15</v>
      </c>
      <c r="AV88" s="141" t="s">
        <v>15</v>
      </c>
      <c r="AW88" s="137">
        <v>46256.352326388886</v>
      </c>
      <c r="AX88" s="137">
        <v>46256.966608796298</v>
      </c>
      <c r="AY88" s="137">
        <v>46257.350763888891</v>
      </c>
      <c r="AZ88" s="137">
        <v>46257.944884259261</v>
      </c>
      <c r="BA88" s="137">
        <v>46258.344259259262</v>
      </c>
      <c r="BB88" s="137">
        <v>46258.949016203704</v>
      </c>
      <c r="BC88" s="137">
        <v>46259.349942129629</v>
      </c>
      <c r="BD88" s="137">
        <v>46259.944594907407</v>
      </c>
      <c r="BE88" s="137">
        <v>46260.35052083333</v>
      </c>
      <c r="BF88" s="137">
        <v>46260.945416666669</v>
      </c>
      <c r="BG88" s="137">
        <v>46261.353356481479</v>
      </c>
      <c r="BH88" s="137">
        <v>46261.989907407406</v>
      </c>
      <c r="BI88" s="137">
        <v>46262.557650462964</v>
      </c>
      <c r="BJ88" s="137">
        <v>46262.946076388886</v>
      </c>
      <c r="BK88" s="137">
        <v>46263.35260416667</v>
      </c>
      <c r="BL88" s="137">
        <v>46263.963796296295</v>
      </c>
      <c r="BM88" s="137">
        <v>46264.353090277778</v>
      </c>
      <c r="BN88" s="170">
        <v>46264.748495370368</v>
      </c>
      <c r="BO88" s="170">
        <v>46265.351597222223</v>
      </c>
      <c r="BP88" s="170">
        <v>46265.945833333331</v>
      </c>
      <c r="BQ88" s="99">
        <f t="shared" si="16"/>
        <v>31</v>
      </c>
      <c r="BR88" s="68">
        <v>2</v>
      </c>
      <c r="BS88" s="1">
        <f t="shared" si="42"/>
        <v>29</v>
      </c>
      <c r="BT88" s="2">
        <f t="shared" si="30"/>
        <v>2</v>
      </c>
      <c r="BU88" s="2">
        <f t="shared" si="31"/>
        <v>0</v>
      </c>
      <c r="BV88" s="2">
        <f t="shared" si="32"/>
        <v>0</v>
      </c>
      <c r="BW88" s="2">
        <f t="shared" si="33"/>
        <v>0</v>
      </c>
      <c r="BX88" s="2">
        <f t="shared" si="34"/>
        <v>0</v>
      </c>
      <c r="BY88" s="2">
        <f t="shared" si="35"/>
        <v>0</v>
      </c>
      <c r="BZ88" s="2">
        <f t="shared" si="36"/>
        <v>0</v>
      </c>
      <c r="CA88" s="2">
        <f t="shared" si="37"/>
        <v>0</v>
      </c>
      <c r="CB88" s="2">
        <f t="shared" si="38"/>
        <v>0</v>
      </c>
      <c r="CC88" s="2">
        <f t="shared" si="39"/>
        <v>0</v>
      </c>
      <c r="CD88" s="2">
        <f t="shared" si="40"/>
        <v>0</v>
      </c>
      <c r="CE88" s="3"/>
      <c r="CG88" s="55">
        <v>0</v>
      </c>
      <c r="CH88" s="54">
        <v>0</v>
      </c>
      <c r="CI88" s="54">
        <v>0</v>
      </c>
      <c r="CJ88" s="54">
        <v>0</v>
      </c>
      <c r="CK88" s="54">
        <v>0</v>
      </c>
      <c r="CL88" s="54">
        <v>0</v>
      </c>
      <c r="CM88" s="54">
        <v>0</v>
      </c>
      <c r="CN88" s="54">
        <v>0</v>
      </c>
      <c r="CO88" s="54">
        <v>0</v>
      </c>
      <c r="CP88" s="54">
        <v>0</v>
      </c>
      <c r="CQ88" s="127">
        <f t="shared" si="43"/>
        <v>0</v>
      </c>
    </row>
    <row r="89" spans="1:95" ht="21.75" customHeight="1" x14ac:dyDescent="0.25">
      <c r="A89" s="45">
        <v>73</v>
      </c>
      <c r="B89" s="45" t="s">
        <v>181</v>
      </c>
      <c r="C89" s="80" t="s">
        <v>182</v>
      </c>
      <c r="D89" s="88">
        <v>45971</v>
      </c>
      <c r="E89" s="137">
        <v>46235.351273148146</v>
      </c>
      <c r="F89" s="137">
        <v>46235.941377314812</v>
      </c>
      <c r="G89" s="137">
        <v>46236.347500000003</v>
      </c>
      <c r="H89" s="137">
        <v>46236.937835648147</v>
      </c>
      <c r="I89" s="137">
        <v>46237.3512962963</v>
      </c>
      <c r="J89" s="137">
        <v>46237.940243055556</v>
      </c>
      <c r="K89" s="137">
        <v>46238.351388888892</v>
      </c>
      <c r="L89" s="137">
        <v>46238.939826388887</v>
      </c>
      <c r="M89" s="137">
        <v>46239.351770833331</v>
      </c>
      <c r="N89" s="137">
        <v>46239.939733796295</v>
      </c>
      <c r="O89" s="137">
        <v>46240.350185185183</v>
      </c>
      <c r="P89" s="137">
        <v>46240.959606481483</v>
      </c>
      <c r="Q89" s="141" t="s">
        <v>15</v>
      </c>
      <c r="R89" s="141" t="s">
        <v>15</v>
      </c>
      <c r="S89" s="137">
        <v>46242.350462962961</v>
      </c>
      <c r="T89" s="137">
        <v>46242.958368055559</v>
      </c>
      <c r="U89" s="137">
        <v>46243.351342592592</v>
      </c>
      <c r="V89" s="137">
        <v>46243.940775462965</v>
      </c>
      <c r="W89" s="137">
        <v>46244.350775462961</v>
      </c>
      <c r="X89" s="137">
        <v>1</v>
      </c>
      <c r="Y89" s="137">
        <v>46245.351412037038</v>
      </c>
      <c r="Z89" s="137">
        <v>46245.94940972222</v>
      </c>
      <c r="AA89" s="137">
        <v>46246.351678240739</v>
      </c>
      <c r="AB89" s="137">
        <v>1</v>
      </c>
      <c r="AC89" s="137">
        <v>46247.351041666669</v>
      </c>
      <c r="AD89" s="137">
        <v>46247.958703703705</v>
      </c>
      <c r="AE89" s="137">
        <v>46248.580787037034</v>
      </c>
      <c r="AF89" s="137">
        <v>46248.937604166669</v>
      </c>
      <c r="AG89" s="137">
        <v>46249.350659722222</v>
      </c>
      <c r="AH89" s="137">
        <v>1</v>
      </c>
      <c r="AI89" s="116"/>
      <c r="AJ89" s="45">
        <v>73</v>
      </c>
      <c r="AK89" s="137">
        <v>46250.351504629631</v>
      </c>
      <c r="AL89" s="12">
        <v>1</v>
      </c>
      <c r="AM89" s="137">
        <v>46251.350624999999</v>
      </c>
      <c r="AN89" s="137">
        <v>46251.937581018516</v>
      </c>
      <c r="AO89" s="137">
        <v>46252.351053240738</v>
      </c>
      <c r="AP89" s="137">
        <v>46252.939583333333</v>
      </c>
      <c r="AQ89" s="137">
        <v>46253.351041666669</v>
      </c>
      <c r="AR89" s="12">
        <v>1</v>
      </c>
      <c r="AS89" s="137">
        <v>46254.351388888892</v>
      </c>
      <c r="AT89" s="12">
        <v>1</v>
      </c>
      <c r="AU89" s="141" t="s">
        <v>15</v>
      </c>
      <c r="AV89" s="141" t="s">
        <v>15</v>
      </c>
      <c r="AW89" s="137">
        <v>46256.349965277775</v>
      </c>
      <c r="AX89" s="137">
        <v>46256.958425925928</v>
      </c>
      <c r="AY89" s="137">
        <v>46257.351504629631</v>
      </c>
      <c r="AZ89" s="137">
        <v>46257.932199074072</v>
      </c>
      <c r="BA89" s="137">
        <v>46258.349733796298</v>
      </c>
      <c r="BB89" s="137">
        <v>46258.939976851849</v>
      </c>
      <c r="BC89" s="137">
        <v>46259.353171296294</v>
      </c>
      <c r="BD89" s="137">
        <v>46259.938125000001</v>
      </c>
      <c r="BE89" s="137">
        <v>46260.368356481478</v>
      </c>
      <c r="BF89" s="137">
        <v>46260.946562500001</v>
      </c>
      <c r="BG89" s="137">
        <v>46261.351203703707</v>
      </c>
      <c r="BH89" s="137">
        <v>0</v>
      </c>
      <c r="BI89" s="137">
        <v>46262.575324074074</v>
      </c>
      <c r="BJ89" s="137">
        <v>0</v>
      </c>
      <c r="BK89" s="137">
        <v>46263.349907407406</v>
      </c>
      <c r="BL89" s="137">
        <v>46263.959039351852</v>
      </c>
      <c r="BM89" s="137">
        <v>46264.350370370368</v>
      </c>
      <c r="BN89" s="170">
        <v>46264.903344907405</v>
      </c>
      <c r="BO89" s="170">
        <v>46265.350497685184</v>
      </c>
      <c r="BP89" s="170">
        <v>46265.93886574074</v>
      </c>
      <c r="BQ89" s="99">
        <f t="shared" si="16"/>
        <v>31</v>
      </c>
      <c r="BR89" s="68">
        <v>2</v>
      </c>
      <c r="BS89" s="1">
        <f t="shared" si="42"/>
        <v>29</v>
      </c>
      <c r="BT89" s="2">
        <f t="shared" si="30"/>
        <v>2</v>
      </c>
      <c r="BU89" s="2">
        <f t="shared" si="31"/>
        <v>0</v>
      </c>
      <c r="BV89" s="2">
        <f t="shared" si="32"/>
        <v>0</v>
      </c>
      <c r="BW89" s="2">
        <f t="shared" si="33"/>
        <v>0</v>
      </c>
      <c r="BX89" s="2">
        <f t="shared" si="34"/>
        <v>0</v>
      </c>
      <c r="BY89" s="2">
        <f t="shared" si="35"/>
        <v>0</v>
      </c>
      <c r="BZ89" s="2">
        <f t="shared" si="36"/>
        <v>0</v>
      </c>
      <c r="CA89" s="2">
        <f t="shared" si="37"/>
        <v>0</v>
      </c>
      <c r="CB89" s="2">
        <f t="shared" si="38"/>
        <v>0</v>
      </c>
      <c r="CC89" s="2">
        <f t="shared" si="39"/>
        <v>0</v>
      </c>
      <c r="CD89" s="2">
        <f t="shared" si="40"/>
        <v>0</v>
      </c>
      <c r="CE89" s="3"/>
      <c r="CG89" s="123">
        <v>0</v>
      </c>
      <c r="CH89" s="124">
        <v>0</v>
      </c>
      <c r="CI89" s="124">
        <v>0</v>
      </c>
      <c r="CJ89" s="124">
        <v>0</v>
      </c>
      <c r="CK89" s="124">
        <v>0</v>
      </c>
      <c r="CL89" s="124">
        <v>0</v>
      </c>
      <c r="CM89" s="124">
        <v>0</v>
      </c>
      <c r="CN89" s="124">
        <v>0</v>
      </c>
      <c r="CO89" s="124">
        <v>0</v>
      </c>
      <c r="CP89" s="124">
        <v>0</v>
      </c>
      <c r="CQ89" s="126">
        <f t="shared" si="43"/>
        <v>0</v>
      </c>
    </row>
    <row r="90" spans="1:95" ht="21.75" customHeight="1" x14ac:dyDescent="0.25">
      <c r="A90" s="45">
        <v>74</v>
      </c>
      <c r="B90" s="45" t="s">
        <v>183</v>
      </c>
      <c r="C90" s="80" t="s">
        <v>184</v>
      </c>
      <c r="D90" s="88">
        <v>45987</v>
      </c>
      <c r="E90" s="137">
        <v>46235.3518287037</v>
      </c>
      <c r="F90" s="137">
        <v>46235.920520833337</v>
      </c>
      <c r="G90" s="137">
        <v>46236.345289351855</v>
      </c>
      <c r="H90" s="137">
        <v>46236.913657407407</v>
      </c>
      <c r="I90" s="137">
        <v>46237.348495370374</v>
      </c>
      <c r="J90" s="137">
        <v>46237.92559027778</v>
      </c>
      <c r="K90" s="137">
        <v>46238.348622685182</v>
      </c>
      <c r="L90" s="137">
        <v>46238.896215277775</v>
      </c>
      <c r="M90" s="137">
        <v>46239.347534722219</v>
      </c>
      <c r="N90" s="137">
        <v>46239.906608796293</v>
      </c>
      <c r="O90" s="137">
        <v>46240.349710648145</v>
      </c>
      <c r="P90" s="137">
        <v>46240.936736111114</v>
      </c>
      <c r="Q90" s="141" t="s">
        <v>15</v>
      </c>
      <c r="R90" s="141" t="s">
        <v>15</v>
      </c>
      <c r="S90" s="137">
        <v>46242.344976851855</v>
      </c>
      <c r="T90" s="137">
        <v>46242.935833333337</v>
      </c>
      <c r="U90" s="137">
        <v>46243.350682870368</v>
      </c>
      <c r="V90" s="137">
        <v>46243.906087962961</v>
      </c>
      <c r="W90" s="137">
        <v>46244.349907407406</v>
      </c>
      <c r="X90" s="137">
        <v>46244.877465277779</v>
      </c>
      <c r="Y90" s="137">
        <v>46245.350011574075</v>
      </c>
      <c r="Z90" s="137">
        <v>46245.91810185185</v>
      </c>
      <c r="AA90" s="137">
        <v>46246.350011574075</v>
      </c>
      <c r="AB90" s="137">
        <v>46246.913402777776</v>
      </c>
      <c r="AC90" s="137">
        <v>46247.348587962966</v>
      </c>
      <c r="AD90" s="137">
        <v>46247.951354166667</v>
      </c>
      <c r="AE90" s="137">
        <v>46248.579432870371</v>
      </c>
      <c r="AF90" s="137">
        <v>46248.911203703705</v>
      </c>
      <c r="AG90" s="137">
        <v>46249.353773148148</v>
      </c>
      <c r="AH90" s="137">
        <v>46249.971504629626</v>
      </c>
      <c r="AI90" s="116"/>
      <c r="AJ90" s="45">
        <v>74</v>
      </c>
      <c r="AK90" s="137">
        <v>46250.351655092592</v>
      </c>
      <c r="AL90" s="137">
        <v>46262.867546296293</v>
      </c>
      <c r="AM90" s="137">
        <v>46251.350023148145</v>
      </c>
      <c r="AN90" s="137">
        <v>46251.89739583333</v>
      </c>
      <c r="AO90" s="137">
        <v>46252.347384259258</v>
      </c>
      <c r="AP90" s="137">
        <v>46252.916377314818</v>
      </c>
      <c r="AQ90" s="137">
        <v>46253.351412037038</v>
      </c>
      <c r="AR90" s="137">
        <v>46253.918981481482</v>
      </c>
      <c r="AS90" s="137">
        <v>46254.350983796299</v>
      </c>
      <c r="AT90" s="137">
        <v>46254.895231481481</v>
      </c>
      <c r="AU90" s="137">
        <v>0</v>
      </c>
      <c r="AV90" s="137">
        <v>46254.895231481481</v>
      </c>
      <c r="AW90" s="137">
        <v>46256.344421296293</v>
      </c>
      <c r="AX90" s="137">
        <v>46256.892870370371</v>
      </c>
      <c r="AY90" s="137">
        <v>46257.34784722222</v>
      </c>
      <c r="AZ90" s="137">
        <v>46257.880914351852</v>
      </c>
      <c r="BA90" s="137">
        <v>46258.352523148147</v>
      </c>
      <c r="BB90" s="137">
        <v>46258.885636574072</v>
      </c>
      <c r="BC90" s="137">
        <v>46259.350115740737</v>
      </c>
      <c r="BD90" s="137">
        <v>46259.883344907408</v>
      </c>
      <c r="BE90" s="137">
        <v>46260.350810185184</v>
      </c>
      <c r="BF90" s="137">
        <v>46260.930034722223</v>
      </c>
      <c r="BG90" s="137">
        <v>46261.349675925929</v>
      </c>
      <c r="BH90" s="137">
        <v>46261.877118055556</v>
      </c>
      <c r="BI90" s="137">
        <v>46262.580821759257</v>
      </c>
      <c r="BJ90" s="137">
        <v>46262.867546296293</v>
      </c>
      <c r="BK90" s="137">
        <v>46263.351122685184</v>
      </c>
      <c r="BL90" s="137">
        <v>46263.888043981482</v>
      </c>
      <c r="BM90" s="137">
        <v>46264.348981481482</v>
      </c>
      <c r="BN90" s="170">
        <v>46264.748495370368</v>
      </c>
      <c r="BO90" s="170">
        <v>46265.348055555558</v>
      </c>
      <c r="BP90" s="170">
        <v>46265.896782407406</v>
      </c>
      <c r="BQ90" s="99">
        <f t="shared" si="16"/>
        <v>31</v>
      </c>
      <c r="BR90" s="68">
        <v>3</v>
      </c>
      <c r="BS90" s="1">
        <f t="shared" si="42"/>
        <v>30</v>
      </c>
      <c r="BT90" s="2">
        <f t="shared" si="30"/>
        <v>1</v>
      </c>
      <c r="BU90" s="2">
        <f t="shared" si="31"/>
        <v>0</v>
      </c>
      <c r="BV90" s="2">
        <f t="shared" si="32"/>
        <v>0</v>
      </c>
      <c r="BW90" s="2">
        <f t="shared" si="33"/>
        <v>0</v>
      </c>
      <c r="BX90" s="2">
        <f t="shared" si="34"/>
        <v>0</v>
      </c>
      <c r="BY90" s="2">
        <f t="shared" si="35"/>
        <v>0</v>
      </c>
      <c r="BZ90" s="2">
        <f t="shared" si="36"/>
        <v>0</v>
      </c>
      <c r="CA90" s="2">
        <f t="shared" si="37"/>
        <v>0</v>
      </c>
      <c r="CB90" s="2">
        <f t="shared" si="38"/>
        <v>0</v>
      </c>
      <c r="CC90" s="2">
        <f t="shared" si="39"/>
        <v>0</v>
      </c>
      <c r="CD90" s="2">
        <f t="shared" si="40"/>
        <v>0</v>
      </c>
      <c r="CE90" s="3"/>
      <c r="CG90" s="55">
        <v>0</v>
      </c>
      <c r="CH90" s="54">
        <v>0</v>
      </c>
      <c r="CI90" s="54">
        <v>0</v>
      </c>
      <c r="CJ90" s="54">
        <v>0</v>
      </c>
      <c r="CK90" s="54">
        <v>0</v>
      </c>
      <c r="CL90" s="54">
        <v>0</v>
      </c>
      <c r="CM90" s="54">
        <v>0</v>
      </c>
      <c r="CN90" s="54">
        <v>0</v>
      </c>
      <c r="CO90" s="54">
        <v>0</v>
      </c>
      <c r="CP90" s="54">
        <v>0</v>
      </c>
      <c r="CQ90" s="127">
        <f t="shared" si="43"/>
        <v>0</v>
      </c>
    </row>
    <row r="91" spans="1:95" ht="21.75" customHeight="1" x14ac:dyDescent="0.25">
      <c r="A91" s="45">
        <v>75</v>
      </c>
      <c r="B91" s="45" t="s">
        <v>185</v>
      </c>
      <c r="C91" s="80" t="s">
        <v>186</v>
      </c>
      <c r="D91" s="88"/>
      <c r="E91" s="137">
        <v>46235.333657407406</v>
      </c>
      <c r="F91" s="137">
        <v>1</v>
      </c>
      <c r="G91" s="137">
        <v>46236.332777777781</v>
      </c>
      <c r="H91" s="137">
        <v>1</v>
      </c>
      <c r="I91" s="137">
        <v>46237.332997685182</v>
      </c>
      <c r="J91" s="137">
        <v>1</v>
      </c>
      <c r="K91" s="137">
        <v>46238.335104166668</v>
      </c>
      <c r="L91" s="137">
        <v>1</v>
      </c>
      <c r="M91" s="137">
        <v>46239.332395833335</v>
      </c>
      <c r="N91" s="137">
        <v>1</v>
      </c>
      <c r="O91" s="137">
        <v>46240.328506944446</v>
      </c>
      <c r="P91" s="137">
        <v>1</v>
      </c>
      <c r="Q91" s="137">
        <v>46241.581041666665</v>
      </c>
      <c r="R91" s="137">
        <v>1</v>
      </c>
      <c r="S91" s="137">
        <v>46242.334097222221</v>
      </c>
      <c r="T91" s="137">
        <v>1</v>
      </c>
      <c r="U91" s="137">
        <v>46243.332280092596</v>
      </c>
      <c r="V91" s="137">
        <v>1</v>
      </c>
      <c r="W91" s="137">
        <v>46244.331076388888</v>
      </c>
      <c r="X91" s="137">
        <v>1</v>
      </c>
      <c r="Y91" s="137">
        <v>46245.333379629628</v>
      </c>
      <c r="Z91" s="137">
        <v>1</v>
      </c>
      <c r="AA91" s="137">
        <v>46246.332569444443</v>
      </c>
      <c r="AB91" s="137">
        <v>1</v>
      </c>
      <c r="AC91" s="137">
        <v>46247.343136574076</v>
      </c>
      <c r="AD91" s="137">
        <v>1</v>
      </c>
      <c r="AE91" s="137">
        <v>46248.579513888886</v>
      </c>
      <c r="AF91" s="137">
        <v>1</v>
      </c>
      <c r="AG91" s="137">
        <v>46249.333564814813</v>
      </c>
      <c r="AH91" s="137">
        <v>1</v>
      </c>
      <c r="AI91" s="109"/>
      <c r="AJ91" s="45">
        <v>75</v>
      </c>
      <c r="AK91" s="137">
        <v>46250.33357638889</v>
      </c>
      <c r="AL91" s="12">
        <v>1</v>
      </c>
      <c r="AM91" s="137">
        <v>46251.335046296299</v>
      </c>
      <c r="AN91" s="12">
        <v>1</v>
      </c>
      <c r="AO91" s="137">
        <v>46252.333171296297</v>
      </c>
      <c r="AP91" s="12">
        <v>1</v>
      </c>
      <c r="AQ91" s="137">
        <v>46253.334224537037</v>
      </c>
      <c r="AR91" s="12">
        <v>1</v>
      </c>
      <c r="AS91" s="137">
        <v>46254.333680555559</v>
      </c>
      <c r="AT91" s="12">
        <v>1</v>
      </c>
      <c r="AU91" s="137">
        <v>46255.580138888887</v>
      </c>
      <c r="AV91" s="137">
        <v>0</v>
      </c>
      <c r="AW91" s="137">
        <v>46256.333368055559</v>
      </c>
      <c r="AX91" s="137">
        <v>0</v>
      </c>
      <c r="AY91" s="137">
        <v>46257.342847222222</v>
      </c>
      <c r="AZ91" s="137">
        <v>0</v>
      </c>
      <c r="BA91" s="137">
        <v>46258.350925925923</v>
      </c>
      <c r="BB91" s="137">
        <v>0</v>
      </c>
      <c r="BC91" s="137">
        <v>46259.346712962964</v>
      </c>
      <c r="BD91" s="137">
        <v>0</v>
      </c>
      <c r="BE91" s="137">
        <v>46260.348321759258</v>
      </c>
      <c r="BF91" s="137">
        <v>0</v>
      </c>
      <c r="BG91" s="137">
        <v>46261.349756944444</v>
      </c>
      <c r="BH91" s="137">
        <v>0</v>
      </c>
      <c r="BI91" s="141" t="s">
        <v>15</v>
      </c>
      <c r="BJ91" s="141" t="s">
        <v>15</v>
      </c>
      <c r="BK91" s="137">
        <v>46263.335127314815</v>
      </c>
      <c r="BL91" s="137">
        <v>0</v>
      </c>
      <c r="BM91" s="137">
        <v>46264.337557870371</v>
      </c>
      <c r="BN91" s="170">
        <v>46264.903344907405</v>
      </c>
      <c r="BO91" s="170">
        <v>46265.331238425926</v>
      </c>
      <c r="BP91" s="170">
        <v>0</v>
      </c>
      <c r="BQ91" s="99">
        <f t="shared" si="16"/>
        <v>31</v>
      </c>
      <c r="BR91" s="68">
        <v>0</v>
      </c>
      <c r="BS91" s="1">
        <f t="shared" si="42"/>
        <v>30</v>
      </c>
      <c r="BT91" s="2">
        <f t="shared" si="30"/>
        <v>1</v>
      </c>
      <c r="BU91" s="2">
        <f t="shared" si="31"/>
        <v>0</v>
      </c>
      <c r="BV91" s="2">
        <f t="shared" si="32"/>
        <v>0</v>
      </c>
      <c r="BW91" s="2">
        <f t="shared" si="33"/>
        <v>0</v>
      </c>
      <c r="BX91" s="2">
        <f t="shared" si="34"/>
        <v>0</v>
      </c>
      <c r="BY91" s="2">
        <f t="shared" si="35"/>
        <v>0</v>
      </c>
      <c r="BZ91" s="2">
        <f t="shared" si="36"/>
        <v>0</v>
      </c>
      <c r="CA91" s="2">
        <f t="shared" si="37"/>
        <v>0</v>
      </c>
      <c r="CB91" s="2">
        <f t="shared" si="38"/>
        <v>0</v>
      </c>
      <c r="CC91" s="2">
        <f t="shared" si="39"/>
        <v>0</v>
      </c>
      <c r="CD91" s="2">
        <f t="shared" si="40"/>
        <v>0</v>
      </c>
      <c r="CE91" s="3"/>
      <c r="CG91" s="123">
        <v>0</v>
      </c>
      <c r="CH91" s="124">
        <v>0</v>
      </c>
      <c r="CI91" s="124">
        <v>0</v>
      </c>
      <c r="CJ91" s="124">
        <v>0</v>
      </c>
      <c r="CK91" s="124">
        <v>0</v>
      </c>
      <c r="CL91" s="124">
        <v>0</v>
      </c>
      <c r="CM91" s="124">
        <v>0</v>
      </c>
      <c r="CN91" s="124">
        <v>0</v>
      </c>
      <c r="CO91" s="124">
        <v>0</v>
      </c>
      <c r="CP91" s="124">
        <v>0</v>
      </c>
      <c r="CQ91" s="126">
        <f t="shared" si="43"/>
        <v>0</v>
      </c>
    </row>
    <row r="92" spans="1:95" ht="21.75" customHeight="1" x14ac:dyDescent="0.25">
      <c r="A92" s="45">
        <v>76</v>
      </c>
      <c r="B92" s="45" t="s">
        <v>187</v>
      </c>
      <c r="C92" s="80" t="s">
        <v>188</v>
      </c>
      <c r="D92" s="88">
        <v>45973</v>
      </c>
      <c r="E92" s="137">
        <v>46235.355185185188</v>
      </c>
      <c r="F92" s="137">
        <v>46235.96638888889</v>
      </c>
      <c r="G92" s="137">
        <v>46236.354259259257</v>
      </c>
      <c r="H92" s="137">
        <v>46236.96297453704</v>
      </c>
      <c r="I92" s="137">
        <v>46237.353796296295</v>
      </c>
      <c r="J92" s="137">
        <v>46237.973182870373</v>
      </c>
      <c r="K92" s="137">
        <v>46238.352847222224</v>
      </c>
      <c r="L92" s="137">
        <v>46238.954293981478</v>
      </c>
      <c r="M92" s="137">
        <v>46239.352997685186</v>
      </c>
      <c r="N92" s="137">
        <v>46239.95684027778</v>
      </c>
      <c r="O92" s="137">
        <v>46240.354375000003</v>
      </c>
      <c r="P92" s="137">
        <v>46240.971053240741</v>
      </c>
      <c r="Q92" s="141" t="s">
        <v>15</v>
      </c>
      <c r="R92" s="141" t="s">
        <v>15</v>
      </c>
      <c r="S92" s="137">
        <v>46242.35528935185</v>
      </c>
      <c r="T92" s="137">
        <v>46242.957696759258</v>
      </c>
      <c r="U92" s="137">
        <v>46243.351620370369</v>
      </c>
      <c r="V92" s="137">
        <v>46243.960752314815</v>
      </c>
      <c r="W92" s="137">
        <v>46244.356469907405</v>
      </c>
      <c r="X92" s="137">
        <v>46244.963842592595</v>
      </c>
      <c r="Y92" s="137">
        <v>46245.356435185182</v>
      </c>
      <c r="Z92" s="137">
        <v>46245.953958333332</v>
      </c>
      <c r="AA92" s="137">
        <v>46246.350844907407</v>
      </c>
      <c r="AB92" s="137">
        <v>46246.962800925925</v>
      </c>
      <c r="AC92" s="137">
        <v>46247.348449074074</v>
      </c>
      <c r="AD92" s="137">
        <v>46247.969537037039</v>
      </c>
      <c r="AE92" s="137">
        <v>46248.582037037035</v>
      </c>
      <c r="AF92" s="137">
        <v>1</v>
      </c>
      <c r="AG92" s="137">
        <v>46249.353078703702</v>
      </c>
      <c r="AH92" s="137">
        <v>46249.967199074075</v>
      </c>
      <c r="AI92" s="109"/>
      <c r="AJ92" s="45">
        <v>76</v>
      </c>
      <c r="AK92" s="137">
        <v>46250.352094907408</v>
      </c>
      <c r="AL92" s="137">
        <v>46262.96056712963</v>
      </c>
      <c r="AM92" s="137">
        <v>46251.35119212963</v>
      </c>
      <c r="AN92" s="137">
        <v>46251.963935185187</v>
      </c>
      <c r="AO92" s="137">
        <v>46252.350046296298</v>
      </c>
      <c r="AP92" s="137">
        <v>46252.972025462965</v>
      </c>
      <c r="AQ92" s="174" t="s">
        <v>171</v>
      </c>
      <c r="AR92" s="174" t="s">
        <v>171</v>
      </c>
      <c r="AS92" s="137">
        <v>46254.345960648148</v>
      </c>
      <c r="AT92" s="137">
        <v>46254.949953703705</v>
      </c>
      <c r="AU92" s="137">
        <v>46255.580740740741</v>
      </c>
      <c r="AV92" s="137">
        <v>46255.958414351851</v>
      </c>
      <c r="AW92" s="137">
        <v>46256.345983796295</v>
      </c>
      <c r="AX92" s="137">
        <v>46256.959328703706</v>
      </c>
      <c r="AY92" s="137">
        <v>46257.347268518519</v>
      </c>
      <c r="AZ92" s="137">
        <v>0</v>
      </c>
      <c r="BA92" s="137">
        <v>0</v>
      </c>
      <c r="BB92" s="137">
        <v>0</v>
      </c>
      <c r="BC92" s="137">
        <v>46259.375717592593</v>
      </c>
      <c r="BD92" s="137">
        <v>46259.952662037038</v>
      </c>
      <c r="BE92" s="137">
        <v>0</v>
      </c>
      <c r="BF92" s="137">
        <v>46260.938009259262</v>
      </c>
      <c r="BG92" s="174" t="s">
        <v>171</v>
      </c>
      <c r="BH92" s="174" t="s">
        <v>171</v>
      </c>
      <c r="BI92" s="137">
        <v>0</v>
      </c>
      <c r="BJ92" s="137">
        <v>46262.96056712963</v>
      </c>
      <c r="BK92" s="137">
        <v>46263.34983796296</v>
      </c>
      <c r="BL92" s="137">
        <v>0</v>
      </c>
      <c r="BM92" s="137">
        <v>46264.347974537035</v>
      </c>
      <c r="BN92" s="170">
        <v>46264.965914351851</v>
      </c>
      <c r="BO92" s="170">
        <v>46265.347511574073</v>
      </c>
      <c r="BP92" s="170">
        <v>46265.962685185186</v>
      </c>
      <c r="BQ92" s="99">
        <f t="shared" si="16"/>
        <v>31</v>
      </c>
      <c r="BR92" s="68">
        <v>3</v>
      </c>
      <c r="BS92" s="1">
        <f t="shared" si="42"/>
        <v>28</v>
      </c>
      <c r="BT92" s="2">
        <f t="shared" si="30"/>
        <v>1</v>
      </c>
      <c r="BU92" s="2">
        <f t="shared" si="31"/>
        <v>0</v>
      </c>
      <c r="BV92" s="2">
        <f t="shared" si="32"/>
        <v>0</v>
      </c>
      <c r="BW92" s="2">
        <f t="shared" si="33"/>
        <v>0</v>
      </c>
      <c r="BX92" s="2">
        <f t="shared" si="34"/>
        <v>0</v>
      </c>
      <c r="BY92" s="2">
        <f t="shared" si="35"/>
        <v>0</v>
      </c>
      <c r="BZ92" s="2">
        <f t="shared" si="36"/>
        <v>2</v>
      </c>
      <c r="CA92" s="2">
        <f t="shared" si="37"/>
        <v>0</v>
      </c>
      <c r="CB92" s="2">
        <f t="shared" si="38"/>
        <v>0</v>
      </c>
      <c r="CC92" s="2">
        <f t="shared" si="39"/>
        <v>0</v>
      </c>
      <c r="CD92" s="2">
        <f t="shared" si="40"/>
        <v>0</v>
      </c>
      <c r="CE92" s="3"/>
      <c r="CG92" s="55">
        <v>0</v>
      </c>
      <c r="CH92" s="54">
        <v>0</v>
      </c>
      <c r="CI92" s="54">
        <v>0</v>
      </c>
      <c r="CJ92" s="54">
        <v>0</v>
      </c>
      <c r="CK92" s="54">
        <v>0</v>
      </c>
      <c r="CL92" s="54">
        <v>1</v>
      </c>
      <c r="CM92" s="54">
        <v>0</v>
      </c>
      <c r="CN92" s="54">
        <v>0</v>
      </c>
      <c r="CO92" s="54">
        <v>0</v>
      </c>
      <c r="CP92" s="54">
        <v>0</v>
      </c>
      <c r="CQ92" s="127">
        <f t="shared" si="43"/>
        <v>1</v>
      </c>
    </row>
    <row r="93" spans="1:95" ht="19.5" customHeight="1" x14ac:dyDescent="0.25">
      <c r="A93" s="45">
        <v>77</v>
      </c>
      <c r="B93" s="45" t="s">
        <v>193</v>
      </c>
      <c r="C93" s="80" t="s">
        <v>194</v>
      </c>
      <c r="D93" s="88">
        <v>45995</v>
      </c>
      <c r="E93" s="137">
        <v>46235.354629629626</v>
      </c>
      <c r="F93" s="137">
        <v>46235.973055555558</v>
      </c>
      <c r="G93" s="137">
        <v>46236.353692129633</v>
      </c>
      <c r="H93" s="137">
        <v>46236.950983796298</v>
      </c>
      <c r="I93" s="137">
        <v>46237.353634259256</v>
      </c>
      <c r="J93" s="137">
        <v>46237.950509259259</v>
      </c>
      <c r="K93" s="137">
        <v>46238.354537037034</v>
      </c>
      <c r="L93" s="137">
        <v>46238.953287037039</v>
      </c>
      <c r="M93" s="137">
        <v>46239.354641203703</v>
      </c>
      <c r="N93" s="137">
        <v>46239.951238425929</v>
      </c>
      <c r="O93" s="137">
        <v>46240.352465277778</v>
      </c>
      <c r="P93" s="137">
        <v>1</v>
      </c>
      <c r="Q93" s="141" t="s">
        <v>15</v>
      </c>
      <c r="R93" s="141" t="s">
        <v>15</v>
      </c>
      <c r="S93" s="137">
        <v>46242.352314814816</v>
      </c>
      <c r="T93" s="137">
        <v>1</v>
      </c>
      <c r="U93" s="137">
        <v>46243.352824074071</v>
      </c>
      <c r="V93" s="137">
        <v>1</v>
      </c>
      <c r="W93" s="137">
        <v>46244.354189814818</v>
      </c>
      <c r="X93" s="137">
        <v>1</v>
      </c>
      <c r="Y93" s="137">
        <v>46245.353865740741</v>
      </c>
      <c r="Z93" s="137">
        <v>1</v>
      </c>
      <c r="AA93" s="137">
        <v>46246.352407407408</v>
      </c>
      <c r="AB93" s="137">
        <v>1</v>
      </c>
      <c r="AC93" s="137">
        <v>46247.352939814817</v>
      </c>
      <c r="AD93" s="137">
        <v>46247.975902777776</v>
      </c>
      <c r="AE93" s="137">
        <v>46248.578182870369</v>
      </c>
      <c r="AF93" s="137">
        <v>46248.951863425929</v>
      </c>
      <c r="AG93" s="137">
        <v>46249.371238425927</v>
      </c>
      <c r="AH93" s="137">
        <v>1</v>
      </c>
      <c r="AI93" s="109"/>
      <c r="AJ93" s="45">
        <v>77</v>
      </c>
      <c r="AK93" s="137">
        <v>46250.352592592593</v>
      </c>
      <c r="AL93" s="137">
        <v>46250.951990740738</v>
      </c>
      <c r="AM93" s="137">
        <v>46251.354560185187</v>
      </c>
      <c r="AN93" s="12">
        <v>1</v>
      </c>
      <c r="AO93" s="137">
        <v>46252.352222222224</v>
      </c>
      <c r="AP93" s="137">
        <v>46252.952210648145</v>
      </c>
      <c r="AQ93" s="137">
        <v>46253.352418981478</v>
      </c>
      <c r="AR93" s="137">
        <v>46253.952245370368</v>
      </c>
      <c r="AS93" s="137">
        <v>46254.352893518517</v>
      </c>
      <c r="AT93" s="12">
        <v>1</v>
      </c>
      <c r="AU93" s="141" t="s">
        <v>15</v>
      </c>
      <c r="AV93" s="141" t="s">
        <v>15</v>
      </c>
      <c r="AW93" s="137">
        <v>46256.350682870368</v>
      </c>
      <c r="AX93" s="137">
        <v>0</v>
      </c>
      <c r="AY93" s="137">
        <v>46257.352407407408</v>
      </c>
      <c r="AZ93" s="137">
        <v>0</v>
      </c>
      <c r="BA93" s="137">
        <v>46258.371527777781</v>
      </c>
      <c r="BB93" s="137">
        <v>46258.959097222221</v>
      </c>
      <c r="BC93" s="137">
        <v>46259.352685185186</v>
      </c>
      <c r="BD93" s="137">
        <v>0</v>
      </c>
      <c r="BE93" s="137">
        <v>0</v>
      </c>
      <c r="BF93" s="137">
        <v>46260.954212962963</v>
      </c>
      <c r="BG93" s="137">
        <v>46261.352222222224</v>
      </c>
      <c r="BH93" s="137">
        <v>46262.003067129626</v>
      </c>
      <c r="BI93" s="137">
        <v>46262.57534722222</v>
      </c>
      <c r="BJ93" s="137">
        <v>46262.951238425929</v>
      </c>
      <c r="BK93" s="137">
        <v>46263.351365740738</v>
      </c>
      <c r="BL93" s="137">
        <v>46263.968298611115</v>
      </c>
      <c r="BM93" s="137">
        <v>46264.353009259263</v>
      </c>
      <c r="BN93" s="170">
        <v>46264.872615740744</v>
      </c>
      <c r="BO93" s="170">
        <v>46265.353414351855</v>
      </c>
      <c r="BP93" s="170">
        <v>0</v>
      </c>
      <c r="BQ93" s="99">
        <f t="shared" si="16"/>
        <v>31</v>
      </c>
      <c r="BR93" s="68">
        <v>2</v>
      </c>
      <c r="BS93" s="1">
        <f t="shared" si="42"/>
        <v>29</v>
      </c>
      <c r="BT93" s="2">
        <f t="shared" si="30"/>
        <v>2</v>
      </c>
      <c r="BU93" s="2">
        <f t="shared" si="31"/>
        <v>0</v>
      </c>
      <c r="BV93" s="2">
        <f t="shared" si="32"/>
        <v>0</v>
      </c>
      <c r="BW93" s="2">
        <f t="shared" si="33"/>
        <v>0</v>
      </c>
      <c r="BX93" s="2">
        <f t="shared" si="34"/>
        <v>0</v>
      </c>
      <c r="BY93" s="2">
        <f t="shared" si="35"/>
        <v>0</v>
      </c>
      <c r="BZ93" s="2">
        <f t="shared" si="36"/>
        <v>0</v>
      </c>
      <c r="CA93" s="2">
        <f t="shared" si="37"/>
        <v>0</v>
      </c>
      <c r="CB93" s="2">
        <f t="shared" si="38"/>
        <v>0</v>
      </c>
      <c r="CC93" s="2">
        <f t="shared" si="39"/>
        <v>0</v>
      </c>
      <c r="CD93" s="2">
        <f t="shared" si="40"/>
        <v>0</v>
      </c>
      <c r="CE93" s="3"/>
      <c r="CG93" s="123">
        <v>0</v>
      </c>
      <c r="CH93" s="123">
        <v>0</v>
      </c>
      <c r="CI93" s="123">
        <v>0</v>
      </c>
      <c r="CJ93" s="123">
        <v>0</v>
      </c>
      <c r="CK93" s="123">
        <v>0</v>
      </c>
      <c r="CL93" s="123">
        <v>2</v>
      </c>
      <c r="CM93" s="123">
        <v>0</v>
      </c>
      <c r="CN93" s="123">
        <v>0</v>
      </c>
      <c r="CO93" s="123">
        <v>0</v>
      </c>
      <c r="CP93" s="123">
        <v>0</v>
      </c>
      <c r="CQ93" s="126">
        <f t="shared" si="43"/>
        <v>2</v>
      </c>
    </row>
    <row r="94" spans="1:95" ht="21.75" customHeight="1" x14ac:dyDescent="0.25">
      <c r="A94" s="45">
        <v>78</v>
      </c>
      <c r="B94" s="45" t="s">
        <v>195</v>
      </c>
      <c r="C94" s="80" t="s">
        <v>196</v>
      </c>
      <c r="D94" s="88">
        <v>46004</v>
      </c>
      <c r="E94" s="137">
        <v>46235.352662037039</v>
      </c>
      <c r="F94" s="137">
        <v>46235.969293981485</v>
      </c>
      <c r="G94" s="137">
        <v>46236.351724537039</v>
      </c>
      <c r="H94" s="137">
        <v>46236.948020833333</v>
      </c>
      <c r="I94" s="137">
        <v>46237.35324074074</v>
      </c>
      <c r="J94" s="137">
        <v>1</v>
      </c>
      <c r="K94" s="137">
        <v>46238.354456018518</v>
      </c>
      <c r="L94" s="137">
        <v>46238.9533912037</v>
      </c>
      <c r="M94" s="137">
        <v>46239.353854166664</v>
      </c>
      <c r="N94" s="137">
        <v>46239.951331018521</v>
      </c>
      <c r="O94" s="137">
        <v>46240.352395833332</v>
      </c>
      <c r="P94" s="137">
        <v>46240.983530092592</v>
      </c>
      <c r="Q94" s="141" t="s">
        <v>15</v>
      </c>
      <c r="R94" s="141" t="s">
        <v>15</v>
      </c>
      <c r="S94" s="137">
        <v>46242.352384259262</v>
      </c>
      <c r="T94" s="137">
        <v>1</v>
      </c>
      <c r="U94" s="137">
        <v>46243.352754629632</v>
      </c>
      <c r="V94" s="137">
        <v>46243.955138888887</v>
      </c>
      <c r="W94" s="137">
        <v>46244.354085648149</v>
      </c>
      <c r="X94" s="137">
        <v>46244.952222222222</v>
      </c>
      <c r="Y94" s="137">
        <v>46245.351099537038</v>
      </c>
      <c r="Z94" s="137">
        <v>46245.956689814811</v>
      </c>
      <c r="AA94" s="137">
        <v>46246.352824074071</v>
      </c>
      <c r="AB94" s="137">
        <v>1</v>
      </c>
      <c r="AC94" s="137">
        <v>46247.351736111108</v>
      </c>
      <c r="AD94" s="137">
        <v>1</v>
      </c>
      <c r="AE94" s="137">
        <v>46248.578738425924</v>
      </c>
      <c r="AF94" s="137">
        <v>46248.951574074075</v>
      </c>
      <c r="AG94" s="137">
        <v>46249.351620370369</v>
      </c>
      <c r="AH94" s="137">
        <v>46249.970358796294</v>
      </c>
      <c r="AI94" s="109"/>
      <c r="AJ94" s="45">
        <v>78</v>
      </c>
      <c r="AK94" s="137">
        <v>46250.352337962962</v>
      </c>
      <c r="AL94" s="12">
        <v>1</v>
      </c>
      <c r="AM94" s="137">
        <v>46251.354502314818</v>
      </c>
      <c r="AN94" s="137">
        <v>46251.955601851849</v>
      </c>
      <c r="AO94" s="137">
        <v>46252.352511574078</v>
      </c>
      <c r="AP94" s="137">
        <v>46252.95175925926</v>
      </c>
      <c r="AQ94" s="137">
        <v>46253.352511574078</v>
      </c>
      <c r="AR94" s="12">
        <v>1</v>
      </c>
      <c r="AS94" s="137">
        <v>46254.352847222224</v>
      </c>
      <c r="AT94" s="12">
        <v>1</v>
      </c>
      <c r="AU94" s="141" t="s">
        <v>15</v>
      </c>
      <c r="AV94" s="141" t="s">
        <v>15</v>
      </c>
      <c r="AW94" s="137">
        <v>46256.351574074077</v>
      </c>
      <c r="AX94" s="137">
        <v>46256.968136574076</v>
      </c>
      <c r="AY94" s="137">
        <v>46257.350995370369</v>
      </c>
      <c r="AZ94" s="137">
        <v>46257.947615740741</v>
      </c>
      <c r="BA94" s="137">
        <v>46258.351342592592</v>
      </c>
      <c r="BB94" s="137">
        <v>46258.950231481482</v>
      </c>
      <c r="BC94" s="137">
        <v>46259.353888888887</v>
      </c>
      <c r="BD94" s="137">
        <v>46259.946886574071</v>
      </c>
      <c r="BE94" s="137">
        <v>46260.368252314816</v>
      </c>
      <c r="BF94" s="137">
        <v>46260.946875000001</v>
      </c>
      <c r="BG94" s="137">
        <v>46261.352372685185</v>
      </c>
      <c r="BH94" s="137">
        <v>0</v>
      </c>
      <c r="BI94" s="137">
        <v>46262.580451388887</v>
      </c>
      <c r="BJ94" s="137">
        <v>46262.950706018521</v>
      </c>
      <c r="BK94" s="137">
        <v>46263.351284722223</v>
      </c>
      <c r="BL94" s="137">
        <v>46263.965868055559</v>
      </c>
      <c r="BM94" s="137">
        <v>46264.35297453704</v>
      </c>
      <c r="BN94" s="170">
        <v>46264.954143518517</v>
      </c>
      <c r="BO94" s="170">
        <v>46265.351655092592</v>
      </c>
      <c r="BP94" s="170">
        <v>46265.94972222222</v>
      </c>
      <c r="BQ94" s="99">
        <f t="shared" si="16"/>
        <v>31</v>
      </c>
      <c r="BR94" s="68">
        <v>2</v>
      </c>
      <c r="BS94" s="1">
        <f t="shared" si="42"/>
        <v>29</v>
      </c>
      <c r="BT94" s="2">
        <f t="shared" si="30"/>
        <v>2</v>
      </c>
      <c r="BU94" s="2">
        <f t="shared" si="31"/>
        <v>0</v>
      </c>
      <c r="BV94" s="2">
        <f t="shared" si="32"/>
        <v>0</v>
      </c>
      <c r="BW94" s="2">
        <f t="shared" si="33"/>
        <v>0</v>
      </c>
      <c r="BX94" s="2">
        <f t="shared" si="34"/>
        <v>0</v>
      </c>
      <c r="BY94" s="2">
        <f t="shared" si="35"/>
        <v>0</v>
      </c>
      <c r="BZ94" s="2">
        <f t="shared" si="36"/>
        <v>0</v>
      </c>
      <c r="CA94" s="2">
        <f t="shared" si="37"/>
        <v>0</v>
      </c>
      <c r="CB94" s="2">
        <f t="shared" si="38"/>
        <v>0</v>
      </c>
      <c r="CC94" s="2">
        <f t="shared" si="39"/>
        <v>0</v>
      </c>
      <c r="CD94" s="2">
        <f t="shared" si="40"/>
        <v>0</v>
      </c>
      <c r="CE94" s="3"/>
      <c r="CG94" s="70">
        <v>0</v>
      </c>
      <c r="CH94" s="70">
        <v>0</v>
      </c>
      <c r="CI94" s="70">
        <v>0</v>
      </c>
      <c r="CJ94" s="70">
        <v>0</v>
      </c>
      <c r="CK94" s="70">
        <v>0</v>
      </c>
      <c r="CL94" s="70">
        <v>3</v>
      </c>
      <c r="CM94" s="70">
        <v>0</v>
      </c>
      <c r="CN94" s="70">
        <v>0</v>
      </c>
      <c r="CO94" s="70">
        <v>0</v>
      </c>
      <c r="CP94" s="70">
        <v>0</v>
      </c>
      <c r="CQ94" s="128">
        <f t="shared" si="43"/>
        <v>3</v>
      </c>
    </row>
    <row r="95" spans="1:95" ht="21.75" customHeight="1" x14ac:dyDescent="0.25">
      <c r="A95" s="45">
        <v>79</v>
      </c>
      <c r="B95" s="45" t="s">
        <v>198</v>
      </c>
      <c r="C95" s="80" t="s">
        <v>200</v>
      </c>
      <c r="D95" s="88">
        <v>46007</v>
      </c>
      <c r="E95" s="137">
        <v>46235.348252314812</v>
      </c>
      <c r="F95" s="137">
        <v>46235.980196759258</v>
      </c>
      <c r="G95" s="137">
        <v>46236.344606481478</v>
      </c>
      <c r="H95" s="137">
        <v>46236.991122685184</v>
      </c>
      <c r="I95" s="137">
        <v>46237.350486111114</v>
      </c>
      <c r="J95" s="137">
        <v>46237.968124999999</v>
      </c>
      <c r="K95" s="137">
        <v>46238.348657407405</v>
      </c>
      <c r="L95" s="137">
        <v>46238.944398148145</v>
      </c>
      <c r="M95" s="137">
        <v>46239.348599537036</v>
      </c>
      <c r="N95" s="137">
        <v>46239.964953703704</v>
      </c>
      <c r="O95" s="137">
        <v>46240.348067129627</v>
      </c>
      <c r="P95" s="137">
        <v>46240.96980324074</v>
      </c>
      <c r="Q95" s="141" t="s">
        <v>15</v>
      </c>
      <c r="R95" s="141" t="s">
        <v>15</v>
      </c>
      <c r="S95" s="137">
        <v>46242.349328703705</v>
      </c>
      <c r="T95" s="137">
        <v>46242.987812500003</v>
      </c>
      <c r="U95" s="137">
        <v>46243.350995370369</v>
      </c>
      <c r="V95" s="137">
        <v>46243.937847222223</v>
      </c>
      <c r="W95" s="137">
        <v>46244.347939814812</v>
      </c>
      <c r="X95" s="137">
        <v>46244.965428240743</v>
      </c>
      <c r="Y95" s="137">
        <v>46245.349421296298</v>
      </c>
      <c r="Z95" s="137">
        <v>46245.925659722219</v>
      </c>
      <c r="AA95" s="137">
        <v>46246.347881944443</v>
      </c>
      <c r="AB95" s="137">
        <v>46246.993923611109</v>
      </c>
      <c r="AC95" s="137">
        <v>46247.348993055559</v>
      </c>
      <c r="AD95" s="137">
        <v>46247.98164351852</v>
      </c>
      <c r="AE95" s="137">
        <v>46248.578865740739</v>
      </c>
      <c r="AF95" s="137">
        <v>46248.936192129629</v>
      </c>
      <c r="AG95" s="137">
        <v>46249.349097222221</v>
      </c>
      <c r="AH95" s="137">
        <v>46249.971909722219</v>
      </c>
      <c r="AI95" s="116"/>
      <c r="AJ95" s="45">
        <v>79</v>
      </c>
      <c r="AK95" s="137">
        <v>46250.345590277779</v>
      </c>
      <c r="AL95" s="137">
        <v>46262.919907407406</v>
      </c>
      <c r="AM95" s="137">
        <v>46251.345023148147</v>
      </c>
      <c r="AN95" s="137">
        <v>46251.939965277779</v>
      </c>
      <c r="AO95" s="137">
        <v>46252.349293981482</v>
      </c>
      <c r="AP95" s="137">
        <v>46252.941759259258</v>
      </c>
      <c r="AQ95" s="137">
        <v>46253.351655092592</v>
      </c>
      <c r="AR95" s="137">
        <v>46254.002106481479</v>
      </c>
      <c r="AS95" s="137">
        <v>46254.346099537041</v>
      </c>
      <c r="AT95" s="137">
        <v>46254.947372685187</v>
      </c>
      <c r="AU95" s="141" t="s">
        <v>15</v>
      </c>
      <c r="AV95" s="141" t="s">
        <v>15</v>
      </c>
      <c r="AW95" s="137">
        <v>46256.346932870372</v>
      </c>
      <c r="AX95" s="137">
        <v>46256.927465277775</v>
      </c>
      <c r="AY95" s="137">
        <v>46257.348402777781</v>
      </c>
      <c r="AZ95" s="137">
        <v>46257.937673611108</v>
      </c>
      <c r="BA95" s="137">
        <v>46258.352361111109</v>
      </c>
      <c r="BB95" s="137">
        <v>46258.981365740743</v>
      </c>
      <c r="BC95" s="137">
        <v>46259.352581018517</v>
      </c>
      <c r="BD95" s="137">
        <v>46259.930810185186</v>
      </c>
      <c r="BE95" s="137">
        <v>46260.368194444447</v>
      </c>
      <c r="BF95" s="137">
        <v>46260.97320601852</v>
      </c>
      <c r="BG95" s="137">
        <v>46261.346354166664</v>
      </c>
      <c r="BH95" s="137">
        <v>46261.958692129629</v>
      </c>
      <c r="BI95" s="137">
        <v>0</v>
      </c>
      <c r="BJ95" s="137">
        <v>46262.919907407406</v>
      </c>
      <c r="BK95" s="137">
        <v>46263.346284722225</v>
      </c>
      <c r="BL95" s="137">
        <v>46263.958541666667</v>
      </c>
      <c r="BM95" s="137">
        <v>46264.351087962961</v>
      </c>
      <c r="BN95" s="170">
        <v>46264.958935185183</v>
      </c>
      <c r="BO95" s="170">
        <v>46265.352071759262</v>
      </c>
      <c r="BP95" s="170">
        <v>46265.94</v>
      </c>
      <c r="BQ95" s="99">
        <f t="shared" si="16"/>
        <v>31</v>
      </c>
      <c r="BR95" s="68">
        <v>2</v>
      </c>
      <c r="BS95" s="1">
        <f t="shared" si="42"/>
        <v>29</v>
      </c>
      <c r="BT95" s="2">
        <f t="shared" si="30"/>
        <v>2</v>
      </c>
      <c r="BU95" s="2">
        <f t="shared" si="31"/>
        <v>0</v>
      </c>
      <c r="BV95" s="2">
        <f t="shared" si="32"/>
        <v>0</v>
      </c>
      <c r="BW95" s="2">
        <f t="shared" si="33"/>
        <v>0</v>
      </c>
      <c r="BX95" s="2">
        <f t="shared" si="34"/>
        <v>0</v>
      </c>
      <c r="BY95" s="2">
        <f t="shared" si="35"/>
        <v>0</v>
      </c>
      <c r="BZ95" s="2">
        <f t="shared" si="36"/>
        <v>0</v>
      </c>
      <c r="CA95" s="2">
        <f t="shared" si="37"/>
        <v>0</v>
      </c>
      <c r="CB95" s="2">
        <f t="shared" si="38"/>
        <v>0</v>
      </c>
      <c r="CC95" s="2">
        <f t="shared" si="39"/>
        <v>0</v>
      </c>
      <c r="CD95" s="2">
        <f t="shared" si="40"/>
        <v>0</v>
      </c>
      <c r="CE95" s="3"/>
      <c r="CG95" s="123">
        <v>0</v>
      </c>
      <c r="CH95" s="123">
        <v>0</v>
      </c>
      <c r="CI95" s="123">
        <v>0</v>
      </c>
      <c r="CJ95" s="123">
        <v>0</v>
      </c>
      <c r="CK95" s="123">
        <v>0</v>
      </c>
      <c r="CL95" s="123">
        <v>1</v>
      </c>
      <c r="CM95" s="123">
        <v>0</v>
      </c>
      <c r="CN95" s="123">
        <v>0</v>
      </c>
      <c r="CO95" s="123">
        <v>0</v>
      </c>
      <c r="CP95" s="123">
        <v>0</v>
      </c>
      <c r="CQ95" s="126">
        <f t="shared" si="43"/>
        <v>1</v>
      </c>
    </row>
    <row r="96" spans="1:95" ht="22.5" customHeight="1" x14ac:dyDescent="0.25">
      <c r="A96" s="45">
        <v>80</v>
      </c>
      <c r="B96" s="45" t="s">
        <v>199</v>
      </c>
      <c r="C96" s="80" t="s">
        <v>201</v>
      </c>
      <c r="D96" s="88">
        <v>46007</v>
      </c>
      <c r="E96" s="137">
        <v>46235.352743055555</v>
      </c>
      <c r="F96" s="137">
        <v>46235.971331018518</v>
      </c>
      <c r="G96" s="137">
        <v>46236.35255787037</v>
      </c>
      <c r="H96" s="137">
        <v>46236.948287037034</v>
      </c>
      <c r="I96" s="137">
        <v>46237.353356481479</v>
      </c>
      <c r="J96" s="137">
        <v>46237.950185185182</v>
      </c>
      <c r="K96" s="137">
        <v>46238.354502314818</v>
      </c>
      <c r="L96" s="137">
        <v>46238.951493055552</v>
      </c>
      <c r="M96" s="137">
        <v>46239.353807870371</v>
      </c>
      <c r="N96" s="137">
        <v>46239.948460648149</v>
      </c>
      <c r="O96" s="137">
        <v>46240.353159722225</v>
      </c>
      <c r="P96" s="137">
        <v>46240.983657407407</v>
      </c>
      <c r="Q96" s="137">
        <v>46241.579525462963</v>
      </c>
      <c r="R96" s="137">
        <v>46241.945856481485</v>
      </c>
      <c r="S96" s="137">
        <v>46242.35255787037</v>
      </c>
      <c r="T96" s="137">
        <v>46242.973287037035</v>
      </c>
      <c r="U96" s="137">
        <v>46243.353055555555</v>
      </c>
      <c r="V96" s="137">
        <v>46243.955034722225</v>
      </c>
      <c r="W96" s="137">
        <v>46244.354050925926</v>
      </c>
      <c r="X96" s="137">
        <v>46244.949513888889</v>
      </c>
      <c r="Y96" s="137">
        <v>46245.352939814817</v>
      </c>
      <c r="Z96" s="137">
        <v>46245.945196759261</v>
      </c>
      <c r="AA96" s="137">
        <v>46246.353368055556</v>
      </c>
      <c r="AB96" s="137">
        <v>46246.946655092594</v>
      </c>
      <c r="AC96" s="137">
        <v>46247.353229166663</v>
      </c>
      <c r="AD96" s="137">
        <v>1</v>
      </c>
      <c r="AE96" s="141" t="s">
        <v>15</v>
      </c>
      <c r="AF96" s="141" t="s">
        <v>15</v>
      </c>
      <c r="AG96" s="137">
        <v>46249.351550925923</v>
      </c>
      <c r="AH96" s="137">
        <v>46249.970555555556</v>
      </c>
      <c r="AI96" s="116"/>
      <c r="AJ96" s="45">
        <v>80</v>
      </c>
      <c r="AK96" s="137">
        <v>46250.35297453704</v>
      </c>
      <c r="AL96" s="12">
        <v>1</v>
      </c>
      <c r="AM96" s="137">
        <v>46251.354375000003</v>
      </c>
      <c r="AN96" s="137">
        <v>46251.946018518516</v>
      </c>
      <c r="AO96" s="137">
        <v>46252.352314814816</v>
      </c>
      <c r="AP96" s="137">
        <v>46252.946828703702</v>
      </c>
      <c r="AQ96" s="137">
        <v>46253.352685185186</v>
      </c>
      <c r="AR96" s="137">
        <v>46253.952013888891</v>
      </c>
      <c r="AS96" s="137">
        <v>46254.353298611109</v>
      </c>
      <c r="AT96" s="137">
        <v>46254.972314814811</v>
      </c>
      <c r="AU96" s="137">
        <v>46255.580231481479</v>
      </c>
      <c r="AV96" s="137">
        <v>46254.972314814811</v>
      </c>
      <c r="AW96" s="137">
        <v>46256.353460648148</v>
      </c>
      <c r="AX96" s="137">
        <v>46256.966550925928</v>
      </c>
      <c r="AY96" s="137">
        <v>46257.353530092594</v>
      </c>
      <c r="AZ96" s="137">
        <v>46257.943854166668</v>
      </c>
      <c r="BA96" s="137">
        <v>46258.352395833332</v>
      </c>
      <c r="BB96" s="137">
        <v>46258.949861111112</v>
      </c>
      <c r="BC96" s="137">
        <v>46259.350231481483</v>
      </c>
      <c r="BD96" s="137">
        <v>46259.950046296297</v>
      </c>
      <c r="BE96" s="137">
        <v>46260.349178240744</v>
      </c>
      <c r="BF96" s="137">
        <v>46260.945231481484</v>
      </c>
      <c r="BG96" s="137">
        <v>46261.353564814817</v>
      </c>
      <c r="BH96" s="137">
        <v>46261.975428240738</v>
      </c>
      <c r="BI96" s="141" t="s">
        <v>15</v>
      </c>
      <c r="BJ96" s="141" t="s">
        <v>15</v>
      </c>
      <c r="BK96" s="137">
        <v>46263.35361111111</v>
      </c>
      <c r="BL96" s="137">
        <v>46263.96398148148</v>
      </c>
      <c r="BM96" s="137">
        <v>46264.353865740741</v>
      </c>
      <c r="BN96" s="170">
        <v>0</v>
      </c>
      <c r="BO96" s="170">
        <v>46265.351886574077</v>
      </c>
      <c r="BP96" s="170">
        <v>46265.954004629632</v>
      </c>
      <c r="BQ96" s="99">
        <f t="shared" si="16"/>
        <v>31</v>
      </c>
      <c r="BR96" s="68">
        <v>2</v>
      </c>
      <c r="BS96" s="1">
        <f t="shared" si="42"/>
        <v>29</v>
      </c>
      <c r="BT96" s="2">
        <f t="shared" si="30"/>
        <v>2</v>
      </c>
      <c r="BU96" s="2">
        <f t="shared" si="31"/>
        <v>0</v>
      </c>
      <c r="BV96" s="2">
        <f t="shared" si="32"/>
        <v>0</v>
      </c>
      <c r="BW96" s="2">
        <f t="shared" si="33"/>
        <v>0</v>
      </c>
      <c r="BX96" s="2">
        <f t="shared" si="34"/>
        <v>0</v>
      </c>
      <c r="BY96" s="2">
        <f t="shared" si="35"/>
        <v>0</v>
      </c>
      <c r="BZ96" s="2">
        <f t="shared" si="36"/>
        <v>0</v>
      </c>
      <c r="CA96" s="2">
        <f t="shared" si="37"/>
        <v>0</v>
      </c>
      <c r="CB96" s="2">
        <f t="shared" si="38"/>
        <v>0</v>
      </c>
      <c r="CC96" s="2">
        <f t="shared" si="39"/>
        <v>0</v>
      </c>
      <c r="CD96" s="2">
        <f t="shared" si="40"/>
        <v>0</v>
      </c>
      <c r="CE96" s="3"/>
      <c r="CG96" s="70">
        <v>0</v>
      </c>
      <c r="CH96" s="70">
        <v>0</v>
      </c>
      <c r="CI96" s="70">
        <v>0</v>
      </c>
      <c r="CJ96" s="70">
        <v>0</v>
      </c>
      <c r="CK96" s="70">
        <v>0</v>
      </c>
      <c r="CL96" s="70">
        <v>0</v>
      </c>
      <c r="CM96" s="70">
        <v>0</v>
      </c>
      <c r="CN96" s="70">
        <v>0</v>
      </c>
      <c r="CO96" s="70">
        <v>0</v>
      </c>
      <c r="CP96" s="70">
        <v>0</v>
      </c>
      <c r="CQ96" s="128">
        <f t="shared" si="43"/>
        <v>0</v>
      </c>
    </row>
    <row r="97" spans="1:95" ht="22.5" customHeight="1" x14ac:dyDescent="0.25">
      <c r="A97" s="45">
        <v>81</v>
      </c>
      <c r="B97" s="45" t="s">
        <v>202</v>
      </c>
      <c r="C97" s="80" t="s">
        <v>203</v>
      </c>
      <c r="D97" s="88">
        <v>46008</v>
      </c>
      <c r="E97" s="137">
        <v>46235.352314814816</v>
      </c>
      <c r="F97" s="137">
        <v>46235.962384259263</v>
      </c>
      <c r="G97" s="137">
        <v>46236.351631944446</v>
      </c>
      <c r="H97" s="137">
        <v>46236.958379629628</v>
      </c>
      <c r="I97" s="137">
        <v>46237.352326388886</v>
      </c>
      <c r="J97" s="137">
        <v>46237.945150462961</v>
      </c>
      <c r="K97" s="137">
        <v>46238.352881944447</v>
      </c>
      <c r="L97" s="137">
        <v>46238.945729166669</v>
      </c>
      <c r="M97" s="137">
        <v>46239.353252314817</v>
      </c>
      <c r="N97" s="137">
        <v>46239.94021990741</v>
      </c>
      <c r="O97" s="137">
        <v>46240.352013888885</v>
      </c>
      <c r="P97" s="137">
        <v>46240.941319444442</v>
      </c>
      <c r="Q97" s="137">
        <v>46241.582233796296</v>
      </c>
      <c r="R97" s="137">
        <v>46241.910775462966</v>
      </c>
      <c r="S97" s="137">
        <v>46242.352418981478</v>
      </c>
      <c r="T97" s="137">
        <v>46242.966782407406</v>
      </c>
      <c r="U97" s="137">
        <v>46243.352719907409</v>
      </c>
      <c r="V97" s="137">
        <v>46243.96193287037</v>
      </c>
      <c r="W97" s="137">
        <v>46244.352349537039</v>
      </c>
      <c r="X97" s="137">
        <v>46244.958055555559</v>
      </c>
      <c r="Y97" s="137">
        <v>46245.35229166667</v>
      </c>
      <c r="Z97" s="137">
        <v>46245.9375462963</v>
      </c>
      <c r="AA97" s="137">
        <v>46246.351840277777</v>
      </c>
      <c r="AB97" s="137">
        <v>46246.941793981481</v>
      </c>
      <c r="AC97" s="137">
        <v>46247.3516087963</v>
      </c>
      <c r="AD97" s="137">
        <v>46247.963229166664</v>
      </c>
      <c r="AE97" s="141" t="s">
        <v>15</v>
      </c>
      <c r="AF97" s="141" t="s">
        <v>15</v>
      </c>
      <c r="AG97" s="137">
        <v>46249.353472222225</v>
      </c>
      <c r="AH97" s="137">
        <v>46249.959039351852</v>
      </c>
      <c r="AI97" s="116"/>
      <c r="AJ97" s="45">
        <v>81</v>
      </c>
      <c r="AK97" s="137">
        <v>46250.352731481478</v>
      </c>
      <c r="AL97" s="12">
        <v>1</v>
      </c>
      <c r="AM97" s="137">
        <v>46251.352719907409</v>
      </c>
      <c r="AN97" s="137">
        <v>46251.94090277778</v>
      </c>
      <c r="AO97" s="137">
        <v>46252.351840277777</v>
      </c>
      <c r="AP97" s="137">
        <v>46252.938645833332</v>
      </c>
      <c r="AQ97" s="137">
        <v>46253.353842592594</v>
      </c>
      <c r="AR97" s="137">
        <v>46253.971631944441</v>
      </c>
      <c r="AS97" s="137">
        <v>46254.353125000001</v>
      </c>
      <c r="AT97" s="137">
        <v>46254.959988425922</v>
      </c>
      <c r="AU97" s="137">
        <v>46255.580706018518</v>
      </c>
      <c r="AV97" s="137">
        <v>46255.928680555553</v>
      </c>
      <c r="AW97" s="137">
        <v>46256.353344907409</v>
      </c>
      <c r="AX97" s="137">
        <v>46256.959965277776</v>
      </c>
      <c r="AY97" s="137">
        <v>46257.351087962961</v>
      </c>
      <c r="AZ97" s="137">
        <v>46257.938726851855</v>
      </c>
      <c r="BA97" s="137">
        <v>46258.344583333332</v>
      </c>
      <c r="BB97" s="137">
        <v>46258.944768518515</v>
      </c>
      <c r="BC97" s="137">
        <v>46259.353831018518</v>
      </c>
      <c r="BD97" s="137">
        <v>46259.94458333333</v>
      </c>
      <c r="BE97" s="137">
        <v>46260.368402777778</v>
      </c>
      <c r="BF97" s="137">
        <v>46260.943368055552</v>
      </c>
      <c r="BG97" s="137">
        <v>46261.352708333332</v>
      </c>
      <c r="BH97" s="137">
        <v>46261.972256944442</v>
      </c>
      <c r="BI97" s="141" t="s">
        <v>15</v>
      </c>
      <c r="BJ97" s="141" t="s">
        <v>15</v>
      </c>
      <c r="BK97" s="137">
        <v>46263.351944444446</v>
      </c>
      <c r="BL97" s="137">
        <v>46263.961469907408</v>
      </c>
      <c r="BM97" s="137">
        <v>46264.351400462961</v>
      </c>
      <c r="BN97" s="170">
        <v>46264.943645833337</v>
      </c>
      <c r="BO97" s="170">
        <v>46265.352800925924</v>
      </c>
      <c r="BP97" s="170">
        <v>46265.939479166664</v>
      </c>
      <c r="BQ97" s="99">
        <f t="shared" si="16"/>
        <v>31</v>
      </c>
      <c r="BR97" s="68">
        <v>2</v>
      </c>
      <c r="BS97" s="1">
        <f t="shared" si="42"/>
        <v>29</v>
      </c>
      <c r="BT97" s="2">
        <f t="shared" si="30"/>
        <v>2</v>
      </c>
      <c r="BU97" s="2">
        <f t="shared" si="31"/>
        <v>0</v>
      </c>
      <c r="BV97" s="2">
        <f t="shared" si="32"/>
        <v>0</v>
      </c>
      <c r="BW97" s="2">
        <f t="shared" si="33"/>
        <v>0</v>
      </c>
      <c r="BX97" s="2">
        <f t="shared" si="34"/>
        <v>0</v>
      </c>
      <c r="BY97" s="2">
        <f t="shared" si="35"/>
        <v>0</v>
      </c>
      <c r="BZ97" s="2">
        <f t="shared" si="36"/>
        <v>0</v>
      </c>
      <c r="CA97" s="2">
        <f t="shared" si="37"/>
        <v>0</v>
      </c>
      <c r="CB97" s="2">
        <f t="shared" si="38"/>
        <v>0</v>
      </c>
      <c r="CC97" s="2">
        <f t="shared" si="39"/>
        <v>0</v>
      </c>
      <c r="CD97" s="2">
        <f t="shared" si="40"/>
        <v>0</v>
      </c>
      <c r="CE97" s="3"/>
      <c r="CG97" s="123">
        <v>0</v>
      </c>
      <c r="CH97" s="123">
        <v>0</v>
      </c>
      <c r="CI97" s="123">
        <v>0</v>
      </c>
      <c r="CJ97" s="123">
        <v>0</v>
      </c>
      <c r="CK97" s="123">
        <v>0</v>
      </c>
      <c r="CL97" s="123">
        <v>12</v>
      </c>
      <c r="CM97" s="123">
        <v>0</v>
      </c>
      <c r="CN97" s="123">
        <v>0</v>
      </c>
      <c r="CO97" s="123">
        <v>0</v>
      </c>
      <c r="CP97" s="123">
        <v>0</v>
      </c>
      <c r="CQ97" s="126">
        <f t="shared" si="43"/>
        <v>12</v>
      </c>
    </row>
    <row r="98" spans="1:95" ht="22.5" customHeight="1" x14ac:dyDescent="0.25">
      <c r="A98" s="45">
        <v>82</v>
      </c>
      <c r="B98" s="45" t="s">
        <v>204</v>
      </c>
      <c r="C98" s="80" t="s">
        <v>205</v>
      </c>
      <c r="D98" s="88">
        <v>46018</v>
      </c>
      <c r="E98" s="137">
        <v>46235.324178240742</v>
      </c>
      <c r="F98" s="137">
        <v>46235.97457175926</v>
      </c>
      <c r="G98" s="137">
        <v>46236.330243055556</v>
      </c>
      <c r="H98" s="137">
        <v>46236.958692129629</v>
      </c>
      <c r="I98" s="137">
        <v>46237.33085648148</v>
      </c>
      <c r="J98" s="137">
        <v>46237.960277777776</v>
      </c>
      <c r="K98" s="137">
        <v>46238.32880787037</v>
      </c>
      <c r="L98" s="137">
        <v>46238.956597222219</v>
      </c>
      <c r="M98" s="137">
        <v>46239.330092592594</v>
      </c>
      <c r="N98" s="137">
        <v>46239.955347222225</v>
      </c>
      <c r="O98" s="137">
        <v>46240.323900462965</v>
      </c>
      <c r="P98" s="137">
        <v>46240.982685185183</v>
      </c>
      <c r="Q98" s="137">
        <v>46241.577222222222</v>
      </c>
      <c r="R98" s="137">
        <v>46241.958993055552</v>
      </c>
      <c r="S98" s="137">
        <v>46242.327592592592</v>
      </c>
      <c r="T98" s="137">
        <v>46242.973298611112</v>
      </c>
      <c r="U98" s="137">
        <v>46243.328263888892</v>
      </c>
      <c r="V98" s="137">
        <v>46243.965150462966</v>
      </c>
      <c r="W98" s="137">
        <v>46244.341053240743</v>
      </c>
      <c r="X98" s="137">
        <v>46244.957870370374</v>
      </c>
      <c r="Y98" s="137">
        <v>46245.331782407404</v>
      </c>
      <c r="Z98" s="137">
        <v>46245.962245370371</v>
      </c>
      <c r="AA98" s="137">
        <v>46246.330300925925</v>
      </c>
      <c r="AB98" s="137">
        <v>46246.956284722219</v>
      </c>
      <c r="AC98" s="137">
        <v>46247.329027777778</v>
      </c>
      <c r="AD98" s="137">
        <v>46247.983287037037</v>
      </c>
      <c r="AE98" s="141" t="s">
        <v>15</v>
      </c>
      <c r="AF98" s="141" t="s">
        <v>15</v>
      </c>
      <c r="AG98" s="137">
        <v>46249.326469907406</v>
      </c>
      <c r="AH98" s="137">
        <v>46249.971122685187</v>
      </c>
      <c r="AI98" s="116"/>
      <c r="AJ98" s="45">
        <v>82</v>
      </c>
      <c r="AK98" s="137">
        <v>46250.328865740739</v>
      </c>
      <c r="AL98" s="12">
        <v>1</v>
      </c>
      <c r="AM98" s="137">
        <v>46251.329027777778</v>
      </c>
      <c r="AN98" s="137">
        <v>46251.958437499998</v>
      </c>
      <c r="AO98" s="137">
        <v>46252.328842592593</v>
      </c>
      <c r="AP98" s="137">
        <v>46252.959097222221</v>
      </c>
      <c r="AQ98" s="137">
        <v>46253.329583333332</v>
      </c>
      <c r="AR98" s="137">
        <v>46253.955081018517</v>
      </c>
      <c r="AS98" s="137">
        <v>46254.330567129633</v>
      </c>
      <c r="AT98" s="137">
        <v>46254.97216435185</v>
      </c>
      <c r="AU98" s="137">
        <v>46255.56181712963</v>
      </c>
      <c r="AV98" s="137">
        <v>46255.9768287037</v>
      </c>
      <c r="AW98" s="137">
        <v>46256.325648148151</v>
      </c>
      <c r="AX98" s="137">
        <v>46256.968240740738</v>
      </c>
      <c r="AY98" s="137">
        <v>46257.328796296293</v>
      </c>
      <c r="AZ98" s="137">
        <v>46257.953611111108</v>
      </c>
      <c r="BA98" s="137">
        <v>46258.353680555556</v>
      </c>
      <c r="BB98" s="137">
        <v>46258.955636574072</v>
      </c>
      <c r="BC98" s="137">
        <v>46259.351388888892</v>
      </c>
      <c r="BD98" s="137">
        <v>46259.962245370371</v>
      </c>
      <c r="BE98" s="137">
        <v>46260.351712962962</v>
      </c>
      <c r="BF98" s="137">
        <v>46260.951979166668</v>
      </c>
      <c r="BG98" s="137">
        <v>46261.32953703704</v>
      </c>
      <c r="BH98" s="137">
        <v>46261.972349537034</v>
      </c>
      <c r="BI98" s="137">
        <v>46262.575682870367</v>
      </c>
      <c r="BJ98" s="137">
        <v>0</v>
      </c>
      <c r="BK98" s="137">
        <v>46263.328101851854</v>
      </c>
      <c r="BL98" s="137">
        <v>0</v>
      </c>
      <c r="BM98" s="137">
        <v>46264.327025462961</v>
      </c>
      <c r="BN98" s="170">
        <v>46264.954942129632</v>
      </c>
      <c r="BO98" s="170">
        <v>46265.329363425924</v>
      </c>
      <c r="BP98" s="170">
        <v>46265.955949074072</v>
      </c>
      <c r="BQ98" s="99">
        <f t="shared" si="16"/>
        <v>31</v>
      </c>
      <c r="BR98" s="68">
        <v>3</v>
      </c>
      <c r="BS98" s="1">
        <f t="shared" si="42"/>
        <v>30</v>
      </c>
      <c r="BT98" s="2">
        <f t="shared" si="30"/>
        <v>1</v>
      </c>
      <c r="BU98" s="2">
        <f t="shared" si="31"/>
        <v>0</v>
      </c>
      <c r="BV98" s="2">
        <f t="shared" si="32"/>
        <v>0</v>
      </c>
      <c r="BW98" s="2">
        <f t="shared" si="33"/>
        <v>0</v>
      </c>
      <c r="BX98" s="2">
        <f t="shared" si="34"/>
        <v>0</v>
      </c>
      <c r="BY98" s="2">
        <f t="shared" si="35"/>
        <v>0</v>
      </c>
      <c r="BZ98" s="2">
        <f t="shared" si="36"/>
        <v>0</v>
      </c>
      <c r="CA98" s="2">
        <f t="shared" si="37"/>
        <v>0</v>
      </c>
      <c r="CB98" s="2">
        <f t="shared" si="38"/>
        <v>0</v>
      </c>
      <c r="CC98" s="2">
        <f t="shared" si="39"/>
        <v>0</v>
      </c>
      <c r="CD98" s="2">
        <f t="shared" si="40"/>
        <v>0</v>
      </c>
      <c r="CE98" s="3"/>
      <c r="CG98" s="70">
        <v>0</v>
      </c>
      <c r="CH98" s="70">
        <v>0</v>
      </c>
      <c r="CI98" s="70">
        <v>0</v>
      </c>
      <c r="CJ98" s="70">
        <v>0</v>
      </c>
      <c r="CK98" s="70">
        <v>0</v>
      </c>
      <c r="CL98" s="70">
        <v>0</v>
      </c>
      <c r="CM98" s="70">
        <v>0</v>
      </c>
      <c r="CN98" s="70">
        <v>0</v>
      </c>
      <c r="CO98" s="70">
        <v>0</v>
      </c>
      <c r="CP98" s="70">
        <v>0</v>
      </c>
      <c r="CQ98" s="128">
        <f t="shared" si="43"/>
        <v>0</v>
      </c>
    </row>
    <row r="99" spans="1:95" ht="22.5" customHeight="1" x14ac:dyDescent="0.25">
      <c r="A99" s="45">
        <v>83</v>
      </c>
      <c r="B99" s="45" t="s">
        <v>206</v>
      </c>
      <c r="C99" s="80" t="s">
        <v>208</v>
      </c>
      <c r="D99" s="88">
        <v>46022</v>
      </c>
      <c r="E99" s="137">
        <v>46235.342627314814</v>
      </c>
      <c r="F99" s="137">
        <v>46235.972754629627</v>
      </c>
      <c r="G99" s="137">
        <v>46236.346990740742</v>
      </c>
      <c r="H99" s="137">
        <v>46236.991608796299</v>
      </c>
      <c r="I99" s="137">
        <v>46237.342141203706</v>
      </c>
      <c r="J99" s="137">
        <v>46237.968402777777</v>
      </c>
      <c r="K99" s="137">
        <v>46238.344675925924</v>
      </c>
      <c r="L99" s="137">
        <v>46238.94431712963</v>
      </c>
      <c r="M99" s="137">
        <v>46239.346087962964</v>
      </c>
      <c r="N99" s="137">
        <v>46239.96534722222</v>
      </c>
      <c r="O99" s="137">
        <v>46240.342974537038</v>
      </c>
      <c r="P99" s="137">
        <v>46240.970185185186</v>
      </c>
      <c r="Q99" s="141" t="s">
        <v>15</v>
      </c>
      <c r="R99" s="141" t="s">
        <v>15</v>
      </c>
      <c r="S99" s="137">
        <v>46242.344409722224</v>
      </c>
      <c r="T99" s="137">
        <v>46242.988229166665</v>
      </c>
      <c r="U99" s="137">
        <v>46243.340543981481</v>
      </c>
      <c r="V99" s="137">
        <v>46243.93818287037</v>
      </c>
      <c r="W99" s="137">
        <v>46244.340601851851</v>
      </c>
      <c r="X99" s="137">
        <v>46244.967847222222</v>
      </c>
      <c r="Y99" s="137">
        <v>46245.341226851851</v>
      </c>
      <c r="Z99" s="137">
        <v>46245.922488425924</v>
      </c>
      <c r="AA99" s="137">
        <v>46246.34097222222</v>
      </c>
      <c r="AB99" s="137">
        <v>46246.994189814817</v>
      </c>
      <c r="AC99" s="137">
        <v>46247.340543981481</v>
      </c>
      <c r="AD99" s="137">
        <v>46247.981921296298</v>
      </c>
      <c r="AE99" s="137">
        <v>46248.580925925926</v>
      </c>
      <c r="AF99" s="137">
        <v>46248.928981481484</v>
      </c>
      <c r="AG99" s="137">
        <v>46249.344699074078</v>
      </c>
      <c r="AH99" s="137">
        <v>46249.972083333334</v>
      </c>
      <c r="AI99" s="116"/>
      <c r="AJ99" s="45">
        <v>83</v>
      </c>
      <c r="AK99" s="137">
        <v>46250.342870370368</v>
      </c>
      <c r="AL99" s="137">
        <v>46262.920057870368</v>
      </c>
      <c r="AM99" s="137">
        <v>46251.3437037037</v>
      </c>
      <c r="AN99" s="137">
        <v>46251.94021990741</v>
      </c>
      <c r="AO99" s="137">
        <v>46252.339363425926</v>
      </c>
      <c r="AP99" s="137">
        <v>46252.943576388891</v>
      </c>
      <c r="AQ99" s="137">
        <v>46253.342581018522</v>
      </c>
      <c r="AR99" s="137">
        <v>46253.985324074078</v>
      </c>
      <c r="AS99" s="137">
        <v>46254.34207175926</v>
      </c>
      <c r="AT99" s="137">
        <v>46254.947511574072</v>
      </c>
      <c r="AU99" s="141" t="s">
        <v>15</v>
      </c>
      <c r="AV99" s="141" t="s">
        <v>15</v>
      </c>
      <c r="AW99" s="137">
        <v>46256.343136574076</v>
      </c>
      <c r="AX99" s="137">
        <v>46256.932673611111</v>
      </c>
      <c r="AY99" s="137">
        <v>46257.342928240738</v>
      </c>
      <c r="AZ99" s="137">
        <v>46257.937789351854</v>
      </c>
      <c r="BA99" s="137">
        <v>46258.351736111108</v>
      </c>
      <c r="BB99" s="137">
        <v>46258.952673611115</v>
      </c>
      <c r="BC99" s="137">
        <v>46259.327013888891</v>
      </c>
      <c r="BD99" s="137">
        <v>46259.930717592593</v>
      </c>
      <c r="BE99" s="137">
        <v>46260.326736111114</v>
      </c>
      <c r="BF99" s="137">
        <v>46260.973819444444</v>
      </c>
      <c r="BG99" s="137">
        <v>46261.344085648147</v>
      </c>
      <c r="BH99" s="137">
        <v>46261.958749999998</v>
      </c>
      <c r="BI99" s="137">
        <v>0</v>
      </c>
      <c r="BJ99" s="137">
        <v>46262.920057870368</v>
      </c>
      <c r="BK99" s="137">
        <v>46263.34171296296</v>
      </c>
      <c r="BL99" s="137">
        <v>46263.959097222221</v>
      </c>
      <c r="BM99" s="137">
        <v>46264.344155092593</v>
      </c>
      <c r="BN99" s="170">
        <v>46264.959664351853</v>
      </c>
      <c r="BO99" s="170">
        <v>46265.344375000001</v>
      </c>
      <c r="BP99" s="170">
        <v>46265.941192129627</v>
      </c>
      <c r="BQ99" s="99">
        <f t="shared" si="16"/>
        <v>31</v>
      </c>
      <c r="BR99" s="68">
        <v>2</v>
      </c>
      <c r="BS99" s="1">
        <f t="shared" si="42"/>
        <v>29</v>
      </c>
      <c r="BT99" s="2">
        <f t="shared" si="30"/>
        <v>2</v>
      </c>
      <c r="BU99" s="2">
        <f t="shared" si="31"/>
        <v>0</v>
      </c>
      <c r="BV99" s="2">
        <f t="shared" si="32"/>
        <v>0</v>
      </c>
      <c r="BW99" s="2">
        <f t="shared" si="33"/>
        <v>0</v>
      </c>
      <c r="BX99" s="2">
        <f t="shared" si="34"/>
        <v>0</v>
      </c>
      <c r="BY99" s="2">
        <f t="shared" si="35"/>
        <v>0</v>
      </c>
      <c r="BZ99" s="2">
        <f t="shared" si="36"/>
        <v>0</v>
      </c>
      <c r="CA99" s="2">
        <f t="shared" si="37"/>
        <v>0</v>
      </c>
      <c r="CB99" s="2">
        <f t="shared" si="38"/>
        <v>0</v>
      </c>
      <c r="CC99" s="2">
        <f t="shared" si="39"/>
        <v>0</v>
      </c>
      <c r="CD99" s="2">
        <f t="shared" si="40"/>
        <v>0</v>
      </c>
      <c r="CE99" s="3"/>
      <c r="CG99" s="123">
        <v>0</v>
      </c>
      <c r="CH99" s="123">
        <v>0</v>
      </c>
      <c r="CI99" s="123">
        <v>0</v>
      </c>
      <c r="CJ99" s="123">
        <v>0</v>
      </c>
      <c r="CK99" s="123">
        <v>0</v>
      </c>
      <c r="CL99" s="123">
        <v>0</v>
      </c>
      <c r="CM99" s="123">
        <v>0</v>
      </c>
      <c r="CN99" s="123">
        <v>0</v>
      </c>
      <c r="CO99" s="123">
        <v>0</v>
      </c>
      <c r="CP99" s="123">
        <v>0</v>
      </c>
      <c r="CQ99" s="126">
        <f t="shared" si="43"/>
        <v>0</v>
      </c>
    </row>
    <row r="100" spans="1:95" ht="22.5" customHeight="1" x14ac:dyDescent="0.25">
      <c r="A100" s="45">
        <v>84</v>
      </c>
      <c r="B100" s="45" t="s">
        <v>207</v>
      </c>
      <c r="C100" s="80" t="s">
        <v>209</v>
      </c>
      <c r="D100" s="88">
        <v>46022</v>
      </c>
      <c r="E100" s="137">
        <v>46235.334282407406</v>
      </c>
      <c r="F100" s="137">
        <v>46235.972546296296</v>
      </c>
      <c r="G100" s="137">
        <v>46236.336875000001</v>
      </c>
      <c r="H100" s="137">
        <v>46236.992060185185</v>
      </c>
      <c r="I100" s="137">
        <v>46237.34165509259</v>
      </c>
      <c r="J100" s="137">
        <v>46237.968969907408</v>
      </c>
      <c r="K100" s="137">
        <v>46238.344363425924</v>
      </c>
      <c r="L100" s="137">
        <v>46238.944803240738</v>
      </c>
      <c r="M100" s="137">
        <v>46239.339675925927</v>
      </c>
      <c r="N100" s="137">
        <v>46239.965439814812</v>
      </c>
      <c r="O100" s="137">
        <v>46240.344780092593</v>
      </c>
      <c r="P100" s="137">
        <v>46240.970416666663</v>
      </c>
      <c r="Q100" s="137">
        <v>46241.583784722221</v>
      </c>
      <c r="R100" s="137">
        <v>46241.938379629632</v>
      </c>
      <c r="S100" s="137">
        <v>46242.343981481485</v>
      </c>
      <c r="T100" s="137">
        <v>46242.987962962965</v>
      </c>
      <c r="U100" s="137">
        <v>46243.340752314813</v>
      </c>
      <c r="V100" s="137">
        <v>46243.938125000001</v>
      </c>
      <c r="W100" s="137">
        <v>46244.343356481484</v>
      </c>
      <c r="X100" s="137">
        <v>46244.965497685182</v>
      </c>
      <c r="Y100" s="137">
        <v>46245.343055555553</v>
      </c>
      <c r="Z100" s="137">
        <v>46245.926018518519</v>
      </c>
      <c r="AA100" s="137">
        <v>46246.345567129632</v>
      </c>
      <c r="AB100" s="137">
        <v>46246.994571759256</v>
      </c>
      <c r="AC100" s="137">
        <v>46247.34002314815</v>
      </c>
      <c r="AD100" s="137">
        <v>46247.980856481481</v>
      </c>
      <c r="AE100" s="141" t="s">
        <v>15</v>
      </c>
      <c r="AF100" s="141" t="s">
        <v>15</v>
      </c>
      <c r="AG100" s="137">
        <v>46249.342303240737</v>
      </c>
      <c r="AH100" s="137">
        <v>46249.972175925926</v>
      </c>
      <c r="AI100" s="116"/>
      <c r="AJ100" s="45">
        <v>84</v>
      </c>
      <c r="AK100" s="137">
        <v>46250.343923611108</v>
      </c>
      <c r="AL100" s="12">
        <v>1</v>
      </c>
      <c r="AM100" s="137">
        <v>46251.341921296298</v>
      </c>
      <c r="AN100" s="137">
        <v>46251.941724537035</v>
      </c>
      <c r="AO100" s="137">
        <v>46252.345937500002</v>
      </c>
      <c r="AP100" s="137">
        <v>46252.945196759261</v>
      </c>
      <c r="AQ100" s="137">
        <v>46253.337048611109</v>
      </c>
      <c r="AR100" s="137">
        <v>46253.986180555556</v>
      </c>
      <c r="AS100" s="137">
        <v>46254.345925925925</v>
      </c>
      <c r="AT100" s="137">
        <v>46254.947604166664</v>
      </c>
      <c r="AU100" s="137">
        <v>46255.582071759258</v>
      </c>
      <c r="AV100" s="137">
        <v>46255.919178240743</v>
      </c>
      <c r="AW100" s="137">
        <v>46256.343969907408</v>
      </c>
      <c r="AX100" s="137">
        <v>46256.939120370371</v>
      </c>
      <c r="AY100" s="137">
        <v>46257.335416666669</v>
      </c>
      <c r="AZ100" s="137">
        <v>46257.937534722223</v>
      </c>
      <c r="BA100" s="137">
        <v>46258.327766203707</v>
      </c>
      <c r="BB100" s="137">
        <v>46258.952210648145</v>
      </c>
      <c r="BC100" s="137">
        <v>46259.341412037036</v>
      </c>
      <c r="BD100" s="137">
        <v>46259.932488425926</v>
      </c>
      <c r="BE100" s="137">
        <v>46260.344652777778</v>
      </c>
      <c r="BF100" s="137">
        <v>46260.973668981482</v>
      </c>
      <c r="BG100" s="137">
        <v>46261.340949074074</v>
      </c>
      <c r="BH100" s="137">
        <v>46261.958611111113</v>
      </c>
      <c r="BI100" s="137">
        <v>46262.582928240743</v>
      </c>
      <c r="BJ100" s="137">
        <v>0</v>
      </c>
      <c r="BK100" s="137">
        <v>46263.33662037037</v>
      </c>
      <c r="BL100" s="137">
        <v>46263.958622685182</v>
      </c>
      <c r="BM100" s="137">
        <v>46264.343356481484</v>
      </c>
      <c r="BN100" s="170">
        <v>46264.959849537037</v>
      </c>
      <c r="BO100" s="170">
        <v>46265.343009259261</v>
      </c>
      <c r="BP100" s="170">
        <v>46265.941111111111</v>
      </c>
      <c r="BQ100" s="99">
        <f t="shared" si="16"/>
        <v>31</v>
      </c>
      <c r="BR100" s="68">
        <v>3</v>
      </c>
      <c r="BS100" s="1">
        <f t="shared" si="42"/>
        <v>30</v>
      </c>
      <c r="BT100" s="2">
        <f t="shared" si="30"/>
        <v>1</v>
      </c>
      <c r="BU100" s="2">
        <f t="shared" si="31"/>
        <v>0</v>
      </c>
      <c r="BV100" s="2">
        <f t="shared" si="32"/>
        <v>0</v>
      </c>
      <c r="BW100" s="2">
        <f t="shared" si="33"/>
        <v>0</v>
      </c>
      <c r="BX100" s="2">
        <f t="shared" si="34"/>
        <v>0</v>
      </c>
      <c r="BY100" s="2">
        <f t="shared" si="35"/>
        <v>0</v>
      </c>
      <c r="BZ100" s="2">
        <f t="shared" si="36"/>
        <v>0</v>
      </c>
      <c r="CA100" s="2">
        <f t="shared" si="37"/>
        <v>0</v>
      </c>
      <c r="CB100" s="2">
        <f t="shared" si="38"/>
        <v>0</v>
      </c>
      <c r="CC100" s="2">
        <f t="shared" si="39"/>
        <v>0</v>
      </c>
      <c r="CD100" s="2">
        <f t="shared" si="40"/>
        <v>0</v>
      </c>
      <c r="CE100" s="3"/>
      <c r="CG100" s="55">
        <v>0</v>
      </c>
      <c r="CH100" s="54">
        <v>0</v>
      </c>
      <c r="CI100" s="54">
        <v>0</v>
      </c>
      <c r="CJ100" s="54">
        <v>0</v>
      </c>
      <c r="CK100" s="54">
        <v>0</v>
      </c>
      <c r="CL100" s="54">
        <v>2</v>
      </c>
      <c r="CM100" s="54">
        <v>0</v>
      </c>
      <c r="CN100" s="54">
        <v>0</v>
      </c>
      <c r="CO100" s="54">
        <v>0</v>
      </c>
      <c r="CP100" s="54">
        <v>0</v>
      </c>
      <c r="CQ100" s="127">
        <f t="shared" si="43"/>
        <v>2</v>
      </c>
    </row>
    <row r="101" spans="1:95" ht="22.5" customHeight="1" x14ac:dyDescent="0.25">
      <c r="A101" s="45">
        <v>85</v>
      </c>
      <c r="B101" s="45" t="s">
        <v>210</v>
      </c>
      <c r="C101" s="80" t="s">
        <v>211</v>
      </c>
      <c r="D101" s="88">
        <v>46038</v>
      </c>
      <c r="E101" s="137">
        <v>46235.353946759256</v>
      </c>
      <c r="F101" s="137">
        <v>46235.968206018515</v>
      </c>
      <c r="G101" s="137">
        <v>46236.352835648147</v>
      </c>
      <c r="H101" s="137">
        <v>46236.949652777781</v>
      </c>
      <c r="I101" s="137">
        <v>46237.353958333333</v>
      </c>
      <c r="J101" s="137">
        <v>46237.946493055555</v>
      </c>
      <c r="K101" s="137">
        <v>46238.354479166665</v>
      </c>
      <c r="L101" s="137">
        <v>46238.949178240742</v>
      </c>
      <c r="M101" s="137">
        <v>46239.35496527778</v>
      </c>
      <c r="N101" s="137">
        <v>46239.948645833334</v>
      </c>
      <c r="O101" s="137">
        <v>46240.352280092593</v>
      </c>
      <c r="P101" s="137">
        <v>46240.972800925927</v>
      </c>
      <c r="Q101" s="137">
        <v>46241.58152777778</v>
      </c>
      <c r="R101" s="137">
        <v>46241.943958333337</v>
      </c>
      <c r="S101" s="137">
        <v>46242.352893518517</v>
      </c>
      <c r="T101" s="137">
        <v>46242.97252314815</v>
      </c>
      <c r="U101" s="137">
        <v>46243.353171296294</v>
      </c>
      <c r="V101" s="137">
        <v>46243.952418981484</v>
      </c>
      <c r="W101" s="137">
        <v>46244.353981481479</v>
      </c>
      <c r="X101" s="137">
        <v>1</v>
      </c>
      <c r="Y101" s="137">
        <v>46245.353692129633</v>
      </c>
      <c r="Z101" s="137">
        <v>46245.951226851852</v>
      </c>
      <c r="AA101" s="137">
        <v>46246.353437500002</v>
      </c>
      <c r="AB101" s="137">
        <v>46246.946736111109</v>
      </c>
      <c r="AC101" s="137">
        <v>46247.352060185185</v>
      </c>
      <c r="AD101" s="137">
        <v>1</v>
      </c>
      <c r="AE101" s="141" t="s">
        <v>15</v>
      </c>
      <c r="AF101" s="141" t="s">
        <v>15</v>
      </c>
      <c r="AG101" s="140">
        <v>46249.352638888886</v>
      </c>
      <c r="AH101" s="137">
        <v>46249.969224537039</v>
      </c>
      <c r="AI101" s="109"/>
      <c r="AJ101" s="45">
        <v>85</v>
      </c>
      <c r="AK101" s="137">
        <v>46250.353101851855</v>
      </c>
      <c r="AL101" s="137">
        <v>0</v>
      </c>
      <c r="AM101" s="137">
        <v>46251.354409722226</v>
      </c>
      <c r="AN101" s="137">
        <v>46251.949143518519</v>
      </c>
      <c r="AO101" s="137">
        <v>46252.354247685187</v>
      </c>
      <c r="AP101" s="137">
        <v>46252.948611111111</v>
      </c>
      <c r="AQ101" s="137">
        <v>46253.353078703702</v>
      </c>
      <c r="AR101" s="137">
        <v>46253.946053240739</v>
      </c>
      <c r="AS101" s="137">
        <v>46254.353622685187</v>
      </c>
      <c r="AT101" s="137">
        <v>46254.972581018519</v>
      </c>
      <c r="AU101" s="137">
        <v>46255.583090277774</v>
      </c>
      <c r="AV101" s="137">
        <v>46255.94604166667</v>
      </c>
      <c r="AW101" s="137">
        <v>46256.353935185187</v>
      </c>
      <c r="AX101" s="137">
        <v>46256.964629629627</v>
      </c>
      <c r="AY101" s="137">
        <v>46257.354062500002</v>
      </c>
      <c r="AZ101" s="137">
        <v>46257.946122685185</v>
      </c>
      <c r="BA101" s="137">
        <v>46258.347858796296</v>
      </c>
      <c r="BB101" s="137">
        <v>46258.955312500002</v>
      </c>
      <c r="BC101" s="137">
        <v>46259.352025462962</v>
      </c>
      <c r="BD101" s="137">
        <v>46259.947268518517</v>
      </c>
      <c r="BE101" s="137">
        <v>46260.34814814815</v>
      </c>
      <c r="BF101" s="137">
        <v>46260.947835648149</v>
      </c>
      <c r="BG101" s="137">
        <v>46261.352777777778</v>
      </c>
      <c r="BH101" s="137">
        <v>46261.975115740737</v>
      </c>
      <c r="BI101" s="141" t="s">
        <v>15</v>
      </c>
      <c r="BJ101" s="141" t="s">
        <v>15</v>
      </c>
      <c r="BK101" s="137">
        <v>46263.354837962965</v>
      </c>
      <c r="BL101" s="137">
        <v>46263.964016203703</v>
      </c>
      <c r="BM101" s="137">
        <v>46264.353668981479</v>
      </c>
      <c r="BN101" s="170">
        <v>46264.952604166669</v>
      </c>
      <c r="BO101" s="170">
        <v>46265.351793981485</v>
      </c>
      <c r="BP101" s="170">
        <v>0</v>
      </c>
      <c r="BQ101" s="99">
        <f t="shared" si="16"/>
        <v>31</v>
      </c>
      <c r="BR101" s="68">
        <v>1</v>
      </c>
      <c r="BS101" s="1">
        <f t="shared" si="42"/>
        <v>29</v>
      </c>
      <c r="BT101" s="2">
        <f t="shared" si="30"/>
        <v>2</v>
      </c>
      <c r="BU101" s="2">
        <f t="shared" si="31"/>
        <v>0</v>
      </c>
      <c r="BV101" s="2">
        <f t="shared" si="32"/>
        <v>0</v>
      </c>
      <c r="BW101" s="2">
        <f t="shared" si="33"/>
        <v>0</v>
      </c>
      <c r="BX101" s="2">
        <f t="shared" si="34"/>
        <v>0</v>
      </c>
      <c r="BY101" s="2">
        <f t="shared" si="35"/>
        <v>0</v>
      </c>
      <c r="BZ101" s="2">
        <f t="shared" si="36"/>
        <v>0</v>
      </c>
      <c r="CA101" s="2">
        <f t="shared" si="37"/>
        <v>0</v>
      </c>
      <c r="CB101" s="2">
        <f t="shared" si="38"/>
        <v>0</v>
      </c>
      <c r="CC101" s="2">
        <f t="shared" si="39"/>
        <v>0</v>
      </c>
      <c r="CD101" s="2">
        <f t="shared" si="40"/>
        <v>0</v>
      </c>
      <c r="CE101" s="3" t="s">
        <v>273</v>
      </c>
      <c r="CG101" s="129">
        <v>0</v>
      </c>
      <c r="CH101" s="130">
        <v>0</v>
      </c>
      <c r="CI101" s="130">
        <v>0</v>
      </c>
      <c r="CJ101" s="130">
        <v>0</v>
      </c>
      <c r="CK101" s="130">
        <v>0</v>
      </c>
      <c r="CL101" s="130">
        <v>1</v>
      </c>
      <c r="CM101" s="130">
        <v>0</v>
      </c>
      <c r="CN101" s="130">
        <v>0</v>
      </c>
      <c r="CO101" s="130">
        <v>0</v>
      </c>
      <c r="CP101" s="130">
        <v>0</v>
      </c>
      <c r="CQ101" s="126">
        <f t="shared" si="43"/>
        <v>1</v>
      </c>
    </row>
    <row r="102" spans="1:95" ht="22.5" customHeight="1" x14ac:dyDescent="0.25">
      <c r="A102" s="45">
        <v>86</v>
      </c>
      <c r="B102" s="45" t="s">
        <v>213</v>
      </c>
      <c r="C102" s="80" t="s">
        <v>215</v>
      </c>
      <c r="D102" s="88">
        <v>46051</v>
      </c>
      <c r="E102" s="137">
        <v>46235.348333333335</v>
      </c>
      <c r="F102" s="137">
        <v>46235.965416666666</v>
      </c>
      <c r="G102" s="137">
        <v>46236.350555555553</v>
      </c>
      <c r="H102" s="137">
        <v>46236.971400462964</v>
      </c>
      <c r="I102" s="137">
        <v>46237.352465277778</v>
      </c>
      <c r="J102" s="137">
        <v>46237.963680555556</v>
      </c>
      <c r="K102" s="137">
        <v>46238.353206018517</v>
      </c>
      <c r="L102" s="137">
        <v>46238.940428240741</v>
      </c>
      <c r="M102" s="137">
        <v>46239.344606481478</v>
      </c>
      <c r="N102" s="137">
        <v>46239.958414351851</v>
      </c>
      <c r="O102" s="137">
        <v>46240.346909722219</v>
      </c>
      <c r="P102" s="137">
        <v>46240.9690625</v>
      </c>
      <c r="Q102" s="137">
        <v>46241.574189814812</v>
      </c>
      <c r="R102" s="137">
        <v>46241.937650462962</v>
      </c>
      <c r="S102" s="137">
        <v>46242.351018518515</v>
      </c>
      <c r="T102" s="137">
        <v>46242.979189814818</v>
      </c>
      <c r="U102" s="137">
        <v>46243.346446759257</v>
      </c>
      <c r="V102" s="137">
        <v>46243.938402777778</v>
      </c>
      <c r="W102" s="137">
        <v>46244.350335648145</v>
      </c>
      <c r="X102" s="137">
        <v>1</v>
      </c>
      <c r="Y102" s="137">
        <v>46245.344768518517</v>
      </c>
      <c r="Z102" s="137">
        <v>46245.923680555556</v>
      </c>
      <c r="AA102" s="137">
        <v>46246.351238425923</v>
      </c>
      <c r="AB102" s="137">
        <v>46246.965324074074</v>
      </c>
      <c r="AC102" s="137">
        <v>46247.353773148148</v>
      </c>
      <c r="AD102" s="137">
        <v>46247.970891203702</v>
      </c>
      <c r="AE102" s="141" t="s">
        <v>15</v>
      </c>
      <c r="AF102" s="141" t="s">
        <v>15</v>
      </c>
      <c r="AG102" s="137">
        <v>46249.344652777778</v>
      </c>
      <c r="AH102" s="137">
        <v>46249.966863425929</v>
      </c>
      <c r="AI102" s="116"/>
      <c r="AJ102" s="45">
        <v>86</v>
      </c>
      <c r="AK102" s="137">
        <v>46250.349942129629</v>
      </c>
      <c r="AL102" s="137">
        <v>46250.949108796296</v>
      </c>
      <c r="AM102" s="137">
        <v>46251.353125000001</v>
      </c>
      <c r="AN102" s="137">
        <v>46251.927569444444</v>
      </c>
      <c r="AO102" s="137">
        <v>46252.344641203701</v>
      </c>
      <c r="AP102" s="137">
        <v>46252.940925925926</v>
      </c>
      <c r="AQ102" s="137">
        <v>46253.349212962959</v>
      </c>
      <c r="AR102" s="137">
        <v>46253.974085648151</v>
      </c>
      <c r="AS102" s="137">
        <v>46254.353796296295</v>
      </c>
      <c r="AT102" s="137">
        <v>46254.947094907409</v>
      </c>
      <c r="AU102" s="137">
        <v>46255.568113425928</v>
      </c>
      <c r="AV102" s="137">
        <v>46254.947094907409</v>
      </c>
      <c r="AW102" s="137">
        <v>46256.352314814816</v>
      </c>
      <c r="AX102" s="137">
        <v>46256.958402777775</v>
      </c>
      <c r="AY102" s="137">
        <v>46257.339872685188</v>
      </c>
      <c r="AZ102" s="137">
        <v>46257.931875000002</v>
      </c>
      <c r="BA102" s="137">
        <v>46258.34884259259</v>
      </c>
      <c r="BB102" s="137">
        <v>46258.951412037037</v>
      </c>
      <c r="BC102" s="137">
        <v>46259.352395833332</v>
      </c>
      <c r="BD102" s="137">
        <v>46259.937905092593</v>
      </c>
      <c r="BE102" s="137">
        <v>46260.368217592593</v>
      </c>
      <c r="BF102" s="137">
        <v>46260.966631944444</v>
      </c>
      <c r="BG102" s="137">
        <v>46261.350173611114</v>
      </c>
      <c r="BH102" s="137">
        <v>46261.952048611114</v>
      </c>
      <c r="BI102" s="137">
        <v>46262.559803240743</v>
      </c>
      <c r="BJ102" s="137">
        <v>0</v>
      </c>
      <c r="BK102" s="137">
        <v>46263.327245370368</v>
      </c>
      <c r="BL102" s="137">
        <v>46263.916944444441</v>
      </c>
      <c r="BM102" s="137">
        <v>46264.323888888888</v>
      </c>
      <c r="BN102" s="170">
        <v>46264.94803240741</v>
      </c>
      <c r="BO102" s="170">
        <v>46265.329143518517</v>
      </c>
      <c r="BP102" s="170">
        <v>46265.918599537035</v>
      </c>
      <c r="BQ102" s="99">
        <f t="shared" si="16"/>
        <v>31</v>
      </c>
      <c r="BR102" s="68">
        <v>3</v>
      </c>
      <c r="BS102" s="1">
        <f t="shared" si="42"/>
        <v>30</v>
      </c>
      <c r="BT102" s="2">
        <f t="shared" si="30"/>
        <v>1</v>
      </c>
      <c r="BU102" s="2">
        <f t="shared" si="31"/>
        <v>0</v>
      </c>
      <c r="BV102" s="2">
        <f t="shared" si="32"/>
        <v>0</v>
      </c>
      <c r="BW102" s="2">
        <f t="shared" si="33"/>
        <v>0</v>
      </c>
      <c r="BX102" s="2">
        <f t="shared" si="34"/>
        <v>0</v>
      </c>
      <c r="BY102" s="2">
        <f t="shared" si="35"/>
        <v>0</v>
      </c>
      <c r="BZ102" s="2">
        <f t="shared" si="36"/>
        <v>0</v>
      </c>
      <c r="CA102" s="2">
        <f t="shared" si="37"/>
        <v>0</v>
      </c>
      <c r="CB102" s="2">
        <f t="shared" si="38"/>
        <v>0</v>
      </c>
      <c r="CC102" s="2">
        <f t="shared" si="39"/>
        <v>0</v>
      </c>
      <c r="CD102" s="2">
        <f t="shared" si="40"/>
        <v>0</v>
      </c>
      <c r="CE102" s="3"/>
      <c r="CG102" s="55">
        <v>0</v>
      </c>
      <c r="CH102" s="54">
        <v>0</v>
      </c>
      <c r="CI102" s="54">
        <v>0</v>
      </c>
      <c r="CJ102" s="54">
        <v>0</v>
      </c>
      <c r="CK102" s="54">
        <v>0</v>
      </c>
      <c r="CL102" s="54">
        <v>2</v>
      </c>
      <c r="CM102" s="54">
        <v>0</v>
      </c>
      <c r="CN102" s="54">
        <v>1</v>
      </c>
      <c r="CO102" s="54">
        <v>0</v>
      </c>
      <c r="CP102" s="54">
        <v>0</v>
      </c>
      <c r="CQ102" s="127">
        <f t="shared" si="43"/>
        <v>3</v>
      </c>
    </row>
    <row r="103" spans="1:95" ht="22.5" customHeight="1" x14ac:dyDescent="0.25">
      <c r="A103" s="45">
        <v>87</v>
      </c>
      <c r="B103" s="45" t="s">
        <v>217</v>
      </c>
      <c r="C103" s="80" t="s">
        <v>218</v>
      </c>
      <c r="D103" s="88">
        <v>46065</v>
      </c>
      <c r="E103" s="137">
        <v>46235.345069444447</v>
      </c>
      <c r="F103" s="137">
        <v>46235.962870370371</v>
      </c>
      <c r="G103" s="137">
        <v>46236.341145833336</v>
      </c>
      <c r="H103" s="137">
        <v>46236.949756944443</v>
      </c>
      <c r="I103" s="137">
        <v>46237.344340277778</v>
      </c>
      <c r="J103" s="137">
        <v>46237.953796296293</v>
      </c>
      <c r="K103" s="137">
        <v>46238.344513888886</v>
      </c>
      <c r="L103" s="137">
        <v>46238.948437500003</v>
      </c>
      <c r="M103" s="137">
        <v>46239.345104166663</v>
      </c>
      <c r="N103" s="137">
        <v>46239.944907407407</v>
      </c>
      <c r="O103" s="137">
        <v>46240.34615740741</v>
      </c>
      <c r="P103" s="137">
        <v>46240.9766087963</v>
      </c>
      <c r="Q103" s="137">
        <v>46241.580127314817</v>
      </c>
      <c r="R103" s="137">
        <v>46241.942037037035</v>
      </c>
      <c r="S103" s="137">
        <v>46242.343425925923</v>
      </c>
      <c r="T103" s="137">
        <v>46242.961041666669</v>
      </c>
      <c r="U103" s="137">
        <v>46243.344895833332</v>
      </c>
      <c r="V103" s="137">
        <v>46243.942337962966</v>
      </c>
      <c r="W103" s="137">
        <v>46244.342928240738</v>
      </c>
      <c r="X103" s="137">
        <v>46244.965648148151</v>
      </c>
      <c r="Y103" s="137">
        <v>46245.346504629626</v>
      </c>
      <c r="Z103" s="137">
        <v>46245.942754629628</v>
      </c>
      <c r="AA103" s="137">
        <v>46246.342743055553</v>
      </c>
      <c r="AB103" s="137">
        <v>46246.963182870371</v>
      </c>
      <c r="AC103" s="137">
        <v>46247.345995370371</v>
      </c>
      <c r="AD103" s="137">
        <v>46247.963773148149</v>
      </c>
      <c r="AE103" s="141" t="s">
        <v>15</v>
      </c>
      <c r="AF103" s="141" t="s">
        <v>15</v>
      </c>
      <c r="AG103" s="137">
        <v>46249.344872685186</v>
      </c>
      <c r="AH103" s="137">
        <v>46249.962638888886</v>
      </c>
      <c r="AI103" s="116"/>
      <c r="AJ103" s="45">
        <v>87</v>
      </c>
      <c r="AK103" s="137">
        <v>46250.345243055555</v>
      </c>
      <c r="AL103" s="137">
        <v>0</v>
      </c>
      <c r="AM103" s="137">
        <v>46251.345347222225</v>
      </c>
      <c r="AN103" s="137">
        <v>46251.938090277778</v>
      </c>
      <c r="AO103" s="137">
        <v>46252.343668981484</v>
      </c>
      <c r="AP103" s="137">
        <v>46252.945</v>
      </c>
      <c r="AQ103" s="137">
        <v>46253.341620370367</v>
      </c>
      <c r="AR103" s="137">
        <v>46253.959814814814</v>
      </c>
      <c r="AS103" s="137">
        <v>46254.344687500001</v>
      </c>
      <c r="AT103" s="137">
        <v>46254.958252314813</v>
      </c>
      <c r="AU103" s="137">
        <v>46255.579756944448</v>
      </c>
      <c r="AV103" s="137">
        <v>46255.951273148145</v>
      </c>
      <c r="AW103" s="137">
        <v>46256.344733796293</v>
      </c>
      <c r="AX103" s="137">
        <v>46256.958009259259</v>
      </c>
      <c r="AY103" s="137">
        <v>46257.344502314816</v>
      </c>
      <c r="AZ103" s="137">
        <v>46257.938437500001</v>
      </c>
      <c r="BA103" s="137">
        <v>46258.343715277777</v>
      </c>
      <c r="BB103" s="137">
        <v>46258.944699074076</v>
      </c>
      <c r="BC103" s="137">
        <v>46259.349398148152</v>
      </c>
      <c r="BD103" s="137">
        <v>46259.942476851851</v>
      </c>
      <c r="BE103" s="137">
        <v>46260.354050925926</v>
      </c>
      <c r="BF103" s="137">
        <v>46260.949456018519</v>
      </c>
      <c r="BG103" s="137">
        <v>46261.344409722224</v>
      </c>
      <c r="BH103" s="137">
        <v>46261.959861111114</v>
      </c>
      <c r="BI103" s="141" t="s">
        <v>15</v>
      </c>
      <c r="BJ103" s="141" t="s">
        <v>15</v>
      </c>
      <c r="BK103" s="137">
        <v>46263.347372685188</v>
      </c>
      <c r="BL103" s="137">
        <v>46263.961400462962</v>
      </c>
      <c r="BM103" s="137">
        <v>46264.344872685186</v>
      </c>
      <c r="BN103" s="170">
        <v>46264.939699074072</v>
      </c>
      <c r="BO103" s="170">
        <v>46265.346168981479</v>
      </c>
      <c r="BP103" s="170">
        <v>46265.941782407404</v>
      </c>
      <c r="BQ103" s="99">
        <f t="shared" si="16"/>
        <v>31</v>
      </c>
      <c r="BR103" s="68">
        <v>2</v>
      </c>
      <c r="BS103" s="1">
        <f t="shared" si="42"/>
        <v>29</v>
      </c>
      <c r="BT103" s="2">
        <f t="shared" si="30"/>
        <v>2</v>
      </c>
      <c r="BU103" s="2">
        <f t="shared" si="31"/>
        <v>0</v>
      </c>
      <c r="BV103" s="2">
        <f t="shared" si="32"/>
        <v>0</v>
      </c>
      <c r="BW103" s="2">
        <f t="shared" si="33"/>
        <v>0</v>
      </c>
      <c r="BX103" s="2">
        <f t="shared" si="34"/>
        <v>0</v>
      </c>
      <c r="BY103" s="2">
        <f t="shared" si="35"/>
        <v>0</v>
      </c>
      <c r="BZ103" s="2">
        <f t="shared" si="36"/>
        <v>0</v>
      </c>
      <c r="CA103" s="2">
        <f t="shared" si="37"/>
        <v>0</v>
      </c>
      <c r="CB103" s="2">
        <f t="shared" si="38"/>
        <v>0</v>
      </c>
      <c r="CC103" s="2">
        <f t="shared" si="39"/>
        <v>0</v>
      </c>
      <c r="CD103" s="2">
        <f t="shared" si="40"/>
        <v>0</v>
      </c>
      <c r="CE103" s="3"/>
      <c r="CG103" s="129">
        <v>0</v>
      </c>
      <c r="CH103" s="130">
        <v>0</v>
      </c>
      <c r="CI103" s="130">
        <v>0</v>
      </c>
      <c r="CJ103" s="130">
        <v>0</v>
      </c>
      <c r="CK103" s="130">
        <v>0</v>
      </c>
      <c r="CL103" s="130">
        <v>1</v>
      </c>
      <c r="CM103" s="130">
        <v>0</v>
      </c>
      <c r="CN103" s="130">
        <v>0</v>
      </c>
      <c r="CO103" s="130">
        <v>0</v>
      </c>
      <c r="CP103" s="130">
        <v>0</v>
      </c>
      <c r="CQ103" s="126">
        <f t="shared" si="43"/>
        <v>1</v>
      </c>
    </row>
    <row r="104" spans="1:95" ht="22.5" customHeight="1" x14ac:dyDescent="0.25">
      <c r="A104" s="45">
        <v>88</v>
      </c>
      <c r="B104" s="45" t="s">
        <v>254</v>
      </c>
      <c r="C104" s="80" t="s">
        <v>253</v>
      </c>
      <c r="D104" s="88"/>
      <c r="E104" s="137">
        <v>46235.317499999997</v>
      </c>
      <c r="F104" s="137">
        <v>1</v>
      </c>
      <c r="G104" s="137">
        <v>46236.351076388892</v>
      </c>
      <c r="H104" s="137">
        <v>46236.952222222222</v>
      </c>
      <c r="I104" s="137">
        <v>46237.353518518517</v>
      </c>
      <c r="J104" s="137">
        <v>46237.957199074073</v>
      </c>
      <c r="K104" s="137">
        <v>46238.428379629629</v>
      </c>
      <c r="L104" s="137">
        <v>1</v>
      </c>
      <c r="M104" s="137">
        <v>46239.352280092593</v>
      </c>
      <c r="N104" s="137">
        <v>46239.965601851851</v>
      </c>
      <c r="O104" s="137">
        <v>46240.347314814811</v>
      </c>
      <c r="P104" s="137">
        <v>46240.971226851849</v>
      </c>
      <c r="Q104" s="137">
        <v>46241.575729166667</v>
      </c>
      <c r="R104" s="137">
        <v>46241.934016203704</v>
      </c>
      <c r="S104" s="137">
        <v>46242.351747685185</v>
      </c>
      <c r="T104" s="137">
        <v>1</v>
      </c>
      <c r="U104" s="146" t="s">
        <v>171</v>
      </c>
      <c r="V104" s="146" t="s">
        <v>171</v>
      </c>
      <c r="W104" s="137">
        <v>46244.354687500003</v>
      </c>
      <c r="X104" s="137">
        <v>46244.967523148145</v>
      </c>
      <c r="Y104" s="137">
        <v>46245.348761574074</v>
      </c>
      <c r="Z104" s="137">
        <v>46245.922893518517</v>
      </c>
      <c r="AA104" s="137">
        <v>46246.351053240738</v>
      </c>
      <c r="AB104" s="137">
        <v>46246.974768518521</v>
      </c>
      <c r="AC104" s="137">
        <v>46247.349247685182</v>
      </c>
      <c r="AD104" s="137">
        <v>46247.981840277775</v>
      </c>
      <c r="AE104" s="141" t="s">
        <v>15</v>
      </c>
      <c r="AF104" s="141" t="s">
        <v>15</v>
      </c>
      <c r="AG104" s="137">
        <v>46249.353298611109</v>
      </c>
      <c r="AH104" s="137">
        <v>46249.977569444447</v>
      </c>
      <c r="AI104" s="116"/>
      <c r="AJ104" s="45">
        <v>88</v>
      </c>
      <c r="AK104" s="137">
        <v>46250.354768518519</v>
      </c>
      <c r="AL104" s="137">
        <v>0</v>
      </c>
      <c r="AM104" s="137">
        <v>46251.354074074072</v>
      </c>
      <c r="AN104" s="137">
        <v>46251.933344907404</v>
      </c>
      <c r="AO104" s="137">
        <v>46252.35491898148</v>
      </c>
      <c r="AP104" s="137">
        <v>46252.942233796297</v>
      </c>
      <c r="AQ104" s="137">
        <v>46253.354062500002</v>
      </c>
      <c r="AR104" s="137">
        <v>46253.985138888886</v>
      </c>
      <c r="AS104" s="137">
        <v>46254.352962962963</v>
      </c>
      <c r="AT104" s="137">
        <v>46254.955474537041</v>
      </c>
      <c r="AU104" s="137">
        <v>46255.577719907407</v>
      </c>
      <c r="AV104" s="137">
        <v>46255.949965277781</v>
      </c>
      <c r="AW104" s="137">
        <v>46256.351006944446</v>
      </c>
      <c r="AX104" s="137">
        <v>46256.930567129632</v>
      </c>
      <c r="AY104" s="137">
        <v>46257.352511574078</v>
      </c>
      <c r="AZ104" s="137">
        <v>46257.946250000001</v>
      </c>
      <c r="BA104" s="137">
        <v>46258.354166666664</v>
      </c>
      <c r="BB104" s="137">
        <v>46258.981608796297</v>
      </c>
      <c r="BC104" s="137">
        <v>46259.347604166665</v>
      </c>
      <c r="BD104" s="137">
        <v>46259.930104166669</v>
      </c>
      <c r="BE104" s="137">
        <v>46260.347766203704</v>
      </c>
      <c r="BF104" s="137">
        <v>46260.973495370374</v>
      </c>
      <c r="BG104" s="137">
        <v>46261.3518287037</v>
      </c>
      <c r="BH104" s="137">
        <v>46261.97488425926</v>
      </c>
      <c r="BI104" s="137">
        <v>46262.570567129631</v>
      </c>
      <c r="BJ104" s="137">
        <v>0</v>
      </c>
      <c r="BK104" s="137">
        <v>46263.353321759256</v>
      </c>
      <c r="BL104" s="137">
        <v>46263.959027777775</v>
      </c>
      <c r="BM104" s="137">
        <v>46264.351342592592</v>
      </c>
      <c r="BN104" s="137">
        <v>46264.971597222226</v>
      </c>
      <c r="BO104" s="137">
        <v>46265.354884259257</v>
      </c>
      <c r="BP104" s="137">
        <v>46265.941354166665</v>
      </c>
      <c r="BQ104" s="99">
        <f t="shared" si="16"/>
        <v>31</v>
      </c>
      <c r="BR104" s="68">
        <v>3</v>
      </c>
      <c r="BS104" s="1">
        <f t="shared" si="42"/>
        <v>29</v>
      </c>
      <c r="BT104" s="2">
        <f t="shared" si="30"/>
        <v>1</v>
      </c>
      <c r="BU104" s="2">
        <f t="shared" si="31"/>
        <v>0</v>
      </c>
      <c r="BV104" s="2">
        <f t="shared" si="32"/>
        <v>0</v>
      </c>
      <c r="BW104" s="2">
        <f t="shared" si="33"/>
        <v>0</v>
      </c>
      <c r="BX104" s="2">
        <f t="shared" si="34"/>
        <v>0</v>
      </c>
      <c r="BY104" s="2">
        <f t="shared" si="35"/>
        <v>0</v>
      </c>
      <c r="BZ104" s="2">
        <f t="shared" si="36"/>
        <v>1</v>
      </c>
      <c r="CA104" s="2">
        <f t="shared" si="37"/>
        <v>0</v>
      </c>
      <c r="CB104" s="2">
        <f t="shared" si="38"/>
        <v>0</v>
      </c>
      <c r="CC104" s="2">
        <f t="shared" si="39"/>
        <v>0</v>
      </c>
      <c r="CD104" s="2">
        <f t="shared" si="40"/>
        <v>0</v>
      </c>
      <c r="CE104" s="3"/>
      <c r="CG104" s="129"/>
      <c r="CH104" s="130"/>
      <c r="CI104" s="130"/>
      <c r="CJ104" s="130"/>
      <c r="CK104" s="130"/>
      <c r="CL104" s="130"/>
      <c r="CM104" s="130"/>
      <c r="CN104" s="130"/>
      <c r="CO104" s="130"/>
      <c r="CP104" s="130"/>
      <c r="CQ104" s="126"/>
    </row>
    <row r="105" spans="1:95" ht="22.5" customHeight="1" x14ac:dyDescent="0.25">
      <c r="A105" s="45">
        <v>89</v>
      </c>
      <c r="B105" s="45" t="s">
        <v>221</v>
      </c>
      <c r="C105" s="80" t="s">
        <v>223</v>
      </c>
      <c r="D105" s="88">
        <v>46069</v>
      </c>
      <c r="E105" s="137">
        <v>46235.352731481478</v>
      </c>
      <c r="F105" s="137">
        <v>46235.946469907409</v>
      </c>
      <c r="G105" s="137">
        <v>46236.353634259256</v>
      </c>
      <c r="H105" s="137">
        <v>46236.9531712963</v>
      </c>
      <c r="I105" s="137">
        <v>46237.351747685185</v>
      </c>
      <c r="J105" s="137">
        <v>1</v>
      </c>
      <c r="K105" s="137">
        <v>46238.354305555556</v>
      </c>
      <c r="L105" s="137">
        <v>46238.934513888889</v>
      </c>
      <c r="M105" s="137">
        <v>46239.352361111109</v>
      </c>
      <c r="N105" s="137">
        <v>46239.947337962964</v>
      </c>
      <c r="O105" s="137">
        <v>46240.354571759257</v>
      </c>
      <c r="P105" s="137">
        <v>46240.950069444443</v>
      </c>
      <c r="Q105" s="137">
        <v>46241.565844907411</v>
      </c>
      <c r="R105" s="137">
        <v>46241.907870370371</v>
      </c>
      <c r="S105" s="137">
        <v>46242.354189814818</v>
      </c>
      <c r="T105" s="137">
        <v>46242.95890046296</v>
      </c>
      <c r="U105" s="137">
        <v>46243.35596064815</v>
      </c>
      <c r="V105" s="137">
        <v>46243.951342592591</v>
      </c>
      <c r="W105" s="137">
        <v>46244.351921296293</v>
      </c>
      <c r="X105" s="137">
        <v>46244.93953703704</v>
      </c>
      <c r="Y105" s="137">
        <v>46245.356585648151</v>
      </c>
      <c r="Z105" s="137">
        <v>46245.935914351852</v>
      </c>
      <c r="AA105" s="137">
        <v>46246.352465277778</v>
      </c>
      <c r="AB105" s="137">
        <v>46246.957175925927</v>
      </c>
      <c r="AC105" s="137">
        <v>46247.352546296293</v>
      </c>
      <c r="AD105" s="137">
        <v>46247.97115740741</v>
      </c>
      <c r="AE105" s="141" t="s">
        <v>15</v>
      </c>
      <c r="AF105" s="141" t="s">
        <v>15</v>
      </c>
      <c r="AG105" s="137">
        <v>46249.352141203701</v>
      </c>
      <c r="AH105" s="137">
        <v>46249.973958333336</v>
      </c>
      <c r="AI105" s="116"/>
      <c r="AJ105" s="45">
        <v>89</v>
      </c>
      <c r="AK105" s="137">
        <v>46250.352870370371</v>
      </c>
      <c r="AL105" s="137">
        <v>0</v>
      </c>
      <c r="AM105" s="137">
        <v>46251.353368055556</v>
      </c>
      <c r="AN105" s="137">
        <v>46251.916967592595</v>
      </c>
      <c r="AO105" s="137">
        <v>46252.351446759261</v>
      </c>
      <c r="AP105" s="137">
        <v>46252.751944444448</v>
      </c>
      <c r="AQ105" s="137">
        <v>46253.353263888886</v>
      </c>
      <c r="AR105" s="137">
        <v>46253.949502314812</v>
      </c>
      <c r="AS105" s="137">
        <v>46254.352395833332</v>
      </c>
      <c r="AT105" s="137">
        <v>46254.969629629632</v>
      </c>
      <c r="AU105" s="137">
        <v>46255.563761574071</v>
      </c>
      <c r="AV105" s="137">
        <v>46255.912442129629</v>
      </c>
      <c r="AW105" s="137">
        <v>46256.35324074074</v>
      </c>
      <c r="AX105" s="137">
        <v>46256.939247685186</v>
      </c>
      <c r="AY105" s="137">
        <v>46257.353217592594</v>
      </c>
      <c r="AZ105" s="137">
        <v>46257.936597222222</v>
      </c>
      <c r="BA105" s="137">
        <v>46258.3515625</v>
      </c>
      <c r="BB105" s="137">
        <v>46258.938425925924</v>
      </c>
      <c r="BC105" s="137">
        <v>46259.344583333332</v>
      </c>
      <c r="BD105" s="137">
        <v>46259.930891203701</v>
      </c>
      <c r="BE105" s="137">
        <v>46260.344085648147</v>
      </c>
      <c r="BF105" s="137">
        <v>46260.921087962961</v>
      </c>
      <c r="BG105" s="137">
        <v>46261.35396990741</v>
      </c>
      <c r="BH105" s="137">
        <v>46261.945254629631</v>
      </c>
      <c r="BI105" s="137">
        <v>46262.575960648152</v>
      </c>
      <c r="BJ105" s="137">
        <v>0</v>
      </c>
      <c r="BK105" s="137">
        <v>46263.353437500002</v>
      </c>
      <c r="BL105" s="137">
        <v>46263.947997685187</v>
      </c>
      <c r="BM105" s="137">
        <v>46264.348807870374</v>
      </c>
      <c r="BN105" s="170">
        <v>46264.931354166663</v>
      </c>
      <c r="BO105" s="170">
        <v>46265.35465277778</v>
      </c>
      <c r="BP105" s="170">
        <v>46265.934872685182</v>
      </c>
      <c r="BQ105" s="99">
        <f t="shared" ref="BQ105:BQ110" si="44">BS105+BT105+BV105+CA105+BY105+BZ105+CD105+BU105</f>
        <v>31</v>
      </c>
      <c r="BR105" s="68">
        <v>3</v>
      </c>
      <c r="BS105" s="1">
        <f t="shared" si="42"/>
        <v>30</v>
      </c>
      <c r="BT105" s="2">
        <f t="shared" si="30"/>
        <v>1</v>
      </c>
      <c r="BU105" s="2">
        <f t="shared" si="31"/>
        <v>0</v>
      </c>
      <c r="BV105" s="2">
        <f t="shared" si="32"/>
        <v>0</v>
      </c>
      <c r="BW105" s="2">
        <f t="shared" si="33"/>
        <v>0</v>
      </c>
      <c r="BX105" s="2">
        <f t="shared" si="34"/>
        <v>0</v>
      </c>
      <c r="BY105" s="2">
        <f t="shared" si="35"/>
        <v>0</v>
      </c>
      <c r="BZ105" s="2">
        <f t="shared" si="36"/>
        <v>0</v>
      </c>
      <c r="CA105" s="2">
        <f t="shared" si="37"/>
        <v>0</v>
      </c>
      <c r="CB105" s="2">
        <f t="shared" si="38"/>
        <v>0</v>
      </c>
      <c r="CC105" s="2">
        <f t="shared" si="39"/>
        <v>0</v>
      </c>
      <c r="CD105" s="2">
        <f t="shared" si="40"/>
        <v>0</v>
      </c>
      <c r="CE105" s="3"/>
      <c r="CG105" s="55">
        <v>0</v>
      </c>
      <c r="CH105" s="54">
        <v>0</v>
      </c>
      <c r="CI105" s="54">
        <v>0</v>
      </c>
      <c r="CJ105" s="54">
        <v>0</v>
      </c>
      <c r="CK105" s="54">
        <v>0</v>
      </c>
      <c r="CL105" s="54">
        <v>0</v>
      </c>
      <c r="CM105" s="54">
        <v>0</v>
      </c>
      <c r="CN105" s="54">
        <v>0</v>
      </c>
      <c r="CO105" s="54">
        <v>0</v>
      </c>
      <c r="CP105" s="54">
        <v>0</v>
      </c>
      <c r="CQ105" s="127">
        <f t="shared" si="43"/>
        <v>0</v>
      </c>
    </row>
    <row r="106" spans="1:95" ht="22.5" customHeight="1" x14ac:dyDescent="0.25">
      <c r="A106" s="45">
        <v>90</v>
      </c>
      <c r="B106" s="45" t="s">
        <v>219</v>
      </c>
      <c r="C106" s="80" t="s">
        <v>224</v>
      </c>
      <c r="D106" s="88">
        <v>46068</v>
      </c>
      <c r="E106" s="137">
        <v>46235.333275462966</v>
      </c>
      <c r="F106" s="137">
        <v>46235.972372685188</v>
      </c>
      <c r="G106" s="137">
        <v>46236.332060185188</v>
      </c>
      <c r="H106" s="137">
        <v>46236.991979166669</v>
      </c>
      <c r="I106" s="137">
        <v>46237.344270833331</v>
      </c>
      <c r="J106" s="137">
        <v>46237.968252314815</v>
      </c>
      <c r="K106" s="137">
        <v>46238.343576388892</v>
      </c>
      <c r="L106" s="137">
        <v>46238.944212962961</v>
      </c>
      <c r="M106" s="137">
        <v>46239.346145833333</v>
      </c>
      <c r="N106" s="137">
        <v>46239.966261574074</v>
      </c>
      <c r="O106" s="137">
        <v>46240.343124999999</v>
      </c>
      <c r="P106" s="137">
        <v>46240.970266203702</v>
      </c>
      <c r="Q106" s="141" t="s">
        <v>15</v>
      </c>
      <c r="R106" s="141" t="s">
        <v>15</v>
      </c>
      <c r="S106" s="137">
        <v>46242.341817129629</v>
      </c>
      <c r="T106" s="137">
        <v>46242.987743055557</v>
      </c>
      <c r="U106" s="137">
        <v>46243.336076388892</v>
      </c>
      <c r="V106" s="137">
        <v>46243.938356481478</v>
      </c>
      <c r="W106" s="137">
        <v>46244.342870370368</v>
      </c>
      <c r="X106" s="137">
        <v>46244.965682870374</v>
      </c>
      <c r="Y106" s="137">
        <v>46245.346412037034</v>
      </c>
      <c r="Z106" s="137">
        <v>46245.942337962966</v>
      </c>
      <c r="AA106" s="137">
        <v>46246.342928240738</v>
      </c>
      <c r="AB106" s="137">
        <v>46246.994363425925</v>
      </c>
      <c r="AC106" s="137">
        <v>46247.346134259256</v>
      </c>
      <c r="AD106" s="137">
        <v>46247.982777777775</v>
      </c>
      <c r="AE106" s="137">
        <v>46248.580694444441</v>
      </c>
      <c r="AF106" s="137">
        <v>46248.931018518517</v>
      </c>
      <c r="AG106" s="137">
        <v>46249.346296296295</v>
      </c>
      <c r="AH106" s="137">
        <v>46249.972256944442</v>
      </c>
      <c r="AI106" s="116"/>
      <c r="AJ106" s="45">
        <v>90</v>
      </c>
      <c r="AK106" s="137">
        <v>46250.344953703701</v>
      </c>
      <c r="AL106" s="137">
        <v>46262.938437500001</v>
      </c>
      <c r="AM106" s="137">
        <v>46251.344953703701</v>
      </c>
      <c r="AN106" s="137">
        <v>0</v>
      </c>
      <c r="AO106" s="137">
        <v>46252.342824074076</v>
      </c>
      <c r="AP106" s="137">
        <v>46252.944374999999</v>
      </c>
      <c r="AQ106" s="137">
        <v>46253.344351851854</v>
      </c>
      <c r="AR106" s="137">
        <v>46253.986250000002</v>
      </c>
      <c r="AS106" s="137">
        <v>46254.344548611109</v>
      </c>
      <c r="AT106" s="137">
        <v>46254.948020833333</v>
      </c>
      <c r="AU106" s="137">
        <v>0</v>
      </c>
      <c r="AV106" s="137">
        <v>46254.948020833333</v>
      </c>
      <c r="AW106" s="137">
        <v>46256.344641203701</v>
      </c>
      <c r="AX106" s="137">
        <v>46256.945729166669</v>
      </c>
      <c r="AY106" s="137">
        <v>46257.344826388886</v>
      </c>
      <c r="AZ106" s="137">
        <v>46257.937581018516</v>
      </c>
      <c r="BA106" s="137">
        <v>46258.345682870371</v>
      </c>
      <c r="BB106" s="137">
        <v>46258.952499999999</v>
      </c>
      <c r="BC106" s="137">
        <v>46259.352141203701</v>
      </c>
      <c r="BD106" s="137">
        <v>46259.939606481479</v>
      </c>
      <c r="BE106" s="137">
        <v>46260.352187500001</v>
      </c>
      <c r="BF106" s="137">
        <v>46260.973587962966</v>
      </c>
      <c r="BG106" s="137">
        <v>46261.344351851854</v>
      </c>
      <c r="BH106" s="137">
        <v>46261.959675925929</v>
      </c>
      <c r="BI106" s="137">
        <v>0</v>
      </c>
      <c r="BJ106" s="137">
        <v>46262.938437500001</v>
      </c>
      <c r="BK106" s="137">
        <v>46263.343645833331</v>
      </c>
      <c r="BL106" s="137">
        <v>46263.958912037036</v>
      </c>
      <c r="BM106" s="137">
        <v>46264.34480324074</v>
      </c>
      <c r="BN106" s="137">
        <v>46264.959270833337</v>
      </c>
      <c r="BO106" s="137">
        <v>46265.344085648147</v>
      </c>
      <c r="BP106" s="137">
        <v>0</v>
      </c>
      <c r="BQ106" s="99">
        <f t="shared" si="44"/>
        <v>31</v>
      </c>
      <c r="BR106" s="68">
        <v>3</v>
      </c>
      <c r="BS106" s="1">
        <f t="shared" si="42"/>
        <v>30</v>
      </c>
      <c r="BT106" s="2">
        <f t="shared" ref="BT106:BT115" si="45">COUNTIF(E106:BP106,"OFF")/2</f>
        <v>1</v>
      </c>
      <c r="BU106" s="2">
        <f t="shared" ref="BU106:BU115" si="46">COUNTIF(E106:BP106,"MC")/2</f>
        <v>0</v>
      </c>
      <c r="BV106" s="2">
        <f t="shared" ref="BV106:BV115" si="47">COUNTIF(E106:BP106,"EL")/2</f>
        <v>0</v>
      </c>
      <c r="BW106" s="2">
        <f t="shared" ref="BW106:BW115" si="48">COUNTIF(E106:BP106,"AL")/2</f>
        <v>0</v>
      </c>
      <c r="BX106" s="2">
        <f t="shared" ref="BX106:BX115" si="49">COUNTIF(E106:BP106,"SUS")/2</f>
        <v>0</v>
      </c>
      <c r="BY106" s="2">
        <f t="shared" ref="BY106:BY115" si="50">COUNTIF(E106:BP106,"FL")/2</f>
        <v>0</v>
      </c>
      <c r="BZ106" s="2">
        <f t="shared" ref="BZ106:BZ115" si="51">COUNTIF(E106:BP106,"SICK")/2</f>
        <v>0</v>
      </c>
      <c r="CA106" s="2">
        <f t="shared" ref="CA106:CA115" si="52">COUNTIF(E106:BP106,"HD")/2</f>
        <v>0</v>
      </c>
      <c r="CB106" s="2">
        <f t="shared" ref="CB106:CB115" si="53">COUNTIF(E106:BP106,"AB")/2</f>
        <v>0</v>
      </c>
      <c r="CC106" s="2">
        <f t="shared" ref="CC106:CC115" si="54">COUNTIF(E106:BP106,"NL")/2</f>
        <v>0</v>
      </c>
      <c r="CD106" s="2">
        <f t="shared" ref="CD106:CD115" si="55">COUNTIF(E106:BP106,"SP")/2</f>
        <v>0</v>
      </c>
      <c r="CE106" s="3"/>
      <c r="CG106" s="129">
        <v>0</v>
      </c>
      <c r="CH106" s="130">
        <v>0</v>
      </c>
      <c r="CI106" s="130">
        <v>0</v>
      </c>
      <c r="CJ106" s="130">
        <v>0</v>
      </c>
      <c r="CK106" s="130">
        <v>0</v>
      </c>
      <c r="CL106" s="130">
        <v>0</v>
      </c>
      <c r="CM106" s="130">
        <v>0</v>
      </c>
      <c r="CN106" s="130">
        <v>0</v>
      </c>
      <c r="CO106" s="130">
        <v>0</v>
      </c>
      <c r="CP106" s="130">
        <v>0</v>
      </c>
      <c r="CQ106" s="126">
        <f t="shared" si="43"/>
        <v>0</v>
      </c>
    </row>
    <row r="107" spans="1:95" ht="22.5" customHeight="1" x14ac:dyDescent="0.25">
      <c r="A107" s="45">
        <v>91</v>
      </c>
      <c r="B107" s="45" t="s">
        <v>220</v>
      </c>
      <c r="C107" s="80" t="s">
        <v>225</v>
      </c>
      <c r="D107" s="88">
        <v>46069</v>
      </c>
      <c r="E107" s="137">
        <v>46235.347326388888</v>
      </c>
      <c r="F107" s="137">
        <v>46235.946423611109</v>
      </c>
      <c r="G107" s="137">
        <v>46236.344548611109</v>
      </c>
      <c r="H107" s="137">
        <v>46236.942685185182</v>
      </c>
      <c r="I107" s="137">
        <v>46237.349374999998</v>
      </c>
      <c r="J107" s="137">
        <v>46237.937418981484</v>
      </c>
      <c r="K107" s="137">
        <v>46238.350416666668</v>
      </c>
      <c r="L107" s="137">
        <v>46238.93172453704</v>
      </c>
      <c r="M107" s="137">
        <v>46239.349606481483</v>
      </c>
      <c r="N107" s="137">
        <v>46239.938113425924</v>
      </c>
      <c r="O107" s="137">
        <v>46240.348935185182</v>
      </c>
      <c r="P107" s="137">
        <v>46240.944641203707</v>
      </c>
      <c r="Q107" s="137">
        <v>46241.580300925925</v>
      </c>
      <c r="R107" s="137">
        <v>46241.932291666664</v>
      </c>
      <c r="S107" s="137">
        <v>46242.348055555558</v>
      </c>
      <c r="T107" s="137">
        <v>46242.98741898148</v>
      </c>
      <c r="U107" s="137">
        <v>46243.350289351853</v>
      </c>
      <c r="V107" s="137">
        <v>46243.940150462964</v>
      </c>
      <c r="W107" s="137">
        <v>46244.349270833336</v>
      </c>
      <c r="X107" s="137">
        <v>46244.966064814813</v>
      </c>
      <c r="Y107" s="137">
        <v>46245.350474537037</v>
      </c>
      <c r="Z107" s="137">
        <v>46245.940300925926</v>
      </c>
      <c r="AA107" s="137">
        <v>46246.350891203707</v>
      </c>
      <c r="AB107" s="137">
        <v>46246.962453703702</v>
      </c>
      <c r="AC107" s="137">
        <v>46247.35052083333</v>
      </c>
      <c r="AD107" s="137">
        <v>46247.982037037036</v>
      </c>
      <c r="AE107" s="141" t="s">
        <v>15</v>
      </c>
      <c r="AF107" s="141" t="s">
        <v>15</v>
      </c>
      <c r="AG107" s="137">
        <v>46249.350810185184</v>
      </c>
      <c r="AH107" s="137">
        <v>46249.972349537034</v>
      </c>
      <c r="AI107" s="116"/>
      <c r="AJ107" s="45">
        <v>91</v>
      </c>
      <c r="AK107" s="137">
        <v>46250.351261574076</v>
      </c>
      <c r="AL107" s="137">
        <v>0</v>
      </c>
      <c r="AM107" s="137">
        <v>46251.348171296297</v>
      </c>
      <c r="AN107" s="137">
        <v>46251.931180555555</v>
      </c>
      <c r="AO107" s="137">
        <v>46252.349027777775</v>
      </c>
      <c r="AP107" s="137">
        <v>46252.941863425927</v>
      </c>
      <c r="AQ107" s="137">
        <v>46253.350277777776</v>
      </c>
      <c r="AR107" s="137">
        <v>46253.947384259256</v>
      </c>
      <c r="AS107" s="137">
        <v>46254.350555555553</v>
      </c>
      <c r="AT107" s="137">
        <v>46254.948425925926</v>
      </c>
      <c r="AU107" s="137">
        <v>46255.579699074071</v>
      </c>
      <c r="AV107" s="137">
        <v>46255.935219907406</v>
      </c>
      <c r="AW107" s="137">
        <v>46256.350682870368</v>
      </c>
      <c r="AX107" s="137">
        <v>46256.947557870371</v>
      </c>
      <c r="AY107" s="137">
        <v>46257.348321759258</v>
      </c>
      <c r="AZ107" s="137">
        <v>46257.938356481478</v>
      </c>
      <c r="BA107" s="137">
        <v>46258.352627314816</v>
      </c>
      <c r="BB107" s="137">
        <v>46258.939456018517</v>
      </c>
      <c r="BC107" s="137">
        <v>46259.345069444447</v>
      </c>
      <c r="BD107" s="137">
        <v>46259.939432870371</v>
      </c>
      <c r="BE107" s="137">
        <v>46260.344131944446</v>
      </c>
      <c r="BF107" s="137">
        <v>46260.938599537039</v>
      </c>
      <c r="BG107" s="137">
        <v>46261.348981481482</v>
      </c>
      <c r="BH107" s="137">
        <v>46261.952581018515</v>
      </c>
      <c r="BI107" s="137">
        <v>46262.57304398148</v>
      </c>
      <c r="BJ107" s="137">
        <v>0</v>
      </c>
      <c r="BK107" s="137">
        <v>46263.348854166667</v>
      </c>
      <c r="BL107" s="137">
        <v>46263.94976851852</v>
      </c>
      <c r="BM107" s="137">
        <v>46264.350497685184</v>
      </c>
      <c r="BN107" s="170">
        <v>46264.932569444441</v>
      </c>
      <c r="BO107" s="170">
        <v>46265.349328703705</v>
      </c>
      <c r="BP107" s="170">
        <v>46265.937488425923</v>
      </c>
      <c r="BQ107" s="99">
        <f t="shared" si="44"/>
        <v>31</v>
      </c>
      <c r="BR107" s="68">
        <v>3</v>
      </c>
      <c r="BS107" s="1">
        <f t="shared" si="42"/>
        <v>30</v>
      </c>
      <c r="BT107" s="2">
        <f t="shared" si="45"/>
        <v>1</v>
      </c>
      <c r="BU107" s="2">
        <f t="shared" si="46"/>
        <v>0</v>
      </c>
      <c r="BV107" s="2">
        <f t="shared" si="47"/>
        <v>0</v>
      </c>
      <c r="BW107" s="2">
        <f t="shared" si="48"/>
        <v>0</v>
      </c>
      <c r="BX107" s="2">
        <f t="shared" si="49"/>
        <v>0</v>
      </c>
      <c r="BY107" s="2">
        <f t="shared" si="50"/>
        <v>0</v>
      </c>
      <c r="BZ107" s="2">
        <f t="shared" si="51"/>
        <v>0</v>
      </c>
      <c r="CA107" s="2">
        <f t="shared" si="52"/>
        <v>0</v>
      </c>
      <c r="CB107" s="2">
        <f t="shared" si="53"/>
        <v>0</v>
      </c>
      <c r="CC107" s="2">
        <f t="shared" si="54"/>
        <v>0</v>
      </c>
      <c r="CD107" s="2">
        <f t="shared" si="55"/>
        <v>0</v>
      </c>
      <c r="CE107" s="3"/>
      <c r="CG107" s="55">
        <v>0</v>
      </c>
      <c r="CH107" s="54">
        <v>0</v>
      </c>
      <c r="CI107" s="54">
        <v>0</v>
      </c>
      <c r="CJ107" s="54">
        <v>0</v>
      </c>
      <c r="CK107" s="54">
        <v>0</v>
      </c>
      <c r="CL107" s="54">
        <v>0</v>
      </c>
      <c r="CM107" s="54">
        <v>0</v>
      </c>
      <c r="CN107" s="54">
        <v>0</v>
      </c>
      <c r="CO107" s="54">
        <v>0</v>
      </c>
      <c r="CP107" s="54">
        <v>0</v>
      </c>
      <c r="CQ107" s="127">
        <f t="shared" si="43"/>
        <v>0</v>
      </c>
    </row>
    <row r="108" spans="1:95" ht="22.5" customHeight="1" x14ac:dyDescent="0.25">
      <c r="A108" s="45">
        <v>92</v>
      </c>
      <c r="B108" s="45" t="s">
        <v>240</v>
      </c>
      <c r="C108" s="80" t="s">
        <v>241</v>
      </c>
      <c r="D108" s="88">
        <v>46171</v>
      </c>
      <c r="E108" s="137">
        <v>46235.352465277778</v>
      </c>
      <c r="F108" s="137">
        <v>46235.95857638889</v>
      </c>
      <c r="G108" s="137">
        <v>46236.351203703707</v>
      </c>
      <c r="H108" s="137">
        <v>46236.960046296299</v>
      </c>
      <c r="I108" s="137">
        <v>46237.353263888886</v>
      </c>
      <c r="J108" s="137">
        <v>46237.968807870369</v>
      </c>
      <c r="K108" s="137">
        <v>46238.353425925925</v>
      </c>
      <c r="L108" s="137">
        <v>46238.91851851852</v>
      </c>
      <c r="M108" s="146" t="s">
        <v>171</v>
      </c>
      <c r="N108" s="146" t="s">
        <v>171</v>
      </c>
      <c r="O108" s="137">
        <v>46240.353495370371</v>
      </c>
      <c r="P108" s="137">
        <v>46240.958668981482</v>
      </c>
      <c r="Q108" s="137">
        <v>46241.581956018519</v>
      </c>
      <c r="R108" s="137">
        <v>46241.91715277778</v>
      </c>
      <c r="S108" s="137">
        <v>46242.353125000001</v>
      </c>
      <c r="T108" s="137">
        <v>46242.97855324074</v>
      </c>
      <c r="U108" s="137">
        <v>46243.354479166665</v>
      </c>
      <c r="V108" s="137">
        <v>46243.939085648148</v>
      </c>
      <c r="W108" s="137">
        <v>46244.353506944448</v>
      </c>
      <c r="X108" s="137">
        <v>46244.960069444445</v>
      </c>
      <c r="Y108" s="137">
        <v>46245.35423611111</v>
      </c>
      <c r="Z108" s="137">
        <v>46245.931168981479</v>
      </c>
      <c r="AA108" s="137">
        <v>46246.353935185187</v>
      </c>
      <c r="AB108" s="137">
        <v>46246.968506944446</v>
      </c>
      <c r="AC108" s="137">
        <v>46247.353020833332</v>
      </c>
      <c r="AD108" s="137">
        <v>46247.972546296296</v>
      </c>
      <c r="AE108" s="137">
        <v>46248.558703703704</v>
      </c>
      <c r="AF108" s="137">
        <v>46248.930613425924</v>
      </c>
      <c r="AG108" s="137">
        <v>46249.3281712963</v>
      </c>
      <c r="AH108" s="137">
        <v>46249.944594907407</v>
      </c>
      <c r="AI108" s="116"/>
      <c r="AJ108" s="45">
        <v>92</v>
      </c>
      <c r="AK108" s="137">
        <v>46250.328032407408</v>
      </c>
      <c r="AL108" s="137">
        <v>46250.917256944442</v>
      </c>
      <c r="AM108" s="137">
        <v>46251.329363425924</v>
      </c>
      <c r="AN108" s="137">
        <v>46251.918240740742</v>
      </c>
      <c r="AO108" s="137">
        <v>46252.331712962965</v>
      </c>
      <c r="AP108" s="137">
        <v>46252.919050925928</v>
      </c>
      <c r="AQ108" s="137">
        <v>46253.32712962963</v>
      </c>
      <c r="AR108" s="137">
        <v>46253.917314814818</v>
      </c>
      <c r="AS108" s="137">
        <v>46254.327534722222</v>
      </c>
      <c r="AT108" s="137">
        <v>46254.947939814818</v>
      </c>
      <c r="AU108" s="141" t="s">
        <v>15</v>
      </c>
      <c r="AV108" s="141" t="s">
        <v>15</v>
      </c>
      <c r="AW108" s="137">
        <v>46256.352881944447</v>
      </c>
      <c r="AX108" s="137">
        <v>46256.927303240744</v>
      </c>
      <c r="AY108" s="137">
        <v>46257.352430555555</v>
      </c>
      <c r="AZ108" s="137">
        <v>46257.923113425924</v>
      </c>
      <c r="BA108" s="137">
        <v>46258.374224537038</v>
      </c>
      <c r="BB108" s="137">
        <v>46258.938298611109</v>
      </c>
      <c r="BC108" s="137">
        <v>46259.341782407406</v>
      </c>
      <c r="BD108" s="137">
        <v>46259.937789351854</v>
      </c>
      <c r="BE108" s="137">
        <v>46260.351030092592</v>
      </c>
      <c r="BF108" s="137">
        <v>46260.958564814813</v>
      </c>
      <c r="BG108" s="137">
        <v>46261.352361111109</v>
      </c>
      <c r="BH108" s="137">
        <v>46261.954583333332</v>
      </c>
      <c r="BI108" s="137">
        <v>0</v>
      </c>
      <c r="BJ108" s="137">
        <v>46262.937962962962</v>
      </c>
      <c r="BK108" s="137">
        <v>46263.35324074074</v>
      </c>
      <c r="BL108" s="137">
        <v>46263.959722222222</v>
      </c>
      <c r="BM108" s="137">
        <v>46264.352754629632</v>
      </c>
      <c r="BN108" s="170">
        <v>46264.958657407406</v>
      </c>
      <c r="BO108" s="170">
        <v>46265.353009259263</v>
      </c>
      <c r="BP108" s="170">
        <v>46265.941099537034</v>
      </c>
      <c r="BQ108" s="99">
        <f t="shared" si="44"/>
        <v>31</v>
      </c>
      <c r="BR108" s="68">
        <v>3</v>
      </c>
      <c r="BS108" s="1">
        <f t="shared" si="42"/>
        <v>29</v>
      </c>
      <c r="BT108" s="2">
        <f t="shared" si="45"/>
        <v>1</v>
      </c>
      <c r="BU108" s="2">
        <f t="shared" si="46"/>
        <v>0</v>
      </c>
      <c r="BV108" s="2">
        <f t="shared" si="47"/>
        <v>0</v>
      </c>
      <c r="BW108" s="2">
        <f t="shared" si="48"/>
        <v>0</v>
      </c>
      <c r="BX108" s="2">
        <f t="shared" si="49"/>
        <v>0</v>
      </c>
      <c r="BY108" s="2">
        <f t="shared" si="50"/>
        <v>0</v>
      </c>
      <c r="BZ108" s="2">
        <f t="shared" si="51"/>
        <v>1</v>
      </c>
      <c r="CA108" s="2">
        <f t="shared" si="52"/>
        <v>0</v>
      </c>
      <c r="CB108" s="2">
        <f t="shared" si="53"/>
        <v>0</v>
      </c>
      <c r="CC108" s="2">
        <f t="shared" si="54"/>
        <v>0</v>
      </c>
      <c r="CD108" s="2">
        <f t="shared" si="55"/>
        <v>0</v>
      </c>
      <c r="CE108" s="3"/>
      <c r="CG108" s="123">
        <v>0</v>
      </c>
      <c r="CH108" s="124">
        <v>0</v>
      </c>
      <c r="CI108" s="124">
        <v>0</v>
      </c>
      <c r="CJ108" s="124">
        <v>0</v>
      </c>
      <c r="CK108" s="124">
        <v>0</v>
      </c>
      <c r="CL108" s="124">
        <v>0</v>
      </c>
      <c r="CM108" s="124">
        <v>0</v>
      </c>
      <c r="CN108" s="124">
        <v>0</v>
      </c>
      <c r="CO108" s="124">
        <v>0</v>
      </c>
      <c r="CP108" s="124">
        <v>0</v>
      </c>
      <c r="CQ108" s="126">
        <f t="shared" si="43"/>
        <v>0</v>
      </c>
    </row>
    <row r="109" spans="1:95" s="172" customFormat="1" ht="21" customHeight="1" x14ac:dyDescent="0.25">
      <c r="A109" s="45">
        <v>93</v>
      </c>
      <c r="B109" s="45" t="s">
        <v>255</v>
      </c>
      <c r="C109" s="171" t="s">
        <v>256</v>
      </c>
      <c r="D109" s="88">
        <v>46223</v>
      </c>
      <c r="E109" s="137">
        <v>46235.349537037036</v>
      </c>
      <c r="F109" s="137">
        <v>46235.955104166664</v>
      </c>
      <c r="G109" s="137">
        <v>46236.348368055558</v>
      </c>
      <c r="H109" s="137">
        <v>46236.955706018518</v>
      </c>
      <c r="I109" s="137">
        <v>46237.340601851851</v>
      </c>
      <c r="J109" s="137">
        <v>46237.95952546296</v>
      </c>
      <c r="K109" s="137">
        <v>46238.349780092591</v>
      </c>
      <c r="L109" s="137">
        <v>46238.946898148148</v>
      </c>
      <c r="M109" s="137">
        <v>46239.349120370367</v>
      </c>
      <c r="N109" s="137">
        <v>46239.939432870371</v>
      </c>
      <c r="O109" s="137">
        <v>46240.339166666665</v>
      </c>
      <c r="P109" s="137">
        <v>46240.958981481483</v>
      </c>
      <c r="Q109" s="137">
        <v>46241.577777777777</v>
      </c>
      <c r="R109" s="137">
        <v>46241.951516203706</v>
      </c>
      <c r="S109" s="137">
        <v>46242.343310185184</v>
      </c>
      <c r="T109" s="137">
        <v>46242.949513888889</v>
      </c>
      <c r="U109" s="137">
        <v>46243.343275462961</v>
      </c>
      <c r="V109" s="137">
        <v>46243.950497685182</v>
      </c>
      <c r="W109" s="137">
        <v>46244.343923611108</v>
      </c>
      <c r="X109" s="137">
        <v>46244.94321759259</v>
      </c>
      <c r="Y109" s="137">
        <v>46245.338414351849</v>
      </c>
      <c r="Z109" s="137">
        <v>46245.945914351854</v>
      </c>
      <c r="AA109" s="137">
        <v>46246.343344907407</v>
      </c>
      <c r="AB109" s="137">
        <v>46246.94568287037</v>
      </c>
      <c r="AC109" s="137">
        <v>46247.34134259259</v>
      </c>
      <c r="AD109" s="137">
        <v>46247.962337962963</v>
      </c>
      <c r="AE109" s="175" t="s">
        <v>15</v>
      </c>
      <c r="AF109" s="175" t="s">
        <v>15</v>
      </c>
      <c r="AG109" s="137">
        <v>46249.337534722225</v>
      </c>
      <c r="AH109" s="137">
        <v>46249.951354166667</v>
      </c>
      <c r="AI109" s="173"/>
      <c r="AJ109" s="45">
        <v>93</v>
      </c>
      <c r="AK109" s="137">
        <v>46250.347037037034</v>
      </c>
      <c r="AL109" s="137">
        <v>46262.946944444448</v>
      </c>
      <c r="AM109" s="137">
        <v>46251.345439814817</v>
      </c>
      <c r="AN109" s="137">
        <v>46251.945960648147</v>
      </c>
      <c r="AO109" s="137">
        <v>46252.343287037038</v>
      </c>
      <c r="AP109" s="137">
        <v>46252.946643518517</v>
      </c>
      <c r="AQ109" s="137">
        <v>46253.340208333335</v>
      </c>
      <c r="AR109" s="137">
        <v>46253.942395833335</v>
      </c>
      <c r="AS109" s="137">
        <v>46254.343692129631</v>
      </c>
      <c r="AT109" s="137">
        <v>46254.956805555557</v>
      </c>
      <c r="AU109" s="137">
        <v>46255.579502314817</v>
      </c>
      <c r="AV109" s="137">
        <v>46255.976979166669</v>
      </c>
      <c r="AW109" s="137">
        <v>46256.345601851855</v>
      </c>
      <c r="AX109" s="137">
        <v>46256.961215277777</v>
      </c>
      <c r="AY109" s="137">
        <v>46257.34511574074</v>
      </c>
      <c r="AZ109" s="137">
        <v>46257.941377314812</v>
      </c>
      <c r="BA109" s="137">
        <v>0</v>
      </c>
      <c r="BB109" s="137">
        <v>46258.943611111114</v>
      </c>
      <c r="BC109" s="137">
        <v>46259.344918981478</v>
      </c>
      <c r="BD109" s="137">
        <v>46259.955254629633</v>
      </c>
      <c r="BE109" s="137">
        <v>46260.347627314812</v>
      </c>
      <c r="BF109" s="137">
        <v>46260.944189814814</v>
      </c>
      <c r="BG109" s="137">
        <v>46261.342592592591</v>
      </c>
      <c r="BH109" s="137">
        <v>46261.961840277778</v>
      </c>
      <c r="BI109" s="137">
        <v>46262.582708333335</v>
      </c>
      <c r="BJ109" s="137">
        <v>46262.946944444448</v>
      </c>
      <c r="BK109" s="137">
        <v>46263.349652777775</v>
      </c>
      <c r="BL109" s="137">
        <v>46263.96162037037</v>
      </c>
      <c r="BM109" s="137">
        <v>46264.344456018516</v>
      </c>
      <c r="BN109" s="137">
        <v>46264.946157407408</v>
      </c>
      <c r="BO109" s="137">
        <v>46265.347951388889</v>
      </c>
      <c r="BP109" s="137">
        <v>46265.945219907408</v>
      </c>
      <c r="BQ109" s="99">
        <f t="shared" si="44"/>
        <v>31</v>
      </c>
      <c r="BR109" s="68">
        <v>3</v>
      </c>
      <c r="BS109" s="1">
        <f t="shared" si="42"/>
        <v>30</v>
      </c>
      <c r="BT109" s="2">
        <f t="shared" si="45"/>
        <v>1</v>
      </c>
      <c r="BU109" s="2">
        <f t="shared" si="46"/>
        <v>0</v>
      </c>
      <c r="BV109" s="2">
        <f t="shared" si="47"/>
        <v>0</v>
      </c>
      <c r="BW109" s="2">
        <f t="shared" si="48"/>
        <v>0</v>
      </c>
      <c r="BX109" s="2">
        <f t="shared" si="49"/>
        <v>0</v>
      </c>
      <c r="BY109" s="2">
        <f t="shared" si="50"/>
        <v>0</v>
      </c>
      <c r="BZ109" s="2">
        <f t="shared" si="51"/>
        <v>0</v>
      </c>
      <c r="CA109" s="2">
        <f t="shared" si="52"/>
        <v>0</v>
      </c>
      <c r="CB109" s="2">
        <f t="shared" si="53"/>
        <v>0</v>
      </c>
      <c r="CC109" s="2">
        <f t="shared" si="54"/>
        <v>0</v>
      </c>
      <c r="CD109" s="2">
        <f t="shared" si="55"/>
        <v>0</v>
      </c>
      <c r="CE109" s="3"/>
    </row>
    <row r="110" spans="1:95" s="172" customFormat="1" ht="21" customHeight="1" x14ac:dyDescent="0.25">
      <c r="A110" s="45">
        <v>94</v>
      </c>
      <c r="B110" s="45" t="s">
        <v>262</v>
      </c>
      <c r="C110" s="171" t="s">
        <v>257</v>
      </c>
      <c r="D110" s="88">
        <v>46233</v>
      </c>
      <c r="E110" s="137">
        <v>46235.344166666669</v>
      </c>
      <c r="F110" s="137">
        <v>46235.973391203705</v>
      </c>
      <c r="G110" s="137">
        <v>46236.348923611113</v>
      </c>
      <c r="H110" s="137">
        <v>46236.949687499997</v>
      </c>
      <c r="I110" s="137">
        <v>46237.344004629631</v>
      </c>
      <c r="J110" s="137">
        <v>46237.947731481479</v>
      </c>
      <c r="K110" s="137">
        <v>46238.351238425923</v>
      </c>
      <c r="L110" s="137">
        <v>46238.94635416667</v>
      </c>
      <c r="M110" s="137">
        <v>46239.35056712963</v>
      </c>
      <c r="N110" s="137">
        <v>46239.944444444445</v>
      </c>
      <c r="O110" s="137">
        <v>46240.351145833331</v>
      </c>
      <c r="P110" s="137">
        <v>46240.98060185185</v>
      </c>
      <c r="Q110" s="137">
        <v>46241.580370370371</v>
      </c>
      <c r="R110" s="137">
        <v>46241.954293981478</v>
      </c>
      <c r="S110" s="137">
        <v>46242.3516087963</v>
      </c>
      <c r="T110" s="137">
        <v>46242.971296296295</v>
      </c>
      <c r="U110" s="137">
        <v>46243.352233796293</v>
      </c>
      <c r="V110" s="137">
        <v>46243.96502314815</v>
      </c>
      <c r="W110" s="137">
        <v>46244.352893518517</v>
      </c>
      <c r="X110" s="137">
        <v>1</v>
      </c>
      <c r="Y110" s="137">
        <v>46245.351666666669</v>
      </c>
      <c r="Z110" s="137">
        <v>46245.951435185183</v>
      </c>
      <c r="AA110" s="137">
        <v>46246.352847222224</v>
      </c>
      <c r="AB110" s="137">
        <v>46246.955023148148</v>
      </c>
      <c r="AC110" s="137">
        <v>46247.353715277779</v>
      </c>
      <c r="AD110" s="137">
        <v>46247.973645833335</v>
      </c>
      <c r="AE110" s="175" t="s">
        <v>15</v>
      </c>
      <c r="AF110" s="175" t="s">
        <v>15</v>
      </c>
      <c r="AG110" s="137">
        <v>46249.352430555555</v>
      </c>
      <c r="AH110" s="137">
        <v>46249.971250000002</v>
      </c>
      <c r="AI110" s="173"/>
      <c r="AJ110" s="45">
        <v>94</v>
      </c>
      <c r="AK110" s="137">
        <v>46250.352638888886</v>
      </c>
      <c r="AL110" s="137">
        <v>0</v>
      </c>
      <c r="AM110" s="137">
        <v>46251.352939814817</v>
      </c>
      <c r="AN110" s="137">
        <v>46251.951585648145</v>
      </c>
      <c r="AO110" s="137">
        <v>46252.352071759262</v>
      </c>
      <c r="AP110" s="137">
        <v>46252.960011574076</v>
      </c>
      <c r="AQ110" s="137">
        <v>46253.353495370371</v>
      </c>
      <c r="AR110" s="137">
        <v>46253.947789351849</v>
      </c>
      <c r="AS110" s="137">
        <v>46254.351215277777</v>
      </c>
      <c r="AT110" s="137">
        <v>46254.967557870368</v>
      </c>
      <c r="AU110" s="137">
        <v>46255.582465277781</v>
      </c>
      <c r="AV110" s="137">
        <v>46255.976701388892</v>
      </c>
      <c r="AW110" s="137">
        <v>46256.353032407409</v>
      </c>
      <c r="AX110" s="137">
        <v>46256.963703703703</v>
      </c>
      <c r="AY110" s="137">
        <v>46257.35355324074</v>
      </c>
      <c r="AZ110" s="137">
        <v>46257.94903935185</v>
      </c>
      <c r="BA110" s="137">
        <v>46258.342905092592</v>
      </c>
      <c r="BB110" s="137">
        <v>46258.94939814815</v>
      </c>
      <c r="BC110" s="137">
        <v>46259.349780092591</v>
      </c>
      <c r="BD110" s="137">
        <v>46259.951655092591</v>
      </c>
      <c r="BE110" s="137">
        <v>46260.350381944445</v>
      </c>
      <c r="BF110" s="137">
        <v>46260.95107638889</v>
      </c>
      <c r="BG110" s="137">
        <v>46261.353483796294</v>
      </c>
      <c r="BH110" s="137">
        <v>46261.972141203703</v>
      </c>
      <c r="BI110" s="137">
        <v>46262.579351851855</v>
      </c>
      <c r="BJ110" s="137">
        <v>0</v>
      </c>
      <c r="BK110" s="137">
        <v>46263.35359953704</v>
      </c>
      <c r="BL110" s="137">
        <v>0</v>
      </c>
      <c r="BM110" s="137">
        <v>46264.352696759262</v>
      </c>
      <c r="BN110" s="137">
        <v>46264.950196759259</v>
      </c>
      <c r="BO110" s="137">
        <v>46265.353518518517</v>
      </c>
      <c r="BP110" s="137">
        <v>46265.950983796298</v>
      </c>
      <c r="BQ110" s="99">
        <f t="shared" si="44"/>
        <v>31</v>
      </c>
      <c r="BR110" s="68">
        <v>3</v>
      </c>
      <c r="BS110" s="1">
        <f t="shared" si="42"/>
        <v>30</v>
      </c>
      <c r="BT110" s="2">
        <f t="shared" si="45"/>
        <v>1</v>
      </c>
      <c r="BU110" s="2">
        <f t="shared" si="46"/>
        <v>0</v>
      </c>
      <c r="BV110" s="2">
        <f t="shared" si="47"/>
        <v>0</v>
      </c>
      <c r="BW110" s="2">
        <f t="shared" si="48"/>
        <v>0</v>
      </c>
      <c r="BX110" s="2">
        <f t="shared" si="49"/>
        <v>0</v>
      </c>
      <c r="BY110" s="2">
        <f t="shared" si="50"/>
        <v>0</v>
      </c>
      <c r="BZ110" s="2">
        <f t="shared" si="51"/>
        <v>0</v>
      </c>
      <c r="CA110" s="2">
        <f t="shared" si="52"/>
        <v>0</v>
      </c>
      <c r="CB110" s="2">
        <f t="shared" si="53"/>
        <v>0</v>
      </c>
      <c r="CC110" s="2">
        <f t="shared" si="54"/>
        <v>0</v>
      </c>
      <c r="CD110" s="2">
        <f t="shared" si="55"/>
        <v>0</v>
      </c>
      <c r="CE110" s="3"/>
    </row>
    <row r="111" spans="1:95" s="172" customFormat="1" ht="21" customHeight="1" x14ac:dyDescent="0.25">
      <c r="A111" s="45">
        <v>95</v>
      </c>
      <c r="B111" s="45" t="s">
        <v>258</v>
      </c>
      <c r="C111" s="171" t="s">
        <v>259</v>
      </c>
      <c r="D111" s="88">
        <v>46237</v>
      </c>
      <c r="E111" s="221" t="s">
        <v>281</v>
      </c>
      <c r="F111" s="223"/>
      <c r="G111" s="223"/>
      <c r="H111" s="223"/>
      <c r="I111" s="223"/>
      <c r="J111" s="223"/>
      <c r="K111" s="223"/>
      <c r="L111" s="222"/>
      <c r="M111" s="137">
        <v>46239.347361111111</v>
      </c>
      <c r="N111" s="137">
        <v>46239.965011574073</v>
      </c>
      <c r="O111" s="137">
        <v>46240.344606481478</v>
      </c>
      <c r="P111" s="137">
        <v>1</v>
      </c>
      <c r="Q111" s="137">
        <v>46241.575532407405</v>
      </c>
      <c r="R111" s="137">
        <v>46241.933796296296</v>
      </c>
      <c r="S111" s="137">
        <v>46242.348252314812</v>
      </c>
      <c r="T111" s="137">
        <v>46242.988495370373</v>
      </c>
      <c r="U111" s="137">
        <v>46243.350555555553</v>
      </c>
      <c r="V111" s="137">
        <v>46245.950844907406</v>
      </c>
      <c r="W111" s="174" t="s">
        <v>171</v>
      </c>
      <c r="X111" s="174" t="s">
        <v>171</v>
      </c>
      <c r="Y111" s="174" t="s">
        <v>171</v>
      </c>
      <c r="Z111" s="174" t="s">
        <v>171</v>
      </c>
      <c r="AA111" s="137">
        <v>46246.349247685182</v>
      </c>
      <c r="AB111" s="137">
        <v>46246.954502314817</v>
      </c>
      <c r="AC111" s="137">
        <v>46247.349988425929</v>
      </c>
      <c r="AD111" s="137">
        <v>46247.96297453704</v>
      </c>
      <c r="AE111" s="137">
        <v>46248.577962962961</v>
      </c>
      <c r="AF111" s="137">
        <v>46248.951840277776</v>
      </c>
      <c r="AG111" s="137">
        <v>46249.349826388891</v>
      </c>
      <c r="AH111" s="137">
        <v>1</v>
      </c>
      <c r="AI111" s="173"/>
      <c r="AJ111" s="45">
        <v>95</v>
      </c>
      <c r="AK111" s="137">
        <v>46250.499467592592</v>
      </c>
      <c r="AL111" s="137">
        <v>46262.947511574072</v>
      </c>
      <c r="AM111" s="137">
        <v>46251.349351851852</v>
      </c>
      <c r="AN111" s="137">
        <v>46251.948194444441</v>
      </c>
      <c r="AO111" s="137">
        <v>46252.351365740738</v>
      </c>
      <c r="AP111" s="137">
        <v>46252.957314814812</v>
      </c>
      <c r="AQ111" s="137">
        <v>46253.351446759261</v>
      </c>
      <c r="AR111" s="137">
        <v>46253.946527777778</v>
      </c>
      <c r="AS111" s="137">
        <v>46254.350127314814</v>
      </c>
      <c r="AT111" s="137">
        <v>46254.975844907407</v>
      </c>
      <c r="AU111" s="137">
        <v>46255.578622685185</v>
      </c>
      <c r="AV111" s="137">
        <v>46255.976620370369</v>
      </c>
      <c r="AW111" s="137">
        <v>46256.350937499999</v>
      </c>
      <c r="AX111" s="137">
        <v>46256.963530092595</v>
      </c>
      <c r="AY111" s="137">
        <v>46257.349143518521</v>
      </c>
      <c r="AZ111" s="137">
        <v>46257.948738425926</v>
      </c>
      <c r="BA111" s="137">
        <v>46258.349965277775</v>
      </c>
      <c r="BB111" s="137">
        <v>46258.949201388888</v>
      </c>
      <c r="BC111" s="137">
        <v>46259.353148148148</v>
      </c>
      <c r="BD111" s="137">
        <v>46259.951770833337</v>
      </c>
      <c r="BE111" s="137">
        <v>46260.353032407409</v>
      </c>
      <c r="BF111" s="137">
        <v>46260.951944444445</v>
      </c>
      <c r="BG111" s="137">
        <v>0</v>
      </c>
      <c r="BH111" s="137">
        <v>46261.975081018521</v>
      </c>
      <c r="BI111" s="137">
        <v>0</v>
      </c>
      <c r="BJ111" s="137">
        <v>46262.947511574072</v>
      </c>
      <c r="BK111" s="137">
        <v>46263.354108796295</v>
      </c>
      <c r="BL111" s="137">
        <v>0</v>
      </c>
      <c r="BM111" s="137">
        <v>46264.351446759261</v>
      </c>
      <c r="BN111" s="137">
        <v>46264.947442129633</v>
      </c>
      <c r="BO111" s="137">
        <v>46265.34883101852</v>
      </c>
      <c r="BP111" s="137">
        <v>46265.951111111113</v>
      </c>
      <c r="BQ111" s="99">
        <f t="shared" ref="BQ111:BQ115" si="56">BS111+BT111+BV111+CA111+BY111+BZ111+CD111+BU111</f>
        <v>27</v>
      </c>
      <c r="BR111" s="68">
        <v>4</v>
      </c>
      <c r="BS111" s="1">
        <f t="shared" si="42"/>
        <v>25</v>
      </c>
      <c r="BT111" s="2">
        <f t="shared" si="45"/>
        <v>0</v>
      </c>
      <c r="BU111" s="2">
        <f t="shared" si="46"/>
        <v>0</v>
      </c>
      <c r="BV111" s="2">
        <f t="shared" si="47"/>
        <v>0</v>
      </c>
      <c r="BW111" s="2">
        <f t="shared" si="48"/>
        <v>0</v>
      </c>
      <c r="BX111" s="2">
        <f t="shared" si="49"/>
        <v>0</v>
      </c>
      <c r="BY111" s="2">
        <f t="shared" si="50"/>
        <v>0</v>
      </c>
      <c r="BZ111" s="2">
        <f t="shared" si="51"/>
        <v>2</v>
      </c>
      <c r="CA111" s="2">
        <f t="shared" si="52"/>
        <v>0</v>
      </c>
      <c r="CB111" s="2">
        <f t="shared" si="53"/>
        <v>0</v>
      </c>
      <c r="CC111" s="2">
        <f t="shared" si="54"/>
        <v>0</v>
      </c>
      <c r="CD111" s="2">
        <f t="shared" si="55"/>
        <v>0</v>
      </c>
      <c r="CE111" s="3"/>
    </row>
    <row r="112" spans="1:95" s="172" customFormat="1" ht="21" customHeight="1" x14ac:dyDescent="0.25">
      <c r="A112" s="45">
        <v>96</v>
      </c>
      <c r="B112" s="45" t="s">
        <v>260</v>
      </c>
      <c r="C112" s="171" t="s">
        <v>261</v>
      </c>
      <c r="D112" s="88">
        <v>46241</v>
      </c>
      <c r="E112" s="221" t="s">
        <v>282</v>
      </c>
      <c r="F112" s="223"/>
      <c r="G112" s="223"/>
      <c r="H112" s="223"/>
      <c r="I112" s="223"/>
      <c r="J112" s="223"/>
      <c r="K112" s="223"/>
      <c r="L112" s="223"/>
      <c r="M112" s="223"/>
      <c r="N112" s="223"/>
      <c r="O112" s="223"/>
      <c r="P112" s="222"/>
      <c r="Q112" s="137">
        <v>46241.581921296296</v>
      </c>
      <c r="R112" s="137">
        <v>46241.933865740742</v>
      </c>
      <c r="S112" s="137">
        <v>46242.348310185182</v>
      </c>
      <c r="T112" s="137">
        <v>46242.931481481479</v>
      </c>
      <c r="U112" s="137">
        <v>46243.345648148148</v>
      </c>
      <c r="V112" s="137">
        <v>46243.936712962961</v>
      </c>
      <c r="W112" s="137">
        <v>46244.352407407408</v>
      </c>
      <c r="X112" s="137">
        <v>46244.965208333335</v>
      </c>
      <c r="Y112" s="137">
        <v>46245.351226851853</v>
      </c>
      <c r="Z112" s="137">
        <v>46245.928240740737</v>
      </c>
      <c r="AA112" s="174" t="s">
        <v>171</v>
      </c>
      <c r="AB112" s="174" t="s">
        <v>171</v>
      </c>
      <c r="AC112" s="174" t="s">
        <v>171</v>
      </c>
      <c r="AD112" s="174" t="s">
        <v>171</v>
      </c>
      <c r="AE112" s="137">
        <v>46248.579375000001</v>
      </c>
      <c r="AF112" s="137">
        <v>46248.928495370368</v>
      </c>
      <c r="AG112" s="137">
        <v>46249.350601851853</v>
      </c>
      <c r="AH112" s="137">
        <v>46249.970879629633</v>
      </c>
      <c r="AI112" s="173"/>
      <c r="AJ112" s="45">
        <v>96</v>
      </c>
      <c r="AK112" s="137">
        <v>46250.350219907406</v>
      </c>
      <c r="AL112" s="137">
        <v>46250.944351851853</v>
      </c>
      <c r="AM112" s="137">
        <v>46251.349166666667</v>
      </c>
      <c r="AN112" s="137">
        <v>46251.934907407405</v>
      </c>
      <c r="AO112" s="137">
        <v>46252.35050925926</v>
      </c>
      <c r="AP112" s="137">
        <v>46252.941770833335</v>
      </c>
      <c r="AQ112" s="137">
        <v>46253.350694444445</v>
      </c>
      <c r="AR112" s="137">
        <v>46253.956932870373</v>
      </c>
      <c r="AS112" s="137">
        <v>46254.349699074075</v>
      </c>
      <c r="AT112" s="137">
        <v>46254.946550925924</v>
      </c>
      <c r="AU112" s="137">
        <v>46255.579652777778</v>
      </c>
      <c r="AV112" s="137">
        <v>46255.917638888888</v>
      </c>
      <c r="AW112" s="137">
        <v>46256.350347222222</v>
      </c>
      <c r="AX112" s="137">
        <v>46256.931145833332</v>
      </c>
      <c r="AY112" s="137">
        <v>46257.349768518521</v>
      </c>
      <c r="AZ112" s="137">
        <v>46257.937210648146</v>
      </c>
      <c r="BA112" s="137">
        <v>46258.353530092594</v>
      </c>
      <c r="BB112" s="137">
        <v>46258.952615740738</v>
      </c>
      <c r="BC112" s="137">
        <v>46259.350370370368</v>
      </c>
      <c r="BD112" s="137">
        <v>46259.938796296294</v>
      </c>
      <c r="BE112" s="137">
        <v>46260.352430555555</v>
      </c>
      <c r="BF112" s="137">
        <v>46260.973252314812</v>
      </c>
      <c r="BG112" s="137">
        <v>46261.350613425922</v>
      </c>
      <c r="BH112" s="137">
        <v>46261.95952546296</v>
      </c>
      <c r="BI112" s="175" t="s">
        <v>15</v>
      </c>
      <c r="BJ112" s="175" t="s">
        <v>15</v>
      </c>
      <c r="BK112" s="137">
        <v>46263.351469907408</v>
      </c>
      <c r="BL112" s="137">
        <v>46263.959155092591</v>
      </c>
      <c r="BM112" s="137">
        <v>46264.350729166668</v>
      </c>
      <c r="BN112" s="137">
        <v>46264.959432870368</v>
      </c>
      <c r="BO112" s="137">
        <v>46265.350949074076</v>
      </c>
      <c r="BP112" s="137">
        <v>46265.941400462965</v>
      </c>
      <c r="BQ112" s="99">
        <f t="shared" si="56"/>
        <v>25</v>
      </c>
      <c r="BR112" s="68">
        <v>3</v>
      </c>
      <c r="BS112" s="1">
        <f t="shared" si="42"/>
        <v>22</v>
      </c>
      <c r="BT112" s="2">
        <f t="shared" si="45"/>
        <v>1</v>
      </c>
      <c r="BU112" s="2">
        <f t="shared" si="46"/>
        <v>0</v>
      </c>
      <c r="BV112" s="2">
        <f t="shared" si="47"/>
        <v>0</v>
      </c>
      <c r="BW112" s="2">
        <f t="shared" si="48"/>
        <v>0</v>
      </c>
      <c r="BX112" s="2">
        <f t="shared" si="49"/>
        <v>0</v>
      </c>
      <c r="BY112" s="2">
        <f t="shared" si="50"/>
        <v>0</v>
      </c>
      <c r="BZ112" s="2">
        <f t="shared" si="51"/>
        <v>2</v>
      </c>
      <c r="CA112" s="2">
        <f t="shared" si="52"/>
        <v>0</v>
      </c>
      <c r="CB112" s="2">
        <f t="shared" si="53"/>
        <v>0</v>
      </c>
      <c r="CC112" s="2">
        <f t="shared" si="54"/>
        <v>0</v>
      </c>
      <c r="CD112" s="2">
        <f t="shared" si="55"/>
        <v>0</v>
      </c>
      <c r="CE112" s="3"/>
    </row>
    <row r="113" spans="1:83" s="172" customFormat="1" ht="21" customHeight="1" x14ac:dyDescent="0.25">
      <c r="A113" s="45">
        <v>97</v>
      </c>
      <c r="B113" s="45" t="s">
        <v>278</v>
      </c>
      <c r="C113" s="171" t="s">
        <v>275</v>
      </c>
      <c r="D113" s="88">
        <v>46250</v>
      </c>
      <c r="E113" s="218" t="s">
        <v>283</v>
      </c>
      <c r="F113" s="219"/>
      <c r="G113" s="219"/>
      <c r="H113" s="219"/>
      <c r="I113" s="219"/>
      <c r="J113" s="219"/>
      <c r="K113" s="219"/>
      <c r="L113" s="219"/>
      <c r="M113" s="219"/>
      <c r="N113" s="219"/>
      <c r="O113" s="219"/>
      <c r="P113" s="219"/>
      <c r="Q113" s="219"/>
      <c r="R113" s="219"/>
      <c r="S113" s="219"/>
      <c r="T113" s="219"/>
      <c r="U113" s="219"/>
      <c r="V113" s="219"/>
      <c r="W113" s="219"/>
      <c r="X113" s="219"/>
      <c r="Y113" s="219"/>
      <c r="Z113" s="219"/>
      <c r="AA113" s="219"/>
      <c r="AB113" s="219"/>
      <c r="AC113" s="219"/>
      <c r="AD113" s="219"/>
      <c r="AE113" s="219"/>
      <c r="AF113" s="219"/>
      <c r="AG113" s="219"/>
      <c r="AH113" s="220"/>
      <c r="AI113" s="173"/>
      <c r="AJ113" s="45">
        <v>97</v>
      </c>
      <c r="AK113" s="221"/>
      <c r="AL113" s="222"/>
      <c r="AM113" s="137">
        <v>46251.354826388888</v>
      </c>
      <c r="AN113" s="137">
        <v>46251.947743055556</v>
      </c>
      <c r="AO113" s="137">
        <v>46252.354317129626</v>
      </c>
      <c r="AP113" s="137">
        <v>46252.946400462963</v>
      </c>
      <c r="AQ113" s="137">
        <v>46253.35260416667</v>
      </c>
      <c r="AR113" s="137">
        <v>46253.9455787037</v>
      </c>
      <c r="AS113" s="137">
        <v>46254.353171296294</v>
      </c>
      <c r="AT113" s="137">
        <v>46254.969513888886</v>
      </c>
      <c r="AU113" s="137">
        <v>46255.579872685186</v>
      </c>
      <c r="AV113" s="137">
        <v>46255.944097222222</v>
      </c>
      <c r="AW113" s="137">
        <v>46256.353229166663</v>
      </c>
      <c r="AX113" s="137">
        <v>46256.964571759258</v>
      </c>
      <c r="AY113" s="137">
        <v>46257.352662037039</v>
      </c>
      <c r="AZ113" s="137">
        <v>46257.944953703707</v>
      </c>
      <c r="BA113" s="137">
        <v>46258.350578703707</v>
      </c>
      <c r="BB113" s="137">
        <v>46258.953020833331</v>
      </c>
      <c r="BC113" s="137">
        <v>46259.346932870372</v>
      </c>
      <c r="BD113" s="137">
        <v>46259.946736111109</v>
      </c>
      <c r="BE113" s="137">
        <v>46260.346296296295</v>
      </c>
      <c r="BF113" s="137">
        <v>46260.94635416667</v>
      </c>
      <c r="BG113" s="137">
        <v>46261.352708333332</v>
      </c>
      <c r="BH113" s="137">
        <v>46261.974780092591</v>
      </c>
      <c r="BI113" s="137">
        <v>46262.578472222223</v>
      </c>
      <c r="BJ113" s="137">
        <v>46262.944212962961</v>
      </c>
      <c r="BK113" s="137">
        <v>46263.353796296295</v>
      </c>
      <c r="BL113" s="137">
        <v>46263.964560185188</v>
      </c>
      <c r="BM113" s="137">
        <v>46264.353819444441</v>
      </c>
      <c r="BN113" s="137">
        <v>46264.94798611111</v>
      </c>
      <c r="BO113" s="137">
        <v>46265.353506944448</v>
      </c>
      <c r="BP113" s="137">
        <v>46265.94667824074</v>
      </c>
      <c r="BQ113" s="99">
        <f>BS113+BT113+BV113+CA113+BY113+BZ113+CD113+BU113</f>
        <v>15</v>
      </c>
      <c r="BR113" s="68">
        <v>2</v>
      </c>
      <c r="BS113" s="1">
        <f t="shared" si="42"/>
        <v>15</v>
      </c>
      <c r="BT113" s="2">
        <f t="shared" si="45"/>
        <v>0</v>
      </c>
      <c r="BU113" s="2">
        <f t="shared" si="46"/>
        <v>0</v>
      </c>
      <c r="BV113" s="2">
        <f t="shared" si="47"/>
        <v>0</v>
      </c>
      <c r="BW113" s="2">
        <f t="shared" si="48"/>
        <v>0</v>
      </c>
      <c r="BX113" s="2">
        <f t="shared" si="49"/>
        <v>0</v>
      </c>
      <c r="BY113" s="2">
        <f t="shared" si="50"/>
        <v>0</v>
      </c>
      <c r="BZ113" s="2">
        <f t="shared" si="51"/>
        <v>0</v>
      </c>
      <c r="CA113" s="2">
        <f t="shared" si="52"/>
        <v>0</v>
      </c>
      <c r="CB113" s="2">
        <f t="shared" si="53"/>
        <v>0</v>
      </c>
      <c r="CC113" s="2">
        <f t="shared" si="54"/>
        <v>0</v>
      </c>
      <c r="CD113" s="2">
        <f t="shared" si="55"/>
        <v>0</v>
      </c>
      <c r="CE113" s="3"/>
    </row>
    <row r="114" spans="1:83" s="172" customFormat="1" ht="21" customHeight="1" x14ac:dyDescent="0.25">
      <c r="A114" s="45">
        <v>98</v>
      </c>
      <c r="B114" s="45" t="s">
        <v>279</v>
      </c>
      <c r="C114" s="171" t="s">
        <v>276</v>
      </c>
      <c r="D114" s="88">
        <v>46250</v>
      </c>
      <c r="E114" s="218" t="s">
        <v>283</v>
      </c>
      <c r="F114" s="219"/>
      <c r="G114" s="219"/>
      <c r="H114" s="219"/>
      <c r="I114" s="219"/>
      <c r="J114" s="219"/>
      <c r="K114" s="219"/>
      <c r="L114" s="219"/>
      <c r="M114" s="219"/>
      <c r="N114" s="219"/>
      <c r="O114" s="219"/>
      <c r="P114" s="219"/>
      <c r="Q114" s="219"/>
      <c r="R114" s="219"/>
      <c r="S114" s="219"/>
      <c r="T114" s="219"/>
      <c r="U114" s="219"/>
      <c r="V114" s="219"/>
      <c r="W114" s="219"/>
      <c r="X114" s="219"/>
      <c r="Y114" s="219"/>
      <c r="Z114" s="219"/>
      <c r="AA114" s="219"/>
      <c r="AB114" s="219"/>
      <c r="AC114" s="219"/>
      <c r="AD114" s="219"/>
      <c r="AE114" s="219"/>
      <c r="AF114" s="219"/>
      <c r="AG114" s="219"/>
      <c r="AH114" s="220"/>
      <c r="AI114" s="173"/>
      <c r="AJ114" s="45">
        <v>98</v>
      </c>
      <c r="AK114" s="221"/>
      <c r="AL114" s="222"/>
      <c r="AM114" s="137">
        <v>46251.352129629631</v>
      </c>
      <c r="AN114" s="137">
        <v>46251.95888888889</v>
      </c>
      <c r="AO114" s="137">
        <v>46252.352384259262</v>
      </c>
      <c r="AP114" s="137">
        <v>46252.959861111114</v>
      </c>
      <c r="AQ114" s="137">
        <v>46253.353391203702</v>
      </c>
      <c r="AR114" s="137">
        <v>46253.956111111111</v>
      </c>
      <c r="AS114" s="137">
        <v>46254.352881944447</v>
      </c>
      <c r="AT114" s="137">
        <v>46254.973078703704</v>
      </c>
      <c r="AU114" s="137">
        <v>46255.580520833333</v>
      </c>
      <c r="AV114" s="137">
        <v>46255.976909722223</v>
      </c>
      <c r="AW114" s="137">
        <v>46256.353530092594</v>
      </c>
      <c r="AX114" s="137">
        <v>46256.968101851853</v>
      </c>
      <c r="AY114" s="137">
        <v>46257.353101851855</v>
      </c>
      <c r="AZ114" s="137">
        <v>46257.953472222223</v>
      </c>
      <c r="BA114" s="137">
        <v>0</v>
      </c>
      <c r="BB114" s="137">
        <v>46258.955925925926</v>
      </c>
      <c r="BC114" s="137">
        <v>46259.35328703704</v>
      </c>
      <c r="BD114" s="137">
        <v>46259.962372685186</v>
      </c>
      <c r="BE114" s="137">
        <v>46260.368495370371</v>
      </c>
      <c r="BF114" s="137">
        <v>46260.953506944446</v>
      </c>
      <c r="BG114" s="137">
        <v>46261.353101851855</v>
      </c>
      <c r="BH114" s="137">
        <v>46261.974016203705</v>
      </c>
      <c r="BI114" s="137">
        <v>0</v>
      </c>
      <c r="BJ114" s="137">
        <v>46262.947106481479</v>
      </c>
      <c r="BK114" s="137">
        <v>46263.352858796294</v>
      </c>
      <c r="BL114" s="137">
        <v>0</v>
      </c>
      <c r="BM114" s="137">
        <v>46264.352233796293</v>
      </c>
      <c r="BN114" s="137">
        <v>46264.95484953704</v>
      </c>
      <c r="BO114" s="137">
        <v>46265.35260416667</v>
      </c>
      <c r="BP114" s="137">
        <v>46265.956157407411</v>
      </c>
      <c r="BQ114" s="99">
        <f t="shared" si="56"/>
        <v>15</v>
      </c>
      <c r="BR114" s="68">
        <v>2</v>
      </c>
      <c r="BS114" s="1">
        <f t="shared" si="42"/>
        <v>15</v>
      </c>
      <c r="BT114" s="2">
        <f t="shared" si="45"/>
        <v>0</v>
      </c>
      <c r="BU114" s="2">
        <f t="shared" si="46"/>
        <v>0</v>
      </c>
      <c r="BV114" s="2">
        <f t="shared" si="47"/>
        <v>0</v>
      </c>
      <c r="BW114" s="2">
        <f t="shared" si="48"/>
        <v>0</v>
      </c>
      <c r="BX114" s="2">
        <f t="shared" si="49"/>
        <v>0</v>
      </c>
      <c r="BY114" s="2">
        <f t="shared" si="50"/>
        <v>0</v>
      </c>
      <c r="BZ114" s="2">
        <f t="shared" si="51"/>
        <v>0</v>
      </c>
      <c r="CA114" s="2">
        <f t="shared" si="52"/>
        <v>0</v>
      </c>
      <c r="CB114" s="2">
        <f t="shared" si="53"/>
        <v>0</v>
      </c>
      <c r="CC114" s="2">
        <f t="shared" si="54"/>
        <v>0</v>
      </c>
      <c r="CD114" s="2">
        <f t="shared" si="55"/>
        <v>0</v>
      </c>
      <c r="CE114" s="3"/>
    </row>
    <row r="115" spans="1:83" s="172" customFormat="1" ht="21" customHeight="1" x14ac:dyDescent="0.25">
      <c r="A115" s="45">
        <v>99</v>
      </c>
      <c r="B115" s="45" t="s">
        <v>280</v>
      </c>
      <c r="C115" s="171" t="s">
        <v>277</v>
      </c>
      <c r="D115" s="88">
        <v>46259</v>
      </c>
      <c r="E115" s="218" t="s">
        <v>284</v>
      </c>
      <c r="F115" s="219"/>
      <c r="G115" s="219"/>
      <c r="H115" s="219"/>
      <c r="I115" s="219"/>
      <c r="J115" s="219"/>
      <c r="K115" s="219"/>
      <c r="L115" s="219"/>
      <c r="M115" s="219"/>
      <c r="N115" s="219"/>
      <c r="O115" s="219"/>
      <c r="P115" s="219"/>
      <c r="Q115" s="219"/>
      <c r="R115" s="219"/>
      <c r="S115" s="219"/>
      <c r="T115" s="219"/>
      <c r="U115" s="219"/>
      <c r="V115" s="219"/>
      <c r="W115" s="219"/>
      <c r="X115" s="219"/>
      <c r="Y115" s="219"/>
      <c r="Z115" s="219"/>
      <c r="AA115" s="219"/>
      <c r="AB115" s="219"/>
      <c r="AC115" s="219"/>
      <c r="AD115" s="219"/>
      <c r="AE115" s="219"/>
      <c r="AF115" s="219"/>
      <c r="AG115" s="219"/>
      <c r="AH115" s="220"/>
      <c r="AI115" s="173"/>
      <c r="AJ115" s="45">
        <v>99</v>
      </c>
      <c r="AK115" s="221" t="s">
        <v>285</v>
      </c>
      <c r="AL115" s="223"/>
      <c r="AM115" s="223"/>
      <c r="AN115" s="223"/>
      <c r="AO115" s="223"/>
      <c r="AP115" s="223"/>
      <c r="AQ115" s="223"/>
      <c r="AR115" s="223"/>
      <c r="AS115" s="223"/>
      <c r="AT115" s="223"/>
      <c r="AU115" s="223"/>
      <c r="AV115" s="223"/>
      <c r="AW115" s="223"/>
      <c r="AX115" s="223"/>
      <c r="AY115" s="223"/>
      <c r="AZ115" s="222"/>
      <c r="BA115" s="137">
        <v>46258.351956018516</v>
      </c>
      <c r="BB115" s="137">
        <v>1</v>
      </c>
      <c r="BC115" s="137">
        <v>46259.346736111111</v>
      </c>
      <c r="BD115" s="137">
        <v>46259.883402777778</v>
      </c>
      <c r="BE115" s="137">
        <v>46260.352094907408</v>
      </c>
      <c r="BF115" s="137">
        <v>46260.932349537034</v>
      </c>
      <c r="BG115" s="137">
        <v>46261.349814814814</v>
      </c>
      <c r="BH115" s="137">
        <v>46261.879942129628</v>
      </c>
      <c r="BI115" s="137">
        <v>0</v>
      </c>
      <c r="BJ115" s="137">
        <v>46262.879270833335</v>
      </c>
      <c r="BK115" s="137">
        <v>46263.351226851853</v>
      </c>
      <c r="BL115" s="137">
        <v>46263.898900462962</v>
      </c>
      <c r="BM115" s="137">
        <v>46264.34915509259</v>
      </c>
      <c r="BN115" s="137">
        <v>46264.903344907405</v>
      </c>
      <c r="BO115" s="137">
        <v>46265.348101851851</v>
      </c>
      <c r="BP115" s="137">
        <v>46265.902824074074</v>
      </c>
      <c r="BQ115" s="99">
        <f t="shared" si="56"/>
        <v>8</v>
      </c>
      <c r="BR115" s="68">
        <v>1</v>
      </c>
      <c r="BS115" s="1">
        <f t="shared" si="42"/>
        <v>8</v>
      </c>
      <c r="BT115" s="2">
        <f t="shared" si="45"/>
        <v>0</v>
      </c>
      <c r="BU115" s="2">
        <f t="shared" si="46"/>
        <v>0</v>
      </c>
      <c r="BV115" s="2">
        <f t="shared" si="47"/>
        <v>0</v>
      </c>
      <c r="BW115" s="2">
        <f t="shared" si="48"/>
        <v>0</v>
      </c>
      <c r="BX115" s="2">
        <f t="shared" si="49"/>
        <v>0</v>
      </c>
      <c r="BY115" s="2">
        <f t="shared" si="50"/>
        <v>0</v>
      </c>
      <c r="BZ115" s="2">
        <f t="shared" si="51"/>
        <v>0</v>
      </c>
      <c r="CA115" s="2">
        <f t="shared" si="52"/>
        <v>0</v>
      </c>
      <c r="CB115" s="2">
        <f t="shared" si="53"/>
        <v>0</v>
      </c>
      <c r="CC115" s="2">
        <f t="shared" si="54"/>
        <v>0</v>
      </c>
      <c r="CD115" s="2">
        <f t="shared" si="55"/>
        <v>0</v>
      </c>
      <c r="CE115" s="3"/>
    </row>
    <row r="116" spans="1:83" s="172" customFormat="1" ht="21" customHeight="1" x14ac:dyDescent="0.25">
      <c r="A116" s="47"/>
      <c r="B116" s="47"/>
      <c r="AI116" s="173"/>
      <c r="AJ116" s="173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</row>
    <row r="117" spans="1:83" s="172" customFormat="1" ht="21" customHeight="1" x14ac:dyDescent="0.25">
      <c r="A117" s="47"/>
      <c r="B117" s="47"/>
      <c r="AI117" s="173"/>
      <c r="AJ117" s="173"/>
    </row>
    <row r="118" spans="1:83" ht="15.75" x14ac:dyDescent="0.25">
      <c r="I118" s="16"/>
      <c r="J118" s="17" t="s">
        <v>62</v>
      </c>
      <c r="K118" s="18"/>
      <c r="L118" s="17"/>
      <c r="M118" s="19"/>
      <c r="P118" s="19"/>
      <c r="Q118" s="20"/>
      <c r="R118" s="21"/>
      <c r="S118" s="21"/>
      <c r="T118" s="22" t="s">
        <v>63</v>
      </c>
      <c r="U118" s="22"/>
      <c r="V118" s="20"/>
      <c r="W118" s="20"/>
      <c r="X118" s="20"/>
      <c r="Y118" s="20"/>
      <c r="Z118" s="20" t="s">
        <v>64</v>
      </c>
      <c r="AA118" s="20"/>
      <c r="AB118" s="20"/>
      <c r="AC118" s="20"/>
      <c r="AD118" s="22" t="s">
        <v>65</v>
      </c>
      <c r="AE118" s="20"/>
    </row>
    <row r="119" spans="1:83" ht="17.25" x14ac:dyDescent="0.25">
      <c r="I119" s="23"/>
      <c r="J119" s="19"/>
      <c r="K119" s="19"/>
      <c r="L119" s="19"/>
      <c r="M119" s="19"/>
      <c r="P119" s="19"/>
      <c r="Q119" s="19"/>
      <c r="R119" s="24"/>
      <c r="S119" s="24"/>
      <c r="T119" s="24"/>
      <c r="U119" s="19"/>
      <c r="V119" s="19"/>
      <c r="W119" s="19"/>
      <c r="X119" s="25"/>
      <c r="Y119" s="25"/>
      <c r="Z119" s="25"/>
      <c r="AA119" s="25"/>
      <c r="AB119" s="25"/>
      <c r="AC119" s="25"/>
      <c r="AD119" s="26"/>
      <c r="AE119" s="26"/>
    </row>
    <row r="120" spans="1:83" ht="17.25" x14ac:dyDescent="0.25">
      <c r="I120" s="23"/>
      <c r="J120" s="27"/>
      <c r="K120" s="19"/>
      <c r="L120" s="27"/>
      <c r="M120" s="19"/>
      <c r="P120" s="19"/>
      <c r="Q120" s="27" t="s">
        <v>64</v>
      </c>
      <c r="R120" s="28"/>
      <c r="S120" s="28"/>
      <c r="T120" s="24"/>
      <c r="U120" s="19"/>
      <c r="V120" s="27"/>
      <c r="W120" s="27"/>
      <c r="X120" s="20"/>
      <c r="Y120" s="19"/>
      <c r="Z120" s="19"/>
      <c r="AA120" s="19"/>
      <c r="AB120" s="19"/>
      <c r="AC120" s="19"/>
      <c r="AD120" s="29"/>
      <c r="AE120" s="29"/>
    </row>
    <row r="121" spans="1:83" ht="17.25" x14ac:dyDescent="0.25">
      <c r="I121" s="30"/>
      <c r="J121" s="27"/>
      <c r="K121" s="19"/>
      <c r="L121" s="27"/>
      <c r="M121" s="19"/>
      <c r="P121" s="19"/>
      <c r="Q121" s="27"/>
      <c r="R121" s="28"/>
      <c r="S121" s="28"/>
      <c r="T121" s="24"/>
      <c r="U121" s="20"/>
      <c r="V121" s="27"/>
      <c r="W121" s="27"/>
      <c r="X121" s="20"/>
      <c r="Y121" s="19"/>
      <c r="Z121" s="19"/>
      <c r="AA121" s="19"/>
      <c r="AB121" s="19"/>
      <c r="AC121" s="19"/>
      <c r="AD121" s="29"/>
      <c r="AE121" s="29"/>
    </row>
    <row r="122" spans="1:83" ht="17.25" x14ac:dyDescent="0.25">
      <c r="I122" s="31"/>
      <c r="J122" s="224" t="s">
        <v>274</v>
      </c>
      <c r="K122" s="224"/>
      <c r="L122" s="30"/>
      <c r="M122" s="19"/>
      <c r="P122" s="19"/>
      <c r="Q122" s="27"/>
      <c r="R122" s="24"/>
      <c r="S122" s="28"/>
      <c r="T122" s="18" t="s">
        <v>66</v>
      </c>
      <c r="U122" s="19"/>
      <c r="V122" s="27"/>
      <c r="W122" s="20"/>
      <c r="X122" s="19"/>
      <c r="Y122" s="19"/>
      <c r="Z122" s="19"/>
      <c r="AA122" s="19"/>
      <c r="AB122" s="19"/>
      <c r="AC122" s="19"/>
      <c r="AD122" s="18" t="s">
        <v>67</v>
      </c>
      <c r="AE122" s="29"/>
    </row>
    <row r="123" spans="1:83" ht="17.25" x14ac:dyDescent="0.25">
      <c r="I123" s="31"/>
      <c r="J123" s="207" t="s">
        <v>68</v>
      </c>
      <c r="K123" s="207"/>
      <c r="L123" s="30"/>
      <c r="M123" s="19"/>
      <c r="P123" s="19"/>
      <c r="Q123" s="18"/>
      <c r="R123" s="33"/>
      <c r="S123" s="33"/>
      <c r="T123" s="18" t="s">
        <v>69</v>
      </c>
      <c r="U123" s="18"/>
      <c r="V123" s="18"/>
      <c r="W123" s="20"/>
      <c r="X123" s="18"/>
      <c r="Y123" s="19"/>
      <c r="Z123" s="19"/>
      <c r="AA123" s="19"/>
      <c r="AB123" s="19"/>
      <c r="AC123" s="19"/>
      <c r="AD123" s="18" t="s">
        <v>70</v>
      </c>
      <c r="AE123" s="29"/>
      <c r="AJ123" s="66"/>
      <c r="BR123" s="35" t="s">
        <v>71</v>
      </c>
      <c r="BS123" s="36"/>
      <c r="BT123" s="36"/>
      <c r="BU123" s="37" t="s">
        <v>16</v>
      </c>
      <c r="BV123" s="38"/>
      <c r="BW123" s="43" t="s">
        <v>72</v>
      </c>
      <c r="BX123" s="44"/>
      <c r="BY123" s="44"/>
      <c r="BZ123" s="41"/>
      <c r="CA123" s="42" t="s">
        <v>22</v>
      </c>
    </row>
    <row r="124" spans="1:83" x14ac:dyDescent="0.25">
      <c r="AJ124" s="66"/>
      <c r="BR124" s="35" t="s">
        <v>73</v>
      </c>
      <c r="BS124" s="36"/>
      <c r="BT124" s="36"/>
      <c r="BU124" s="37" t="s">
        <v>17</v>
      </c>
      <c r="BV124" s="38"/>
      <c r="BW124" s="43" t="s">
        <v>74</v>
      </c>
      <c r="BX124" s="44"/>
      <c r="BY124" s="44"/>
      <c r="BZ124" s="41"/>
      <c r="CA124" s="42" t="s">
        <v>23</v>
      </c>
    </row>
    <row r="125" spans="1:83" x14ac:dyDescent="0.25">
      <c r="AJ125" s="66"/>
      <c r="BR125" s="35" t="s">
        <v>75</v>
      </c>
      <c r="BS125" s="36"/>
      <c r="BT125" s="36"/>
      <c r="BU125" s="37" t="s">
        <v>18</v>
      </c>
      <c r="BV125" s="38"/>
      <c r="BW125" s="39" t="s">
        <v>76</v>
      </c>
      <c r="BX125" s="40"/>
      <c r="BY125" s="40"/>
      <c r="BZ125" s="41"/>
      <c r="CA125" s="42" t="s">
        <v>24</v>
      </c>
    </row>
    <row r="126" spans="1:83" x14ac:dyDescent="0.25">
      <c r="AJ126" s="66"/>
      <c r="BR126" s="35" t="s">
        <v>77</v>
      </c>
      <c r="BS126" s="36"/>
      <c r="BT126" s="36"/>
      <c r="BU126" s="37" t="s">
        <v>19</v>
      </c>
      <c r="BV126" s="38"/>
      <c r="BW126" s="39" t="s">
        <v>78</v>
      </c>
      <c r="BX126" s="40"/>
      <c r="BY126" s="40"/>
      <c r="BZ126" s="41"/>
      <c r="CA126" s="42" t="s">
        <v>25</v>
      </c>
    </row>
    <row r="127" spans="1:83" x14ac:dyDescent="0.25">
      <c r="BR127" s="35" t="s">
        <v>79</v>
      </c>
      <c r="BS127" s="36"/>
      <c r="BT127" s="36"/>
      <c r="BU127" s="37" t="s">
        <v>20</v>
      </c>
      <c r="BV127" s="38"/>
      <c r="BW127" s="38"/>
      <c r="BX127" s="38"/>
      <c r="BY127" s="38"/>
      <c r="BZ127" s="38"/>
      <c r="CA127" s="38"/>
    </row>
    <row r="129" spans="1:95" ht="15.75" x14ac:dyDescent="0.25">
      <c r="CG129" s="54">
        <v>0</v>
      </c>
      <c r="CH129" s="54">
        <v>0</v>
      </c>
      <c r="CI129" s="54">
        <v>0</v>
      </c>
      <c r="CJ129" s="54">
        <v>0</v>
      </c>
      <c r="CK129" s="54">
        <v>0</v>
      </c>
      <c r="CL129" s="54">
        <v>0</v>
      </c>
      <c r="CM129" s="54">
        <v>0</v>
      </c>
      <c r="CN129" s="54">
        <v>0</v>
      </c>
      <c r="CO129" s="54">
        <v>0</v>
      </c>
      <c r="CP129" s="54">
        <v>0</v>
      </c>
      <c r="CQ129" s="56">
        <f>SUM(CG129:CP129)</f>
        <v>0</v>
      </c>
    </row>
    <row r="130" spans="1:95" ht="15.75" x14ac:dyDescent="0.25">
      <c r="BT130" s="38"/>
      <c r="BU130" s="38"/>
      <c r="BV130" s="38"/>
      <c r="BW130" s="38"/>
      <c r="BX130" s="38"/>
      <c r="BY130" s="38"/>
      <c r="BZ130" s="38"/>
      <c r="CA130" s="38"/>
      <c r="CB130" s="38"/>
      <c r="CC130" s="38"/>
      <c r="CG130" s="54">
        <v>0</v>
      </c>
      <c r="CH130" s="54">
        <v>0</v>
      </c>
      <c r="CI130" s="54">
        <v>60</v>
      </c>
      <c r="CJ130" s="54">
        <v>0</v>
      </c>
      <c r="CK130" s="54">
        <v>0</v>
      </c>
      <c r="CL130" s="54">
        <v>0</v>
      </c>
      <c r="CM130" s="54">
        <v>0</v>
      </c>
      <c r="CN130" s="54">
        <v>0</v>
      </c>
      <c r="CO130" s="54">
        <v>11</v>
      </c>
      <c r="CP130" s="54">
        <v>0</v>
      </c>
      <c r="CQ130" s="56">
        <f>SUM(CG130:CP130)</f>
        <v>71</v>
      </c>
    </row>
    <row r="131" spans="1:95" ht="15.75" x14ac:dyDescent="0.25">
      <c r="CG131" s="54">
        <v>0</v>
      </c>
      <c r="CH131" s="54">
        <v>0</v>
      </c>
      <c r="CI131" s="54">
        <v>0</v>
      </c>
      <c r="CJ131" s="54">
        <v>0</v>
      </c>
      <c r="CK131" s="54">
        <v>0</v>
      </c>
      <c r="CL131" s="55">
        <v>7</v>
      </c>
      <c r="CM131" s="55">
        <v>0</v>
      </c>
      <c r="CN131" s="55">
        <v>0</v>
      </c>
      <c r="CO131" s="54">
        <v>0</v>
      </c>
      <c r="CP131" s="54">
        <v>0</v>
      </c>
      <c r="CQ131" s="56">
        <f>SUM(CG131:CP131)</f>
        <v>7</v>
      </c>
    </row>
    <row r="134" spans="1:95" ht="15.75" x14ac:dyDescent="0.25">
      <c r="CG134" s="54">
        <v>0</v>
      </c>
      <c r="CH134" s="54">
        <v>0</v>
      </c>
      <c r="CI134" s="54">
        <v>0</v>
      </c>
      <c r="CJ134" s="54">
        <v>0</v>
      </c>
      <c r="CK134" s="54">
        <v>0</v>
      </c>
      <c r="CL134" s="54">
        <v>0</v>
      </c>
      <c r="CM134" s="55">
        <v>0</v>
      </c>
      <c r="CN134" s="55">
        <v>0</v>
      </c>
      <c r="CO134" s="54">
        <v>0</v>
      </c>
      <c r="CP134" s="54">
        <v>0</v>
      </c>
      <c r="CQ134" s="56">
        <f t="shared" ref="CQ134:CQ143" si="57">SUM(CG134:CP134)</f>
        <v>0</v>
      </c>
    </row>
    <row r="135" spans="1:95" ht="15.75" x14ac:dyDescent="0.25">
      <c r="CG135" s="54">
        <v>0</v>
      </c>
      <c r="CH135" s="54">
        <v>0</v>
      </c>
      <c r="CI135" s="54">
        <v>0</v>
      </c>
      <c r="CJ135" s="54">
        <v>0</v>
      </c>
      <c r="CK135" s="54">
        <v>0</v>
      </c>
      <c r="CL135" s="54">
        <v>1</v>
      </c>
      <c r="CM135" s="54">
        <v>0</v>
      </c>
      <c r="CN135" s="54">
        <v>0</v>
      </c>
      <c r="CO135" s="54">
        <v>0</v>
      </c>
      <c r="CP135" s="54">
        <v>0</v>
      </c>
      <c r="CQ135" s="56">
        <f t="shared" si="57"/>
        <v>1</v>
      </c>
    </row>
    <row r="136" spans="1:95" ht="15.75" x14ac:dyDescent="0.25">
      <c r="CG136" s="54">
        <v>0</v>
      </c>
      <c r="CH136" s="54">
        <v>0</v>
      </c>
      <c r="CI136" s="54">
        <v>0</v>
      </c>
      <c r="CJ136" s="54">
        <v>0</v>
      </c>
      <c r="CK136" s="54">
        <v>1</v>
      </c>
      <c r="CL136" s="55">
        <v>7</v>
      </c>
      <c r="CM136" s="55">
        <v>1</v>
      </c>
      <c r="CN136" s="54">
        <v>0</v>
      </c>
      <c r="CO136" s="54">
        <v>0</v>
      </c>
      <c r="CP136" s="54">
        <v>0</v>
      </c>
      <c r="CQ136" s="56">
        <f t="shared" si="57"/>
        <v>9</v>
      </c>
    </row>
    <row r="137" spans="1:95" ht="15.75" x14ac:dyDescent="0.25">
      <c r="CG137" s="54">
        <v>0</v>
      </c>
      <c r="CH137" s="54">
        <v>0</v>
      </c>
      <c r="CI137" s="54">
        <v>0</v>
      </c>
      <c r="CJ137" s="54">
        <v>0</v>
      </c>
      <c r="CK137" s="54">
        <v>0</v>
      </c>
      <c r="CL137" s="55">
        <v>1</v>
      </c>
      <c r="CM137" s="54">
        <v>0</v>
      </c>
      <c r="CN137" s="54">
        <v>0</v>
      </c>
      <c r="CO137" s="54">
        <v>0</v>
      </c>
      <c r="CP137" s="54">
        <v>0</v>
      </c>
      <c r="CQ137" s="56">
        <f t="shared" si="57"/>
        <v>1</v>
      </c>
    </row>
    <row r="138" spans="1:95" s="197" customFormat="1" ht="21" customHeight="1" x14ac:dyDescent="0.25">
      <c r="A138" s="188">
        <v>17</v>
      </c>
      <c r="B138" s="189" t="s">
        <v>45</v>
      </c>
      <c r="C138" s="190" t="s">
        <v>46</v>
      </c>
      <c r="D138" s="191">
        <v>45654</v>
      </c>
      <c r="E138" s="139">
        <v>46235.335393518515</v>
      </c>
      <c r="F138" s="139">
        <v>46235.941689814812</v>
      </c>
      <c r="G138" s="139">
        <v>46236.346990740742</v>
      </c>
      <c r="H138" s="139">
        <v>46236.939432870371</v>
      </c>
      <c r="I138" s="139">
        <v>46237.340520833335</v>
      </c>
      <c r="J138" s="139">
        <v>46237.937708333331</v>
      </c>
      <c r="K138" s="139">
        <v>46238.341111111113</v>
      </c>
      <c r="L138" s="139">
        <v>46238.945254629631</v>
      </c>
      <c r="M138" s="139">
        <v>46239.353298611109</v>
      </c>
      <c r="N138" s="139">
        <v>46239.932511574072</v>
      </c>
      <c r="O138" s="139">
        <v>46240.336284722223</v>
      </c>
      <c r="P138" s="139">
        <v>46240.93849537037</v>
      </c>
      <c r="Q138" s="139">
        <v>46241.562777777777</v>
      </c>
      <c r="R138" s="139">
        <v>1</v>
      </c>
      <c r="S138" s="139">
        <v>46242.349259259259</v>
      </c>
      <c r="T138" s="139">
        <v>46242.938287037039</v>
      </c>
      <c r="U138" s="139">
        <v>46243.344386574077</v>
      </c>
      <c r="V138" s="139">
        <v>46243.936354166668</v>
      </c>
      <c r="W138" s="139">
        <v>46244.341585648152</v>
      </c>
      <c r="X138" s="139">
        <v>46244.937928240739</v>
      </c>
      <c r="Y138" s="139">
        <v>46245.330937500003</v>
      </c>
      <c r="Z138" s="139">
        <v>46245.933981481481</v>
      </c>
      <c r="AA138" s="139">
        <v>46246.335312499999</v>
      </c>
      <c r="AB138" s="139">
        <v>46246.937974537039</v>
      </c>
      <c r="AC138" s="139">
        <v>46247.33693287037</v>
      </c>
      <c r="AD138" s="139">
        <v>46247.926319444443</v>
      </c>
      <c r="AE138" s="139">
        <v>46248.561932870369</v>
      </c>
      <c r="AF138" s="139">
        <v>1</v>
      </c>
      <c r="AG138" s="139">
        <v>46249.339953703704</v>
      </c>
      <c r="AH138" s="139">
        <v>46249.937847222223</v>
      </c>
      <c r="AI138" s="139"/>
      <c r="AJ138" s="188">
        <v>17</v>
      </c>
      <c r="AK138" s="139">
        <v>46250.334953703707</v>
      </c>
      <c r="AL138" s="139">
        <v>46262.924155092594</v>
      </c>
      <c r="AM138" s="139" t="s">
        <v>171</v>
      </c>
      <c r="AN138" s="139" t="s">
        <v>171</v>
      </c>
      <c r="AO138" s="139">
        <v>46252.338020833333</v>
      </c>
      <c r="AP138" s="139">
        <v>46252.930497685185</v>
      </c>
      <c r="AQ138" s="139">
        <v>46253.339108796295</v>
      </c>
      <c r="AR138" s="139">
        <v>46253.938680555555</v>
      </c>
      <c r="AS138" s="139">
        <v>46254.33017361111</v>
      </c>
      <c r="AT138" s="139">
        <v>46254.939004629632</v>
      </c>
      <c r="AU138" s="139">
        <v>46255.566516203704</v>
      </c>
      <c r="AV138" s="139">
        <v>46255.925416666665</v>
      </c>
      <c r="AW138" s="139">
        <v>46256.336342592593</v>
      </c>
      <c r="AX138" s="139">
        <v>46256.956574074073</v>
      </c>
      <c r="AY138" s="139">
        <v>46257.343460648146</v>
      </c>
      <c r="AZ138" s="139">
        <v>46257.932037037041</v>
      </c>
      <c r="BA138" s="139">
        <v>46258.350358796299</v>
      </c>
      <c r="BB138" s="139">
        <v>46258.93855324074</v>
      </c>
      <c r="BC138" s="139">
        <v>46259.346597222226</v>
      </c>
      <c r="BD138" s="139">
        <v>46259.937256944446</v>
      </c>
      <c r="BE138" s="139">
        <v>46260.3516087963</v>
      </c>
      <c r="BF138" s="139">
        <v>46260.936331018522</v>
      </c>
      <c r="BG138" s="139">
        <v>46261.349224537036</v>
      </c>
      <c r="BH138" s="139">
        <v>46261.997499999998</v>
      </c>
      <c r="BI138" s="139">
        <v>0</v>
      </c>
      <c r="BJ138" s="139">
        <v>46262.924155092594</v>
      </c>
      <c r="BK138" s="139">
        <v>46263.346886574072</v>
      </c>
      <c r="BL138" s="139">
        <v>46263.940254629626</v>
      </c>
      <c r="BM138" s="139">
        <v>46264.350497685184</v>
      </c>
      <c r="BN138" s="139">
        <v>46264.709421296298</v>
      </c>
      <c r="BO138" s="139">
        <v>46265.335775462961</v>
      </c>
      <c r="BP138" s="139">
        <v>46265.9452662037</v>
      </c>
      <c r="BQ138" s="192">
        <f>BS138+BT138+BV138+CA138+BY138+BZ138+CD138+BU138</f>
        <v>31</v>
      </c>
      <c r="BR138" s="193">
        <v>5</v>
      </c>
      <c r="BS138" s="194">
        <f>COUNT(E138:AH138)/2+COUNT(AK138:BP138)/2</f>
        <v>30</v>
      </c>
      <c r="BT138" s="195">
        <f>COUNTIF(E138:BN138,"OFF")/2</f>
        <v>0</v>
      </c>
      <c r="BU138" s="195">
        <f>COUNTIF(E138:BN138,"MC")/2</f>
        <v>0</v>
      </c>
      <c r="BV138" s="195">
        <f>COUNTIF(E138:BN138,"EL")/2</f>
        <v>0</v>
      </c>
      <c r="BW138" s="195">
        <f>COUNTIF(E138:BN138,"AL")/2</f>
        <v>0</v>
      </c>
      <c r="BX138" s="195">
        <f>COUNTIF(E138:BN138,"SUS")/2</f>
        <v>0</v>
      </c>
      <c r="BY138" s="195">
        <f>COUNTIF(E138:BN138,"FL")/2</f>
        <v>0</v>
      </c>
      <c r="BZ138" s="195">
        <f>COUNTIF(E138:BN138,"SICK")/2</f>
        <v>1</v>
      </c>
      <c r="CA138" s="195">
        <f>COUNTIF(E138:BN138,"HD")/2</f>
        <v>0</v>
      </c>
      <c r="CB138" s="195">
        <f>COUNTIF(E138:BN138,"AB")/2</f>
        <v>0</v>
      </c>
      <c r="CC138" s="195">
        <f>COUNTIF(E138:BN138,"NL")/2</f>
        <v>0</v>
      </c>
      <c r="CD138" s="195">
        <f>COUNTIF(E138:BN138,"SP")/2</f>
        <v>0</v>
      </c>
      <c r="CE138" s="196" t="s">
        <v>287</v>
      </c>
      <c r="CG138" s="198">
        <v>0</v>
      </c>
      <c r="CH138" s="198">
        <v>0</v>
      </c>
      <c r="CI138" s="198">
        <v>0</v>
      </c>
      <c r="CJ138" s="198">
        <v>0</v>
      </c>
      <c r="CK138" s="198">
        <v>0</v>
      </c>
      <c r="CL138" s="199">
        <v>4</v>
      </c>
      <c r="CM138" s="198">
        <v>0</v>
      </c>
      <c r="CN138" s="198">
        <v>0</v>
      </c>
      <c r="CO138" s="198">
        <v>0</v>
      </c>
      <c r="CP138" s="198">
        <v>0</v>
      </c>
      <c r="CQ138" s="200">
        <f t="shared" si="57"/>
        <v>4</v>
      </c>
    </row>
    <row r="139" spans="1:95" ht="21" customHeight="1" x14ac:dyDescent="0.25">
      <c r="A139" s="10">
        <v>13</v>
      </c>
      <c r="B139" s="11" t="s">
        <v>49</v>
      </c>
      <c r="C139" s="8" t="s">
        <v>50</v>
      </c>
      <c r="D139" s="86">
        <v>38713</v>
      </c>
      <c r="E139" s="137">
        <v>46235.328194444446</v>
      </c>
      <c r="F139" s="137">
        <v>1</v>
      </c>
      <c r="G139" s="137">
        <v>46236.338888888888</v>
      </c>
      <c r="H139" s="137">
        <v>1</v>
      </c>
      <c r="I139" s="137">
        <v>46237.007430555554</v>
      </c>
      <c r="J139" s="137">
        <v>46237.97415509259</v>
      </c>
      <c r="K139" s="137">
        <v>46238.349594907406</v>
      </c>
      <c r="L139" s="137">
        <v>1</v>
      </c>
      <c r="M139" s="137">
        <v>46239.351643518516</v>
      </c>
      <c r="N139" s="137">
        <v>1</v>
      </c>
      <c r="O139" s="137">
        <v>46240.347870370373</v>
      </c>
      <c r="P139" s="137">
        <v>1</v>
      </c>
      <c r="Q139" s="141" t="s">
        <v>15</v>
      </c>
      <c r="R139" s="141" t="s">
        <v>15</v>
      </c>
      <c r="S139" s="137">
        <v>46242.318229166667</v>
      </c>
      <c r="T139" s="137">
        <v>46242.992280092592</v>
      </c>
      <c r="U139" s="137">
        <v>46243.324618055558</v>
      </c>
      <c r="V139" s="137">
        <v>1</v>
      </c>
      <c r="W139" s="137">
        <v>46244.319328703707</v>
      </c>
      <c r="X139" s="137">
        <v>46244.97216435185</v>
      </c>
      <c r="Y139" s="137">
        <v>46245.329618055555</v>
      </c>
      <c r="Z139" s="137">
        <v>1</v>
      </c>
      <c r="AA139" s="137">
        <v>46246.348425925928</v>
      </c>
      <c r="AB139" s="137">
        <v>1</v>
      </c>
      <c r="AC139" s="137">
        <v>46247.340624999997</v>
      </c>
      <c r="AD139" s="137">
        <v>1</v>
      </c>
      <c r="AE139" s="137">
        <v>46248.56759259259</v>
      </c>
      <c r="AF139" s="137">
        <v>1</v>
      </c>
      <c r="AG139" s="137">
        <v>46249.346770833334</v>
      </c>
      <c r="AH139" s="137">
        <v>46250.016192129631</v>
      </c>
      <c r="AI139" s="137"/>
      <c r="AJ139" s="45">
        <v>13</v>
      </c>
      <c r="AK139" s="137">
        <v>46250.347905092596</v>
      </c>
      <c r="AL139" s="137">
        <v>46250.973101851851</v>
      </c>
      <c r="AM139" s="147">
        <v>46251.345891203702</v>
      </c>
      <c r="AN139" s="137">
        <v>46251.971030092594</v>
      </c>
      <c r="AO139" s="137">
        <v>46252.346273148149</v>
      </c>
      <c r="AP139" s="137">
        <v>46252.969131944446</v>
      </c>
      <c r="AQ139" s="137">
        <v>46253.351967592593</v>
      </c>
      <c r="AR139" s="137">
        <v>0</v>
      </c>
      <c r="AS139" s="137">
        <v>46254.342499999999</v>
      </c>
      <c r="AT139" s="137">
        <v>46254.989374999997</v>
      </c>
      <c r="AU139" s="141" t="s">
        <v>15</v>
      </c>
      <c r="AV139" s="141" t="s">
        <v>15</v>
      </c>
      <c r="AW139" s="137">
        <v>46256.350752314815</v>
      </c>
      <c r="AX139" s="137">
        <v>46256.987256944441</v>
      </c>
      <c r="AY139" s="137">
        <v>46257.347453703704</v>
      </c>
      <c r="AZ139" s="137">
        <v>46257.967719907407</v>
      </c>
      <c r="BA139" s="137">
        <v>46258.344155092593</v>
      </c>
      <c r="BB139" s="137">
        <v>46258.964699074073</v>
      </c>
      <c r="BC139" s="137">
        <v>46259.347719907404</v>
      </c>
      <c r="BD139" s="137">
        <v>46259.990902777776</v>
      </c>
      <c r="BE139" s="137">
        <v>46260.346608796295</v>
      </c>
      <c r="BF139" s="137">
        <v>46260.979363425926</v>
      </c>
      <c r="BG139" s="137">
        <v>46261.34716435185</v>
      </c>
      <c r="BH139" s="137">
        <v>46261.987210648149</v>
      </c>
      <c r="BI139" s="137">
        <v>46262.579305555555</v>
      </c>
      <c r="BJ139" s="137">
        <v>46262.981481481482</v>
      </c>
      <c r="BK139" s="137">
        <v>46263.34957175926</v>
      </c>
      <c r="BL139" s="137">
        <v>46263.984039351853</v>
      </c>
      <c r="BM139" s="137">
        <v>46264.338113425925</v>
      </c>
      <c r="BN139" s="137">
        <v>46264.962557870371</v>
      </c>
      <c r="BO139" s="137">
        <v>46265.351759259262</v>
      </c>
      <c r="BP139" s="137">
        <v>46265.962719907409</v>
      </c>
      <c r="BQ139" s="99">
        <f>BS139+BT139+BV139+CA139+BY139+BZ139+CD139+BU139</f>
        <v>31</v>
      </c>
      <c r="BR139" s="68">
        <v>2</v>
      </c>
      <c r="BS139" s="1">
        <f>COUNT(E139:AH139)/2+COUNT(AK139:BP139)/2</f>
        <v>29</v>
      </c>
      <c r="BT139" s="2">
        <f>COUNTIF(E139:BN139,"OFF")/2</f>
        <v>2</v>
      </c>
      <c r="BU139" s="2">
        <f>COUNTIF(E139:BN139,"MC")/2</f>
        <v>0</v>
      </c>
      <c r="BV139" s="2">
        <f>COUNTIF(E139:BN139,"EL")/2</f>
        <v>0</v>
      </c>
      <c r="BW139" s="2">
        <f>COUNTIF(E139:BN139,"AL")/2</f>
        <v>0</v>
      </c>
      <c r="BX139" s="2">
        <f>COUNTIF(E139:BN139,"SUS")/2</f>
        <v>0</v>
      </c>
      <c r="BY139" s="2">
        <f>COUNTIF(E139:BN139,"FL")/2</f>
        <v>0</v>
      </c>
      <c r="BZ139" s="2">
        <f>COUNTIF(E139:BN139,"SICK")/2</f>
        <v>0</v>
      </c>
      <c r="CA139" s="2">
        <f>COUNTIF(E139:BN139,"HD")/2</f>
        <v>0</v>
      </c>
      <c r="CB139" s="2">
        <f>COUNTIF(E139:BN139,"AB")/2</f>
        <v>0</v>
      </c>
      <c r="CC139" s="2">
        <f>COUNTIF(E139:BN139,"NL")/2</f>
        <v>0</v>
      </c>
      <c r="CD139" s="2">
        <f>COUNTIF(E139:BN139,"SP")/2</f>
        <v>0</v>
      </c>
      <c r="CE139" s="71"/>
      <c r="CG139" s="54">
        <v>0</v>
      </c>
      <c r="CH139" s="55">
        <v>5</v>
      </c>
      <c r="CI139" s="54">
        <v>0</v>
      </c>
      <c r="CJ139" s="54">
        <v>0</v>
      </c>
      <c r="CK139" s="54">
        <v>0</v>
      </c>
      <c r="CL139" s="54">
        <v>0</v>
      </c>
      <c r="CM139" s="54">
        <v>0</v>
      </c>
      <c r="CN139" s="54">
        <v>0</v>
      </c>
      <c r="CO139" s="54">
        <v>0</v>
      </c>
      <c r="CP139" s="54">
        <v>0</v>
      </c>
      <c r="CQ139" s="56">
        <f t="shared" si="57"/>
        <v>5</v>
      </c>
    </row>
    <row r="140" spans="1:95" ht="21.75" customHeight="1" x14ac:dyDescent="0.25">
      <c r="A140" s="45">
        <v>49</v>
      </c>
      <c r="B140" s="11" t="s">
        <v>126</v>
      </c>
      <c r="C140" s="78" t="s">
        <v>127</v>
      </c>
      <c r="D140" s="88">
        <v>45491</v>
      </c>
      <c r="E140" s="137">
        <v>46235.353703703702</v>
      </c>
      <c r="F140" s="137">
        <v>46235.980462962965</v>
      </c>
      <c r="G140" s="137">
        <v>46236.354444444441</v>
      </c>
      <c r="H140" s="137">
        <v>46236.991655092592</v>
      </c>
      <c r="I140" s="137">
        <v>46237.353680555556</v>
      </c>
      <c r="J140" s="137">
        <v>46237.969293981485</v>
      </c>
      <c r="K140" s="137">
        <v>46238.353321759256</v>
      </c>
      <c r="L140" s="137">
        <v>46238.944537037038</v>
      </c>
      <c r="M140" s="137">
        <v>46239.353182870371</v>
      </c>
      <c r="N140" s="137">
        <v>46239.965127314812</v>
      </c>
      <c r="O140" s="137">
        <v>46240.354062500002</v>
      </c>
      <c r="P140" s="137">
        <v>46240.970486111109</v>
      </c>
      <c r="Q140" s="137">
        <v>46241.582152777781</v>
      </c>
      <c r="R140" s="137">
        <v>46241.93408564815</v>
      </c>
      <c r="S140" s="137">
        <v>46242.353055555555</v>
      </c>
      <c r="T140" s="137">
        <v>46242.987881944442</v>
      </c>
      <c r="U140" s="137">
        <v>46243.353622685187</v>
      </c>
      <c r="V140" s="137">
        <v>46243.937581018516</v>
      </c>
      <c r="W140" s="137">
        <v>46244.353460648148</v>
      </c>
      <c r="X140" s="137">
        <v>46244.966226851851</v>
      </c>
      <c r="Y140" s="137">
        <v>46245.352141203701</v>
      </c>
      <c r="Z140" s="137">
        <v>46245.92597222222</v>
      </c>
      <c r="AA140" s="137">
        <v>46246.352268518516</v>
      </c>
      <c r="AB140" s="137">
        <v>46246.993807870371</v>
      </c>
      <c r="AC140" s="137">
        <v>46247.354143518518</v>
      </c>
      <c r="AD140" s="137">
        <v>46247.966990740744</v>
      </c>
      <c r="AE140" s="141" t="s">
        <v>15</v>
      </c>
      <c r="AF140" s="141" t="s">
        <v>15</v>
      </c>
      <c r="AG140" s="137">
        <v>46249.353148148148</v>
      </c>
      <c r="AH140" s="137">
        <v>46249.972037037034</v>
      </c>
      <c r="AI140" s="116"/>
      <c r="AJ140" s="45">
        <v>49</v>
      </c>
      <c r="AK140" s="143">
        <v>46250.352835648147</v>
      </c>
      <c r="AL140" s="143">
        <v>46250.948761574073</v>
      </c>
      <c r="AM140" s="143">
        <v>46251.353449074071</v>
      </c>
      <c r="AN140" s="143">
        <v>46251.956944444442</v>
      </c>
      <c r="AO140" s="143">
        <v>46252.353715277779</v>
      </c>
      <c r="AP140" s="143">
        <v>46252.942349537036</v>
      </c>
      <c r="AQ140" s="143">
        <v>46253.353645833333</v>
      </c>
      <c r="AR140" s="143">
        <v>46253.986678240741</v>
      </c>
      <c r="AS140" s="143">
        <v>46254.352638888886</v>
      </c>
      <c r="AT140" s="143">
        <v>46254.947546296295</v>
      </c>
      <c r="AU140" s="143">
        <v>46255.583101851851</v>
      </c>
      <c r="AV140" s="143">
        <v>46255.917326388888</v>
      </c>
      <c r="AW140" s="139" t="s">
        <v>18</v>
      </c>
      <c r="AX140" s="139" t="s">
        <v>18</v>
      </c>
      <c r="AY140" s="139" t="s">
        <v>18</v>
      </c>
      <c r="AZ140" s="139" t="s">
        <v>18</v>
      </c>
      <c r="BA140" s="139" t="s">
        <v>18</v>
      </c>
      <c r="BB140" s="139" t="s">
        <v>18</v>
      </c>
      <c r="BC140" s="139" t="s">
        <v>18</v>
      </c>
      <c r="BD140" s="139" t="s">
        <v>18</v>
      </c>
      <c r="BE140" s="139" t="s">
        <v>18</v>
      </c>
      <c r="BF140" s="139" t="s">
        <v>18</v>
      </c>
      <c r="BG140" s="139" t="s">
        <v>18</v>
      </c>
      <c r="BH140" s="139" t="s">
        <v>18</v>
      </c>
      <c r="BI140" s="139" t="s">
        <v>18</v>
      </c>
      <c r="BJ140" s="139" t="s">
        <v>18</v>
      </c>
      <c r="BK140" s="139" t="s">
        <v>18</v>
      </c>
      <c r="BL140" s="139" t="s">
        <v>18</v>
      </c>
      <c r="BM140" s="139" t="s">
        <v>18</v>
      </c>
      <c r="BN140" s="139" t="s">
        <v>18</v>
      </c>
      <c r="BO140" s="139" t="s">
        <v>18</v>
      </c>
      <c r="BP140" s="139" t="s">
        <v>18</v>
      </c>
      <c r="BQ140" s="99">
        <f>BS140+BT140+BV140+CA140+BY140+BZ140+CD140+BU140</f>
        <v>21</v>
      </c>
      <c r="BR140" s="68">
        <v>3</v>
      </c>
      <c r="BS140" s="1">
        <f>COUNT(E140:AH140)/2+COUNT(AK140:BP140)/2</f>
        <v>20</v>
      </c>
      <c r="BT140" s="2">
        <f>COUNTIF(E140:BN140,"OFF")/2</f>
        <v>1</v>
      </c>
      <c r="BU140" s="2">
        <f>COUNTIF(E140:BN140,"MC")/2</f>
        <v>0</v>
      </c>
      <c r="BV140" s="2">
        <f>COUNTIF(E140:BN140,"EL")/2</f>
        <v>0</v>
      </c>
      <c r="BW140" s="2">
        <f>COUNTIF(E140:BN140,"AL")/2</f>
        <v>9</v>
      </c>
      <c r="BX140" s="2">
        <f>COUNTIF(E140:BN140,"SUS")/2</f>
        <v>0</v>
      </c>
      <c r="BY140" s="2">
        <f>COUNTIF(E140:BN140,"FL")/2</f>
        <v>0</v>
      </c>
      <c r="BZ140" s="2">
        <f>COUNTIF(E140:BN140,"SICK")/2</f>
        <v>0</v>
      </c>
      <c r="CA140" s="2">
        <f>COUNTIF(E140:BN140,"HD")/2</f>
        <v>0</v>
      </c>
      <c r="CB140" s="2">
        <f>COUNTIF(E140:BN140,"AB")/2</f>
        <v>0</v>
      </c>
      <c r="CC140" s="2">
        <f>COUNTIF(E140:BN140,"NL")/2</f>
        <v>0</v>
      </c>
      <c r="CD140" s="2">
        <f>COUNTIF(E140:BN140,"SP")/2</f>
        <v>0</v>
      </c>
      <c r="CE140" s="3"/>
      <c r="CG140" s="123">
        <v>0</v>
      </c>
      <c r="CH140" s="124">
        <v>0</v>
      </c>
      <c r="CI140" s="124">
        <v>0</v>
      </c>
      <c r="CJ140" s="124">
        <v>0</v>
      </c>
      <c r="CK140" s="124">
        <v>0</v>
      </c>
      <c r="CL140" s="123">
        <v>4</v>
      </c>
      <c r="CM140" s="124">
        <v>0</v>
      </c>
      <c r="CN140" s="123">
        <v>5</v>
      </c>
      <c r="CO140" s="124">
        <v>0</v>
      </c>
      <c r="CP140" s="124">
        <v>0</v>
      </c>
      <c r="CQ140" s="126">
        <f t="shared" si="57"/>
        <v>9</v>
      </c>
    </row>
    <row r="141" spans="1:95" ht="21.75" customHeight="1" x14ac:dyDescent="0.25">
      <c r="A141" s="45">
        <v>46</v>
      </c>
      <c r="B141" s="11" t="s">
        <v>119</v>
      </c>
      <c r="C141" s="78" t="s">
        <v>120</v>
      </c>
      <c r="D141" s="88">
        <v>45401</v>
      </c>
      <c r="E141" s="65">
        <v>0.3527777777777778</v>
      </c>
      <c r="F141" s="65">
        <v>0.97430555555555554</v>
      </c>
      <c r="G141" s="65">
        <v>0.35416666666666669</v>
      </c>
      <c r="H141" s="65">
        <v>0.99236111111111114</v>
      </c>
      <c r="I141" s="92" t="s">
        <v>15</v>
      </c>
      <c r="J141" s="92" t="s">
        <v>15</v>
      </c>
      <c r="K141" s="65">
        <v>0.35416666666666669</v>
      </c>
      <c r="L141" s="65">
        <v>0.94930555555555562</v>
      </c>
      <c r="M141" s="65">
        <v>0.35486111111111113</v>
      </c>
      <c r="N141" s="65">
        <v>0.9590277777777777</v>
      </c>
      <c r="O141" s="65">
        <v>0.35000000000000003</v>
      </c>
      <c r="P141" s="65">
        <v>0.96111111111111114</v>
      </c>
      <c r="Q141" s="65">
        <v>0.35555555555555557</v>
      </c>
      <c r="R141" s="69">
        <v>1</v>
      </c>
      <c r="S141" s="65">
        <v>0.35416666666666669</v>
      </c>
      <c r="T141" s="65">
        <v>0.9868055555555556</v>
      </c>
      <c r="U141" s="65">
        <v>0.3527777777777778</v>
      </c>
      <c r="V141" s="65">
        <v>0.98263888888888884</v>
      </c>
      <c r="W141" s="100">
        <v>0.58263888888888882</v>
      </c>
      <c r="X141" s="100">
        <v>0.96319444444444446</v>
      </c>
      <c r="Y141" s="65">
        <v>0.35347222222222219</v>
      </c>
      <c r="Z141" s="65">
        <v>0.9458333333333333</v>
      </c>
      <c r="AA141" s="65">
        <v>0.34722222222222227</v>
      </c>
      <c r="AB141" s="65">
        <v>0.97291666666666676</v>
      </c>
      <c r="AC141" s="65">
        <v>0.35347222222222219</v>
      </c>
      <c r="AD141" s="65">
        <v>0.93055555555555547</v>
      </c>
      <c r="AE141" s="65">
        <v>0.3527777777777778</v>
      </c>
      <c r="AF141" s="65">
        <v>0.96250000000000002</v>
      </c>
      <c r="AG141" s="65">
        <v>0.35347222222222219</v>
      </c>
      <c r="AH141" s="65">
        <v>0.97499999999999998</v>
      </c>
      <c r="AI141" s="109"/>
      <c r="AJ141" s="45">
        <v>44</v>
      </c>
      <c r="AK141" s="65"/>
      <c r="AL141" s="65"/>
      <c r="AM141" s="65"/>
      <c r="AN141" s="65"/>
      <c r="AO141" s="65"/>
      <c r="AP141" s="65"/>
      <c r="AQ141" s="92"/>
      <c r="AR141" s="102"/>
      <c r="AS141" s="65"/>
      <c r="AT141" s="65"/>
      <c r="AU141" s="65"/>
      <c r="AV141" s="65"/>
      <c r="AW141" s="65"/>
      <c r="AX141" s="65"/>
      <c r="AY141" s="65"/>
      <c r="AZ141" s="65"/>
      <c r="BA141" s="65"/>
      <c r="BB141" s="65"/>
      <c r="BC141" s="65"/>
      <c r="BD141" s="65"/>
      <c r="BE141" s="100"/>
      <c r="BF141" s="100"/>
      <c r="BG141" s="65"/>
      <c r="BH141" s="65"/>
      <c r="BI141" s="65"/>
      <c r="BJ141" s="65"/>
      <c r="BK141" s="65"/>
      <c r="BL141" s="65"/>
      <c r="BM141" s="65"/>
      <c r="BN141" s="65"/>
      <c r="BO141" s="65"/>
      <c r="BP141" s="65"/>
      <c r="BQ141" s="99">
        <f>BS141+BT141+BV141+CA141+BY141+BZ141+CD141+BU141</f>
        <v>15</v>
      </c>
      <c r="BR141" s="68"/>
      <c r="BS141" s="1">
        <f>COUNT(E141:AH141)/2+COUNT(AK141:BN141)/2</f>
        <v>14</v>
      </c>
      <c r="BT141" s="2">
        <f>COUNTIF(E141:BN141,"OFF")/2</f>
        <v>1</v>
      </c>
      <c r="BU141" s="2">
        <f>COUNTIF(E141:BN141,"MC")/2</f>
        <v>0</v>
      </c>
      <c r="BV141" s="2">
        <f>COUNTIF(E141:BN141,"EL")/2</f>
        <v>0</v>
      </c>
      <c r="BW141" s="2">
        <f>COUNTIF(E141:BN141,"AL")/2</f>
        <v>0</v>
      </c>
      <c r="BX141" s="2">
        <f>COUNTIF(E141:BN141,"SUS")/2</f>
        <v>0</v>
      </c>
      <c r="BY141" s="2">
        <f>COUNTIF(E141:BN141,"FL")/2</f>
        <v>0</v>
      </c>
      <c r="BZ141" s="2">
        <f>COUNTIF(E141:BN141,"SICK")/2</f>
        <v>0</v>
      </c>
      <c r="CA141" s="2">
        <f>COUNTIF(E141:BN141,"HD")/2</f>
        <v>0</v>
      </c>
      <c r="CB141" s="2">
        <f>COUNTIF(E141:BN141,"AB")/2</f>
        <v>0</v>
      </c>
      <c r="CC141" s="2">
        <f>COUNTIF(E141:BN141,"NL")/2</f>
        <v>0</v>
      </c>
      <c r="CD141" s="2">
        <f>COUNTIF(E141:BN141,"SP")/2</f>
        <v>0</v>
      </c>
      <c r="CE141" s="3"/>
      <c r="CG141" s="123">
        <v>0</v>
      </c>
      <c r="CH141" s="124">
        <v>0</v>
      </c>
      <c r="CI141" s="124">
        <v>0</v>
      </c>
      <c r="CJ141" s="124">
        <v>0</v>
      </c>
      <c r="CK141" s="124">
        <v>0</v>
      </c>
      <c r="CL141" s="123">
        <v>1</v>
      </c>
      <c r="CM141" s="123">
        <v>1</v>
      </c>
      <c r="CN141" s="124">
        <v>0</v>
      </c>
      <c r="CO141" s="124">
        <v>0</v>
      </c>
      <c r="CP141" s="124">
        <v>0</v>
      </c>
      <c r="CQ141" s="126">
        <f t="shared" si="57"/>
        <v>2</v>
      </c>
    </row>
    <row r="142" spans="1:95" ht="21.75" customHeight="1" x14ac:dyDescent="0.25">
      <c r="A142" s="45">
        <v>40</v>
      </c>
      <c r="B142" s="11" t="s">
        <v>106</v>
      </c>
      <c r="C142" s="78" t="s">
        <v>107</v>
      </c>
      <c r="D142" s="88">
        <v>44990</v>
      </c>
      <c r="E142" s="65">
        <v>0.35972222222222222</v>
      </c>
      <c r="F142" s="65">
        <v>0.97361111111111109</v>
      </c>
      <c r="G142" s="65">
        <v>0.35486111111111113</v>
      </c>
      <c r="H142" s="65">
        <v>0.9916666666666667</v>
      </c>
      <c r="I142" s="92" t="s">
        <v>15</v>
      </c>
      <c r="J142" s="92" t="s">
        <v>15</v>
      </c>
      <c r="K142" s="65">
        <v>0.35416666666666669</v>
      </c>
      <c r="L142" s="65">
        <v>0.94861111111111107</v>
      </c>
      <c r="M142" s="65"/>
      <c r="N142" s="65"/>
      <c r="O142" s="65"/>
      <c r="P142" s="65"/>
      <c r="Q142" s="65"/>
      <c r="R142" s="69"/>
      <c r="S142" s="65"/>
      <c r="T142" s="65"/>
      <c r="U142" s="65"/>
      <c r="V142" s="65"/>
      <c r="W142" s="100"/>
      <c r="X142" s="100"/>
      <c r="Y142" s="65"/>
      <c r="Z142" s="65"/>
      <c r="AA142" s="65"/>
      <c r="AB142" s="65"/>
      <c r="AC142" s="65"/>
      <c r="AD142" s="65">
        <v>0.93055555555555547</v>
      </c>
      <c r="AE142" s="65">
        <v>0.3520833333333333</v>
      </c>
      <c r="AF142" s="65">
        <v>0.96180555555555547</v>
      </c>
      <c r="AG142" s="65">
        <v>0.35347222222222219</v>
      </c>
      <c r="AH142" s="65">
        <v>0.97499999999999998</v>
      </c>
      <c r="AI142" s="116"/>
      <c r="AJ142" s="45">
        <v>38</v>
      </c>
      <c r="AK142" s="65"/>
      <c r="AL142" s="65"/>
      <c r="AM142" s="65"/>
      <c r="AN142" s="65"/>
      <c r="AO142" s="65"/>
      <c r="AP142" s="65"/>
      <c r="AQ142" s="92"/>
      <c r="AR142" s="102"/>
      <c r="AS142" s="65"/>
      <c r="AT142" s="65"/>
      <c r="AU142" s="65"/>
      <c r="AV142" s="65"/>
      <c r="AW142" s="65"/>
      <c r="AX142" s="65"/>
      <c r="AY142" s="65"/>
      <c r="AZ142" s="65"/>
      <c r="BA142" s="65"/>
      <c r="BB142" s="65"/>
      <c r="BC142" s="65"/>
      <c r="BD142" s="65"/>
      <c r="BE142" s="100"/>
      <c r="BF142" s="100"/>
      <c r="BG142" s="65"/>
      <c r="BH142" s="65"/>
      <c r="BI142" s="65"/>
      <c r="BJ142" s="65"/>
      <c r="BK142" s="65"/>
      <c r="BL142" s="65"/>
      <c r="BM142" s="65"/>
      <c r="BN142" s="65"/>
      <c r="BO142" s="65"/>
      <c r="BP142" s="65"/>
      <c r="BQ142" s="99">
        <f>BS142+BT142+BV142+CA142+BY142+BZ142+CD142+BU142</f>
        <v>6.5</v>
      </c>
      <c r="BR142" s="68"/>
      <c r="BS142" s="1">
        <f>COUNT(E142:AH142)/2+COUNT(AK142:BN142)/2</f>
        <v>5.5</v>
      </c>
      <c r="BT142" s="2">
        <f>COUNTIF(E142:BN142,"OFF")/2</f>
        <v>1</v>
      </c>
      <c r="BU142" s="2">
        <f>COUNTIF(E142:BN142,"MC")/2</f>
        <v>0</v>
      </c>
      <c r="BV142" s="2">
        <f>COUNTIF(E142:BN142,"EL")/2</f>
        <v>0</v>
      </c>
      <c r="BW142" s="2">
        <f>COUNTIF(E142:BN142,"AL")/2</f>
        <v>0</v>
      </c>
      <c r="BX142" s="2">
        <f>COUNTIF(E142:BN142,"SUS")/2</f>
        <v>0</v>
      </c>
      <c r="BY142" s="2">
        <f>COUNTIF(E142:BN142,"FL")/2</f>
        <v>0</v>
      </c>
      <c r="BZ142" s="2">
        <f>COUNTIF(E142:BN142,"SICK")/2</f>
        <v>0</v>
      </c>
      <c r="CA142" s="2">
        <f>COUNTIF(E142:BN142,"HD")/2</f>
        <v>0</v>
      </c>
      <c r="CB142" s="2">
        <f>COUNTIF(E142:BN142,"AB")/2</f>
        <v>0</v>
      </c>
      <c r="CC142" s="2">
        <f>COUNTIF(E142:BN142,"NL")/2</f>
        <v>0</v>
      </c>
      <c r="CD142" s="2">
        <f>COUNTIF(E142:BN142,"SP")/2</f>
        <v>0</v>
      </c>
      <c r="CE142" s="3"/>
      <c r="CG142" s="55">
        <v>0</v>
      </c>
      <c r="CH142" s="54">
        <v>0</v>
      </c>
      <c r="CI142" s="54">
        <v>0</v>
      </c>
      <c r="CJ142" s="54">
        <v>0</v>
      </c>
      <c r="CK142" s="54">
        <v>0</v>
      </c>
      <c r="CL142" s="55">
        <v>1</v>
      </c>
      <c r="CM142" s="55">
        <v>0</v>
      </c>
      <c r="CN142" s="55">
        <v>2</v>
      </c>
      <c r="CO142" s="54">
        <v>0</v>
      </c>
      <c r="CP142" s="54">
        <v>0</v>
      </c>
      <c r="CQ142" s="127">
        <f t="shared" si="57"/>
        <v>3</v>
      </c>
    </row>
    <row r="143" spans="1:95" ht="24" customHeight="1" x14ac:dyDescent="0.25">
      <c r="A143" s="45">
        <v>33</v>
      </c>
      <c r="B143" s="11" t="s">
        <v>96</v>
      </c>
      <c r="C143" s="78" t="s">
        <v>97</v>
      </c>
      <c r="D143" s="88">
        <v>44485</v>
      </c>
      <c r="E143" s="92" t="s">
        <v>15</v>
      </c>
      <c r="F143" s="92" t="s">
        <v>15</v>
      </c>
      <c r="G143" s="75">
        <v>0.3520833333333333</v>
      </c>
      <c r="H143" s="75">
        <v>0.95833333333333337</v>
      </c>
      <c r="I143" s="75">
        <v>0.3520833333333333</v>
      </c>
      <c r="J143" s="75">
        <v>0.93958333333333333</v>
      </c>
      <c r="K143" s="75">
        <v>0.35486111111111113</v>
      </c>
      <c r="L143" s="75">
        <v>0.95624999999999993</v>
      </c>
      <c r="M143" s="75">
        <v>0.35694444444444445</v>
      </c>
      <c r="N143" s="75">
        <v>0.94166666666666676</v>
      </c>
      <c r="O143" s="75">
        <v>0.36319444444444443</v>
      </c>
      <c r="P143" s="75">
        <v>0.95972222222222225</v>
      </c>
      <c r="Q143" s="75">
        <v>0.35347222222222219</v>
      </c>
      <c r="R143" s="75">
        <v>0.98541666666666661</v>
      </c>
      <c r="S143" s="93">
        <v>0.58402777777777781</v>
      </c>
      <c r="T143" s="93">
        <v>0.94444444444444453</v>
      </c>
      <c r="U143" s="75">
        <v>0.3520833333333333</v>
      </c>
      <c r="V143" s="75">
        <v>0.9555555555555556</v>
      </c>
      <c r="W143" s="75">
        <v>0.35416666666666669</v>
      </c>
      <c r="X143" s="75">
        <v>0.94374999999999998</v>
      </c>
      <c r="Y143" s="75">
        <v>0.3527777777777778</v>
      </c>
      <c r="Z143" s="75">
        <v>0.94166666666666676</v>
      </c>
      <c r="AA143" s="75">
        <v>0.35625000000000001</v>
      </c>
      <c r="AB143" s="75">
        <v>0.93958333333333333</v>
      </c>
      <c r="AC143" s="75">
        <v>0.3527777777777778</v>
      </c>
      <c r="AD143" s="75">
        <v>0.93888888888888899</v>
      </c>
      <c r="AE143" s="75">
        <v>0.35069444444444442</v>
      </c>
      <c r="AF143" s="75">
        <v>0.96180555555555547</v>
      </c>
      <c r="AG143" s="75">
        <v>0.58263888888888882</v>
      </c>
      <c r="AH143" s="118">
        <v>0.94027777777777777</v>
      </c>
      <c r="AI143" s="108"/>
      <c r="AJ143" s="121">
        <v>33</v>
      </c>
      <c r="AK143" s="77">
        <v>1</v>
      </c>
      <c r="AL143" s="77">
        <v>1</v>
      </c>
      <c r="AM143" s="77">
        <v>1</v>
      </c>
      <c r="AN143" s="77">
        <v>1</v>
      </c>
      <c r="AO143" s="75"/>
      <c r="AP143" s="75"/>
      <c r="AQ143" s="75"/>
      <c r="AR143" s="75"/>
      <c r="AS143" s="75"/>
      <c r="AT143" s="75"/>
      <c r="AU143" s="75"/>
      <c r="AV143" s="75"/>
      <c r="AW143" s="75"/>
      <c r="AX143" s="75"/>
      <c r="AY143" s="75"/>
      <c r="AZ143" s="75"/>
      <c r="BA143" s="75"/>
      <c r="BB143" s="75"/>
      <c r="BC143" s="75"/>
      <c r="BD143" s="75"/>
      <c r="BE143" s="75"/>
      <c r="BF143" s="75"/>
      <c r="BG143" s="75"/>
      <c r="BH143" s="75"/>
      <c r="BI143" s="75"/>
      <c r="BJ143" s="75"/>
      <c r="BK143" s="75"/>
      <c r="BL143" s="75"/>
      <c r="BM143" s="75"/>
      <c r="BN143" s="75"/>
      <c r="BO143" s="132"/>
      <c r="BP143" s="132"/>
      <c r="BQ143" s="9">
        <f t="shared" ref="BQ143:BQ144" si="58">BS143+BT143+BV143+BW143+CA143+BY143+BZ143+CD143</f>
        <v>17</v>
      </c>
      <c r="BR143" s="68"/>
      <c r="BS143" s="1">
        <f>COUNT(E143:AH143)/2+COUNT(AK143:BN143)/2</f>
        <v>16</v>
      </c>
      <c r="BT143" s="2">
        <f t="shared" ref="BT143:BT144" si="59">COUNTIF(E143:BN143,"OFF")/2</f>
        <v>1</v>
      </c>
      <c r="BU143" s="2">
        <f t="shared" ref="BU143:BU144" si="60">COUNTIF(E143:BN143,"MC")/2</f>
        <v>0</v>
      </c>
      <c r="BV143" s="2">
        <f t="shared" ref="BV143:BV144" si="61">COUNTIF(E143:BN143,"EL")/2</f>
        <v>0</v>
      </c>
      <c r="BW143" s="2">
        <f t="shared" ref="BW143:BW144" si="62">COUNTIF(E143:BN143,"AL")/2</f>
        <v>0</v>
      </c>
      <c r="BX143" s="2">
        <f t="shared" ref="BX143:BX144" si="63">COUNTIF(E143:BN143,"SUS")/2</f>
        <v>0</v>
      </c>
      <c r="BY143" s="2">
        <f t="shared" ref="BY143:BY144" si="64">COUNTIF(E143:BN143,"FL")/2</f>
        <v>0</v>
      </c>
      <c r="BZ143" s="2">
        <f t="shared" ref="BZ143:BZ144" si="65">COUNTIF(E143:BN143,"SICK")/2</f>
        <v>0</v>
      </c>
      <c r="CA143" s="2">
        <f t="shared" ref="CA143:CA144" si="66">COUNTIF(E143:BN143,"HD")/2</f>
        <v>0</v>
      </c>
      <c r="CB143" s="2">
        <f t="shared" ref="CB143:CB144" si="67">COUNTIF(E143:BN143,"AB")/2</f>
        <v>0</v>
      </c>
      <c r="CC143" s="2">
        <f t="shared" ref="CC143:CC144" si="68">COUNTIF(E143:BN143,"NL")/2</f>
        <v>0</v>
      </c>
      <c r="CD143" s="2">
        <f t="shared" ref="CD143:CD144" si="69">COUNTIF(E143:BN143,"SP")/2</f>
        <v>0</v>
      </c>
      <c r="CE143" s="3"/>
      <c r="CG143" s="54">
        <v>0</v>
      </c>
      <c r="CH143" s="54">
        <v>0</v>
      </c>
      <c r="CI143" s="54">
        <v>0</v>
      </c>
      <c r="CJ143" s="54">
        <v>0</v>
      </c>
      <c r="CK143" s="54">
        <v>0</v>
      </c>
      <c r="CL143" s="54">
        <v>0</v>
      </c>
      <c r="CM143" s="55">
        <v>0</v>
      </c>
      <c r="CN143" s="55">
        <v>0</v>
      </c>
      <c r="CO143" s="54">
        <v>0</v>
      </c>
      <c r="CP143" s="54">
        <v>0</v>
      </c>
      <c r="CQ143" s="56">
        <f t="shared" si="57"/>
        <v>0</v>
      </c>
    </row>
    <row r="144" spans="1:95" ht="21.75" customHeight="1" x14ac:dyDescent="0.25">
      <c r="A144" s="45">
        <v>37</v>
      </c>
      <c r="B144" s="11" t="s">
        <v>105</v>
      </c>
      <c r="C144" s="78" t="s">
        <v>177</v>
      </c>
      <c r="D144" s="88">
        <v>44987</v>
      </c>
      <c r="E144" s="65">
        <v>0.3520833333333333</v>
      </c>
      <c r="F144" s="65">
        <v>0.92569444444444438</v>
      </c>
      <c r="G144" s="65">
        <v>0.3520833333333333</v>
      </c>
      <c r="H144" s="65">
        <v>0.96250000000000002</v>
      </c>
      <c r="I144" s="65">
        <v>0.3520833333333333</v>
      </c>
      <c r="J144" s="65">
        <v>0.92638888888888893</v>
      </c>
      <c r="K144" s="65">
        <v>0.3520833333333333</v>
      </c>
      <c r="L144" s="65">
        <v>0.94791666666666663</v>
      </c>
      <c r="M144" s="100">
        <v>0.57708333333333328</v>
      </c>
      <c r="N144" s="103">
        <v>0.87986111111111109</v>
      </c>
      <c r="O144" s="65">
        <v>0.3888888888888889</v>
      </c>
      <c r="P144" s="65">
        <v>0.95138888888888884</v>
      </c>
      <c r="Q144" s="65">
        <v>0.35347222222222219</v>
      </c>
      <c r="R144" s="65">
        <v>0.92222222222222217</v>
      </c>
      <c r="S144" s="65">
        <v>0.35138888888888892</v>
      </c>
      <c r="T144" s="65">
        <v>0.90277777777777779</v>
      </c>
      <c r="U144" s="65">
        <v>0.3527777777777778</v>
      </c>
      <c r="V144" s="65">
        <v>0.92569444444444438</v>
      </c>
      <c r="W144" s="65">
        <v>0.35138888888888892</v>
      </c>
      <c r="X144" s="65">
        <v>0.90694444444444444</v>
      </c>
      <c r="Y144" s="65">
        <v>0.35138888888888892</v>
      </c>
      <c r="Z144" s="65">
        <v>0.92708333333333337</v>
      </c>
      <c r="AA144" s="92" t="s">
        <v>15</v>
      </c>
      <c r="AB144" s="102" t="s">
        <v>15</v>
      </c>
      <c r="AC144" s="65">
        <v>0.3520833333333333</v>
      </c>
      <c r="AD144" s="65">
        <v>0.91805555555555562</v>
      </c>
      <c r="AE144" s="65">
        <v>0.3520833333333333</v>
      </c>
      <c r="AF144" s="65">
        <v>0.88958333333333339</v>
      </c>
      <c r="AG144" s="77" t="s">
        <v>23</v>
      </c>
      <c r="AH144" s="111" t="s">
        <v>23</v>
      </c>
      <c r="AI144" s="117"/>
      <c r="AJ144" s="120">
        <v>37</v>
      </c>
      <c r="AK144" s="75"/>
      <c r="AL144" s="75"/>
      <c r="AM144" s="75"/>
      <c r="AN144" s="75"/>
      <c r="AO144" s="75"/>
      <c r="AP144" s="75"/>
      <c r="AQ144" s="75"/>
      <c r="AR144" s="75"/>
      <c r="AS144" s="75"/>
      <c r="AT144" s="75"/>
      <c r="AU144" s="75"/>
      <c r="AV144" s="75"/>
      <c r="AW144" s="93"/>
      <c r="AX144" s="93"/>
      <c r="AY144" s="75"/>
      <c r="AZ144" s="75"/>
      <c r="BA144" s="75"/>
      <c r="BB144" s="75"/>
      <c r="BC144" s="75"/>
      <c r="BD144" s="75"/>
      <c r="BE144" s="75"/>
      <c r="BF144" s="75"/>
      <c r="BG144" s="92"/>
      <c r="BH144" s="92"/>
      <c r="BI144" s="75"/>
      <c r="BJ144" s="75"/>
      <c r="BK144" s="92"/>
      <c r="BL144" s="92"/>
      <c r="BM144" s="75"/>
      <c r="BN144" s="75"/>
      <c r="BO144" s="75"/>
      <c r="BP144" s="75"/>
      <c r="BQ144" s="99">
        <f t="shared" si="58"/>
        <v>14</v>
      </c>
      <c r="BR144" s="68"/>
      <c r="BS144" s="1">
        <f>COUNT(E144:AF144)/2+COUNT(AK144:BN144)/2</f>
        <v>13</v>
      </c>
      <c r="BT144" s="2">
        <f t="shared" si="59"/>
        <v>1</v>
      </c>
      <c r="BU144" s="2">
        <f t="shared" si="60"/>
        <v>0</v>
      </c>
      <c r="BV144" s="2">
        <f t="shared" si="61"/>
        <v>0</v>
      </c>
      <c r="BW144" s="2">
        <f t="shared" si="62"/>
        <v>0</v>
      </c>
      <c r="BX144" s="2">
        <f t="shared" si="63"/>
        <v>0</v>
      </c>
      <c r="BY144" s="2">
        <f t="shared" si="64"/>
        <v>0</v>
      </c>
      <c r="BZ144" s="2">
        <f t="shared" si="65"/>
        <v>0</v>
      </c>
      <c r="CA144" s="2">
        <f t="shared" si="66"/>
        <v>0</v>
      </c>
      <c r="CB144" s="2">
        <f t="shared" si="67"/>
        <v>1</v>
      </c>
      <c r="CC144" s="2">
        <f t="shared" si="68"/>
        <v>0</v>
      </c>
      <c r="CD144" s="2">
        <f t="shared" si="69"/>
        <v>0</v>
      </c>
      <c r="CE144" s="3"/>
    </row>
    <row r="145" spans="1:95" ht="21" customHeight="1" x14ac:dyDescent="0.25">
      <c r="A145" s="10">
        <v>19</v>
      </c>
      <c r="B145" s="11" t="s">
        <v>61</v>
      </c>
      <c r="C145" s="131" t="s">
        <v>238</v>
      </c>
      <c r="D145" s="88">
        <v>45936</v>
      </c>
      <c r="E145" s="65" t="e">
        <f>VLOOKUP(B145,[1]Monthly!$E$4:$AE$157, 4,FALSE)</f>
        <v>#N/A</v>
      </c>
      <c r="F145" s="65">
        <v>0.73611111111111116</v>
      </c>
      <c r="G145" s="65">
        <v>0.36736111111111108</v>
      </c>
      <c r="H145" s="65">
        <v>0.74444444444444446</v>
      </c>
      <c r="I145" s="100">
        <v>0.56180555555555556</v>
      </c>
      <c r="J145" s="101">
        <v>1</v>
      </c>
      <c r="K145" s="65">
        <v>0.37013888888888885</v>
      </c>
      <c r="L145" s="65">
        <v>0.73958333333333337</v>
      </c>
      <c r="M145" s="65">
        <v>0.37013888888888885</v>
      </c>
      <c r="N145" s="76">
        <v>0.74375000000000002</v>
      </c>
      <c r="O145" s="75">
        <v>0.37013888888888885</v>
      </c>
      <c r="P145" s="75">
        <v>0.7416666666666667</v>
      </c>
      <c r="Q145" s="75">
        <v>0.37222222222222223</v>
      </c>
      <c r="R145" s="75">
        <v>0.7319444444444444</v>
      </c>
      <c r="S145" s="75">
        <v>0.36944444444444446</v>
      </c>
      <c r="T145" s="75">
        <v>0.74305555555555547</v>
      </c>
      <c r="U145" s="75">
        <v>0.3611111111111111</v>
      </c>
      <c r="V145" s="75">
        <v>0.73958333333333337</v>
      </c>
      <c r="W145" s="93">
        <v>0.71388888888888891</v>
      </c>
      <c r="X145" s="94">
        <v>1</v>
      </c>
      <c r="Y145" s="75">
        <v>0.36249999999999999</v>
      </c>
      <c r="Z145" s="75">
        <v>0.73402777777777783</v>
      </c>
      <c r="AA145" s="75">
        <v>0.36041666666666666</v>
      </c>
      <c r="AB145" s="75">
        <v>0.73749999999999993</v>
      </c>
      <c r="AC145" s="75">
        <v>0.36249999999999999</v>
      </c>
      <c r="AD145" s="75">
        <v>0.73819444444444438</v>
      </c>
      <c r="AE145" s="75">
        <v>0.3576388888888889</v>
      </c>
      <c r="AF145" s="75">
        <v>0.73125000000000007</v>
      </c>
      <c r="AG145" s="75">
        <v>0.35902777777777778</v>
      </c>
      <c r="AH145" s="75">
        <v>0.73263888888888884</v>
      </c>
      <c r="AI145" s="116"/>
      <c r="AJ145" s="90">
        <v>18</v>
      </c>
      <c r="AK145" s="65"/>
      <c r="AL145" s="65"/>
      <c r="AM145" s="65"/>
      <c r="AN145" s="65"/>
      <c r="AO145" s="65"/>
      <c r="AP145" s="65"/>
      <c r="AQ145" s="100"/>
      <c r="AR145" s="100"/>
      <c r="AS145" s="65"/>
      <c r="AT145" s="65"/>
      <c r="AU145" s="65"/>
      <c r="AV145" s="65"/>
      <c r="AW145" s="65"/>
      <c r="AX145" s="65"/>
      <c r="AY145" s="65"/>
      <c r="AZ145" s="65"/>
      <c r="BA145" s="65"/>
      <c r="BB145" s="65"/>
      <c r="BC145" s="65"/>
      <c r="BD145" s="65"/>
      <c r="BE145" s="100"/>
      <c r="BF145" s="100"/>
      <c r="BG145" s="65"/>
      <c r="BH145" s="69"/>
      <c r="BI145" s="65"/>
      <c r="BJ145" s="65"/>
      <c r="BK145" s="65"/>
      <c r="BL145" s="65"/>
      <c r="BM145" s="65"/>
      <c r="BN145" s="65"/>
      <c r="BO145" s="65"/>
      <c r="BP145" s="65"/>
      <c r="BQ145" s="99">
        <f>BS145+BT145+BV145+CA145+BY145+BZ145+CD145+BU145</f>
        <v>14.5</v>
      </c>
      <c r="BR145" s="68"/>
      <c r="BS145" s="1">
        <f>COUNT(E145:AH145)/2+COUNT(AK145:BN145)/2</f>
        <v>14.5</v>
      </c>
      <c r="BT145" s="2">
        <f>COUNTIF(E145:BN145,"OFF")/2</f>
        <v>0</v>
      </c>
      <c r="BU145" s="2">
        <f>COUNTIF(E145:BN145,"MC")/2</f>
        <v>0</v>
      </c>
      <c r="BV145" s="2">
        <f>COUNTIF(E145:BN145,"EL")/2</f>
        <v>0</v>
      </c>
      <c r="BW145" s="2">
        <f>COUNTIF(E145:BN145,"AL")/2</f>
        <v>0</v>
      </c>
      <c r="BX145" s="2">
        <f>COUNTIF(E145:BN145,"SUS")/2</f>
        <v>0</v>
      </c>
      <c r="BY145" s="2">
        <f>COUNTIF(E145:BN145,"FL")/2</f>
        <v>0</v>
      </c>
      <c r="BZ145" s="2">
        <f>COUNTIF(E145:BN145,"SICK")/2</f>
        <v>0</v>
      </c>
      <c r="CA145" s="2">
        <f>COUNTIF(E145:BN145,"HD")/2</f>
        <v>0</v>
      </c>
      <c r="CB145" s="2">
        <f>COUNTIF(E145:BN145,"AB")/2</f>
        <v>0</v>
      </c>
      <c r="CC145" s="2">
        <f>COUNTIF(E145:BN145,"NL")/2</f>
        <v>0</v>
      </c>
      <c r="CD145" s="2">
        <f>COUNTIF(E145:BN145,"SP")/2</f>
        <v>0</v>
      </c>
      <c r="CE145" s="71"/>
      <c r="CG145" s="54">
        <v>0</v>
      </c>
      <c r="CH145" s="54">
        <v>0</v>
      </c>
      <c r="CI145" s="54">
        <v>0</v>
      </c>
      <c r="CJ145" s="54">
        <v>0</v>
      </c>
      <c r="CK145" s="54">
        <v>2</v>
      </c>
      <c r="CL145" s="54">
        <v>0.5</v>
      </c>
      <c r="CM145" s="54">
        <v>0</v>
      </c>
      <c r="CN145" s="54">
        <v>0</v>
      </c>
      <c r="CO145" s="54">
        <v>0</v>
      </c>
      <c r="CP145" s="54">
        <v>0</v>
      </c>
      <c r="CQ145" s="56">
        <f>SUM(CG145:CP145)</f>
        <v>2.5</v>
      </c>
    </row>
    <row r="146" spans="1:95" x14ac:dyDescent="0.25">
      <c r="AH146" s="58"/>
      <c r="AI146" s="58"/>
      <c r="AJ146"/>
      <c r="BI146" s="15"/>
      <c r="BJ146" s="15"/>
      <c r="BK146" s="15"/>
      <c r="BL146" s="15"/>
      <c r="BM146" s="15"/>
      <c r="BN146" s="15"/>
      <c r="BO146" s="15"/>
      <c r="BP146" s="15"/>
      <c r="BQ146"/>
    </row>
    <row r="147" spans="1:95" x14ac:dyDescent="0.25">
      <c r="AH147" s="58"/>
      <c r="AI147" s="58"/>
      <c r="AJ147"/>
      <c r="BI147" s="15"/>
      <c r="BJ147" s="15"/>
      <c r="BK147" s="15"/>
      <c r="BL147" s="15"/>
      <c r="BM147" s="15"/>
      <c r="BN147" s="15"/>
      <c r="BO147" s="15"/>
      <c r="BP147" s="15"/>
      <c r="BQ147"/>
    </row>
    <row r="148" spans="1:95" x14ac:dyDescent="0.25">
      <c r="AH148" s="58"/>
      <c r="AI148" s="58"/>
      <c r="AJ148"/>
      <c r="BI148" s="15"/>
      <c r="BJ148" s="15"/>
      <c r="BK148" s="15"/>
      <c r="BL148" s="15"/>
      <c r="BM148" s="15"/>
      <c r="BN148" s="15"/>
      <c r="BO148" s="15"/>
      <c r="BP148" s="15"/>
      <c r="BQ148"/>
    </row>
    <row r="149" spans="1:95" x14ac:dyDescent="0.25">
      <c r="AH149" s="58"/>
      <c r="AI149" s="58"/>
      <c r="AJ149"/>
      <c r="BI149" s="15"/>
      <c r="BJ149" s="15"/>
      <c r="BK149" s="15"/>
      <c r="BL149" s="15"/>
      <c r="BM149" s="15"/>
      <c r="BN149" s="15"/>
      <c r="BO149" s="15"/>
      <c r="BP149" s="15"/>
      <c r="BQ149"/>
    </row>
    <row r="150" spans="1:95" x14ac:dyDescent="0.25">
      <c r="AH150" s="58"/>
      <c r="AI150" s="58"/>
      <c r="AJ150"/>
      <c r="BI150" s="15"/>
      <c r="BJ150" s="15"/>
      <c r="BK150" s="15"/>
      <c r="BL150" s="15"/>
      <c r="BM150" s="15"/>
      <c r="BN150" s="15"/>
      <c r="BO150" s="15"/>
      <c r="BP150" s="15"/>
      <c r="BQ150"/>
    </row>
    <row r="151" spans="1:95" x14ac:dyDescent="0.25">
      <c r="AH151" s="58"/>
      <c r="AI151" s="58"/>
      <c r="AJ151"/>
      <c r="BI151" s="15"/>
      <c r="BJ151" s="15"/>
      <c r="BK151" s="15"/>
      <c r="BL151" s="15"/>
      <c r="BM151" s="15"/>
      <c r="BN151" s="15"/>
      <c r="BO151" s="15"/>
      <c r="BP151" s="15"/>
      <c r="BQ151"/>
    </row>
    <row r="152" spans="1:95" x14ac:dyDescent="0.25">
      <c r="AJ152"/>
      <c r="BI152" s="15"/>
      <c r="BJ152" s="15"/>
      <c r="BK152" s="15"/>
      <c r="BL152" s="15"/>
      <c r="BM152" s="15"/>
      <c r="BN152" s="15"/>
      <c r="BO152" s="15"/>
      <c r="BP152" s="15"/>
      <c r="BQ152"/>
    </row>
  </sheetData>
  <mergeCells count="151">
    <mergeCell ref="AJ1:CE1"/>
    <mergeCell ref="AJ37:CE37"/>
    <mergeCell ref="BO39:BP39"/>
    <mergeCell ref="BO38:BP38"/>
    <mergeCell ref="AK2:AL2"/>
    <mergeCell ref="AM2:AN2"/>
    <mergeCell ref="U38:V38"/>
    <mergeCell ref="AK3:AL3"/>
    <mergeCell ref="AM3:AN3"/>
    <mergeCell ref="AO2:AP2"/>
    <mergeCell ref="AC2:AD2"/>
    <mergeCell ref="AC38:AD38"/>
    <mergeCell ref="AE38:AF38"/>
    <mergeCell ref="AG38:AH38"/>
    <mergeCell ref="W38:X38"/>
    <mergeCell ref="AA3:AB3"/>
    <mergeCell ref="AC3:AD3"/>
    <mergeCell ref="Y3:Z3"/>
    <mergeCell ref="AG2:AH2"/>
    <mergeCell ref="AO3:AP3"/>
    <mergeCell ref="AJ2:AJ4"/>
    <mergeCell ref="A1:AH1"/>
    <mergeCell ref="G2:H2"/>
    <mergeCell ref="S2:T2"/>
    <mergeCell ref="CG2:CP2"/>
    <mergeCell ref="CG38:CP38"/>
    <mergeCell ref="I38:J38"/>
    <mergeCell ref="AS38:AT38"/>
    <mergeCell ref="AW38:AX38"/>
    <mergeCell ref="BS2:CE2"/>
    <mergeCell ref="Q3:R3"/>
    <mergeCell ref="I2:J2"/>
    <mergeCell ref="K2:L2"/>
    <mergeCell ref="M2:N2"/>
    <mergeCell ref="O2:P2"/>
    <mergeCell ref="Q2:R2"/>
    <mergeCell ref="BM2:BN2"/>
    <mergeCell ref="A37:AH37"/>
    <mergeCell ref="A2:C3"/>
    <mergeCell ref="G3:H3"/>
    <mergeCell ref="U2:V2"/>
    <mergeCell ref="BS38:CE38"/>
    <mergeCell ref="BQ38:BQ40"/>
    <mergeCell ref="AK39:AL39"/>
    <mergeCell ref="AM39:AN39"/>
    <mergeCell ref="AO39:AP39"/>
    <mergeCell ref="AQ39:AR39"/>
    <mergeCell ref="AS39:AT39"/>
    <mergeCell ref="A38:C39"/>
    <mergeCell ref="G39:H39"/>
    <mergeCell ref="I39:J39"/>
    <mergeCell ref="K39:L39"/>
    <mergeCell ref="M39:N39"/>
    <mergeCell ref="AG39:AH39"/>
    <mergeCell ref="K38:L38"/>
    <mergeCell ref="W3:X3"/>
    <mergeCell ref="AE3:AF3"/>
    <mergeCell ref="K3:L3"/>
    <mergeCell ref="M3:N3"/>
    <mergeCell ref="S3:T3"/>
    <mergeCell ref="U3:V3"/>
    <mergeCell ref="W39:X39"/>
    <mergeCell ref="AC39:AD39"/>
    <mergeCell ref="AE39:AF39"/>
    <mergeCell ref="AG3:AH3"/>
    <mergeCell ref="BR38:BR40"/>
    <mergeCell ref="BQ2:BQ4"/>
    <mergeCell ref="BM39:BN39"/>
    <mergeCell ref="BM38:BN38"/>
    <mergeCell ref="BK39:BL39"/>
    <mergeCell ref="BK38:BL38"/>
    <mergeCell ref="BI39:BJ39"/>
    <mergeCell ref="BI38:BJ38"/>
    <mergeCell ref="AU38:AV38"/>
    <mergeCell ref="BG38:BH38"/>
    <mergeCell ref="BE39:BF39"/>
    <mergeCell ref="BG39:BH39"/>
    <mergeCell ref="AY38:AZ38"/>
    <mergeCell ref="BA38:BB38"/>
    <mergeCell ref="BC38:BD38"/>
    <mergeCell ref="BR2:BR4"/>
    <mergeCell ref="BO2:BP2"/>
    <mergeCell ref="AU39:AV39"/>
    <mergeCell ref="AW39:AX39"/>
    <mergeCell ref="AY39:AZ39"/>
    <mergeCell ref="BA39:BB39"/>
    <mergeCell ref="BO3:BP3"/>
    <mergeCell ref="AU2:AV2"/>
    <mergeCell ref="BE2:BF2"/>
    <mergeCell ref="BC3:BD3"/>
    <mergeCell ref="BE38:BF38"/>
    <mergeCell ref="BM3:BN3"/>
    <mergeCell ref="BC39:BD39"/>
    <mergeCell ref="J123:K123"/>
    <mergeCell ref="J122:K122"/>
    <mergeCell ref="BE3:BF3"/>
    <mergeCell ref="BI2:BJ2"/>
    <mergeCell ref="BK3:BL3"/>
    <mergeCell ref="AW2:AX2"/>
    <mergeCell ref="BK2:BL2"/>
    <mergeCell ref="BI3:BJ3"/>
    <mergeCell ref="BA3:BB3"/>
    <mergeCell ref="BC2:BD2"/>
    <mergeCell ref="AQ2:AR2"/>
    <mergeCell ref="AS3:AT3"/>
    <mergeCell ref="BG2:BH2"/>
    <mergeCell ref="BA2:BB2"/>
    <mergeCell ref="BG3:BH3"/>
    <mergeCell ref="AY2:AZ2"/>
    <mergeCell ref="AU3:AV3"/>
    <mergeCell ref="AW3:AX3"/>
    <mergeCell ref="AY3:AZ3"/>
    <mergeCell ref="AQ3:AR3"/>
    <mergeCell ref="AS2:AT2"/>
    <mergeCell ref="S39:T39"/>
    <mergeCell ref="Y39:Z39"/>
    <mergeCell ref="E111:L111"/>
    <mergeCell ref="E112:P112"/>
    <mergeCell ref="W2:X2"/>
    <mergeCell ref="Y2:Z2"/>
    <mergeCell ref="AA2:AB2"/>
    <mergeCell ref="AE2:AF2"/>
    <mergeCell ref="I3:J3"/>
    <mergeCell ref="E3:F3"/>
    <mergeCell ref="O3:P3"/>
    <mergeCell ref="U39:V39"/>
    <mergeCell ref="O39:P39"/>
    <mergeCell ref="Q39:R39"/>
    <mergeCell ref="E2:F2"/>
    <mergeCell ref="E113:AH113"/>
    <mergeCell ref="E114:AH114"/>
    <mergeCell ref="E115:AH115"/>
    <mergeCell ref="AK113:AL113"/>
    <mergeCell ref="AK114:AL114"/>
    <mergeCell ref="AK115:AZ115"/>
    <mergeCell ref="E34:G34"/>
    <mergeCell ref="E35:G35"/>
    <mergeCell ref="AA39:AB39"/>
    <mergeCell ref="S38:T38"/>
    <mergeCell ref="E39:F39"/>
    <mergeCell ref="AA38:AB38"/>
    <mergeCell ref="E38:F38"/>
    <mergeCell ref="G38:H38"/>
    <mergeCell ref="Q38:R38"/>
    <mergeCell ref="Y38:Z38"/>
    <mergeCell ref="O38:P38"/>
    <mergeCell ref="M38:N38"/>
    <mergeCell ref="AK38:AL38"/>
    <mergeCell ref="AM38:AN38"/>
    <mergeCell ref="AO38:AP38"/>
    <mergeCell ref="AQ38:AR38"/>
  </mergeCells>
  <phoneticPr fontId="12" type="noConversion"/>
  <conditionalFormatting sqref="A1 AJ1">
    <cfRule type="containsText" dxfId="1809" priority="5703" operator="containsText" text="SICK">
      <formula>NOT(ISERROR(SEARCH("SICK",A1)))</formula>
    </cfRule>
    <cfRule type="containsText" dxfId="1808" priority="5702" operator="containsText" text="FL">
      <formula>NOT(ISERROR(SEARCH("FL",A1)))</formula>
    </cfRule>
    <cfRule type="containsText" dxfId="1807" priority="5701" operator="containsText" text="AB">
      <formula>NOT(ISERROR(SEARCH("AB",A1)))</formula>
    </cfRule>
    <cfRule type="containsText" dxfId="1806" priority="5700" operator="containsText" text="EL">
      <formula>NOT(ISERROR(SEARCH("EL",A1)))</formula>
    </cfRule>
    <cfRule type="containsText" dxfId="1805" priority="5699" operator="containsText" text="AL">
      <formula>NOT(ISERROR(SEARCH("AL",A1)))</formula>
    </cfRule>
    <cfRule type="containsText" dxfId="1804" priority="5698" operator="containsText" text="SP">
      <formula>NOT(ISERROR(SEARCH("SP",A1)))</formula>
    </cfRule>
  </conditionalFormatting>
  <conditionalFormatting sqref="A5:A27 A41:A117 AJ41:AJ115 AJ25:AJ26 BQ5:BQ27 A31:D35 AC31:BQ35 A36:BQ36 A37:AJ37 A38:D39 AJ38:AJ39 BQ38:BQ39 A40:BQ40 BQ41:BQ115 A138:A145 BQ138:BQ145 AJ140:AJ142 AJ144">
    <cfRule type="containsText" dxfId="1803" priority="5704" stopIfTrue="1" operator="containsText" text="SP">
      <formula>NOT(ISERROR(SEARCH("SP",A5)))</formula>
    </cfRule>
  </conditionalFormatting>
  <conditionalFormatting sqref="A5:A27 BQ5:BQ27 AJ25:AJ26 A31:D35 AC31:BQ35 A36:BQ36 A37:AJ37 A38:D39 AJ38:AJ39 BQ38:BQ39 A40:BQ40 AJ41:AJ115 BQ41:BQ115 A41:A117 A138:A145 BQ138:BQ145 AJ140:AJ142 AJ144">
    <cfRule type="containsText" dxfId="1802" priority="5709" stopIfTrue="1" operator="containsText" text="SICK">
      <formula>NOT(ISERROR(SEARCH("SICK",A5)))</formula>
    </cfRule>
    <cfRule type="containsText" dxfId="1801" priority="5705" stopIfTrue="1" operator="containsText" text="AL">
      <formula>NOT(ISERROR(SEARCH("AL",A5)))</formula>
    </cfRule>
    <cfRule type="containsText" dxfId="1800" priority="5708" stopIfTrue="1" operator="containsText" text="FL">
      <formula>NOT(ISERROR(SEARCH("FL",A5)))</formula>
    </cfRule>
    <cfRule type="containsText" dxfId="1799" priority="5707" stopIfTrue="1" operator="containsText" text="AB">
      <formula>NOT(ISERROR(SEARCH("AB",A5)))</formula>
    </cfRule>
    <cfRule type="containsText" dxfId="1798" priority="5706" stopIfTrue="1" operator="containsText" text="EL">
      <formula>NOT(ISERROR(SEARCH("EL",A5)))</formula>
    </cfRule>
  </conditionalFormatting>
  <conditionalFormatting sqref="A13 A19:A27 A103:A117">
    <cfRule type="containsText" dxfId="1797" priority="5329" stopIfTrue="1" operator="containsText" text="SICK">
      <formula>NOT(ISERROR(SEARCH("SICK",A13)))</formula>
    </cfRule>
    <cfRule type="containsText" dxfId="1796" priority="5328" stopIfTrue="1" operator="containsText" text="FL">
      <formula>NOT(ISERROR(SEARCH("FL",A13)))</formula>
    </cfRule>
    <cfRule type="containsText" dxfId="1795" priority="5327" stopIfTrue="1" operator="containsText" text="AB">
      <formula>NOT(ISERROR(SEARCH("AB",A13)))</formula>
    </cfRule>
    <cfRule type="containsText" dxfId="1794" priority="5326" stopIfTrue="1" operator="containsText" text="EL">
      <formula>NOT(ISERROR(SEARCH("EL",A13)))</formula>
    </cfRule>
    <cfRule type="containsText" dxfId="1793" priority="5325" stopIfTrue="1" operator="containsText" text="AL">
      <formula>NOT(ISERROR(SEARCH("AL",A13)))</formula>
    </cfRule>
    <cfRule type="containsText" dxfId="1792" priority="5324" stopIfTrue="1" operator="containsText" text="SP">
      <formula>NOT(ISERROR(SEARCH("SP",A13)))</formula>
    </cfRule>
  </conditionalFormatting>
  <conditionalFormatting sqref="C22">
    <cfRule type="duplicateValues" dxfId="1791" priority="14845"/>
    <cfRule type="duplicateValues" dxfId="1790" priority="14846"/>
    <cfRule type="duplicateValues" dxfId="1789" priority="14847"/>
    <cfRule type="duplicateValues" dxfId="1788" priority="14848"/>
  </conditionalFormatting>
  <conditionalFormatting sqref="C23:C49 C1:C21 C51:C1048576">
    <cfRule type="duplicateValues" dxfId="1787" priority="15042"/>
  </conditionalFormatting>
  <conditionalFormatting sqref="C26">
    <cfRule type="duplicateValues" dxfId="1786" priority="14849"/>
  </conditionalFormatting>
  <conditionalFormatting sqref="C27:C49 C21 C23:C25 C51:C131 C1:D20 D21:D131 C133:D1048576">
    <cfRule type="duplicateValues" dxfId="1785" priority="15135"/>
  </conditionalFormatting>
  <conditionalFormatting sqref="C50">
    <cfRule type="duplicateValues" dxfId="1784" priority="14850"/>
    <cfRule type="duplicateValues" dxfId="1783" priority="14852"/>
    <cfRule type="duplicateValues" dxfId="1782" priority="14853"/>
    <cfRule type="duplicateValues" dxfId="1781" priority="14851"/>
    <cfRule type="duplicateValues" dxfId="1780" priority="14854"/>
  </conditionalFormatting>
  <conditionalFormatting sqref="C108 C20">
    <cfRule type="duplicateValues" dxfId="1779" priority="14856"/>
    <cfRule type="duplicateValues" dxfId="1778" priority="14855"/>
  </conditionalFormatting>
  <conditionalFormatting sqref="C114:C131 C23:C25 C27 C1:C21 C133:C1048576 C29:C49 C51:C108">
    <cfRule type="duplicateValues" dxfId="1777" priority="15090"/>
  </conditionalFormatting>
  <conditionalFormatting sqref="C115:C119 C75:C107 C44:C49 C140:C144 C51:C57 C59:C73 C41:C42">
    <cfRule type="duplicateValues" dxfId="1776" priority="15005"/>
  </conditionalFormatting>
  <conditionalFormatting sqref="C115:C131 C27 C23:C25 C1:C19 C21 C133:C1048576 C29:C49 C51:C107">
    <cfRule type="duplicateValues" dxfId="1775" priority="15098"/>
  </conditionalFormatting>
  <conditionalFormatting sqref="D5:D27 D41:D57 D59:D115 D138:D145">
    <cfRule type="timePeriod" priority="4418" timePeriod="nextWeek">
      <formula>AND(ROUNDDOWN(D5,0)-TODAY()&gt;(7-WEEKDAY(TODAY())),ROUNDDOWN(D5,0)-TODAY()&lt;(15-WEEKDAY(TODAY())))</formula>
    </cfRule>
  </conditionalFormatting>
  <conditionalFormatting sqref="D5:D27 D138:D145 D74">
    <cfRule type="timePeriod" dxfId="1774" priority="4457" timePeriod="nextWeek">
      <formula>AND(ROUNDDOWN(D5,0)-TODAY()&gt;(7-WEEKDAY(TODAY())),ROUNDDOWN(D5,0)-TODAY()&lt;(15-WEEKDAY(TODAY())))</formula>
    </cfRule>
  </conditionalFormatting>
  <conditionalFormatting sqref="D11:D21 D27 D140:D145 D138">
    <cfRule type="timePeriod" dxfId="1773" priority="4429" timePeriod="thisWeek">
      <formula>AND(TODAY()-ROUNDDOWN(D11,0)&lt;=WEEKDAY(TODAY())-1,ROUNDDOWN(D11,0)-TODAY()&lt;=7-WEEKDAY(TODAY()))</formula>
    </cfRule>
  </conditionalFormatting>
  <conditionalFormatting sqref="D11:D21 D59:D115 D138 D41:D57">
    <cfRule type="timePeriod" dxfId="1772" priority="4478" timePeriod="last7Days">
      <formula>AND(TODAY()-FLOOR(D11,1)&lt;=6,FLOOR(D11,1)&lt;=TODAY())</formula>
    </cfRule>
  </conditionalFormatting>
  <conditionalFormatting sqref="D13 D16:D20 D27 D140:D145">
    <cfRule type="timePeriod" dxfId="1771" priority="4417" timePeriod="last7Days">
      <formula>AND(TODAY()-FLOOR(D13,1)&lt;=6,FLOOR(D13,1)&lt;=TODAY())</formula>
    </cfRule>
  </conditionalFormatting>
  <conditionalFormatting sqref="D20 D41:D57 D59:D115">
    <cfRule type="timePeriod" dxfId="1770" priority="4493" timePeriod="nextWeek">
      <formula>AND(ROUNDDOWN(D20,0)-TODAY()&gt;(7-WEEKDAY(TODAY())),ROUNDDOWN(D20,0)-TODAY()&lt;(15-WEEKDAY(TODAY())))</formula>
    </cfRule>
    <cfRule type="timePeriod" dxfId="1769" priority="4480" timePeriod="thisWeek">
      <formula>AND(TODAY()-ROUNDDOWN(D20,0)&lt;=WEEKDAY(TODAY())-1,ROUNDDOWN(D20,0)-TODAY()&lt;=7-WEEKDAY(TODAY()))</formula>
    </cfRule>
  </conditionalFormatting>
  <conditionalFormatting sqref="D74">
    <cfRule type="timePeriod" dxfId="1768" priority="4455" timePeriod="thisWeek">
      <formula>AND(TODAY()-ROUNDDOWN(D74,0)&lt;=WEEKDAY(TODAY())-1,ROUNDDOWN(D74,0)-TODAY()&lt;=7-WEEKDAY(TODAY()))</formula>
    </cfRule>
  </conditionalFormatting>
  <conditionalFormatting sqref="E68:F68 AJ145 Y15:BP20 AJ5:AJ27 AJ57:BH57 BK57:BP57 AJ138 I142:J142">
    <cfRule type="containsText" dxfId="1767" priority="3515" operator="containsText" text="AB">
      <formula>NOT(ISERROR(SEARCH("AB",E5)))</formula>
    </cfRule>
  </conditionalFormatting>
  <conditionalFormatting sqref="E50:P50 S50:Z50">
    <cfRule type="containsText" dxfId="1766" priority="3" operator="containsText" text="SUS">
      <formula>NOT(ISERROR(SEARCH("SUS",E50)))</formula>
    </cfRule>
    <cfRule type="containsText" dxfId="1765" priority="4" operator="containsText" text="FL">
      <formula>NOT(ISERROR(SEARCH("FL",E50)))</formula>
    </cfRule>
    <cfRule type="containsText" dxfId="1764" priority="5" operator="containsText" text="EL">
      <formula>NOT(ISERROR(SEARCH("EL",E50)))</formula>
    </cfRule>
    <cfRule type="containsText" dxfId="1763" priority="10" operator="containsText" text="AL">
      <formula>NOT(ISERROR(SEARCH("AL",E50)))</formula>
    </cfRule>
    <cfRule type="containsText" dxfId="1762" priority="9" operator="containsText" text="SICK">
      <formula>NOT(ISERROR(SEARCH("SICK",E50)))</formula>
    </cfRule>
    <cfRule type="containsText" dxfId="1761" priority="8" operator="containsText" text="AB">
      <formula>NOT(ISERROR(SEARCH("AB",E50)))</formula>
    </cfRule>
    <cfRule type="containsText" dxfId="1760" priority="7" operator="containsText" text="OFF">
      <formula>NOT(ISERROR(SEARCH("OFF",E50)))</formula>
    </cfRule>
    <cfRule type="containsText" dxfId="1759" priority="6" operator="containsText" text="MC">
      <formula>NOT(ISERROR(SEARCH("MC",E50)))</formula>
    </cfRule>
    <cfRule type="containsText" dxfId="1758" priority="2" operator="containsText" text="NL">
      <formula>NOT(ISERROR(SEARCH("NL",E50)))</formula>
    </cfRule>
    <cfRule type="containsText" dxfId="1757" priority="1" operator="containsText" text="SP">
      <formula>NOT(ISERROR(SEARCH("SP",E50)))</formula>
    </cfRule>
  </conditionalFormatting>
  <conditionalFormatting sqref="F22:P22 S22:AF22 I62:J62 AQ62:AR62 I140:J142 AQ140:AR142 AQ51:AR55">
    <cfRule type="containsText" dxfId="1756" priority="60" operator="containsText" text="AB">
      <formula>NOT(ISERROR(SEARCH("AB",F22)))</formula>
    </cfRule>
  </conditionalFormatting>
  <conditionalFormatting sqref="F22:P22 S22:AF22 I62:J62 AQ62:AR62 I141:J141 AQ141:AR141">
    <cfRule type="containsText" dxfId="1755" priority="56" operator="containsText" text="AB">
      <formula>NOT(ISERROR(SEARCH("AB",F22)))</formula>
    </cfRule>
  </conditionalFormatting>
  <conditionalFormatting sqref="F22:P22 S22:AF22 I62:J62 AQ62:AR62 AQ141:AR141 I141:J142">
    <cfRule type="containsText" dxfId="1754" priority="57" operator="containsText" text="SUS">
      <formula>NOT(ISERROR(SEARCH("SUS",F22)))</formula>
    </cfRule>
    <cfRule type="containsText" dxfId="1753" priority="58" operator="containsText" text="FL">
      <formula>NOT(ISERROR(SEARCH("FL",F22)))</formula>
    </cfRule>
    <cfRule type="containsText" dxfId="1752" priority="59" operator="containsText" text="MC">
      <formula>NOT(ISERROR(SEARCH("MC",F22)))</formula>
    </cfRule>
    <cfRule type="containsText" dxfId="1751" priority="63" operator="containsText" text="AL">
      <formula>NOT(ISERROR(SEARCH("AL",F22)))</formula>
    </cfRule>
    <cfRule type="containsText" dxfId="1750" priority="62" operator="containsText" text="OFF">
      <formula>NOT(ISERROR(SEARCH("OFF",F22)))</formula>
    </cfRule>
    <cfRule type="containsText" dxfId="1749" priority="61" operator="containsText" text="Sick">
      <formula>NOT(ISERROR(SEARCH("Sick",F22)))</formula>
    </cfRule>
  </conditionalFormatting>
  <conditionalFormatting sqref="F22:P22 S22:AF22 AQ51:AR55 I55:J55 I58:J59 I62:J62 AQ62:AR62 I140:J142 AQ140:AR142">
    <cfRule type="containsText" dxfId="1748" priority="55" operator="containsText" text="EL">
      <formula>NOT(ISERROR(SEARCH("EL",F22)))</formula>
    </cfRule>
  </conditionalFormatting>
  <conditionalFormatting sqref="I8:J8 I64:J64 AQ64:AR64 BE139:BF139 BE21:BF22 I140:J140 AQ140:AR140">
    <cfRule type="containsText" dxfId="1747" priority="486" operator="containsText" text="SUS">
      <formula>NOT(ISERROR(SEARCH("SUS",I8)))</formula>
    </cfRule>
    <cfRule type="containsText" dxfId="1746" priority="487" operator="containsText" text="FL">
      <formula>NOT(ISERROR(SEARCH("FL",I8)))</formula>
    </cfRule>
  </conditionalFormatting>
  <conditionalFormatting sqref="I8:J8 I64:J64 AQ64:AR64 BE139:BF139">
    <cfRule type="containsText" dxfId="1745" priority="485" operator="containsText" text="AB">
      <formula>NOT(ISERROR(SEARCH("AB",I8)))</formula>
    </cfRule>
    <cfRule type="containsText" dxfId="1744" priority="484" operator="containsText" text="EL">
      <formula>NOT(ISERROR(SEARCH("EL",I8)))</formula>
    </cfRule>
  </conditionalFormatting>
  <conditionalFormatting sqref="I8:J8 BE21:BF22 I64:J64 AQ64:AR64 BE139:BF139 I140:J140 AQ140:AR140">
    <cfRule type="containsText" dxfId="1743" priority="491" operator="containsText" text="OFF">
      <formula>NOT(ISERROR(SEARCH("OFF",I8)))</formula>
    </cfRule>
    <cfRule type="containsText" dxfId="1742" priority="490" operator="containsText" text="Sick">
      <formula>NOT(ISERROR(SEARCH("Sick",I8)))</formula>
    </cfRule>
    <cfRule type="containsText" dxfId="1741" priority="489" operator="containsText" text="AB">
      <formula>NOT(ISERROR(SEARCH("AB",I8)))</formula>
    </cfRule>
    <cfRule type="containsText" dxfId="1740" priority="488" operator="containsText" text="MC">
      <formula>NOT(ISERROR(SEARCH("MC",I8)))</formula>
    </cfRule>
    <cfRule type="containsText" dxfId="1739" priority="492" operator="containsText" text="AL">
      <formula>NOT(ISERROR(SEARCH("AL",I8)))</formula>
    </cfRule>
  </conditionalFormatting>
  <conditionalFormatting sqref="I13:J13">
    <cfRule type="containsText" dxfId="1738" priority="449" operator="containsText" text="AB">
      <formula>NOT(ISERROR(SEARCH("AB",I13)))</formula>
    </cfRule>
    <cfRule type="containsText" dxfId="1737" priority="448" operator="containsText" text="EL">
      <formula>NOT(ISERROR(SEARCH("EL",I13)))</formula>
    </cfRule>
    <cfRule type="containsText" dxfId="1736" priority="454" operator="containsText" text="Sick">
      <formula>NOT(ISERROR(SEARCH("Sick",I13)))</formula>
    </cfRule>
    <cfRule type="containsText" dxfId="1735" priority="456" operator="containsText" text="AL">
      <formula>NOT(ISERROR(SEARCH("AL",I13)))</formula>
    </cfRule>
    <cfRule type="containsText" dxfId="1734" priority="455" operator="containsText" text="OFF">
      <formula>NOT(ISERROR(SEARCH("OFF",I13)))</formula>
    </cfRule>
    <cfRule type="containsText" dxfId="1733" priority="453" operator="containsText" text="AB">
      <formula>NOT(ISERROR(SEARCH("AB",I13)))</formula>
    </cfRule>
    <cfRule type="containsText" dxfId="1732" priority="452" operator="containsText" text="MC">
      <formula>NOT(ISERROR(SEARCH("MC",I13)))</formula>
    </cfRule>
    <cfRule type="containsText" dxfId="1731" priority="451" operator="containsText" text="FL">
      <formula>NOT(ISERROR(SEARCH("FL",I13)))</formula>
    </cfRule>
    <cfRule type="containsText" dxfId="1730" priority="450" operator="containsText" text="SUS">
      <formula>NOT(ISERROR(SEARCH("SUS",I13)))</formula>
    </cfRule>
  </conditionalFormatting>
  <conditionalFormatting sqref="I15:J20 I11:J13 W9:X20 AJ5:AJ27 BE9:BF22 AQ10:AR20 BE48:BF50 AQ58:AR59 BE68:BF68">
    <cfRule type="containsText" dxfId="1729" priority="475" operator="containsText" text="EL">
      <formula>NOT(ISERROR(SEARCH("EL",I5)))</formula>
    </cfRule>
  </conditionalFormatting>
  <conditionalFormatting sqref="I19:J20">
    <cfRule type="containsText" dxfId="1728" priority="457" operator="containsText" text="EL">
      <formula>NOT(ISERROR(SEARCH("EL",I19)))</formula>
    </cfRule>
    <cfRule type="containsText" dxfId="1727" priority="465" operator="containsText" text="AL">
      <formula>NOT(ISERROR(SEARCH("AL",I19)))</formula>
    </cfRule>
    <cfRule type="containsText" dxfId="1726" priority="463" operator="containsText" text="Sick">
      <formula>NOT(ISERROR(SEARCH("Sick",I19)))</formula>
    </cfRule>
    <cfRule type="containsText" dxfId="1725" priority="462" operator="containsText" text="AB">
      <formula>NOT(ISERROR(SEARCH("AB",I19)))</formula>
    </cfRule>
    <cfRule type="containsText" dxfId="1724" priority="461" operator="containsText" text="MC">
      <formula>NOT(ISERROR(SEARCH("MC",I19)))</formula>
    </cfRule>
    <cfRule type="containsText" dxfId="1723" priority="460" operator="containsText" text="FL">
      <formula>NOT(ISERROR(SEARCH("FL",I19)))</formula>
    </cfRule>
    <cfRule type="containsText" dxfId="1722" priority="459" operator="containsText" text="SUS">
      <formula>NOT(ISERROR(SEARCH("SUS",I19)))</formula>
    </cfRule>
    <cfRule type="containsText" dxfId="1721" priority="458" operator="containsText" text="AB">
      <formula>NOT(ISERROR(SEARCH("AB",I19)))</formula>
    </cfRule>
    <cfRule type="containsText" dxfId="1720" priority="464" operator="containsText" text="OFF">
      <formula>NOT(ISERROR(SEARCH("OFF",I19)))</formula>
    </cfRule>
  </conditionalFormatting>
  <conditionalFormatting sqref="I23:J26">
    <cfRule type="containsText" dxfId="1719" priority="473" operator="containsText" text="OFF">
      <formula>NOT(ISERROR(SEARCH("OFF",I23)))</formula>
    </cfRule>
    <cfRule type="containsText" dxfId="1718" priority="470" operator="containsText" text="MC">
      <formula>NOT(ISERROR(SEARCH("MC",I23)))</formula>
    </cfRule>
    <cfRule type="containsText" dxfId="1717" priority="469" operator="containsText" text="FL">
      <formula>NOT(ISERROR(SEARCH("FL",I23)))</formula>
    </cfRule>
    <cfRule type="containsText" dxfId="1716" priority="471" operator="containsText" text="AB">
      <formula>NOT(ISERROR(SEARCH("AB",I23)))</formula>
    </cfRule>
    <cfRule type="containsText" dxfId="1715" priority="472" operator="containsText" text="Sick">
      <formula>NOT(ISERROR(SEARCH("Sick",I23)))</formula>
    </cfRule>
    <cfRule type="containsText" dxfId="1714" priority="468" operator="containsText" text="SUS">
      <formula>NOT(ISERROR(SEARCH("SUS",I23)))</formula>
    </cfRule>
    <cfRule type="containsText" dxfId="1713" priority="467" operator="containsText" text="AB">
      <formula>NOT(ISERROR(SEARCH("AB",I23)))</formula>
    </cfRule>
    <cfRule type="containsText" dxfId="1712" priority="466" operator="containsText" text="EL">
      <formula>NOT(ISERROR(SEARCH("EL",I23)))</formula>
    </cfRule>
    <cfRule type="containsText" dxfId="1711" priority="474" operator="containsText" text="AL">
      <formula>NOT(ISERROR(SEARCH("AL",I23)))</formula>
    </cfRule>
  </conditionalFormatting>
  <conditionalFormatting sqref="I41:J41">
    <cfRule type="containsText" dxfId="1710" priority="447" operator="containsText" text="AL">
      <formula>NOT(ISERROR(SEARCH("AL",I41)))</formula>
    </cfRule>
    <cfRule type="containsText" dxfId="1709" priority="446" operator="containsText" text="OFF">
      <formula>NOT(ISERROR(SEARCH("OFF",I41)))</formula>
    </cfRule>
    <cfRule type="containsText" dxfId="1708" priority="445" operator="containsText" text="Sick">
      <formula>NOT(ISERROR(SEARCH("Sick",I41)))</formula>
    </cfRule>
    <cfRule type="containsText" dxfId="1707" priority="444" operator="containsText" text="AB">
      <formula>NOT(ISERROR(SEARCH("AB",I41)))</formula>
    </cfRule>
    <cfRule type="containsText" dxfId="1706" priority="443" operator="containsText" text="MC">
      <formula>NOT(ISERROR(SEARCH("MC",I41)))</formula>
    </cfRule>
    <cfRule type="containsText" dxfId="1705" priority="442" operator="containsText" text="FL">
      <formula>NOT(ISERROR(SEARCH("FL",I41)))</formula>
    </cfRule>
    <cfRule type="containsText" dxfId="1704" priority="441" operator="containsText" text="SUS">
      <formula>NOT(ISERROR(SEARCH("SUS",I41)))</formula>
    </cfRule>
    <cfRule type="containsText" dxfId="1703" priority="440" operator="containsText" text="AB">
      <formula>NOT(ISERROR(SEARCH("AB",I41)))</formula>
    </cfRule>
    <cfRule type="containsText" dxfId="1702" priority="439" operator="containsText" text="EL">
      <formula>NOT(ISERROR(SEARCH("EL",I41)))</formula>
    </cfRule>
  </conditionalFormatting>
  <conditionalFormatting sqref="I44:J45">
    <cfRule type="containsText" dxfId="1701" priority="438" operator="containsText" text="AL">
      <formula>NOT(ISERROR(SEARCH("AL",I44)))</formula>
    </cfRule>
    <cfRule type="containsText" dxfId="1700" priority="437" operator="containsText" text="OFF">
      <formula>NOT(ISERROR(SEARCH("OFF",I44)))</formula>
    </cfRule>
    <cfRule type="containsText" dxfId="1699" priority="436" operator="containsText" text="Sick">
      <formula>NOT(ISERROR(SEARCH("Sick",I44)))</formula>
    </cfRule>
    <cfRule type="containsText" dxfId="1698" priority="434" operator="containsText" text="MC">
      <formula>NOT(ISERROR(SEARCH("MC",I44)))</formula>
    </cfRule>
    <cfRule type="containsText" dxfId="1697" priority="433" operator="containsText" text="FL">
      <formula>NOT(ISERROR(SEARCH("FL",I44)))</formula>
    </cfRule>
    <cfRule type="containsText" dxfId="1696" priority="432" operator="containsText" text="SUS">
      <formula>NOT(ISERROR(SEARCH("SUS",I44)))</formula>
    </cfRule>
    <cfRule type="containsText" dxfId="1695" priority="431" operator="containsText" text="AB">
      <formula>NOT(ISERROR(SEARCH("AB",I44)))</formula>
    </cfRule>
    <cfRule type="containsText" dxfId="1694" priority="430" operator="containsText" text="EL">
      <formula>NOT(ISERROR(SEARCH("EL",I44)))</formula>
    </cfRule>
    <cfRule type="containsText" dxfId="1693" priority="435" operator="containsText" text="AB">
      <formula>NOT(ISERROR(SEARCH("AB",I44)))</formula>
    </cfRule>
  </conditionalFormatting>
  <conditionalFormatting sqref="I47:J47">
    <cfRule type="containsText" dxfId="1692" priority="428" operator="containsText" text="OFF">
      <formula>NOT(ISERROR(SEARCH("OFF",I47)))</formula>
    </cfRule>
    <cfRule type="containsText" dxfId="1691" priority="427" operator="containsText" text="Sick">
      <formula>NOT(ISERROR(SEARCH("Sick",I47)))</formula>
    </cfRule>
    <cfRule type="containsText" dxfId="1690" priority="426" operator="containsText" text="AB">
      <formula>NOT(ISERROR(SEARCH("AB",I47)))</formula>
    </cfRule>
    <cfRule type="containsText" dxfId="1689" priority="425" operator="containsText" text="MC">
      <formula>NOT(ISERROR(SEARCH("MC",I47)))</formula>
    </cfRule>
    <cfRule type="containsText" dxfId="1688" priority="424" operator="containsText" text="FL">
      <formula>NOT(ISERROR(SEARCH("FL",I47)))</formula>
    </cfRule>
    <cfRule type="containsText" dxfId="1687" priority="423" operator="containsText" text="SUS">
      <formula>NOT(ISERROR(SEARCH("SUS",I47)))</formula>
    </cfRule>
    <cfRule type="containsText" dxfId="1686" priority="422" operator="containsText" text="AB">
      <formula>NOT(ISERROR(SEARCH("AB",I47)))</formula>
    </cfRule>
    <cfRule type="containsText" dxfId="1685" priority="421" operator="containsText" text="EL">
      <formula>NOT(ISERROR(SEARCH("EL",I47)))</formula>
    </cfRule>
    <cfRule type="containsText" dxfId="1684" priority="429" operator="containsText" text="AL">
      <formula>NOT(ISERROR(SEARCH("AL",I47)))</formula>
    </cfRule>
  </conditionalFormatting>
  <conditionalFormatting sqref="I51:J53 I55:J55 BG144 AJ5:AJ27 AG54:AJ55 AO54:AT55 AO55:BP55 AJ138:AJ139 AG68:AJ68 AW54:BP55 E143:F143">
    <cfRule type="containsText" dxfId="1683" priority="3229" operator="containsText" text="MC">
      <formula>NOT(ISERROR(SEARCH("MC",E5)))</formula>
    </cfRule>
  </conditionalFormatting>
  <conditionalFormatting sqref="I51:J53 I55:J55 BG144 AJ5:AJ27 AJ138">
    <cfRule type="containsText" dxfId="1682" priority="3232" operator="containsText" text="OFF">
      <formula>NOT(ISERROR(SEARCH("OFF",I5)))</formula>
    </cfRule>
  </conditionalFormatting>
  <conditionalFormatting sqref="I55:J55 I51:J53 BG144">
    <cfRule type="containsText" dxfId="1681" priority="3227" operator="containsText" text="SUS">
      <formula>NOT(ISERROR(SEARCH("SUS",I51)))</formula>
    </cfRule>
    <cfRule type="containsText" dxfId="1680" priority="3228" operator="containsText" text="FL">
      <formula>NOT(ISERROR(SEARCH("FL",I51)))</formula>
    </cfRule>
  </conditionalFormatting>
  <conditionalFormatting sqref="I55:J55 I58:J59">
    <cfRule type="containsText" dxfId="1679" priority="411" operator="containsText" text="AL">
      <formula>NOT(ISERROR(SEARCH("AL",I55)))</formula>
    </cfRule>
    <cfRule type="containsText" dxfId="1678" priority="410" operator="containsText" text="OFF">
      <formula>NOT(ISERROR(SEARCH("OFF",I55)))</formula>
    </cfRule>
    <cfRule type="containsText" dxfId="1677" priority="409" operator="containsText" text="Sick">
      <formula>NOT(ISERROR(SEARCH("Sick",I55)))</formula>
    </cfRule>
    <cfRule type="containsText" dxfId="1676" priority="407" operator="containsText" text="MC">
      <formula>NOT(ISERROR(SEARCH("MC",I55)))</formula>
    </cfRule>
    <cfRule type="containsText" dxfId="1675" priority="406" operator="containsText" text="FL">
      <formula>NOT(ISERROR(SEARCH("FL",I55)))</formula>
    </cfRule>
    <cfRule type="containsText" dxfId="1674" priority="405" operator="containsText" text="SUS">
      <formula>NOT(ISERROR(SEARCH("SUS",I55)))</formula>
    </cfRule>
    <cfRule type="containsText" dxfId="1673" priority="404" operator="containsText" text="AB">
      <formula>NOT(ISERROR(SEARCH("AB",I55)))</formula>
    </cfRule>
    <cfRule type="containsText" dxfId="1672" priority="408" operator="containsText" text="AB">
      <formula>NOT(ISERROR(SEARCH("AB",I55)))</formula>
    </cfRule>
  </conditionalFormatting>
  <conditionalFormatting sqref="I69:J69">
    <cfRule type="containsText" dxfId="1671" priority="384" operator="containsText" text="AL">
      <formula>NOT(ISERROR(SEARCH("AL",I69)))</formula>
    </cfRule>
    <cfRule type="containsText" dxfId="1670" priority="383" operator="containsText" text="OFF">
      <formula>NOT(ISERROR(SEARCH("OFF",I69)))</formula>
    </cfRule>
    <cfRule type="containsText" dxfId="1669" priority="382" operator="containsText" text="Sick">
      <formula>NOT(ISERROR(SEARCH("Sick",I69)))</formula>
    </cfRule>
    <cfRule type="containsText" dxfId="1668" priority="381" operator="containsText" text="AB">
      <formula>NOT(ISERROR(SEARCH("AB",I69)))</formula>
    </cfRule>
    <cfRule type="containsText" dxfId="1667" priority="379" operator="containsText" text="FL">
      <formula>NOT(ISERROR(SEARCH("FL",I69)))</formula>
    </cfRule>
    <cfRule type="containsText" dxfId="1666" priority="378" operator="containsText" text="SUS">
      <formula>NOT(ISERROR(SEARCH("SUS",I69)))</formula>
    </cfRule>
    <cfRule type="containsText" dxfId="1665" priority="377" operator="containsText" text="AB">
      <formula>NOT(ISERROR(SEARCH("AB",I69)))</formula>
    </cfRule>
    <cfRule type="containsText" dxfId="1664" priority="376" operator="containsText" text="EL">
      <formula>NOT(ISERROR(SEARCH("EL",I69)))</formula>
    </cfRule>
    <cfRule type="containsText" dxfId="1663" priority="380" operator="containsText" text="MC">
      <formula>NOT(ISERROR(SEARCH("MC",I69)))</formula>
    </cfRule>
  </conditionalFormatting>
  <conditionalFormatting sqref="I72:J72">
    <cfRule type="containsText" dxfId="1662" priority="367" operator="containsText" text="EL">
      <formula>NOT(ISERROR(SEARCH("EL",I72)))</formula>
    </cfRule>
    <cfRule type="containsText" dxfId="1661" priority="375" operator="containsText" text="AL">
      <formula>NOT(ISERROR(SEARCH("AL",I72)))</formula>
    </cfRule>
    <cfRule type="containsText" dxfId="1660" priority="374" operator="containsText" text="OFF">
      <formula>NOT(ISERROR(SEARCH("OFF",I72)))</formula>
    </cfRule>
    <cfRule type="containsText" dxfId="1659" priority="373" operator="containsText" text="Sick">
      <formula>NOT(ISERROR(SEARCH("Sick",I72)))</formula>
    </cfRule>
    <cfRule type="containsText" dxfId="1658" priority="372" operator="containsText" text="AB">
      <formula>NOT(ISERROR(SEARCH("AB",I72)))</formula>
    </cfRule>
    <cfRule type="containsText" dxfId="1657" priority="371" operator="containsText" text="MC">
      <formula>NOT(ISERROR(SEARCH("MC",I72)))</formula>
    </cfRule>
    <cfRule type="containsText" dxfId="1656" priority="369" operator="containsText" text="SUS">
      <formula>NOT(ISERROR(SEARCH("SUS",I72)))</formula>
    </cfRule>
    <cfRule type="containsText" dxfId="1655" priority="370" operator="containsText" text="FL">
      <formula>NOT(ISERROR(SEARCH("FL",I72)))</formula>
    </cfRule>
    <cfRule type="containsText" dxfId="1654" priority="368" operator="containsText" text="AB">
      <formula>NOT(ISERROR(SEARCH("AB",I72)))</formula>
    </cfRule>
  </conditionalFormatting>
  <conditionalFormatting sqref="I74:J76">
    <cfRule type="containsText" dxfId="1653" priority="365" operator="containsText" text="OFF">
      <formula>NOT(ISERROR(SEARCH("OFF",I74)))</formula>
    </cfRule>
    <cfRule type="containsText" dxfId="1652" priority="366" operator="containsText" text="AL">
      <formula>NOT(ISERROR(SEARCH("AL",I74)))</formula>
    </cfRule>
    <cfRule type="containsText" dxfId="1651" priority="360" operator="containsText" text="SUS">
      <formula>NOT(ISERROR(SEARCH("SUS",I74)))</formula>
    </cfRule>
    <cfRule type="containsText" dxfId="1650" priority="358" operator="containsText" text="EL">
      <formula>NOT(ISERROR(SEARCH("EL",I74)))</formula>
    </cfRule>
    <cfRule type="containsText" dxfId="1649" priority="359" operator="containsText" text="AB">
      <formula>NOT(ISERROR(SEARCH("AB",I74)))</formula>
    </cfRule>
    <cfRule type="containsText" dxfId="1648" priority="361" operator="containsText" text="FL">
      <formula>NOT(ISERROR(SEARCH("FL",I74)))</formula>
    </cfRule>
    <cfRule type="containsText" dxfId="1647" priority="362" operator="containsText" text="MC">
      <formula>NOT(ISERROR(SEARCH("MC",I74)))</formula>
    </cfRule>
    <cfRule type="containsText" dxfId="1646" priority="363" operator="containsText" text="AB">
      <formula>NOT(ISERROR(SEARCH("AB",I74)))</formula>
    </cfRule>
    <cfRule type="containsText" dxfId="1645" priority="364" operator="containsText" text="Sick">
      <formula>NOT(ISERROR(SEARCH("Sick",I74)))</formula>
    </cfRule>
  </conditionalFormatting>
  <conditionalFormatting sqref="I84:J84">
    <cfRule type="containsText" dxfId="1644" priority="350" operator="containsText" text="AB">
      <formula>NOT(ISERROR(SEARCH("AB",I84)))</formula>
    </cfRule>
    <cfRule type="containsText" dxfId="1643" priority="349" operator="containsText" text="EL">
      <formula>NOT(ISERROR(SEARCH("EL",I84)))</formula>
    </cfRule>
    <cfRule type="containsText" dxfId="1642" priority="352" operator="containsText" text="FL">
      <formula>NOT(ISERROR(SEARCH("FL",I84)))</formula>
    </cfRule>
    <cfRule type="containsText" dxfId="1641" priority="353" operator="containsText" text="MC">
      <formula>NOT(ISERROR(SEARCH("MC",I84)))</formula>
    </cfRule>
    <cfRule type="containsText" dxfId="1640" priority="354" operator="containsText" text="AB">
      <formula>NOT(ISERROR(SEARCH("AB",I84)))</formula>
    </cfRule>
    <cfRule type="containsText" dxfId="1639" priority="355" operator="containsText" text="Sick">
      <formula>NOT(ISERROR(SEARCH("Sick",I84)))</formula>
    </cfRule>
    <cfRule type="containsText" dxfId="1638" priority="356" operator="containsText" text="OFF">
      <formula>NOT(ISERROR(SEARCH("OFF",I84)))</formula>
    </cfRule>
    <cfRule type="containsText" dxfId="1637" priority="357" operator="containsText" text="AL">
      <formula>NOT(ISERROR(SEARCH("AL",I84)))</formula>
    </cfRule>
    <cfRule type="containsText" dxfId="1636" priority="351" operator="containsText" text="SUS">
      <formula>NOT(ISERROR(SEARCH("SUS",I84)))</formula>
    </cfRule>
  </conditionalFormatting>
  <conditionalFormatting sqref="I87:J87">
    <cfRule type="containsText" dxfId="1635" priority="347" operator="containsText" text="OFF">
      <formula>NOT(ISERROR(SEARCH("OFF",I87)))</formula>
    </cfRule>
    <cfRule type="containsText" dxfId="1634" priority="340" operator="containsText" text="EL">
      <formula>NOT(ISERROR(SEARCH("EL",I87)))</formula>
    </cfRule>
    <cfRule type="containsText" dxfId="1633" priority="348" operator="containsText" text="AL">
      <formula>NOT(ISERROR(SEARCH("AL",I87)))</formula>
    </cfRule>
    <cfRule type="containsText" dxfId="1632" priority="346" operator="containsText" text="Sick">
      <formula>NOT(ISERROR(SEARCH("Sick",I87)))</formula>
    </cfRule>
    <cfRule type="containsText" dxfId="1631" priority="341" operator="containsText" text="AB">
      <formula>NOT(ISERROR(SEARCH("AB",I87)))</formula>
    </cfRule>
    <cfRule type="containsText" dxfId="1630" priority="342" operator="containsText" text="SUS">
      <formula>NOT(ISERROR(SEARCH("SUS",I87)))</formula>
    </cfRule>
    <cfRule type="containsText" dxfId="1629" priority="343" operator="containsText" text="FL">
      <formula>NOT(ISERROR(SEARCH("FL",I87)))</formula>
    </cfRule>
    <cfRule type="containsText" dxfId="1628" priority="344" operator="containsText" text="MC">
      <formula>NOT(ISERROR(SEARCH("MC",I87)))</formula>
    </cfRule>
    <cfRule type="containsText" dxfId="1627" priority="345" operator="containsText" text="AB">
      <formula>NOT(ISERROR(SEARCH("AB",I87)))</formula>
    </cfRule>
  </conditionalFormatting>
  <conditionalFormatting sqref="I96:J97">
    <cfRule type="containsText" dxfId="1626" priority="338" operator="containsText" text="OFF">
      <formula>NOT(ISERROR(SEARCH("OFF",I96)))</formula>
    </cfRule>
    <cfRule type="containsText" dxfId="1625" priority="337" operator="containsText" text="Sick">
      <formula>NOT(ISERROR(SEARCH("Sick",I96)))</formula>
    </cfRule>
    <cfRule type="containsText" dxfId="1624" priority="336" operator="containsText" text="AB">
      <formula>NOT(ISERROR(SEARCH("AB",I96)))</formula>
    </cfRule>
    <cfRule type="containsText" dxfId="1623" priority="335" operator="containsText" text="MC">
      <formula>NOT(ISERROR(SEARCH("MC",I96)))</formula>
    </cfRule>
    <cfRule type="containsText" dxfId="1622" priority="334" operator="containsText" text="FL">
      <formula>NOT(ISERROR(SEARCH("FL",I96)))</formula>
    </cfRule>
    <cfRule type="containsText" dxfId="1621" priority="333" operator="containsText" text="SUS">
      <formula>NOT(ISERROR(SEARCH("SUS",I96)))</formula>
    </cfRule>
    <cfRule type="containsText" dxfId="1620" priority="332" operator="containsText" text="AB">
      <formula>NOT(ISERROR(SEARCH("AB",I96)))</formula>
    </cfRule>
    <cfRule type="containsText" dxfId="1619" priority="331" operator="containsText" text="EL">
      <formula>NOT(ISERROR(SEARCH("EL",I96)))</formula>
    </cfRule>
    <cfRule type="containsText" dxfId="1618" priority="339" operator="containsText" text="AL">
      <formula>NOT(ISERROR(SEARCH("AL",I96)))</formula>
    </cfRule>
  </conditionalFormatting>
  <conditionalFormatting sqref="I100:J102">
    <cfRule type="containsText" dxfId="1617" priority="327" operator="containsText" text="AB">
      <formula>NOT(ISERROR(SEARCH("AB",I100)))</formula>
    </cfRule>
    <cfRule type="containsText" dxfId="1616" priority="326" operator="containsText" text="MC">
      <formula>NOT(ISERROR(SEARCH("MC",I100)))</formula>
    </cfRule>
    <cfRule type="containsText" dxfId="1615" priority="325" operator="containsText" text="FL">
      <formula>NOT(ISERROR(SEARCH("FL",I100)))</formula>
    </cfRule>
    <cfRule type="containsText" dxfId="1614" priority="323" operator="containsText" text="AB">
      <formula>NOT(ISERROR(SEARCH("AB",I100)))</formula>
    </cfRule>
    <cfRule type="containsText" dxfId="1613" priority="322" operator="containsText" text="EL">
      <formula>NOT(ISERROR(SEARCH("EL",I100)))</formula>
    </cfRule>
    <cfRule type="containsText" dxfId="1612" priority="328" operator="containsText" text="Sick">
      <formula>NOT(ISERROR(SEARCH("Sick",I100)))</formula>
    </cfRule>
    <cfRule type="containsText" dxfId="1611" priority="329" operator="containsText" text="OFF">
      <formula>NOT(ISERROR(SEARCH("OFF",I100)))</formula>
    </cfRule>
    <cfRule type="containsText" dxfId="1610" priority="330" operator="containsText" text="AL">
      <formula>NOT(ISERROR(SEARCH("AL",I100)))</formula>
    </cfRule>
    <cfRule type="containsText" dxfId="1609" priority="324" operator="containsText" text="SUS">
      <formula>NOT(ISERROR(SEARCH("SUS",I100)))</formula>
    </cfRule>
  </conditionalFormatting>
  <conditionalFormatting sqref="I105:J105">
    <cfRule type="containsText" dxfId="1608" priority="321" operator="containsText" text="AL">
      <formula>NOT(ISERROR(SEARCH("AL",I105)))</formula>
    </cfRule>
    <cfRule type="containsText" dxfId="1607" priority="320" operator="containsText" text="OFF">
      <formula>NOT(ISERROR(SEARCH("OFF",I105)))</formula>
    </cfRule>
    <cfRule type="containsText" dxfId="1606" priority="319" operator="containsText" text="Sick">
      <formula>NOT(ISERROR(SEARCH("Sick",I105)))</formula>
    </cfRule>
    <cfRule type="containsText" dxfId="1605" priority="313" operator="containsText" text="EL">
      <formula>NOT(ISERROR(SEARCH("EL",I105)))</formula>
    </cfRule>
    <cfRule type="containsText" dxfId="1604" priority="314" operator="containsText" text="AB">
      <formula>NOT(ISERROR(SEARCH("AB",I105)))</formula>
    </cfRule>
    <cfRule type="containsText" dxfId="1603" priority="315" operator="containsText" text="SUS">
      <formula>NOT(ISERROR(SEARCH("SUS",I105)))</formula>
    </cfRule>
    <cfRule type="containsText" dxfId="1602" priority="316" operator="containsText" text="FL">
      <formula>NOT(ISERROR(SEARCH("FL",I105)))</formula>
    </cfRule>
    <cfRule type="containsText" dxfId="1601" priority="317" operator="containsText" text="MC">
      <formula>NOT(ISERROR(SEARCH("MC",I105)))</formula>
    </cfRule>
    <cfRule type="containsText" dxfId="1600" priority="318" operator="containsText" text="AB">
      <formula>NOT(ISERROR(SEARCH("AB",I105)))</formula>
    </cfRule>
  </conditionalFormatting>
  <conditionalFormatting sqref="L30:AA33">
    <cfRule type="containsText" priority="1616" stopIfTrue="1" operator="containsText" text="SP">
      <formula>NOT(ISERROR(SEARCH("SP",L30)))</formula>
    </cfRule>
    <cfRule type="containsText" dxfId="1599" priority="1613" stopIfTrue="1" operator="containsText" text="AB">
      <formula>NOT(ISERROR(SEARCH("AB",L30)))</formula>
    </cfRule>
    <cfRule type="containsText" dxfId="1598" priority="1614" stopIfTrue="1" operator="containsText" text="SICK">
      <formula>NOT(ISERROR(SEARCH("SICK",L30)))</formula>
    </cfRule>
    <cfRule type="containsText" dxfId="1597" priority="1615" stopIfTrue="1" operator="containsText" text="SP">
      <formula>NOT(ISERROR(SEARCH("SP",L30)))</formula>
    </cfRule>
    <cfRule type="containsText" dxfId="1596" priority="1617" stopIfTrue="1" operator="containsText" text="SICK">
      <formula>NOT(ISERROR(SEARCH("SICK",L30)))</formula>
    </cfRule>
  </conditionalFormatting>
  <conditionalFormatting sqref="M79:N79">
    <cfRule type="containsText" dxfId="1595" priority="304" operator="containsText" text="NL">
      <formula>NOT(ISERROR(SEARCH("NL",M79)))</formula>
    </cfRule>
    <cfRule type="containsText" dxfId="1594" priority="311" operator="containsText" text="SICK">
      <formula>NOT(ISERROR(SEARCH("SICK",M79)))</formula>
    </cfRule>
    <cfRule type="containsText" dxfId="1593" priority="305" operator="containsText" text="SUS">
      <formula>NOT(ISERROR(SEARCH("SUS",M79)))</formula>
    </cfRule>
    <cfRule type="containsText" dxfId="1592" priority="306" operator="containsText" text="FL">
      <formula>NOT(ISERROR(SEARCH("FL",M79)))</formula>
    </cfRule>
    <cfRule type="containsText" dxfId="1591" priority="310" operator="containsText" text="AB">
      <formula>NOT(ISERROR(SEARCH("AB",M79)))</formula>
    </cfRule>
    <cfRule type="containsText" dxfId="1590" priority="309" operator="containsText" text="OFF">
      <formula>NOT(ISERROR(SEARCH("OFF",M79)))</formula>
    </cfRule>
    <cfRule type="containsText" dxfId="1589" priority="308" operator="containsText" text="MC">
      <formula>NOT(ISERROR(SEARCH("MC",M79)))</formula>
    </cfRule>
    <cfRule type="containsText" dxfId="1588" priority="307" operator="containsText" text="EL">
      <formula>NOT(ISERROR(SEARCH("EL",M79)))</formula>
    </cfRule>
    <cfRule type="containsText" dxfId="1587" priority="312" operator="containsText" text="AL">
      <formula>NOT(ISERROR(SEARCH("AL",M79)))</formula>
    </cfRule>
    <cfRule type="containsText" dxfId="1586" priority="303" operator="containsText" text="SP">
      <formula>NOT(ISERROR(SEARCH("SP",M79)))</formula>
    </cfRule>
  </conditionalFormatting>
  <conditionalFormatting sqref="P118:AE121 AA128:AA129">
    <cfRule type="containsText" dxfId="1585" priority="7544" stopIfTrue="1" operator="containsText" text="SICK">
      <formula>NOT(ISERROR(SEARCH("SICK",P118)))</formula>
    </cfRule>
    <cfRule type="containsText" dxfId="1584" priority="7540" stopIfTrue="1" operator="containsText" text="AB">
      <formula>NOT(ISERROR(SEARCH("AB",P118)))</formula>
    </cfRule>
    <cfRule type="containsText" dxfId="1583" priority="7541" stopIfTrue="1" operator="containsText" text="SICK">
      <formula>NOT(ISERROR(SEARCH("SICK",P118)))</formula>
    </cfRule>
    <cfRule type="containsText" dxfId="1582" priority="7542" stopIfTrue="1" operator="containsText" text="SP">
      <formula>NOT(ISERROR(SEARCH("SP",P118)))</formula>
    </cfRule>
    <cfRule type="containsText" priority="7543" stopIfTrue="1" operator="containsText" text="SP">
      <formula>NOT(ISERROR(SEARCH("SP",P118)))</formula>
    </cfRule>
  </conditionalFormatting>
  <conditionalFormatting sqref="U18:V18">
    <cfRule type="containsText" dxfId="1581" priority="239" operator="containsText" text="SP">
      <formula>NOT(ISERROR(SEARCH("SP",U18)))</formula>
    </cfRule>
    <cfRule type="containsText" dxfId="1580" priority="241" operator="containsText" text="SUS">
      <formula>NOT(ISERROR(SEARCH("SUS",U18)))</formula>
    </cfRule>
    <cfRule type="containsText" dxfId="1579" priority="240" operator="containsText" text="NL">
      <formula>NOT(ISERROR(SEARCH("NL",U18)))</formula>
    </cfRule>
    <cfRule type="containsText" dxfId="1578" priority="242" operator="containsText" text="FL">
      <formula>NOT(ISERROR(SEARCH("FL",U18)))</formula>
    </cfRule>
    <cfRule type="containsText" dxfId="1577" priority="245" operator="containsText" text="OFF">
      <formula>NOT(ISERROR(SEARCH("OFF",U18)))</formula>
    </cfRule>
    <cfRule type="containsText" dxfId="1576" priority="244" operator="containsText" text="MC">
      <formula>NOT(ISERROR(SEARCH("MC",U18)))</formula>
    </cfRule>
    <cfRule type="containsText" dxfId="1575" priority="247" operator="containsText" text="SICK">
      <formula>NOT(ISERROR(SEARCH("SICK",U18)))</formula>
    </cfRule>
    <cfRule type="containsText" dxfId="1574" priority="248" operator="containsText" text="AL">
      <formula>NOT(ISERROR(SEARCH("AL",U18)))</formula>
    </cfRule>
  </conditionalFormatting>
  <conditionalFormatting sqref="U18:X18 AJ68">
    <cfRule type="containsText" dxfId="1573" priority="246" operator="containsText" text="AB">
      <formula>NOT(ISERROR(SEARCH("AB",U18)))</formula>
    </cfRule>
  </conditionalFormatting>
  <conditionalFormatting sqref="U18:X18 AO54:AT55 AO55:BP55 I51:J53 AG54:AJ55 AW54:BP55 E68:F68 AG68:AJ68 AJ138:AJ139 E143:F143 AG144:AI144">
    <cfRule type="containsText" dxfId="1572" priority="243" operator="containsText" text="EL">
      <formula>NOT(ISERROR(SEARCH("EL",E18)))</formula>
    </cfRule>
  </conditionalFormatting>
  <conditionalFormatting sqref="W9:X20 BE9:BF20 AQ10:AR20 I11:J13 I15:J20 BE48:BF50 AQ55:AR55 AQ58:AR59 BE68:BF68">
    <cfRule type="containsText" dxfId="1571" priority="479" operator="containsText" text="MC">
      <formula>NOT(ISERROR(SEARCH("MC",I9)))</formula>
    </cfRule>
    <cfRule type="containsText" dxfId="1570" priority="481" operator="containsText" text="Sick">
      <formula>NOT(ISERROR(SEARCH("Sick",I9)))</formula>
    </cfRule>
    <cfRule type="containsText" dxfId="1569" priority="477" operator="containsText" text="SUS">
      <formula>NOT(ISERROR(SEARCH("SUS",I9)))</formula>
    </cfRule>
    <cfRule type="containsText" dxfId="1568" priority="482" operator="containsText" text="OFF">
      <formula>NOT(ISERROR(SEARCH("OFF",I9)))</formula>
    </cfRule>
    <cfRule type="containsText" dxfId="1567" priority="478" operator="containsText" text="FL">
      <formula>NOT(ISERROR(SEARCH("FL",I9)))</formula>
    </cfRule>
    <cfRule type="containsText" dxfId="1566" priority="483" operator="containsText" text="AL">
      <formula>NOT(ISERROR(SEARCH("AL",I9)))</formula>
    </cfRule>
  </conditionalFormatting>
  <conditionalFormatting sqref="W9:X20 BE9:BF20 AQ10:AR20 I11:J13 I15:J20 BE48:BF50 AQ58:AR59 BE68:BF68 AQ55:AR55">
    <cfRule type="containsText" dxfId="1565" priority="476" operator="containsText" text="AB">
      <formula>NOT(ISERROR(SEARCH("AB",I9)))</formula>
    </cfRule>
  </conditionalFormatting>
  <conditionalFormatting sqref="W9:X20 BE9:BF22 AQ10:AR20 I11:J13 I15:J20 BE48:BF50 AQ55:AR55 AQ58:AR59 BE68:BF68">
    <cfRule type="containsText" dxfId="1564" priority="480" operator="containsText" text="AB">
      <formula>NOT(ISERROR(SEARCH("AB",I9)))</formula>
    </cfRule>
  </conditionalFormatting>
  <conditionalFormatting sqref="W13:X13">
    <cfRule type="containsText" dxfId="1563" priority="254" operator="containsText" text="AB">
      <formula>NOT(ISERROR(SEARCH("AB",W13)))</formula>
    </cfRule>
    <cfRule type="containsText" dxfId="1562" priority="255" operator="containsText" text="Sick">
      <formula>NOT(ISERROR(SEARCH("Sick",W13)))</formula>
    </cfRule>
    <cfRule type="containsText" dxfId="1561" priority="256" operator="containsText" text="OFF">
      <formula>NOT(ISERROR(SEARCH("OFF",W13)))</formula>
    </cfRule>
    <cfRule type="containsText" dxfId="1560" priority="252" operator="containsText" text="FL">
      <formula>NOT(ISERROR(SEARCH("FL",W13)))</formula>
    </cfRule>
    <cfRule type="containsText" dxfId="1559" priority="257" operator="containsText" text="AL">
      <formula>NOT(ISERROR(SEARCH("AL",W13)))</formula>
    </cfRule>
    <cfRule type="containsText" dxfId="1558" priority="249" operator="containsText" text="EL">
      <formula>NOT(ISERROR(SEARCH("EL",W13)))</formula>
    </cfRule>
    <cfRule type="containsText" dxfId="1557" priority="250" operator="containsText" text="AB">
      <formula>NOT(ISERROR(SEARCH("AB",W13)))</formula>
    </cfRule>
    <cfRule type="containsText" dxfId="1556" priority="251" operator="containsText" text="SUS">
      <formula>NOT(ISERROR(SEARCH("SUS",W13)))</formula>
    </cfRule>
    <cfRule type="containsText" dxfId="1555" priority="253" operator="containsText" text="MC">
      <formula>NOT(ISERROR(SEARCH("MC",W13)))</formula>
    </cfRule>
  </conditionalFormatting>
  <conditionalFormatting sqref="W18:X18">
    <cfRule type="containsText" dxfId="1554" priority="296" operator="containsText" text="SUS">
      <formula>NOT(ISERROR(SEARCH("SUS",W18)))</formula>
    </cfRule>
    <cfRule type="containsText" dxfId="1553" priority="298" operator="containsText" text="MC">
      <formula>NOT(ISERROR(SEARCH("MC",W18)))</formula>
    </cfRule>
    <cfRule type="containsText" dxfId="1552" priority="297" operator="containsText" text="FL">
      <formula>NOT(ISERROR(SEARCH("FL",W18)))</formula>
    </cfRule>
    <cfRule type="containsText" dxfId="1551" priority="302" operator="containsText" text="AL">
      <formula>NOT(ISERROR(SEARCH("AL",W18)))</formula>
    </cfRule>
    <cfRule type="containsText" dxfId="1550" priority="300" operator="containsText" text="Sick">
      <formula>NOT(ISERROR(SEARCH("Sick",W18)))</formula>
    </cfRule>
    <cfRule type="containsText" dxfId="1549" priority="299" operator="containsText" text="AB">
      <formula>NOT(ISERROR(SEARCH("AB",W18)))</formula>
    </cfRule>
    <cfRule type="containsText" dxfId="1548" priority="301" operator="containsText" text="OFF">
      <formula>NOT(ISERROR(SEARCH("OFF",W18)))</formula>
    </cfRule>
  </conditionalFormatting>
  <conditionalFormatting sqref="W21:X21">
    <cfRule type="containsText" dxfId="1547" priority="278" operator="containsText" text="SUS">
      <formula>NOT(ISERROR(SEARCH("SUS",W21)))</formula>
    </cfRule>
    <cfRule type="containsText" dxfId="1546" priority="280" operator="containsText" text="MC">
      <formula>NOT(ISERROR(SEARCH("MC",W21)))</formula>
    </cfRule>
    <cfRule type="containsText" dxfId="1545" priority="284" operator="containsText" text="AL">
      <formula>NOT(ISERROR(SEARCH("AL",W21)))</formula>
    </cfRule>
    <cfRule type="containsText" dxfId="1544" priority="282" operator="containsText" text="Sick">
      <formula>NOT(ISERROR(SEARCH("Sick",W21)))</formula>
    </cfRule>
    <cfRule type="containsText" dxfId="1543" priority="277" operator="containsText" text="AB">
      <formula>NOT(ISERROR(SEARCH("AB",W21)))</formula>
    </cfRule>
    <cfRule type="containsText" dxfId="1542" priority="279" operator="containsText" text="FL">
      <formula>NOT(ISERROR(SEARCH("FL",W21)))</formula>
    </cfRule>
    <cfRule type="containsText" dxfId="1541" priority="276" operator="containsText" text="EL">
      <formula>NOT(ISERROR(SEARCH("EL",W21)))</formula>
    </cfRule>
    <cfRule type="containsText" dxfId="1540" priority="283" operator="containsText" text="OFF">
      <formula>NOT(ISERROR(SEARCH("OFF",W21)))</formula>
    </cfRule>
    <cfRule type="containsText" dxfId="1539" priority="281" operator="containsText" text="AB">
      <formula>NOT(ISERROR(SEARCH("AB",W21)))</formula>
    </cfRule>
  </conditionalFormatting>
  <conditionalFormatting sqref="W23:X23">
    <cfRule type="containsText" dxfId="1538" priority="287" operator="containsText" text="SUS">
      <formula>NOT(ISERROR(SEARCH("SUS",W23)))</formula>
    </cfRule>
    <cfRule type="containsText" dxfId="1537" priority="288" operator="containsText" text="FL">
      <formula>NOT(ISERROR(SEARCH("FL",W23)))</formula>
    </cfRule>
    <cfRule type="containsText" dxfId="1536" priority="293" operator="containsText" text="AL">
      <formula>NOT(ISERROR(SEARCH("AL",W23)))</formula>
    </cfRule>
    <cfRule type="containsText" dxfId="1535" priority="290" operator="containsText" text="AB">
      <formula>NOT(ISERROR(SEARCH("AB",W23)))</formula>
    </cfRule>
    <cfRule type="containsText" dxfId="1534" priority="291" operator="containsText" text="Sick">
      <formula>NOT(ISERROR(SEARCH("Sick",W23)))</formula>
    </cfRule>
    <cfRule type="containsText" dxfId="1533" priority="292" operator="containsText" text="OFF">
      <formula>NOT(ISERROR(SEARCH("OFF",W23)))</formula>
    </cfRule>
    <cfRule type="containsText" dxfId="1532" priority="289" operator="containsText" text="MC">
      <formula>NOT(ISERROR(SEARCH("MC",W23)))</formula>
    </cfRule>
  </conditionalFormatting>
  <conditionalFormatting sqref="W42:X43">
    <cfRule type="containsText" dxfId="1531" priority="229" operator="containsText" text="AL">
      <formula>NOT(ISERROR(SEARCH("AL",W42)))</formula>
    </cfRule>
    <cfRule type="containsText" dxfId="1530" priority="221" operator="containsText" text="EL">
      <formula>NOT(ISERROR(SEARCH("EL",W42)))</formula>
    </cfRule>
    <cfRule type="containsText" dxfId="1529" priority="228" operator="containsText" text="OFF">
      <formula>NOT(ISERROR(SEARCH("OFF",W42)))</formula>
    </cfRule>
    <cfRule type="containsText" dxfId="1528" priority="227" operator="containsText" text="Sick">
      <formula>NOT(ISERROR(SEARCH("Sick",W42)))</formula>
    </cfRule>
    <cfRule type="containsText" dxfId="1527" priority="226" operator="containsText" text="AB">
      <formula>NOT(ISERROR(SEARCH("AB",W42)))</formula>
    </cfRule>
    <cfRule type="containsText" dxfId="1526" priority="225" operator="containsText" text="MC">
      <formula>NOT(ISERROR(SEARCH("MC",W42)))</formula>
    </cfRule>
    <cfRule type="containsText" dxfId="1525" priority="224" operator="containsText" text="FL">
      <formula>NOT(ISERROR(SEARCH("FL",W42)))</formula>
    </cfRule>
    <cfRule type="containsText" dxfId="1524" priority="223" operator="containsText" text="SUS">
      <formula>NOT(ISERROR(SEARCH("SUS",W42)))</formula>
    </cfRule>
    <cfRule type="containsText" dxfId="1523" priority="222" operator="containsText" text="AB">
      <formula>NOT(ISERROR(SEARCH("AB",W42)))</formula>
    </cfRule>
  </conditionalFormatting>
  <conditionalFormatting sqref="W46:X46">
    <cfRule type="containsText" dxfId="1522" priority="220" operator="containsText" text="AL">
      <formula>NOT(ISERROR(SEARCH("AL",W46)))</formula>
    </cfRule>
    <cfRule type="containsText" dxfId="1521" priority="219" operator="containsText" text="OFF">
      <formula>NOT(ISERROR(SEARCH("OFF",W46)))</formula>
    </cfRule>
    <cfRule type="containsText" dxfId="1520" priority="212" operator="containsText" text="EL">
      <formula>NOT(ISERROR(SEARCH("EL",W46)))</formula>
    </cfRule>
    <cfRule type="containsText" dxfId="1519" priority="217" operator="containsText" text="AB">
      <formula>NOT(ISERROR(SEARCH("AB",W46)))</formula>
    </cfRule>
    <cfRule type="containsText" dxfId="1518" priority="213" operator="containsText" text="AB">
      <formula>NOT(ISERROR(SEARCH("AB",W46)))</formula>
    </cfRule>
    <cfRule type="containsText" dxfId="1517" priority="214" operator="containsText" text="SUS">
      <formula>NOT(ISERROR(SEARCH("SUS",W46)))</formula>
    </cfRule>
    <cfRule type="containsText" dxfId="1516" priority="215" operator="containsText" text="FL">
      <formula>NOT(ISERROR(SEARCH("FL",W46)))</formula>
    </cfRule>
    <cfRule type="containsText" dxfId="1515" priority="216" operator="containsText" text="MC">
      <formula>NOT(ISERROR(SEARCH("MC",W46)))</formula>
    </cfRule>
    <cfRule type="containsText" dxfId="1514" priority="218" operator="containsText" text="Sick">
      <formula>NOT(ISERROR(SEARCH("Sick",W46)))</formula>
    </cfRule>
  </conditionalFormatting>
  <conditionalFormatting sqref="W56:X56">
    <cfRule type="containsText" dxfId="1513" priority="198" operator="containsText" text="MC">
      <formula>NOT(ISERROR(SEARCH("MC",W56)))</formula>
    </cfRule>
    <cfRule type="containsText" dxfId="1512" priority="196" operator="containsText" text="SUS">
      <formula>NOT(ISERROR(SEARCH("SUS",W56)))</formula>
    </cfRule>
    <cfRule type="containsText" dxfId="1511" priority="194" operator="containsText" text="EL">
      <formula>NOT(ISERROR(SEARCH("EL",W56)))</formula>
    </cfRule>
    <cfRule type="containsText" dxfId="1510" priority="197" operator="containsText" text="FL">
      <formula>NOT(ISERROR(SEARCH("FL",W56)))</formula>
    </cfRule>
    <cfRule type="containsText" dxfId="1509" priority="195" operator="containsText" text="AB">
      <formula>NOT(ISERROR(SEARCH("AB",W56)))</formula>
    </cfRule>
    <cfRule type="containsText" dxfId="1508" priority="202" operator="containsText" text="AL">
      <formula>NOT(ISERROR(SEARCH("AL",W56)))</formula>
    </cfRule>
    <cfRule type="containsText" dxfId="1507" priority="201" operator="containsText" text="OFF">
      <formula>NOT(ISERROR(SEARCH("OFF",W56)))</formula>
    </cfRule>
    <cfRule type="containsText" dxfId="1506" priority="200" operator="containsText" text="Sick">
      <formula>NOT(ISERROR(SEARCH("Sick",W56)))</formula>
    </cfRule>
    <cfRule type="containsText" dxfId="1505" priority="199" operator="containsText" text="AB">
      <formula>NOT(ISERROR(SEARCH("AB",W56)))</formula>
    </cfRule>
  </conditionalFormatting>
  <conditionalFormatting sqref="W60:X61">
    <cfRule type="containsText" dxfId="1504" priority="189" operator="containsText" text="MC">
      <formula>NOT(ISERROR(SEARCH("MC",W60)))</formula>
    </cfRule>
    <cfRule type="containsText" dxfId="1503" priority="188" operator="containsText" text="FL">
      <formula>NOT(ISERROR(SEARCH("FL",W60)))</formula>
    </cfRule>
    <cfRule type="containsText" dxfId="1502" priority="187" operator="containsText" text="SUS">
      <formula>NOT(ISERROR(SEARCH("SUS",W60)))</formula>
    </cfRule>
    <cfRule type="containsText" dxfId="1501" priority="185" operator="containsText" text="EL">
      <formula>NOT(ISERROR(SEARCH("EL",W60)))</formula>
    </cfRule>
    <cfRule type="containsText" dxfId="1500" priority="186" operator="containsText" text="AB">
      <formula>NOT(ISERROR(SEARCH("AB",W60)))</formula>
    </cfRule>
    <cfRule type="containsText" dxfId="1499" priority="190" operator="containsText" text="AB">
      <formula>NOT(ISERROR(SEARCH("AB",W60)))</formula>
    </cfRule>
    <cfRule type="containsText" dxfId="1498" priority="193" operator="containsText" text="AL">
      <formula>NOT(ISERROR(SEARCH("AL",W60)))</formula>
    </cfRule>
    <cfRule type="containsText" dxfId="1497" priority="192" operator="containsText" text="OFF">
      <formula>NOT(ISERROR(SEARCH("OFF",W60)))</formula>
    </cfRule>
    <cfRule type="containsText" dxfId="1496" priority="191" operator="containsText" text="Sick">
      <formula>NOT(ISERROR(SEARCH("Sick",W60)))</formula>
    </cfRule>
  </conditionalFormatting>
  <conditionalFormatting sqref="W63:X63">
    <cfRule type="containsText" dxfId="1495" priority="184" operator="containsText" text="AL">
      <formula>NOT(ISERROR(SEARCH("AL",W63)))</formula>
    </cfRule>
    <cfRule type="containsText" dxfId="1494" priority="179" operator="containsText" text="FL">
      <formula>NOT(ISERROR(SEARCH("FL",W63)))</formula>
    </cfRule>
    <cfRule type="containsText" dxfId="1493" priority="176" operator="containsText" text="EL">
      <formula>NOT(ISERROR(SEARCH("EL",W63)))</formula>
    </cfRule>
    <cfRule type="containsText" dxfId="1492" priority="180" operator="containsText" text="MC">
      <formula>NOT(ISERROR(SEARCH("MC",W63)))</formula>
    </cfRule>
    <cfRule type="containsText" dxfId="1491" priority="181" operator="containsText" text="AB">
      <formula>NOT(ISERROR(SEARCH("AB",W63)))</formula>
    </cfRule>
    <cfRule type="containsText" dxfId="1490" priority="178" operator="containsText" text="SUS">
      <formula>NOT(ISERROR(SEARCH("SUS",W63)))</formula>
    </cfRule>
    <cfRule type="containsText" dxfId="1489" priority="183" operator="containsText" text="OFF">
      <formula>NOT(ISERROR(SEARCH("OFF",W63)))</formula>
    </cfRule>
    <cfRule type="containsText" dxfId="1488" priority="182" operator="containsText" text="Sick">
      <formula>NOT(ISERROR(SEARCH("Sick",W63)))</formula>
    </cfRule>
    <cfRule type="containsText" dxfId="1487" priority="177" operator="containsText" text="AB">
      <formula>NOT(ISERROR(SEARCH("AB",W63)))</formula>
    </cfRule>
  </conditionalFormatting>
  <conditionalFormatting sqref="W65:X66">
    <cfRule type="containsText" dxfId="1486" priority="174" operator="containsText" text="OFF">
      <formula>NOT(ISERROR(SEARCH("OFF",W65)))</formula>
    </cfRule>
    <cfRule type="containsText" dxfId="1485" priority="175" operator="containsText" text="AL">
      <formula>NOT(ISERROR(SEARCH("AL",W65)))</formula>
    </cfRule>
    <cfRule type="containsText" dxfId="1484" priority="173" operator="containsText" text="Sick">
      <formula>NOT(ISERROR(SEARCH("Sick",W65)))</formula>
    </cfRule>
    <cfRule type="containsText" dxfId="1483" priority="167" operator="containsText" text="EL">
      <formula>NOT(ISERROR(SEARCH("EL",W65)))</formula>
    </cfRule>
    <cfRule type="containsText" dxfId="1482" priority="168" operator="containsText" text="AB">
      <formula>NOT(ISERROR(SEARCH("AB",W65)))</formula>
    </cfRule>
    <cfRule type="containsText" dxfId="1481" priority="169" operator="containsText" text="SUS">
      <formula>NOT(ISERROR(SEARCH("SUS",W65)))</formula>
    </cfRule>
    <cfRule type="containsText" dxfId="1480" priority="170" operator="containsText" text="FL">
      <formula>NOT(ISERROR(SEARCH("FL",W65)))</formula>
    </cfRule>
    <cfRule type="containsText" dxfId="1479" priority="171" operator="containsText" text="MC">
      <formula>NOT(ISERROR(SEARCH("MC",W65)))</formula>
    </cfRule>
    <cfRule type="containsText" dxfId="1478" priority="172" operator="containsText" text="AB">
      <formula>NOT(ISERROR(SEARCH("AB",W65)))</formula>
    </cfRule>
  </conditionalFormatting>
  <conditionalFormatting sqref="W71:X71">
    <cfRule type="containsText" dxfId="1477" priority="158" operator="containsText" text="EL">
      <formula>NOT(ISERROR(SEARCH("EL",W71)))</formula>
    </cfRule>
    <cfRule type="containsText" dxfId="1476" priority="159" operator="containsText" text="AB">
      <formula>NOT(ISERROR(SEARCH("AB",W71)))</formula>
    </cfRule>
    <cfRule type="containsText" dxfId="1475" priority="160" operator="containsText" text="SUS">
      <formula>NOT(ISERROR(SEARCH("SUS",W71)))</formula>
    </cfRule>
    <cfRule type="containsText" dxfId="1474" priority="165" operator="containsText" text="OFF">
      <formula>NOT(ISERROR(SEARCH("OFF",W71)))</formula>
    </cfRule>
    <cfRule type="containsText" dxfId="1473" priority="164" operator="containsText" text="Sick">
      <formula>NOT(ISERROR(SEARCH("Sick",W71)))</formula>
    </cfRule>
    <cfRule type="containsText" dxfId="1472" priority="163" operator="containsText" text="AB">
      <formula>NOT(ISERROR(SEARCH("AB",W71)))</formula>
    </cfRule>
    <cfRule type="containsText" dxfId="1471" priority="162" operator="containsText" text="MC">
      <formula>NOT(ISERROR(SEARCH("MC",W71)))</formula>
    </cfRule>
    <cfRule type="containsText" dxfId="1470" priority="161" operator="containsText" text="FL">
      <formula>NOT(ISERROR(SEARCH("FL",W71)))</formula>
    </cfRule>
    <cfRule type="containsText" dxfId="1469" priority="166" operator="containsText" text="AL">
      <formula>NOT(ISERROR(SEARCH("AL",W71)))</formula>
    </cfRule>
  </conditionalFormatting>
  <conditionalFormatting sqref="W77:X79">
    <cfRule type="containsText" dxfId="1468" priority="152" operator="containsText" text="FL">
      <formula>NOT(ISERROR(SEARCH("FL",W77)))</formula>
    </cfRule>
    <cfRule type="containsText" dxfId="1467" priority="151" operator="containsText" text="SUS">
      <formula>NOT(ISERROR(SEARCH("SUS",W77)))</formula>
    </cfRule>
    <cfRule type="containsText" dxfId="1466" priority="150" operator="containsText" text="AB">
      <formula>NOT(ISERROR(SEARCH("AB",W77)))</formula>
    </cfRule>
    <cfRule type="containsText" dxfId="1465" priority="149" operator="containsText" text="EL">
      <formula>NOT(ISERROR(SEARCH("EL",W77)))</formula>
    </cfRule>
    <cfRule type="containsText" dxfId="1464" priority="157" operator="containsText" text="AL">
      <formula>NOT(ISERROR(SEARCH("AL",W77)))</formula>
    </cfRule>
    <cfRule type="containsText" dxfId="1463" priority="155" operator="containsText" text="Sick">
      <formula>NOT(ISERROR(SEARCH("Sick",W77)))</formula>
    </cfRule>
    <cfRule type="containsText" dxfId="1462" priority="153" operator="containsText" text="MC">
      <formula>NOT(ISERROR(SEARCH("MC",W77)))</formula>
    </cfRule>
    <cfRule type="containsText" dxfId="1461" priority="156" operator="containsText" text="OFF">
      <formula>NOT(ISERROR(SEARCH("OFF",W77)))</formula>
    </cfRule>
    <cfRule type="containsText" dxfId="1460" priority="154" operator="containsText" text="AB">
      <formula>NOT(ISERROR(SEARCH("AB",W77)))</formula>
    </cfRule>
  </conditionalFormatting>
  <conditionalFormatting sqref="W81:X83">
    <cfRule type="containsText" dxfId="1459" priority="148" operator="containsText" text="AL">
      <formula>NOT(ISERROR(SEARCH("AL",W81)))</formula>
    </cfRule>
    <cfRule type="containsText" dxfId="1458" priority="147" operator="containsText" text="OFF">
      <formula>NOT(ISERROR(SEARCH("OFF",W81)))</formula>
    </cfRule>
    <cfRule type="containsText" dxfId="1457" priority="146" operator="containsText" text="Sick">
      <formula>NOT(ISERROR(SEARCH("Sick",W81)))</formula>
    </cfRule>
    <cfRule type="containsText" dxfId="1456" priority="144" operator="containsText" text="MC">
      <formula>NOT(ISERROR(SEARCH("MC",W81)))</formula>
    </cfRule>
    <cfRule type="containsText" dxfId="1455" priority="143" operator="containsText" text="FL">
      <formula>NOT(ISERROR(SEARCH("FL",W81)))</formula>
    </cfRule>
    <cfRule type="containsText" dxfId="1454" priority="142" operator="containsText" text="SUS">
      <formula>NOT(ISERROR(SEARCH("SUS",W81)))</formula>
    </cfRule>
    <cfRule type="containsText" dxfId="1453" priority="141" operator="containsText" text="AB">
      <formula>NOT(ISERROR(SEARCH("AB",W81)))</formula>
    </cfRule>
    <cfRule type="containsText" dxfId="1452" priority="140" operator="containsText" text="EL">
      <formula>NOT(ISERROR(SEARCH("EL",W81)))</formula>
    </cfRule>
    <cfRule type="containsText" dxfId="1451" priority="145" operator="containsText" text="AB">
      <formula>NOT(ISERROR(SEARCH("AB",W81)))</formula>
    </cfRule>
  </conditionalFormatting>
  <conditionalFormatting sqref="W85:X86">
    <cfRule type="containsText" dxfId="1450" priority="139" operator="containsText" text="AL">
      <formula>NOT(ISERROR(SEARCH("AL",W85)))</formula>
    </cfRule>
    <cfRule type="containsText" dxfId="1449" priority="138" operator="containsText" text="OFF">
      <formula>NOT(ISERROR(SEARCH("OFF",W85)))</formula>
    </cfRule>
    <cfRule type="containsText" dxfId="1448" priority="137" operator="containsText" text="Sick">
      <formula>NOT(ISERROR(SEARCH("Sick",W85)))</formula>
    </cfRule>
    <cfRule type="containsText" dxfId="1447" priority="136" operator="containsText" text="AB">
      <formula>NOT(ISERROR(SEARCH("AB",W85)))</formula>
    </cfRule>
    <cfRule type="containsText" dxfId="1446" priority="135" operator="containsText" text="MC">
      <formula>NOT(ISERROR(SEARCH("MC",W85)))</formula>
    </cfRule>
    <cfRule type="containsText" dxfId="1445" priority="131" operator="containsText" text="EL">
      <formula>NOT(ISERROR(SEARCH("EL",W85)))</formula>
    </cfRule>
    <cfRule type="containsText" dxfId="1444" priority="132" operator="containsText" text="AB">
      <formula>NOT(ISERROR(SEARCH("AB",W85)))</formula>
    </cfRule>
    <cfRule type="containsText" dxfId="1443" priority="133" operator="containsText" text="SUS">
      <formula>NOT(ISERROR(SEARCH("SUS",W85)))</formula>
    </cfRule>
    <cfRule type="containsText" dxfId="1442" priority="134" operator="containsText" text="FL">
      <formula>NOT(ISERROR(SEARCH("FL",W85)))</formula>
    </cfRule>
  </conditionalFormatting>
  <conditionalFormatting sqref="W88:X88">
    <cfRule type="containsText" dxfId="1441" priority="122" operator="containsText" text="EL">
      <formula>NOT(ISERROR(SEARCH("EL",W88)))</formula>
    </cfRule>
    <cfRule type="containsText" dxfId="1440" priority="123" operator="containsText" text="AB">
      <formula>NOT(ISERROR(SEARCH("AB",W88)))</formula>
    </cfRule>
    <cfRule type="containsText" dxfId="1439" priority="124" operator="containsText" text="SUS">
      <formula>NOT(ISERROR(SEARCH("SUS",W88)))</formula>
    </cfRule>
    <cfRule type="containsText" dxfId="1438" priority="125" operator="containsText" text="FL">
      <formula>NOT(ISERROR(SEARCH("FL",W88)))</formula>
    </cfRule>
    <cfRule type="containsText" dxfId="1437" priority="126" operator="containsText" text="MC">
      <formula>NOT(ISERROR(SEARCH("MC",W88)))</formula>
    </cfRule>
    <cfRule type="containsText" dxfId="1436" priority="127" operator="containsText" text="AB">
      <formula>NOT(ISERROR(SEARCH("AB",W88)))</formula>
    </cfRule>
    <cfRule type="containsText" dxfId="1435" priority="128" operator="containsText" text="Sick">
      <formula>NOT(ISERROR(SEARCH("Sick",W88)))</formula>
    </cfRule>
    <cfRule type="containsText" dxfId="1434" priority="129" operator="containsText" text="OFF">
      <formula>NOT(ISERROR(SEARCH("OFF",W88)))</formula>
    </cfRule>
    <cfRule type="containsText" dxfId="1433" priority="130" operator="containsText" text="AL">
      <formula>NOT(ISERROR(SEARCH("AL",W88)))</formula>
    </cfRule>
  </conditionalFormatting>
  <conditionalFormatting sqref="W90:X90">
    <cfRule type="containsText" dxfId="1432" priority="120" operator="containsText" text="OFF">
      <formula>NOT(ISERROR(SEARCH("OFF",W90)))</formula>
    </cfRule>
    <cfRule type="containsText" dxfId="1431" priority="119" operator="containsText" text="Sick">
      <formula>NOT(ISERROR(SEARCH("Sick",W90)))</formula>
    </cfRule>
    <cfRule type="containsText" dxfId="1430" priority="118" operator="containsText" text="AB">
      <formula>NOT(ISERROR(SEARCH("AB",W90)))</formula>
    </cfRule>
    <cfRule type="containsText" dxfId="1429" priority="117" operator="containsText" text="MC">
      <formula>NOT(ISERROR(SEARCH("MC",W90)))</formula>
    </cfRule>
    <cfRule type="containsText" dxfId="1428" priority="116" operator="containsText" text="FL">
      <formula>NOT(ISERROR(SEARCH("FL",W90)))</formula>
    </cfRule>
    <cfRule type="containsText" dxfId="1427" priority="115" operator="containsText" text="SUS">
      <formula>NOT(ISERROR(SEARCH("SUS",W90)))</formula>
    </cfRule>
    <cfRule type="containsText" dxfId="1426" priority="114" operator="containsText" text="AB">
      <formula>NOT(ISERROR(SEARCH("AB",W90)))</formula>
    </cfRule>
    <cfRule type="containsText" dxfId="1425" priority="113" operator="containsText" text="EL">
      <formula>NOT(ISERROR(SEARCH("EL",W90)))</formula>
    </cfRule>
    <cfRule type="containsText" dxfId="1424" priority="121" operator="containsText" text="AL">
      <formula>NOT(ISERROR(SEARCH("AL",W90)))</formula>
    </cfRule>
  </conditionalFormatting>
  <conditionalFormatting sqref="W92:X95">
    <cfRule type="containsText" dxfId="1423" priority="106" operator="containsText" text="SUS">
      <formula>NOT(ISERROR(SEARCH("SUS",W92)))</formula>
    </cfRule>
    <cfRule type="containsText" dxfId="1422" priority="105" operator="containsText" text="AB">
      <formula>NOT(ISERROR(SEARCH("AB",W92)))</formula>
    </cfRule>
    <cfRule type="containsText" dxfId="1421" priority="112" operator="containsText" text="AL">
      <formula>NOT(ISERROR(SEARCH("AL",W92)))</formula>
    </cfRule>
    <cfRule type="containsText" dxfId="1420" priority="111" operator="containsText" text="OFF">
      <formula>NOT(ISERROR(SEARCH("OFF",W92)))</formula>
    </cfRule>
    <cfRule type="containsText" dxfId="1419" priority="110" operator="containsText" text="Sick">
      <formula>NOT(ISERROR(SEARCH("Sick",W92)))</formula>
    </cfRule>
    <cfRule type="containsText" dxfId="1418" priority="109" operator="containsText" text="AB">
      <formula>NOT(ISERROR(SEARCH("AB",W92)))</formula>
    </cfRule>
    <cfRule type="containsText" dxfId="1417" priority="108" operator="containsText" text="MC">
      <formula>NOT(ISERROR(SEARCH("MC",W92)))</formula>
    </cfRule>
    <cfRule type="containsText" dxfId="1416" priority="107" operator="containsText" text="FL">
      <formula>NOT(ISERROR(SEARCH("FL",W92)))</formula>
    </cfRule>
    <cfRule type="containsText" dxfId="1415" priority="104" operator="containsText" text="EL">
      <formula>NOT(ISERROR(SEARCH("EL",W92)))</formula>
    </cfRule>
  </conditionalFormatting>
  <conditionalFormatting sqref="W99:X99">
    <cfRule type="containsText" dxfId="1414" priority="97" operator="containsText" text="SUS">
      <formula>NOT(ISERROR(SEARCH("SUS",W99)))</formula>
    </cfRule>
    <cfRule type="containsText" dxfId="1413" priority="96" operator="containsText" text="AB">
      <formula>NOT(ISERROR(SEARCH("AB",W99)))</formula>
    </cfRule>
    <cfRule type="containsText" dxfId="1412" priority="95" operator="containsText" text="EL">
      <formula>NOT(ISERROR(SEARCH("EL",W99)))</formula>
    </cfRule>
    <cfRule type="containsText" dxfId="1411" priority="103" operator="containsText" text="AL">
      <formula>NOT(ISERROR(SEARCH("AL",W99)))</formula>
    </cfRule>
    <cfRule type="containsText" dxfId="1410" priority="102" operator="containsText" text="OFF">
      <formula>NOT(ISERROR(SEARCH("OFF",W99)))</formula>
    </cfRule>
    <cfRule type="containsText" dxfId="1409" priority="101" operator="containsText" text="Sick">
      <formula>NOT(ISERROR(SEARCH("Sick",W99)))</formula>
    </cfRule>
    <cfRule type="containsText" dxfId="1408" priority="100" operator="containsText" text="AB">
      <formula>NOT(ISERROR(SEARCH("AB",W99)))</formula>
    </cfRule>
    <cfRule type="containsText" dxfId="1407" priority="99" operator="containsText" text="MC">
      <formula>NOT(ISERROR(SEARCH("MC",W99)))</formula>
    </cfRule>
    <cfRule type="containsText" dxfId="1406" priority="98" operator="containsText" text="FL">
      <formula>NOT(ISERROR(SEARCH("FL",W99)))</formula>
    </cfRule>
  </conditionalFormatting>
  <conditionalFormatting sqref="W101:X101">
    <cfRule type="containsText" dxfId="1405" priority="94" operator="containsText" text="AL">
      <formula>NOT(ISERROR(SEARCH("AL",W101)))</formula>
    </cfRule>
    <cfRule type="containsText" dxfId="1404" priority="93" operator="containsText" text="OFF">
      <formula>NOT(ISERROR(SEARCH("OFF",W101)))</formula>
    </cfRule>
    <cfRule type="containsText" dxfId="1403" priority="92" operator="containsText" text="Sick">
      <formula>NOT(ISERROR(SEARCH("Sick",W101)))</formula>
    </cfRule>
    <cfRule type="containsText" dxfId="1402" priority="91" operator="containsText" text="AB">
      <formula>NOT(ISERROR(SEARCH("AB",W101)))</formula>
    </cfRule>
    <cfRule type="containsText" dxfId="1401" priority="90" operator="containsText" text="MC">
      <formula>NOT(ISERROR(SEARCH("MC",W101)))</formula>
    </cfRule>
    <cfRule type="containsText" dxfId="1400" priority="89" operator="containsText" text="FL">
      <formula>NOT(ISERROR(SEARCH("FL",W101)))</formula>
    </cfRule>
    <cfRule type="containsText" dxfId="1399" priority="88" operator="containsText" text="SUS">
      <formula>NOT(ISERROR(SEARCH("SUS",W101)))</formula>
    </cfRule>
    <cfRule type="containsText" dxfId="1398" priority="87" operator="containsText" text="AB">
      <formula>NOT(ISERROR(SEARCH("AB",W101)))</formula>
    </cfRule>
    <cfRule type="containsText" dxfId="1397" priority="86" operator="containsText" text="EL">
      <formula>NOT(ISERROR(SEARCH("EL",W101)))</formula>
    </cfRule>
  </conditionalFormatting>
  <conditionalFormatting sqref="W103:X104">
    <cfRule type="containsText" dxfId="1396" priority="79" operator="containsText" text="SUS">
      <formula>NOT(ISERROR(SEARCH("SUS",W103)))</formula>
    </cfRule>
    <cfRule type="containsText" dxfId="1395" priority="78" operator="containsText" text="AB">
      <formula>NOT(ISERROR(SEARCH("AB",W103)))</formula>
    </cfRule>
    <cfRule type="containsText" dxfId="1394" priority="77" operator="containsText" text="EL">
      <formula>NOT(ISERROR(SEARCH("EL",W103)))</formula>
    </cfRule>
    <cfRule type="containsText" dxfId="1393" priority="85" operator="containsText" text="AL">
      <formula>NOT(ISERROR(SEARCH("AL",W103)))</formula>
    </cfRule>
    <cfRule type="containsText" dxfId="1392" priority="84" operator="containsText" text="OFF">
      <formula>NOT(ISERROR(SEARCH("OFF",W103)))</formula>
    </cfRule>
    <cfRule type="containsText" dxfId="1391" priority="83" operator="containsText" text="Sick">
      <formula>NOT(ISERROR(SEARCH("Sick",W103)))</formula>
    </cfRule>
    <cfRule type="containsText" dxfId="1390" priority="82" operator="containsText" text="AB">
      <formula>NOT(ISERROR(SEARCH("AB",W103)))</formula>
    </cfRule>
    <cfRule type="containsText" dxfId="1389" priority="81" operator="containsText" text="MC">
      <formula>NOT(ISERROR(SEARCH("MC",W103)))</formula>
    </cfRule>
    <cfRule type="containsText" dxfId="1388" priority="80" operator="containsText" text="FL">
      <formula>NOT(ISERROR(SEARCH("FL",W103)))</formula>
    </cfRule>
  </conditionalFormatting>
  <conditionalFormatting sqref="W106:X108">
    <cfRule type="containsText" dxfId="1387" priority="76" operator="containsText" text="AL">
      <formula>NOT(ISERROR(SEARCH("AL",W106)))</formula>
    </cfRule>
    <cfRule type="containsText" dxfId="1386" priority="74" operator="containsText" text="Sick">
      <formula>NOT(ISERROR(SEARCH("Sick",W106)))</formula>
    </cfRule>
    <cfRule type="containsText" dxfId="1385" priority="73" operator="containsText" text="AB">
      <formula>NOT(ISERROR(SEARCH("AB",W106)))</formula>
    </cfRule>
    <cfRule type="containsText" dxfId="1384" priority="72" operator="containsText" text="MC">
      <formula>NOT(ISERROR(SEARCH("MC",W106)))</formula>
    </cfRule>
    <cfRule type="containsText" dxfId="1383" priority="71" operator="containsText" text="FL">
      <formula>NOT(ISERROR(SEARCH("FL",W106)))</formula>
    </cfRule>
    <cfRule type="containsText" dxfId="1382" priority="75" operator="containsText" text="OFF">
      <formula>NOT(ISERROR(SEARCH("OFF",W106)))</formula>
    </cfRule>
    <cfRule type="containsText" dxfId="1381" priority="69" operator="containsText" text="AB">
      <formula>NOT(ISERROR(SEARCH("AB",W106)))</formula>
    </cfRule>
    <cfRule type="containsText" dxfId="1380" priority="68" operator="containsText" text="EL">
      <formula>NOT(ISERROR(SEARCH("EL",W106)))</formula>
    </cfRule>
    <cfRule type="containsText" dxfId="1379" priority="70" operator="containsText" text="SUS">
      <formula>NOT(ISERROR(SEARCH("SUS",W106)))</formula>
    </cfRule>
  </conditionalFormatting>
  <conditionalFormatting sqref="W23:AD23">
    <cfRule type="containsText" dxfId="1378" priority="230" operator="containsText" text="EL">
      <formula>NOT(ISERROR(SEARCH("EL",W23)))</formula>
    </cfRule>
    <cfRule type="containsText" dxfId="1377" priority="235" operator="containsText" text="AB">
      <formula>NOT(ISERROR(SEARCH("AB",W23)))</formula>
    </cfRule>
  </conditionalFormatting>
  <conditionalFormatting sqref="Y23:AD23">
    <cfRule type="containsText" dxfId="1376" priority="231" operator="containsText" text="AB">
      <formula>NOT(ISERROR(SEARCH("AB",Y23)))</formula>
    </cfRule>
    <cfRule type="containsText" dxfId="1375" priority="233" operator="containsText" text="FL">
      <formula>NOT(ISERROR(SEARCH("FL",Y23)))</formula>
    </cfRule>
    <cfRule type="containsText" dxfId="1374" priority="238" operator="containsText" text="AL">
      <formula>NOT(ISERROR(SEARCH("AL",Y23)))</formula>
    </cfRule>
    <cfRule type="containsText" dxfId="1373" priority="237" operator="containsText" text="OFF">
      <formula>NOT(ISERROR(SEARCH("OFF",Y23)))</formula>
    </cfRule>
    <cfRule type="containsText" dxfId="1372" priority="236" operator="containsText" text="Sick">
      <formula>NOT(ISERROR(SEARCH("Sick",Y23)))</formula>
    </cfRule>
    <cfRule type="containsText" dxfId="1371" priority="234" operator="containsText" text="MC">
      <formula>NOT(ISERROR(SEARCH("MC",Y23)))</formula>
    </cfRule>
    <cfRule type="containsText" dxfId="1370" priority="232" operator="containsText" text="SUS">
      <formula>NOT(ISERROR(SEARCH("SUS",Y23)))</formula>
    </cfRule>
  </conditionalFormatting>
  <conditionalFormatting sqref="Y15:AI20">
    <cfRule type="containsText" dxfId="1369" priority="3508" operator="containsText" text="EL">
      <formula>NOT(ISERROR(SEARCH("EL",Y15)))</formula>
    </cfRule>
    <cfRule type="containsText" dxfId="1368" priority="3513" operator="containsText" text="FL">
      <formula>NOT(ISERROR(SEARCH("FL",Y15)))</formula>
    </cfRule>
    <cfRule type="containsText" dxfId="1367" priority="3510" operator="containsText" text="SUS">
      <formula>NOT(ISERROR(SEARCH("SUS",Y15)))</formula>
    </cfRule>
    <cfRule type="containsText" dxfId="1366" priority="3509" operator="containsText" text="AB">
      <formula>NOT(ISERROR(SEARCH("AB",Y15)))</formula>
    </cfRule>
  </conditionalFormatting>
  <conditionalFormatting sqref="Y15:BP20 AJ54:AJ55 E68:F68 AJ139 AJ145">
    <cfRule type="containsText" dxfId="1365" priority="3518" operator="containsText" text="AL">
      <formula>NOT(ISERROR(SEARCH("AL",E15)))</formula>
    </cfRule>
    <cfRule type="containsText" dxfId="1364" priority="3517" operator="containsText" text="OFF">
      <formula>NOT(ISERROR(SEARCH("OFF",E15)))</formula>
    </cfRule>
  </conditionalFormatting>
  <conditionalFormatting sqref="AA81:AB81">
    <cfRule type="containsText" dxfId="1363" priority="23" operator="containsText" text="SUS">
      <formula>NOT(ISERROR(SEARCH("SUS",AA81)))</formula>
    </cfRule>
    <cfRule type="containsText" dxfId="1362" priority="24" operator="containsText" text="FL">
      <formula>NOT(ISERROR(SEARCH("FL",AA81)))</formula>
    </cfRule>
    <cfRule type="containsText" dxfId="1361" priority="22" operator="containsText" text="NL">
      <formula>NOT(ISERROR(SEARCH("NL",AA81)))</formula>
    </cfRule>
    <cfRule type="containsText" dxfId="1360" priority="25" operator="containsText" text="EL">
      <formula>NOT(ISERROR(SEARCH("EL",AA81)))</formula>
    </cfRule>
    <cfRule type="containsText" dxfId="1359" priority="30" operator="containsText" text="AL">
      <formula>NOT(ISERROR(SEARCH("AL",AA81)))</formula>
    </cfRule>
    <cfRule type="containsText" dxfId="1358" priority="28" operator="containsText" text="AB">
      <formula>NOT(ISERROR(SEARCH("AB",AA81)))</formula>
    </cfRule>
    <cfRule type="containsText" dxfId="1357" priority="29" operator="containsText" text="SICK">
      <formula>NOT(ISERROR(SEARCH("SICK",AA81)))</formula>
    </cfRule>
    <cfRule type="containsText" dxfId="1356" priority="21" operator="containsText" text="SP">
      <formula>NOT(ISERROR(SEARCH("SP",AA81)))</formula>
    </cfRule>
    <cfRule type="containsText" dxfId="1355" priority="27" operator="containsText" text="OFF">
      <formula>NOT(ISERROR(SEARCH("OFF",AA81)))</formula>
    </cfRule>
    <cfRule type="containsText" dxfId="1354" priority="26" operator="containsText" text="MC">
      <formula>NOT(ISERROR(SEARCH("MC",AA81)))</formula>
    </cfRule>
  </conditionalFormatting>
  <conditionalFormatting sqref="AA144:AB144 AJ5:AJ27 AJ138 AQ142:AR142">
    <cfRule type="containsText" dxfId="1353" priority="1238" operator="containsText" text="SUS">
      <formula>NOT(ISERROR(SEARCH("SUS",AA5)))</formula>
    </cfRule>
    <cfRule type="containsText" dxfId="1352" priority="1239" operator="containsText" text="FL">
      <formula>NOT(ISERROR(SEARCH("FL",AA5)))</formula>
    </cfRule>
  </conditionalFormatting>
  <conditionalFormatting sqref="AA144:AB144">
    <cfRule type="containsText" dxfId="1351" priority="1236" operator="containsText" text="EL">
      <formula>NOT(ISERROR(SEARCH("EL",AA144)))</formula>
    </cfRule>
    <cfRule type="containsText" dxfId="1350" priority="1237" operator="containsText" text="AB">
      <formula>NOT(ISERROR(SEARCH("AB",AA144)))</formula>
    </cfRule>
  </conditionalFormatting>
  <conditionalFormatting sqref="AC101:AD101 AG101:AH101">
    <cfRule type="containsText" dxfId="1349" priority="38" operator="containsText" text="AB">
      <formula>NOT(ISERROR(SEARCH("AB",AC101)))</formula>
    </cfRule>
    <cfRule type="containsText" dxfId="1348" priority="35" operator="containsText" text="EL">
      <formula>NOT(ISERROR(SEARCH("EL",AC101)))</formula>
    </cfRule>
    <cfRule type="containsText" dxfId="1347" priority="40" operator="containsText" text="AL">
      <formula>NOT(ISERROR(SEARCH("AL",AC101)))</formula>
    </cfRule>
    <cfRule type="containsText" dxfId="1346" priority="37" operator="containsText" text="OFF">
      <formula>NOT(ISERROR(SEARCH("OFF",AC101)))</formula>
    </cfRule>
    <cfRule type="containsText" dxfId="1345" priority="34" operator="containsText" text="FL">
      <formula>NOT(ISERROR(SEARCH("FL",AC101)))</formula>
    </cfRule>
    <cfRule type="containsText" dxfId="1344" priority="33" operator="containsText" text="SUS">
      <formula>NOT(ISERROR(SEARCH("SUS",AC101)))</formula>
    </cfRule>
    <cfRule type="containsText" dxfId="1343" priority="36" operator="containsText" text="MC">
      <formula>NOT(ISERROR(SEARCH("MC",AC101)))</formula>
    </cfRule>
    <cfRule type="containsText" dxfId="1342" priority="39" operator="containsText" text="SICK">
      <formula>NOT(ISERROR(SEARCH("SICK",AC101)))</formula>
    </cfRule>
    <cfRule type="containsText" dxfId="1341" priority="31" operator="containsText" text="SP">
      <formula>NOT(ISERROR(SEARCH("SP",AC101)))</formula>
    </cfRule>
    <cfRule type="containsText" dxfId="1340" priority="32" operator="containsText" text="NL">
      <formula>NOT(ISERROR(SEARCH("NL",AC101)))</formula>
    </cfRule>
  </conditionalFormatting>
  <conditionalFormatting sqref="AG46:AH46">
    <cfRule type="containsText" dxfId="1339" priority="12" operator="containsText" text="NL">
      <formula>NOT(ISERROR(SEARCH("NL",AG46)))</formula>
    </cfRule>
    <cfRule type="containsText" dxfId="1338" priority="20" operator="containsText" text="AL">
      <formula>NOT(ISERROR(SEARCH("AL",AG46)))</formula>
    </cfRule>
    <cfRule type="containsText" dxfId="1337" priority="15" operator="containsText" text="EL">
      <formula>NOT(ISERROR(SEARCH("EL",AG46)))</formula>
    </cfRule>
    <cfRule type="containsText" dxfId="1336" priority="19" operator="containsText" text="SICK">
      <formula>NOT(ISERROR(SEARCH("SICK",AG46)))</formula>
    </cfRule>
    <cfRule type="containsText" dxfId="1335" priority="18" operator="containsText" text="AB">
      <formula>NOT(ISERROR(SEARCH("AB",AG46)))</formula>
    </cfRule>
    <cfRule type="containsText" dxfId="1334" priority="17" operator="containsText" text="OFF">
      <formula>NOT(ISERROR(SEARCH("OFF",AG46)))</formula>
    </cfRule>
    <cfRule type="containsText" dxfId="1333" priority="16" operator="containsText" text="MC">
      <formula>NOT(ISERROR(SEARCH("MC",AG46)))</formula>
    </cfRule>
    <cfRule type="containsText" dxfId="1332" priority="11" operator="containsText" text="SP">
      <formula>NOT(ISERROR(SEARCH("SP",AG46)))</formula>
    </cfRule>
    <cfRule type="containsText" dxfId="1331" priority="14" operator="containsText" text="FL">
      <formula>NOT(ISERROR(SEARCH("FL",AG46)))</formula>
    </cfRule>
    <cfRule type="containsText" dxfId="1330" priority="13" operator="containsText" text="SUS">
      <formula>NOT(ISERROR(SEARCH("SUS",AG46)))</formula>
    </cfRule>
  </conditionalFormatting>
  <conditionalFormatting sqref="AI26 AG144:AI144">
    <cfRule type="containsText" dxfId="1329" priority="985" operator="containsText" text="MC">
      <formula>NOT(ISERROR(SEARCH("MC",AG26)))</formula>
    </cfRule>
    <cfRule type="containsText" dxfId="1328" priority="988" operator="containsText" text="SICK">
      <formula>NOT(ISERROR(SEARCH("SICK",AG26)))</formula>
    </cfRule>
    <cfRule type="containsText" dxfId="1327" priority="989" operator="containsText" text="AL">
      <formula>NOT(ISERROR(SEARCH("AL",AG26)))</formula>
    </cfRule>
    <cfRule type="containsText" dxfId="1326" priority="987" operator="containsText" text="AB">
      <formula>NOT(ISERROR(SEARCH("AB",AG26)))</formula>
    </cfRule>
    <cfRule type="containsText" dxfId="1325" priority="983" operator="containsText" text="FL">
      <formula>NOT(ISERROR(SEARCH("FL",AG26)))</formula>
    </cfRule>
    <cfRule type="containsText" dxfId="1324" priority="982" operator="containsText" text="SUS">
      <formula>NOT(ISERROR(SEARCH("SUS",AG26)))</formula>
    </cfRule>
    <cfRule type="containsText" dxfId="1323" priority="981" operator="containsText" text="NL">
      <formula>NOT(ISERROR(SEARCH("NL",AG26)))</formula>
    </cfRule>
    <cfRule type="containsText" dxfId="1322" priority="986" operator="containsText" text="OFF">
      <formula>NOT(ISERROR(SEARCH("OFF",AG26)))</formula>
    </cfRule>
  </conditionalFormatting>
  <conditionalFormatting sqref="AI26 AJ145">
    <cfRule type="containsText" dxfId="1321" priority="984" operator="containsText" text="EL">
      <formula>NOT(ISERROR(SEARCH("EL",AI26)))</formula>
    </cfRule>
  </conditionalFormatting>
  <conditionalFormatting sqref="AI70 AI57">
    <cfRule type="containsText" dxfId="1320" priority="3257" operator="containsText" text="AB">
      <formula>NOT(ISERROR(SEARCH("AB",AI57)))</formula>
    </cfRule>
  </conditionalFormatting>
  <conditionalFormatting sqref="AI70">
    <cfRule type="containsText" dxfId="1319" priority="744" operator="containsText" text="MC">
      <formula>NOT(ISERROR(SEARCH("MC",AI70)))</formula>
    </cfRule>
    <cfRule type="containsText" dxfId="1318" priority="739" operator="containsText" text="SP">
      <formula>NOT(ISERROR(SEARCH("SP",AI70)))</formula>
    </cfRule>
    <cfRule type="containsText" dxfId="1317" priority="3252" operator="containsText" text="EL">
      <formula>NOT(ISERROR(SEARCH("EL",AI70)))</formula>
    </cfRule>
    <cfRule type="containsText" dxfId="1316" priority="740" operator="containsText" text="NL">
      <formula>NOT(ISERROR(SEARCH("NL",AI70)))</formula>
    </cfRule>
    <cfRule type="containsText" dxfId="1315" priority="741" operator="containsText" text="SUS">
      <formula>NOT(ISERROR(SEARCH("SUS",AI70)))</formula>
    </cfRule>
    <cfRule type="containsText" dxfId="1314" priority="745" operator="containsText" text="OFF">
      <formula>NOT(ISERROR(SEARCH("OFF",AI70)))</formula>
    </cfRule>
    <cfRule type="containsText" dxfId="1313" priority="747" operator="containsText" text="SICK">
      <formula>NOT(ISERROR(SEARCH("SICK",AI70)))</formula>
    </cfRule>
    <cfRule type="containsText" dxfId="1312" priority="748" operator="containsText" text="AL">
      <formula>NOT(ISERROR(SEARCH("AL",AI70)))</formula>
    </cfRule>
    <cfRule type="containsText" dxfId="1311" priority="742" operator="containsText" text="FL">
      <formula>NOT(ISERROR(SEARCH("FL",AI70)))</formula>
    </cfRule>
  </conditionalFormatting>
  <conditionalFormatting sqref="AI57:BH57 AJ54:AT55 AW54:BP55 AO55:BP55 BC68:BP68 AJ139 AO143:BP143 Y15:BP20 AJ68 BK57:BP57 AJ145">
    <cfRule type="containsText" dxfId="1310" priority="3297" operator="containsText" text="SP">
      <formula>NOT(ISERROR(SEARCH("SP",Y15)))</formula>
    </cfRule>
  </conditionalFormatting>
  <conditionalFormatting sqref="AJ5:AJ27 I51:J53 I55:J55 AJ138 BG144">
    <cfRule type="containsText" dxfId="1309" priority="3233" operator="containsText" text="AL">
      <formula>NOT(ISERROR(SEARCH("AL",I5)))</formula>
    </cfRule>
  </conditionalFormatting>
  <conditionalFormatting sqref="AJ5:AJ27 Y15:BP20 E68:F68 AJ138:AJ139 AJ145 AJ54:AJ55">
    <cfRule type="containsText" dxfId="1308" priority="3516" operator="containsText" text="Sick">
      <formula>NOT(ISERROR(SEARCH("Sick",E5)))</formula>
    </cfRule>
  </conditionalFormatting>
  <conditionalFormatting sqref="AJ5:AJ27 Y15:BP20 AJ54:AT55 AW54:BP55 AO55:BP55 AI57:BH57 BK57:BP57 AJ68 BC68:BP68 AJ138:AJ139 AO143:BP143 AJ145">
    <cfRule type="containsText" dxfId="1307" priority="3298" operator="containsText" text="NL">
      <formula>NOT(ISERROR(SEARCH("NL",Y5)))</formula>
    </cfRule>
  </conditionalFormatting>
  <conditionalFormatting sqref="AJ5:AJ27 AJ138 AG144:AI144 AI26">
    <cfRule type="containsText" dxfId="1306" priority="980" operator="containsText" text="SP">
      <formula>NOT(ISERROR(SEARCH("SP",AG5)))</formula>
    </cfRule>
  </conditionalFormatting>
  <conditionalFormatting sqref="AJ20 AJ54:AT55 AW54:BP55 AO55:BP55 AI57:BH57 BK57:BP57 AJ68 BC68:BP68 AJ143 AO143:BP143">
    <cfRule type="containsText" dxfId="1305" priority="3496" operator="containsText" text="AL">
      <formula>NOT(ISERROR(SEARCH("AL",AI20)))</formula>
    </cfRule>
  </conditionalFormatting>
  <conditionalFormatting sqref="AJ20 AJ54:AT55 AW54:BP55 AO55:BP55 AI57:BH57 BK57:BP57 BC68:BP68 AJ143 AO143:BP143 AJ68">
    <cfRule type="containsText" dxfId="1304" priority="3493" operator="containsText" text="OFF">
      <formula>NOT(ISERROR(SEARCH("OFF",AI20)))</formula>
    </cfRule>
  </conditionalFormatting>
  <conditionalFormatting sqref="AJ123:AJ126">
    <cfRule type="containsText" dxfId="1303" priority="13122" stopIfTrue="1" operator="containsText" text="SP">
      <formula>NOT(ISERROR(SEARCH("SP",AJ123)))</formula>
    </cfRule>
    <cfRule type="containsText" priority="13123" stopIfTrue="1" operator="containsText" text="SP">
      <formula>NOT(ISERROR(SEARCH("SP",AJ123)))</formula>
    </cfRule>
    <cfRule type="containsText" dxfId="1302" priority="13160" stopIfTrue="1" operator="containsText" text="AB">
      <formula>NOT(ISERROR(SEARCH("AB",AJ123)))</formula>
    </cfRule>
    <cfRule type="containsText" dxfId="1301" priority="13516" stopIfTrue="1" operator="containsText" text="HD">
      <formula>NOT(ISERROR(SEARCH("HD",AJ123)))</formula>
    </cfRule>
    <cfRule type="containsText" dxfId="1300" priority="13597" stopIfTrue="1" operator="containsText" text="AB">
      <formula>NOT(ISERROR(SEARCH("AB",AJ123)))</formula>
    </cfRule>
    <cfRule type="containsText" dxfId="1299" priority="7558" stopIfTrue="1" operator="containsText" text="SICK">
      <formula>NOT(ISERROR(SEARCH("SICK",AJ123)))</formula>
    </cfRule>
  </conditionalFormatting>
  <conditionalFormatting sqref="AJ143 Y15:BP20 AJ54:AT55 AW54:BP55 AI57:BH57 BK57:BP57 BC68:BP68 AO143:BP143">
    <cfRule type="containsText" dxfId="1298" priority="3492" operator="containsText" text="MC">
      <formula>NOT(ISERROR(SEARCH("MC",Y15)))</formula>
    </cfRule>
  </conditionalFormatting>
  <conditionalFormatting sqref="AJ143 AG54:AJ55 AG68:AJ68 E143:F143 AJ15:BP20 AQ51:AR55 AO55:BP55 AI57:BH57 BK57:BP57 AJ139 AJ145">
    <cfRule type="containsText" dxfId="1297" priority="3489" operator="containsText" text="SUS">
      <formula>NOT(ISERROR(SEARCH("SUS",E15)))</formula>
    </cfRule>
    <cfRule type="containsText" dxfId="1296" priority="3490" operator="containsText" text="FL">
      <formula>NOT(ISERROR(SEARCH("FL",E15)))</formula>
    </cfRule>
  </conditionalFormatting>
  <conditionalFormatting sqref="AJ143 AJ20 AJ54:AT55 AW54:BP55 AO55:BP55 AI57:BH57 BK57:BP57 AJ68 BC68:BP68 AO143:BP143">
    <cfRule type="containsText" dxfId="1295" priority="3495" operator="containsText" text="SICK">
      <formula>NOT(ISERROR(SEARCH("SICK",AI20)))</formula>
    </cfRule>
  </conditionalFormatting>
  <conditionalFormatting sqref="AJ143">
    <cfRule type="containsText" dxfId="1294" priority="3494" operator="containsText" text="AB">
      <formula>NOT(ISERROR(SEARCH("AB",AJ143)))</formula>
    </cfRule>
    <cfRule type="containsText" dxfId="1293" priority="3487" operator="containsText" text="SP">
      <formula>NOT(ISERROR(SEARCH("SP",AJ143)))</formula>
    </cfRule>
    <cfRule type="containsText" dxfId="1292" priority="3488" operator="containsText" text="NL">
      <formula>NOT(ISERROR(SEARCH("NL",AJ143)))</formula>
    </cfRule>
    <cfRule type="containsText" dxfId="1291" priority="3491" operator="containsText" text="EL">
      <formula>NOT(ISERROR(SEARCH("EL",AJ143)))</formula>
    </cfRule>
  </conditionalFormatting>
  <conditionalFormatting sqref="AJ145 E68:F68">
    <cfRule type="containsText" dxfId="1290" priority="3514" operator="containsText" text="MC">
      <formula>NOT(ISERROR(SEARCH("MC",E68)))</formula>
    </cfRule>
  </conditionalFormatting>
  <conditionalFormatting sqref="AJ54:AT55 AJ15:BP20 AI57:BH57 BC68:BP68 BK57:BP57 AO143:BP143">
    <cfRule type="containsText" dxfId="1289" priority="1465" operator="containsText" text="EL">
      <formula>NOT(ISERROR(SEARCH("EL",AI15)))</formula>
    </cfRule>
  </conditionalFormatting>
  <conditionalFormatting sqref="AK70">
    <cfRule type="containsText" dxfId="1288" priority="737" operator="containsText" text="SICK">
      <formula>NOT(ISERROR(SEARCH("SICK",AK70)))</formula>
    </cfRule>
    <cfRule type="containsText" dxfId="1287" priority="735" operator="containsText" text="OFF">
      <formula>NOT(ISERROR(SEARCH("OFF",AK70)))</formula>
    </cfRule>
    <cfRule type="containsText" dxfId="1286" priority="734" operator="containsText" text="MC">
      <formula>NOT(ISERROR(SEARCH("MC",AK70)))</formula>
    </cfRule>
    <cfRule type="containsText" dxfId="1285" priority="733" operator="containsText" text="EL">
      <formula>NOT(ISERROR(SEARCH("EL",AK70)))</formula>
    </cfRule>
    <cfRule type="containsText" dxfId="1284" priority="732" operator="containsText" text="FL">
      <formula>NOT(ISERROR(SEARCH("FL",AK70)))</formula>
    </cfRule>
    <cfRule type="containsText" dxfId="1283" priority="731" operator="containsText" text="SUS">
      <formula>NOT(ISERROR(SEARCH("SUS",AK70)))</formula>
    </cfRule>
    <cfRule type="containsText" dxfId="1282" priority="730" operator="containsText" text="NL">
      <formula>NOT(ISERROR(SEARCH("NL",AK70)))</formula>
    </cfRule>
    <cfRule type="containsText" dxfId="1281" priority="729" operator="containsText" text="SP">
      <formula>NOT(ISERROR(SEARCH("SP",AK70)))</formula>
    </cfRule>
    <cfRule type="containsText" dxfId="1280" priority="738" operator="containsText" text="AL">
      <formula>NOT(ISERROR(SEARCH("AL",AK70)))</formula>
    </cfRule>
    <cfRule type="containsText" dxfId="1279" priority="736" operator="containsText" text="AB">
      <formula>NOT(ISERROR(SEARCH("AB",AK70)))</formula>
    </cfRule>
  </conditionalFormatting>
  <conditionalFormatting sqref="AK84">
    <cfRule type="containsText" dxfId="1278" priority="937" operator="containsText" text="MC">
      <formula>NOT(ISERROR(SEARCH("MC",AK84)))</formula>
    </cfRule>
    <cfRule type="containsText" dxfId="1277" priority="938" operator="containsText" text="OFF">
      <formula>NOT(ISERROR(SEARCH("OFF",AK84)))</formula>
    </cfRule>
    <cfRule type="containsText" dxfId="1276" priority="939" operator="containsText" text="AB">
      <formula>NOT(ISERROR(SEARCH("AB",AK84)))</formula>
    </cfRule>
    <cfRule type="containsText" dxfId="1275" priority="940" operator="containsText" text="SICK">
      <formula>NOT(ISERROR(SEARCH("SICK",AK84)))</formula>
    </cfRule>
    <cfRule type="containsText" dxfId="1274" priority="941" operator="containsText" text="AL">
      <formula>NOT(ISERROR(SEARCH("AL",AK84)))</formula>
    </cfRule>
    <cfRule type="containsText" dxfId="1273" priority="933" operator="containsText" text="NL">
      <formula>NOT(ISERROR(SEARCH("NL",AK84)))</formula>
    </cfRule>
    <cfRule type="containsText" dxfId="1272" priority="932" operator="containsText" text="SP">
      <formula>NOT(ISERROR(SEARCH("SP",AK84)))</formula>
    </cfRule>
    <cfRule type="containsText" dxfId="1271" priority="934" operator="containsText" text="SUS">
      <formula>NOT(ISERROR(SEARCH("SUS",AK84)))</formula>
    </cfRule>
    <cfRule type="containsText" dxfId="1270" priority="935" operator="containsText" text="FL">
      <formula>NOT(ISERROR(SEARCH("FL",AK84)))</formula>
    </cfRule>
    <cfRule type="containsText" dxfId="1269" priority="936" operator="containsText" text="EL">
      <formula>NOT(ISERROR(SEARCH("EL",AK84)))</formula>
    </cfRule>
  </conditionalFormatting>
  <conditionalFormatting sqref="AK96 AM96:AN96">
    <cfRule type="containsText" dxfId="1268" priority="913" operator="containsText" text="EL">
      <formula>NOT(ISERROR(SEARCH("EL",AK96)))</formula>
    </cfRule>
    <cfRule type="containsText" dxfId="1267" priority="914" operator="containsText" text="AB">
      <formula>NOT(ISERROR(SEARCH("AB",AK96)))</formula>
    </cfRule>
    <cfRule type="containsText" dxfId="1266" priority="915" operator="containsText" text="SUS">
      <formula>NOT(ISERROR(SEARCH("SUS",AK96)))</formula>
    </cfRule>
    <cfRule type="containsText" dxfId="1265" priority="916" operator="containsText" text="FL">
      <formula>NOT(ISERROR(SEARCH("FL",AK96)))</formula>
    </cfRule>
    <cfRule type="containsText" dxfId="1264" priority="917" operator="containsText" text="MC">
      <formula>NOT(ISERROR(SEARCH("MC",AK96)))</formula>
    </cfRule>
    <cfRule type="containsText" dxfId="1263" priority="918" operator="containsText" text="AB">
      <formula>NOT(ISERROR(SEARCH("AB",AK96)))</formula>
    </cfRule>
    <cfRule type="containsText" dxfId="1262" priority="919" operator="containsText" text="Sick">
      <formula>NOT(ISERROR(SEARCH("Sick",AK96)))</formula>
    </cfRule>
    <cfRule type="containsText" dxfId="1261" priority="920" operator="containsText" text="OFF">
      <formula>NOT(ISERROR(SEARCH("OFF",AK96)))</formula>
    </cfRule>
    <cfRule type="containsText" dxfId="1260" priority="921" operator="containsText" text="AL">
      <formula>NOT(ISERROR(SEARCH("AL",AK96)))</formula>
    </cfRule>
  </conditionalFormatting>
  <conditionalFormatting sqref="AK26:AT26">
    <cfRule type="containsText" dxfId="1259" priority="978" operator="containsText" text="SICK">
      <formula>NOT(ISERROR(SEARCH("SICK",AK26)))</formula>
    </cfRule>
    <cfRule type="containsText" dxfId="1258" priority="979" operator="containsText" text="AL">
      <formula>NOT(ISERROR(SEARCH("AL",AK26)))</formula>
    </cfRule>
    <cfRule type="containsText" dxfId="1257" priority="971" operator="containsText" text="NL">
      <formula>NOT(ISERROR(SEARCH("NL",AK26)))</formula>
    </cfRule>
    <cfRule type="containsText" dxfId="1256" priority="970" operator="containsText" text="SP">
      <formula>NOT(ISERROR(SEARCH("SP",AK26)))</formula>
    </cfRule>
    <cfRule type="containsText" dxfId="1255" priority="977" operator="containsText" text="AB">
      <formula>NOT(ISERROR(SEARCH("AB",AK26)))</formula>
    </cfRule>
    <cfRule type="containsText" dxfId="1254" priority="976" operator="containsText" text="OFF">
      <formula>NOT(ISERROR(SEARCH("OFF",AK26)))</formula>
    </cfRule>
    <cfRule type="containsText" dxfId="1253" priority="974" operator="containsText" text="EL">
      <formula>NOT(ISERROR(SEARCH("EL",AK26)))</formula>
    </cfRule>
    <cfRule type="containsText" dxfId="1252" priority="973" operator="containsText" text="FL">
      <formula>NOT(ISERROR(SEARCH("FL",AK26)))</formula>
    </cfRule>
    <cfRule type="containsText" dxfId="1251" priority="975" operator="containsText" text="MC">
      <formula>NOT(ISERROR(SEARCH("MC",AK26)))</formula>
    </cfRule>
    <cfRule type="containsText" dxfId="1250" priority="972" operator="containsText" text="SUS">
      <formula>NOT(ISERROR(SEARCH("SUS",AK26)))</formula>
    </cfRule>
  </conditionalFormatting>
  <conditionalFormatting sqref="AM65:AN65">
    <cfRule type="containsText" dxfId="1249" priority="949" operator="containsText" text="AB">
      <formula>NOT(ISERROR(SEARCH("AB",AM65)))</formula>
    </cfRule>
    <cfRule type="containsText" dxfId="1248" priority="948" operator="containsText" text="OFF">
      <formula>NOT(ISERROR(SEARCH("OFF",AM65)))</formula>
    </cfRule>
    <cfRule type="containsText" dxfId="1247" priority="951" operator="containsText" text="AL">
      <formula>NOT(ISERROR(SEARCH("AL",AM65)))</formula>
    </cfRule>
    <cfRule type="containsText" dxfId="1246" priority="950" operator="containsText" text="SICK">
      <formula>NOT(ISERROR(SEARCH("SICK",AM65)))</formula>
    </cfRule>
    <cfRule type="containsText" dxfId="1245" priority="943" operator="containsText" text="NL">
      <formula>NOT(ISERROR(SEARCH("NL",AM65)))</formula>
    </cfRule>
    <cfRule type="containsText" dxfId="1244" priority="942" operator="containsText" text="SP">
      <formula>NOT(ISERROR(SEARCH("SP",AM65)))</formula>
    </cfRule>
    <cfRule type="containsText" dxfId="1243" priority="944" operator="containsText" text="SUS">
      <formula>NOT(ISERROR(SEARCH("SUS",AM65)))</formula>
    </cfRule>
    <cfRule type="containsText" dxfId="1242" priority="945" operator="containsText" text="FL">
      <formula>NOT(ISERROR(SEARCH("FL",AM65)))</formula>
    </cfRule>
    <cfRule type="containsText" dxfId="1241" priority="946" operator="containsText" text="EL">
      <formula>NOT(ISERROR(SEARCH("EL",AM65)))</formula>
    </cfRule>
    <cfRule type="containsText" dxfId="1240" priority="947" operator="containsText" text="MC">
      <formula>NOT(ISERROR(SEARCH("MC",AM65)))</formula>
    </cfRule>
  </conditionalFormatting>
  <conditionalFormatting sqref="AM100:AP100">
    <cfRule type="containsText" dxfId="1239" priority="922" operator="containsText" text="SP">
      <formula>NOT(ISERROR(SEARCH("SP",AM100)))</formula>
    </cfRule>
    <cfRule type="containsText" dxfId="1238" priority="925" operator="containsText" text="FL">
      <formula>NOT(ISERROR(SEARCH("FL",AM100)))</formula>
    </cfRule>
    <cfRule type="containsText" dxfId="1237" priority="926" operator="containsText" text="EL">
      <formula>NOT(ISERROR(SEARCH("EL",AM100)))</formula>
    </cfRule>
    <cfRule type="containsText" dxfId="1236" priority="929" operator="containsText" text="AB">
      <formula>NOT(ISERROR(SEARCH("AB",AM100)))</formula>
    </cfRule>
    <cfRule type="containsText" dxfId="1235" priority="927" operator="containsText" text="MC">
      <formula>NOT(ISERROR(SEARCH("MC",AM100)))</formula>
    </cfRule>
    <cfRule type="containsText" dxfId="1234" priority="928" operator="containsText" text="OFF">
      <formula>NOT(ISERROR(SEARCH("OFF",AM100)))</formula>
    </cfRule>
    <cfRule type="containsText" dxfId="1233" priority="931" operator="containsText" text="AL">
      <formula>NOT(ISERROR(SEARCH("AL",AM100)))</formula>
    </cfRule>
    <cfRule type="containsText" dxfId="1232" priority="930" operator="containsText" text="SICK">
      <formula>NOT(ISERROR(SEARCH("SICK",AM100)))</formula>
    </cfRule>
    <cfRule type="containsText" dxfId="1231" priority="923" operator="containsText" text="NL">
      <formula>NOT(ISERROR(SEARCH("NL",AM100)))</formula>
    </cfRule>
    <cfRule type="containsText" dxfId="1230" priority="924" operator="containsText" text="SUS">
      <formula>NOT(ISERROR(SEARCH("SUS",AM100)))</formula>
    </cfRule>
  </conditionalFormatting>
  <conditionalFormatting sqref="AO92:AP92">
    <cfRule type="containsText" dxfId="1229" priority="912" operator="containsText" text="AL">
      <formula>NOT(ISERROR(SEARCH("AL",AO92)))</formula>
    </cfRule>
    <cfRule type="containsText" dxfId="1228" priority="910" operator="containsText" text="AB">
      <formula>NOT(ISERROR(SEARCH("AB",AO92)))</formula>
    </cfRule>
    <cfRule type="containsText" dxfId="1227" priority="909" operator="containsText" text="OFF">
      <formula>NOT(ISERROR(SEARCH("OFF",AO92)))</formula>
    </cfRule>
    <cfRule type="containsText" dxfId="1226" priority="907" operator="containsText" text="EL">
      <formula>NOT(ISERROR(SEARCH("EL",AO92)))</formula>
    </cfRule>
    <cfRule type="containsText" dxfId="1225" priority="906" operator="containsText" text="FL">
      <formula>NOT(ISERROR(SEARCH("FL",AO92)))</formula>
    </cfRule>
    <cfRule type="containsText" dxfId="1224" priority="905" operator="containsText" text="SUS">
      <formula>NOT(ISERROR(SEARCH("SUS",AO92)))</formula>
    </cfRule>
    <cfRule type="containsText" dxfId="1223" priority="904" operator="containsText" text="NL">
      <formula>NOT(ISERROR(SEARCH("NL",AO92)))</formula>
    </cfRule>
    <cfRule type="containsText" dxfId="1222" priority="903" operator="containsText" text="SP">
      <formula>NOT(ISERROR(SEARCH("SP",AO92)))</formula>
    </cfRule>
    <cfRule type="containsText" dxfId="1221" priority="911" operator="containsText" text="SICK">
      <formula>NOT(ISERROR(SEARCH("SICK",AO92)))</formula>
    </cfRule>
    <cfRule type="containsText" dxfId="1220" priority="908" operator="containsText" text="MC">
      <formula>NOT(ISERROR(SEARCH("MC",AO92)))</formula>
    </cfRule>
  </conditionalFormatting>
  <conditionalFormatting sqref="AQ5:AR5">
    <cfRule type="containsText" dxfId="1219" priority="1049" operator="containsText" text="SUS">
      <formula>NOT(ISERROR(SEARCH("SUS",AQ5)))</formula>
    </cfRule>
    <cfRule type="containsText" dxfId="1218" priority="1047" operator="containsText" text="EL">
      <formula>NOT(ISERROR(SEARCH("EL",AQ5)))</formula>
    </cfRule>
    <cfRule type="containsText" dxfId="1217" priority="1053" operator="containsText" text="Sick">
      <formula>NOT(ISERROR(SEARCH("Sick",AQ5)))</formula>
    </cfRule>
    <cfRule type="containsText" dxfId="1216" priority="1052" operator="containsText" text="AB">
      <formula>NOT(ISERROR(SEARCH("AB",AQ5)))</formula>
    </cfRule>
    <cfRule type="containsText" dxfId="1215" priority="1054" operator="containsText" text="OFF">
      <formula>NOT(ISERROR(SEARCH("OFF",AQ5)))</formula>
    </cfRule>
    <cfRule type="containsText" dxfId="1214" priority="1055" operator="containsText" text="AL">
      <formula>NOT(ISERROR(SEARCH("AL",AQ5)))</formula>
    </cfRule>
    <cfRule type="containsText" dxfId="1213" priority="1048" operator="containsText" text="AB">
      <formula>NOT(ISERROR(SEARCH("AB",AQ5)))</formula>
    </cfRule>
    <cfRule type="containsText" dxfId="1212" priority="1051" operator="containsText" text="MC">
      <formula>NOT(ISERROR(SEARCH("MC",AQ5)))</formula>
    </cfRule>
    <cfRule type="containsText" dxfId="1211" priority="1050" operator="containsText" text="FL">
      <formula>NOT(ISERROR(SEARCH("FL",AQ5)))</formula>
    </cfRule>
  </conditionalFormatting>
  <conditionalFormatting sqref="AQ13:AR13">
    <cfRule type="containsText" dxfId="1210" priority="1012" operator="containsText" text="AB">
      <formula>NOT(ISERROR(SEARCH("AB",AQ13)))</formula>
    </cfRule>
    <cfRule type="containsText" dxfId="1209" priority="1013" operator="containsText" text="SUS">
      <formula>NOT(ISERROR(SEARCH("SUS",AQ13)))</formula>
    </cfRule>
    <cfRule type="containsText" dxfId="1208" priority="1014" operator="containsText" text="FL">
      <formula>NOT(ISERROR(SEARCH("FL",AQ13)))</formula>
    </cfRule>
    <cfRule type="containsText" dxfId="1207" priority="1015" operator="containsText" text="MC">
      <formula>NOT(ISERROR(SEARCH("MC",AQ13)))</formula>
    </cfRule>
    <cfRule type="containsText" dxfId="1206" priority="1016" operator="containsText" text="AB">
      <formula>NOT(ISERROR(SEARCH("AB",AQ13)))</formula>
    </cfRule>
    <cfRule type="containsText" dxfId="1205" priority="1017" operator="containsText" text="Sick">
      <formula>NOT(ISERROR(SEARCH("Sick",AQ13)))</formula>
    </cfRule>
    <cfRule type="containsText" dxfId="1204" priority="1018" operator="containsText" text="OFF">
      <formula>NOT(ISERROR(SEARCH("OFF",AQ13)))</formula>
    </cfRule>
    <cfRule type="containsText" dxfId="1203" priority="1019" operator="containsText" text="AL">
      <formula>NOT(ISERROR(SEARCH("AL",AQ13)))</formula>
    </cfRule>
    <cfRule type="containsText" dxfId="1202" priority="1011" operator="containsText" text="EL">
      <formula>NOT(ISERROR(SEARCH("EL",AQ13)))</formula>
    </cfRule>
  </conditionalFormatting>
  <conditionalFormatting sqref="AQ19:AR20">
    <cfRule type="containsText" dxfId="1201" priority="1028" operator="containsText" text="AL">
      <formula>NOT(ISERROR(SEARCH("AL",AQ19)))</formula>
    </cfRule>
    <cfRule type="containsText" dxfId="1200" priority="1027" operator="containsText" text="OFF">
      <formula>NOT(ISERROR(SEARCH("OFF",AQ19)))</formula>
    </cfRule>
    <cfRule type="containsText" dxfId="1199" priority="1025" operator="containsText" text="AB">
      <formula>NOT(ISERROR(SEARCH("AB",AQ19)))</formula>
    </cfRule>
    <cfRule type="containsText" dxfId="1198" priority="1024" operator="containsText" text="MC">
      <formula>NOT(ISERROR(SEARCH("MC",AQ19)))</formula>
    </cfRule>
    <cfRule type="containsText" dxfId="1197" priority="1021" operator="containsText" text="AB">
      <formula>NOT(ISERROR(SEARCH("AB",AQ19)))</formula>
    </cfRule>
    <cfRule type="containsText" dxfId="1196" priority="1023" operator="containsText" text="FL">
      <formula>NOT(ISERROR(SEARCH("FL",AQ19)))</formula>
    </cfRule>
    <cfRule type="containsText" dxfId="1195" priority="1022" operator="containsText" text="SUS">
      <formula>NOT(ISERROR(SEARCH("SUS",AQ19)))</formula>
    </cfRule>
    <cfRule type="containsText" dxfId="1194" priority="1020" operator="containsText" text="EL">
      <formula>NOT(ISERROR(SEARCH("EL",AQ19)))</formula>
    </cfRule>
    <cfRule type="containsText" dxfId="1193" priority="1026" operator="containsText" text="Sick">
      <formula>NOT(ISERROR(SEARCH("Sick",AQ19)))</formula>
    </cfRule>
  </conditionalFormatting>
  <conditionalFormatting sqref="AQ23:AR24">
    <cfRule type="containsText" dxfId="1192" priority="1035" operator="containsText" text="Sick">
      <formula>NOT(ISERROR(SEARCH("Sick",AQ23)))</formula>
    </cfRule>
    <cfRule type="containsText" dxfId="1191" priority="1036" operator="containsText" text="OFF">
      <formula>NOT(ISERROR(SEARCH("OFF",AQ23)))</formula>
    </cfRule>
    <cfRule type="containsText" dxfId="1190" priority="1037" operator="containsText" text="AL">
      <formula>NOT(ISERROR(SEARCH("AL",AQ23)))</formula>
    </cfRule>
    <cfRule type="containsText" dxfId="1189" priority="1029" operator="containsText" text="EL">
      <formula>NOT(ISERROR(SEARCH("EL",AQ23)))</formula>
    </cfRule>
    <cfRule type="containsText" dxfId="1188" priority="1030" operator="containsText" text="AB">
      <formula>NOT(ISERROR(SEARCH("AB",AQ23)))</formula>
    </cfRule>
    <cfRule type="containsText" dxfId="1187" priority="1031" operator="containsText" text="SUS">
      <formula>NOT(ISERROR(SEARCH("SUS",AQ23)))</formula>
    </cfRule>
    <cfRule type="containsText" dxfId="1186" priority="1032" operator="containsText" text="FL">
      <formula>NOT(ISERROR(SEARCH("FL",AQ23)))</formula>
    </cfRule>
    <cfRule type="containsText" dxfId="1185" priority="1033" operator="containsText" text="MC">
      <formula>NOT(ISERROR(SEARCH("MC",AQ23)))</formula>
    </cfRule>
    <cfRule type="containsText" dxfId="1184" priority="1034" operator="containsText" text="AB">
      <formula>NOT(ISERROR(SEARCH("AB",AQ23)))</formula>
    </cfRule>
  </conditionalFormatting>
  <conditionalFormatting sqref="AQ41:AR41">
    <cfRule type="containsText" dxfId="1183" priority="902" operator="containsText" text="AL">
      <formula>NOT(ISERROR(SEARCH("AL",AQ41)))</formula>
    </cfRule>
    <cfRule type="containsText" dxfId="1182" priority="901" operator="containsText" text="OFF">
      <formula>NOT(ISERROR(SEARCH("OFF",AQ41)))</formula>
    </cfRule>
    <cfRule type="containsText" dxfId="1181" priority="900" operator="containsText" text="Sick">
      <formula>NOT(ISERROR(SEARCH("Sick",AQ41)))</formula>
    </cfRule>
    <cfRule type="containsText" dxfId="1180" priority="899" operator="containsText" text="AB">
      <formula>NOT(ISERROR(SEARCH("AB",AQ41)))</formula>
    </cfRule>
    <cfRule type="containsText" dxfId="1179" priority="898" operator="containsText" text="MC">
      <formula>NOT(ISERROR(SEARCH("MC",AQ41)))</formula>
    </cfRule>
    <cfRule type="containsText" dxfId="1178" priority="897" operator="containsText" text="FL">
      <formula>NOT(ISERROR(SEARCH("FL",AQ41)))</formula>
    </cfRule>
    <cfRule type="containsText" dxfId="1177" priority="896" operator="containsText" text="SUS">
      <formula>NOT(ISERROR(SEARCH("SUS",AQ41)))</formula>
    </cfRule>
    <cfRule type="containsText" dxfId="1176" priority="895" operator="containsText" text="AB">
      <formula>NOT(ISERROR(SEARCH("AB",AQ41)))</formula>
    </cfRule>
    <cfRule type="containsText" dxfId="1175" priority="894" operator="containsText" text="EL">
      <formula>NOT(ISERROR(SEARCH("EL",AQ41)))</formula>
    </cfRule>
  </conditionalFormatting>
  <conditionalFormatting sqref="AQ44:AR45">
    <cfRule type="containsText" dxfId="1174" priority="889" operator="containsText" text="MC">
      <formula>NOT(ISERROR(SEARCH("MC",AQ44)))</formula>
    </cfRule>
    <cfRule type="containsText" dxfId="1173" priority="887" operator="containsText" text="SUS">
      <formula>NOT(ISERROR(SEARCH("SUS",AQ44)))</formula>
    </cfRule>
    <cfRule type="containsText" dxfId="1172" priority="886" operator="containsText" text="AB">
      <formula>NOT(ISERROR(SEARCH("AB",AQ44)))</formula>
    </cfRule>
    <cfRule type="containsText" dxfId="1171" priority="888" operator="containsText" text="FL">
      <formula>NOT(ISERROR(SEARCH("FL",AQ44)))</formula>
    </cfRule>
    <cfRule type="containsText" dxfId="1170" priority="890" operator="containsText" text="AB">
      <formula>NOT(ISERROR(SEARCH("AB",AQ44)))</formula>
    </cfRule>
    <cfRule type="containsText" dxfId="1169" priority="893" operator="containsText" text="AL">
      <formula>NOT(ISERROR(SEARCH("AL",AQ44)))</formula>
    </cfRule>
    <cfRule type="containsText" dxfId="1168" priority="892" operator="containsText" text="OFF">
      <formula>NOT(ISERROR(SEARCH("OFF",AQ44)))</formula>
    </cfRule>
    <cfRule type="containsText" dxfId="1167" priority="891" operator="containsText" text="Sick">
      <formula>NOT(ISERROR(SEARCH("Sick",AQ44)))</formula>
    </cfRule>
    <cfRule type="containsText" dxfId="1166" priority="885" operator="containsText" text="EL">
      <formula>NOT(ISERROR(SEARCH("EL",AQ44)))</formula>
    </cfRule>
  </conditionalFormatting>
  <conditionalFormatting sqref="AQ47:AR47">
    <cfRule type="containsText" dxfId="1165" priority="884" operator="containsText" text="AL">
      <formula>NOT(ISERROR(SEARCH("AL",AQ47)))</formula>
    </cfRule>
    <cfRule type="containsText" dxfId="1164" priority="883" operator="containsText" text="OFF">
      <formula>NOT(ISERROR(SEARCH("OFF",AQ47)))</formula>
    </cfRule>
    <cfRule type="containsText" dxfId="1163" priority="882" operator="containsText" text="Sick">
      <formula>NOT(ISERROR(SEARCH("Sick",AQ47)))</formula>
    </cfRule>
    <cfRule type="containsText" dxfId="1162" priority="881" operator="containsText" text="AB">
      <formula>NOT(ISERROR(SEARCH("AB",AQ47)))</formula>
    </cfRule>
    <cfRule type="containsText" dxfId="1161" priority="880" operator="containsText" text="MC">
      <formula>NOT(ISERROR(SEARCH("MC",AQ47)))</formula>
    </cfRule>
    <cfRule type="containsText" dxfId="1160" priority="876" operator="containsText" text="EL">
      <formula>NOT(ISERROR(SEARCH("EL",AQ47)))</formula>
    </cfRule>
    <cfRule type="containsText" dxfId="1159" priority="879" operator="containsText" text="FL">
      <formula>NOT(ISERROR(SEARCH("FL",AQ47)))</formula>
    </cfRule>
    <cfRule type="containsText" dxfId="1158" priority="878" operator="containsText" text="SUS">
      <formula>NOT(ISERROR(SEARCH("SUS",AQ47)))</formula>
    </cfRule>
    <cfRule type="containsText" dxfId="1157" priority="877" operator="containsText" text="AB">
      <formula>NOT(ISERROR(SEARCH("AB",AQ47)))</formula>
    </cfRule>
  </conditionalFormatting>
  <conditionalFormatting sqref="AQ51:AR55 AQ142:AR142 AA144:AB144">
    <cfRule type="containsText" dxfId="1156" priority="1242" operator="containsText" text="Sick">
      <formula>NOT(ISERROR(SEARCH("Sick",AA51)))</formula>
    </cfRule>
    <cfRule type="containsText" dxfId="1155" priority="1243" operator="containsText" text="OFF">
      <formula>NOT(ISERROR(SEARCH("OFF",AA51)))</formula>
    </cfRule>
    <cfRule type="containsText" dxfId="1154" priority="1244" operator="containsText" text="AL">
      <formula>NOT(ISERROR(SEARCH("AL",AA51)))</formula>
    </cfRule>
    <cfRule type="containsText" dxfId="1153" priority="1241" operator="containsText" text="AB">
      <formula>NOT(ISERROR(SEARCH("AB",AA51)))</formula>
    </cfRule>
  </conditionalFormatting>
  <conditionalFormatting sqref="AQ67:AR69">
    <cfRule type="containsText" dxfId="1152" priority="831" operator="containsText" text="EL">
      <formula>NOT(ISERROR(SEARCH("EL",AQ67)))</formula>
    </cfRule>
    <cfRule type="containsText" dxfId="1151" priority="837" operator="containsText" text="Sick">
      <formula>NOT(ISERROR(SEARCH("Sick",AQ67)))</formula>
    </cfRule>
    <cfRule type="containsText" dxfId="1150" priority="839" operator="containsText" text="AL">
      <formula>NOT(ISERROR(SEARCH("AL",AQ67)))</formula>
    </cfRule>
    <cfRule type="containsText" dxfId="1149" priority="838" operator="containsText" text="OFF">
      <formula>NOT(ISERROR(SEARCH("OFF",AQ67)))</formula>
    </cfRule>
    <cfRule type="containsText" dxfId="1148" priority="836" operator="containsText" text="AB">
      <formula>NOT(ISERROR(SEARCH("AB",AQ67)))</formula>
    </cfRule>
    <cfRule type="containsText" dxfId="1147" priority="835" operator="containsText" text="MC">
      <formula>NOT(ISERROR(SEARCH("MC",AQ67)))</formula>
    </cfRule>
    <cfRule type="containsText" dxfId="1146" priority="834" operator="containsText" text="FL">
      <formula>NOT(ISERROR(SEARCH("FL",AQ67)))</formula>
    </cfRule>
    <cfRule type="containsText" dxfId="1145" priority="833" operator="containsText" text="SUS">
      <formula>NOT(ISERROR(SEARCH("SUS",AQ67)))</formula>
    </cfRule>
    <cfRule type="containsText" dxfId="1144" priority="832" operator="containsText" text="AB">
      <formula>NOT(ISERROR(SEARCH("AB",AQ67)))</formula>
    </cfRule>
  </conditionalFormatting>
  <conditionalFormatting sqref="AQ72:AR72">
    <cfRule type="containsText" dxfId="1143" priority="830" operator="containsText" text="AL">
      <formula>NOT(ISERROR(SEARCH("AL",AQ72)))</formula>
    </cfRule>
    <cfRule type="containsText" dxfId="1142" priority="822" operator="containsText" text="EL">
      <formula>NOT(ISERROR(SEARCH("EL",AQ72)))</formula>
    </cfRule>
    <cfRule type="containsText" dxfId="1141" priority="823" operator="containsText" text="AB">
      <formula>NOT(ISERROR(SEARCH("AB",AQ72)))</formula>
    </cfRule>
    <cfRule type="containsText" dxfId="1140" priority="824" operator="containsText" text="SUS">
      <formula>NOT(ISERROR(SEARCH("SUS",AQ72)))</formula>
    </cfRule>
    <cfRule type="containsText" dxfId="1139" priority="825" operator="containsText" text="FL">
      <formula>NOT(ISERROR(SEARCH("FL",AQ72)))</formula>
    </cfRule>
    <cfRule type="containsText" dxfId="1138" priority="826" operator="containsText" text="MC">
      <formula>NOT(ISERROR(SEARCH("MC",AQ72)))</formula>
    </cfRule>
    <cfRule type="containsText" dxfId="1137" priority="827" operator="containsText" text="AB">
      <formula>NOT(ISERROR(SEARCH("AB",AQ72)))</formula>
    </cfRule>
    <cfRule type="containsText" dxfId="1136" priority="828" operator="containsText" text="Sick">
      <formula>NOT(ISERROR(SEARCH("Sick",AQ72)))</formula>
    </cfRule>
    <cfRule type="containsText" dxfId="1135" priority="829" operator="containsText" text="OFF">
      <formula>NOT(ISERROR(SEARCH("OFF",AQ72)))</formula>
    </cfRule>
  </conditionalFormatting>
  <conditionalFormatting sqref="AQ74:AR76">
    <cfRule type="containsText" dxfId="1134" priority="814" operator="containsText" text="AB">
      <formula>NOT(ISERROR(SEARCH("AB",AQ74)))</formula>
    </cfRule>
    <cfRule type="containsText" dxfId="1133" priority="815" operator="containsText" text="SUS">
      <formula>NOT(ISERROR(SEARCH("SUS",AQ74)))</formula>
    </cfRule>
    <cfRule type="containsText" dxfId="1132" priority="813" operator="containsText" text="EL">
      <formula>NOT(ISERROR(SEARCH("EL",AQ74)))</formula>
    </cfRule>
    <cfRule type="containsText" dxfId="1131" priority="817" operator="containsText" text="MC">
      <formula>NOT(ISERROR(SEARCH("MC",AQ74)))</formula>
    </cfRule>
    <cfRule type="containsText" dxfId="1130" priority="818" operator="containsText" text="AB">
      <formula>NOT(ISERROR(SEARCH("AB",AQ74)))</formula>
    </cfRule>
    <cfRule type="containsText" dxfId="1129" priority="819" operator="containsText" text="Sick">
      <formula>NOT(ISERROR(SEARCH("Sick",AQ74)))</formula>
    </cfRule>
    <cfRule type="containsText" dxfId="1128" priority="820" operator="containsText" text="OFF">
      <formula>NOT(ISERROR(SEARCH("OFF",AQ74)))</formula>
    </cfRule>
    <cfRule type="containsText" dxfId="1127" priority="821" operator="containsText" text="AL">
      <formula>NOT(ISERROR(SEARCH("AL",AQ74)))</formula>
    </cfRule>
    <cfRule type="containsText" dxfId="1126" priority="816" operator="containsText" text="FL">
      <formula>NOT(ISERROR(SEARCH("FL",AQ74)))</formula>
    </cfRule>
  </conditionalFormatting>
  <conditionalFormatting sqref="AQ84:AR84">
    <cfRule type="containsText" dxfId="1125" priority="811" operator="containsText" text="OFF">
      <formula>NOT(ISERROR(SEARCH("OFF",AQ84)))</formula>
    </cfRule>
    <cfRule type="containsText" dxfId="1124" priority="804" operator="containsText" text="EL">
      <formula>NOT(ISERROR(SEARCH("EL",AQ84)))</formula>
    </cfRule>
    <cfRule type="containsText" dxfId="1123" priority="805" operator="containsText" text="AB">
      <formula>NOT(ISERROR(SEARCH("AB",AQ84)))</formula>
    </cfRule>
    <cfRule type="containsText" dxfId="1122" priority="806" operator="containsText" text="SUS">
      <formula>NOT(ISERROR(SEARCH("SUS",AQ84)))</formula>
    </cfRule>
    <cfRule type="containsText" dxfId="1121" priority="807" operator="containsText" text="FL">
      <formula>NOT(ISERROR(SEARCH("FL",AQ84)))</formula>
    </cfRule>
    <cfRule type="containsText" dxfId="1120" priority="808" operator="containsText" text="MC">
      <formula>NOT(ISERROR(SEARCH("MC",AQ84)))</formula>
    </cfRule>
    <cfRule type="containsText" dxfId="1119" priority="809" operator="containsText" text="AB">
      <formula>NOT(ISERROR(SEARCH("AB",AQ84)))</formula>
    </cfRule>
    <cfRule type="containsText" dxfId="1118" priority="810" operator="containsText" text="Sick">
      <formula>NOT(ISERROR(SEARCH("Sick",AQ84)))</formula>
    </cfRule>
    <cfRule type="containsText" dxfId="1117" priority="812" operator="containsText" text="AL">
      <formula>NOT(ISERROR(SEARCH("AL",AQ84)))</formula>
    </cfRule>
  </conditionalFormatting>
  <conditionalFormatting sqref="AQ87:AR87">
    <cfRule type="containsText" dxfId="1116" priority="796" operator="containsText" text="AB">
      <formula>NOT(ISERROR(SEARCH("AB",AQ87)))</formula>
    </cfRule>
    <cfRule type="containsText" dxfId="1115" priority="799" operator="containsText" text="MC">
      <formula>NOT(ISERROR(SEARCH("MC",AQ87)))</formula>
    </cfRule>
    <cfRule type="containsText" dxfId="1114" priority="798" operator="containsText" text="FL">
      <formula>NOT(ISERROR(SEARCH("FL",AQ87)))</formula>
    </cfRule>
    <cfRule type="containsText" dxfId="1113" priority="797" operator="containsText" text="SUS">
      <formula>NOT(ISERROR(SEARCH("SUS",AQ87)))</formula>
    </cfRule>
    <cfRule type="containsText" dxfId="1112" priority="795" operator="containsText" text="EL">
      <formula>NOT(ISERROR(SEARCH("EL",AQ87)))</formula>
    </cfRule>
    <cfRule type="containsText" dxfId="1111" priority="803" operator="containsText" text="AL">
      <formula>NOT(ISERROR(SEARCH("AL",AQ87)))</formula>
    </cfRule>
    <cfRule type="containsText" dxfId="1110" priority="802" operator="containsText" text="OFF">
      <formula>NOT(ISERROR(SEARCH("OFF",AQ87)))</formula>
    </cfRule>
    <cfRule type="containsText" dxfId="1109" priority="801" operator="containsText" text="Sick">
      <formula>NOT(ISERROR(SEARCH("Sick",AQ87)))</formula>
    </cfRule>
    <cfRule type="containsText" dxfId="1108" priority="800" operator="containsText" text="AB">
      <formula>NOT(ISERROR(SEARCH("AB",AQ87)))</formula>
    </cfRule>
  </conditionalFormatting>
  <conditionalFormatting sqref="AQ96:AR98">
    <cfRule type="containsText" dxfId="1107" priority="778" operator="containsText" text="AB">
      <formula>NOT(ISERROR(SEARCH("AB",AQ96)))</formula>
    </cfRule>
    <cfRule type="containsText" dxfId="1106" priority="779" operator="containsText" text="SUS">
      <formula>NOT(ISERROR(SEARCH("SUS",AQ96)))</formula>
    </cfRule>
    <cfRule type="containsText" dxfId="1105" priority="784" operator="containsText" text="OFF">
      <formula>NOT(ISERROR(SEARCH("OFF",AQ96)))</formula>
    </cfRule>
    <cfRule type="containsText" dxfId="1104" priority="782" operator="containsText" text="AB">
      <formula>NOT(ISERROR(SEARCH("AB",AQ96)))</formula>
    </cfRule>
    <cfRule type="containsText" dxfId="1103" priority="785" operator="containsText" text="AL">
      <formula>NOT(ISERROR(SEARCH("AL",AQ96)))</formula>
    </cfRule>
    <cfRule type="containsText" dxfId="1102" priority="780" operator="containsText" text="FL">
      <formula>NOT(ISERROR(SEARCH("FL",AQ96)))</formula>
    </cfRule>
    <cfRule type="containsText" dxfId="1101" priority="781" operator="containsText" text="MC">
      <formula>NOT(ISERROR(SEARCH("MC",AQ96)))</formula>
    </cfRule>
    <cfRule type="containsText" dxfId="1100" priority="783" operator="containsText" text="Sick">
      <formula>NOT(ISERROR(SEARCH("Sick",AQ96)))</formula>
    </cfRule>
    <cfRule type="containsText" dxfId="1099" priority="777" operator="containsText" text="EL">
      <formula>NOT(ISERROR(SEARCH("EL",AQ96)))</formula>
    </cfRule>
  </conditionalFormatting>
  <conditionalFormatting sqref="AQ101:AR102">
    <cfRule type="containsText" dxfId="1098" priority="769" operator="containsText" text="AB">
      <formula>NOT(ISERROR(SEARCH("AB",AQ101)))</formula>
    </cfRule>
    <cfRule type="containsText" dxfId="1097" priority="771" operator="containsText" text="FL">
      <formula>NOT(ISERROR(SEARCH("FL",AQ101)))</formula>
    </cfRule>
    <cfRule type="containsText" dxfId="1096" priority="772" operator="containsText" text="MC">
      <formula>NOT(ISERROR(SEARCH("MC",AQ101)))</formula>
    </cfRule>
    <cfRule type="containsText" dxfId="1095" priority="773" operator="containsText" text="AB">
      <formula>NOT(ISERROR(SEARCH("AB",AQ101)))</formula>
    </cfRule>
    <cfRule type="containsText" dxfId="1094" priority="774" operator="containsText" text="Sick">
      <formula>NOT(ISERROR(SEARCH("Sick",AQ101)))</formula>
    </cfRule>
    <cfRule type="containsText" dxfId="1093" priority="770" operator="containsText" text="SUS">
      <formula>NOT(ISERROR(SEARCH("SUS",AQ101)))</formula>
    </cfRule>
    <cfRule type="containsText" dxfId="1092" priority="776" operator="containsText" text="AL">
      <formula>NOT(ISERROR(SEARCH("AL",AQ101)))</formula>
    </cfRule>
    <cfRule type="containsText" dxfId="1091" priority="768" operator="containsText" text="EL">
      <formula>NOT(ISERROR(SEARCH("EL",AQ101)))</formula>
    </cfRule>
    <cfRule type="containsText" dxfId="1090" priority="775" operator="containsText" text="OFF">
      <formula>NOT(ISERROR(SEARCH("OFF",AQ101)))</formula>
    </cfRule>
  </conditionalFormatting>
  <conditionalFormatting sqref="AQ105:AR105">
    <cfRule type="containsText" dxfId="1089" priority="762" operator="containsText" text="FL">
      <formula>NOT(ISERROR(SEARCH("FL",AQ105)))</formula>
    </cfRule>
    <cfRule type="containsText" dxfId="1088" priority="761" operator="containsText" text="SUS">
      <formula>NOT(ISERROR(SEARCH("SUS",AQ105)))</formula>
    </cfRule>
    <cfRule type="containsText" dxfId="1087" priority="760" operator="containsText" text="AB">
      <formula>NOT(ISERROR(SEARCH("AB",AQ105)))</formula>
    </cfRule>
    <cfRule type="containsText" dxfId="1086" priority="759" operator="containsText" text="EL">
      <formula>NOT(ISERROR(SEARCH("EL",AQ105)))</formula>
    </cfRule>
    <cfRule type="containsText" dxfId="1085" priority="763" operator="containsText" text="MC">
      <formula>NOT(ISERROR(SEARCH("MC",AQ105)))</formula>
    </cfRule>
    <cfRule type="containsText" dxfId="1084" priority="767" operator="containsText" text="AL">
      <formula>NOT(ISERROR(SEARCH("AL",AQ105)))</formula>
    </cfRule>
    <cfRule type="containsText" dxfId="1083" priority="764" operator="containsText" text="AB">
      <formula>NOT(ISERROR(SEARCH("AB",AQ105)))</formula>
    </cfRule>
    <cfRule type="containsText" dxfId="1082" priority="766" operator="containsText" text="OFF">
      <formula>NOT(ISERROR(SEARCH("OFF",AQ105)))</formula>
    </cfRule>
    <cfRule type="containsText" dxfId="1081" priority="765" operator="containsText" text="Sick">
      <formula>NOT(ISERROR(SEARCH("Sick",AQ105)))</formula>
    </cfRule>
  </conditionalFormatting>
  <conditionalFormatting sqref="AQ142:AR142 AA144:AB144 AQ51:AR55">
    <cfRule type="containsText" dxfId="1080" priority="1240" operator="containsText" text="MC">
      <formula>NOT(ISERROR(SEARCH("MC",AA51)))</formula>
    </cfRule>
  </conditionalFormatting>
  <conditionalFormatting sqref="AS60">
    <cfRule type="containsText" dxfId="1079" priority="756" operator="containsText" text="AB">
      <formula>NOT(ISERROR(SEARCH("AB",AS60)))</formula>
    </cfRule>
    <cfRule type="containsText" dxfId="1078" priority="758" operator="containsText" text="AL">
      <formula>NOT(ISERROR(SEARCH("AL",AS60)))</formula>
    </cfRule>
    <cfRule type="containsText" dxfId="1077" priority="755" operator="containsText" text="OFF">
      <formula>NOT(ISERROR(SEARCH("OFF",AS60)))</formula>
    </cfRule>
    <cfRule type="containsText" dxfId="1076" priority="757" operator="containsText" text="SICK">
      <formula>NOT(ISERROR(SEARCH("SICK",AS60)))</formula>
    </cfRule>
    <cfRule type="containsText" dxfId="1075" priority="753" operator="containsText" text="EL">
      <formula>NOT(ISERROR(SEARCH("EL",AS60)))</formula>
    </cfRule>
    <cfRule type="containsText" dxfId="1074" priority="751" operator="containsText" text="SUS">
      <formula>NOT(ISERROR(SEARCH("SUS",AS60)))</formula>
    </cfRule>
    <cfRule type="containsText" dxfId="1073" priority="750" operator="containsText" text="NL">
      <formula>NOT(ISERROR(SEARCH("NL",AS60)))</formula>
    </cfRule>
    <cfRule type="containsText" dxfId="1072" priority="749" operator="containsText" text="SP">
      <formula>NOT(ISERROR(SEARCH("SP",AS60)))</formula>
    </cfRule>
    <cfRule type="containsText" dxfId="1071" priority="754" operator="containsText" text="MC">
      <formula>NOT(ISERROR(SEARCH("MC",AS60)))</formula>
    </cfRule>
    <cfRule type="containsText" dxfId="1070" priority="752" operator="containsText" text="FL">
      <formula>NOT(ISERROR(SEARCH("FL",AS60)))</formula>
    </cfRule>
  </conditionalFormatting>
  <conditionalFormatting sqref="AS10:AT10">
    <cfRule type="containsText" dxfId="1069" priority="1007" operator="containsText" text="AB">
      <formula>NOT(ISERROR(SEARCH("AB",AS10)))</formula>
    </cfRule>
    <cfRule type="containsText" dxfId="1068" priority="1006" operator="containsText" text="MC">
      <formula>NOT(ISERROR(SEARCH("MC",AS10)))</formula>
    </cfRule>
    <cfRule type="containsText" dxfId="1067" priority="1005" operator="containsText" text="FL">
      <formula>NOT(ISERROR(SEARCH("FL",AS10)))</formula>
    </cfRule>
    <cfRule type="containsText" dxfId="1066" priority="1003" operator="containsText" text="AB">
      <formula>NOT(ISERROR(SEARCH("AB",AS10)))</formula>
    </cfRule>
    <cfRule type="containsText" dxfId="1065" priority="1002" operator="containsText" text="EL">
      <formula>NOT(ISERROR(SEARCH("EL",AS10)))</formula>
    </cfRule>
    <cfRule type="containsText" dxfId="1064" priority="1004" operator="containsText" text="SUS">
      <formula>NOT(ISERROR(SEARCH("SUS",AS10)))</formula>
    </cfRule>
    <cfRule type="containsText" dxfId="1063" priority="1010" operator="containsText" text="AL">
      <formula>NOT(ISERROR(SEARCH("AL",AS10)))</formula>
    </cfRule>
    <cfRule type="containsText" dxfId="1062" priority="1009" operator="containsText" text="OFF">
      <formula>NOT(ISERROR(SEARCH("OFF",AS10)))</formula>
    </cfRule>
    <cfRule type="containsText" dxfId="1061" priority="1008" operator="containsText" text="Sick">
      <formula>NOT(ISERROR(SEARCH("Sick",AS10)))</formula>
    </cfRule>
  </conditionalFormatting>
  <conditionalFormatting sqref="AY101:AZ101">
    <cfRule type="containsText" dxfId="1060" priority="665" operator="containsText" text="NL">
      <formula>NOT(ISERROR(SEARCH("NL",AY101)))</formula>
    </cfRule>
    <cfRule type="containsText" dxfId="1059" priority="664" operator="containsText" text="SP">
      <formula>NOT(ISERROR(SEARCH("SP",AY101)))</formula>
    </cfRule>
    <cfRule type="containsText" dxfId="1058" priority="666" operator="containsText" text="SUS">
      <formula>NOT(ISERROR(SEARCH("SUS",AY101)))</formula>
    </cfRule>
    <cfRule type="containsText" dxfId="1057" priority="673" operator="containsText" text="AL">
      <formula>NOT(ISERROR(SEARCH("AL",AY101)))</formula>
    </cfRule>
    <cfRule type="containsText" dxfId="1056" priority="672" operator="containsText" text="SICK">
      <formula>NOT(ISERROR(SEARCH("SICK",AY101)))</formula>
    </cfRule>
    <cfRule type="containsText" dxfId="1055" priority="671" operator="containsText" text="AB">
      <formula>NOT(ISERROR(SEARCH("AB",AY101)))</formula>
    </cfRule>
    <cfRule type="containsText" dxfId="1054" priority="670" operator="containsText" text="OFF">
      <formula>NOT(ISERROR(SEARCH("OFF",AY101)))</formula>
    </cfRule>
    <cfRule type="containsText" dxfId="1053" priority="669" operator="containsText" text="MC">
      <formula>NOT(ISERROR(SEARCH("MC",AY101)))</formula>
    </cfRule>
    <cfRule type="containsText" dxfId="1052" priority="668" operator="containsText" text="EL">
      <formula>NOT(ISERROR(SEARCH("EL",AY101)))</formula>
    </cfRule>
    <cfRule type="containsText" dxfId="1051" priority="667" operator="containsText" text="FL">
      <formula>NOT(ISERROR(SEARCH("FL",AY101)))</formula>
    </cfRule>
  </conditionalFormatting>
  <conditionalFormatting sqref="AY144:AZ144">
    <cfRule type="containsText" dxfId="1050" priority="2009" operator="containsText" text="AL">
      <formula>NOT(ISERROR(SEARCH("AL",AY144)))</formula>
    </cfRule>
    <cfRule type="containsText" dxfId="1049" priority="2000" operator="containsText" text="SP">
      <formula>NOT(ISERROR(SEARCH("SP",AY144)))</formula>
    </cfRule>
    <cfRule type="containsText" dxfId="1048" priority="2003" operator="containsText" text="FL">
      <formula>NOT(ISERROR(SEARCH("FL",AY144)))</formula>
    </cfRule>
    <cfRule type="containsText" dxfId="1047" priority="2004" operator="containsText" text="EL">
      <formula>NOT(ISERROR(SEARCH("EL",AY144)))</formula>
    </cfRule>
    <cfRule type="containsText" dxfId="1046" priority="2005" operator="containsText" text="MC">
      <formula>NOT(ISERROR(SEARCH("MC",AY144)))</formula>
    </cfRule>
    <cfRule type="containsText" dxfId="1045" priority="2006" operator="containsText" text="OFF">
      <formula>NOT(ISERROR(SEARCH("OFF",AY144)))</formula>
    </cfRule>
    <cfRule type="containsText" dxfId="1044" priority="2007" operator="containsText" text="AB">
      <formula>NOT(ISERROR(SEARCH("AB",AY144)))</formula>
    </cfRule>
    <cfRule type="containsText" dxfId="1043" priority="2008" operator="containsText" text="SICK">
      <formula>NOT(ISERROR(SEARCH("SICK",AY144)))</formula>
    </cfRule>
    <cfRule type="containsText" dxfId="1042" priority="2001" operator="containsText" text="NL">
      <formula>NOT(ISERROR(SEARCH("NL",AY144)))</formula>
    </cfRule>
    <cfRule type="containsText" dxfId="1041" priority="2002" operator="containsText" text="SUS">
      <formula>NOT(ISERROR(SEARCH("SUS",AY144)))</formula>
    </cfRule>
  </conditionalFormatting>
  <conditionalFormatting sqref="BA93:BB93">
    <cfRule type="containsText" dxfId="1040" priority="678" operator="containsText" text="EL">
      <formula>NOT(ISERROR(SEARCH("EL",BA93)))</formula>
    </cfRule>
    <cfRule type="containsText" dxfId="1039" priority="677" operator="containsText" text="FL">
      <formula>NOT(ISERROR(SEARCH("FL",BA93)))</formula>
    </cfRule>
    <cfRule type="containsText" dxfId="1038" priority="676" operator="containsText" text="SUS">
      <formula>NOT(ISERROR(SEARCH("SUS",BA93)))</formula>
    </cfRule>
    <cfRule type="containsText" dxfId="1037" priority="675" operator="containsText" text="NL">
      <formula>NOT(ISERROR(SEARCH("NL",BA93)))</formula>
    </cfRule>
    <cfRule type="containsText" dxfId="1036" priority="674" operator="containsText" text="SP">
      <formula>NOT(ISERROR(SEARCH("SP",BA93)))</formula>
    </cfRule>
    <cfRule type="containsText" dxfId="1035" priority="683" operator="containsText" text="AL">
      <formula>NOT(ISERROR(SEARCH("AL",BA93)))</formula>
    </cfRule>
    <cfRule type="containsText" dxfId="1034" priority="682" operator="containsText" text="SICK">
      <formula>NOT(ISERROR(SEARCH("SICK",BA93)))</formula>
    </cfRule>
    <cfRule type="containsText" dxfId="1033" priority="681" operator="containsText" text="AB">
      <formula>NOT(ISERROR(SEARCH("AB",BA93)))</formula>
    </cfRule>
    <cfRule type="containsText" dxfId="1032" priority="680" operator="containsText" text="OFF">
      <formula>NOT(ISERROR(SEARCH("OFF",BA93)))</formula>
    </cfRule>
    <cfRule type="containsText" dxfId="1031" priority="679" operator="containsText" text="MC">
      <formula>NOT(ISERROR(SEARCH("MC",BA93)))</formula>
    </cfRule>
  </conditionalFormatting>
  <conditionalFormatting sqref="BE5:BF5">
    <cfRule type="containsText" dxfId="1030" priority="721" operator="containsText" text="AB">
      <formula>NOT(ISERROR(SEARCH("AB",BE5)))</formula>
    </cfRule>
    <cfRule type="containsText" dxfId="1029" priority="720" operator="containsText" text="EL">
      <formula>NOT(ISERROR(SEARCH("EL",BE5)))</formula>
    </cfRule>
    <cfRule type="containsText" dxfId="1028" priority="722" operator="containsText" text="SUS">
      <formula>NOT(ISERROR(SEARCH("SUS",BE5)))</formula>
    </cfRule>
    <cfRule type="containsText" dxfId="1027" priority="723" operator="containsText" text="FL">
      <formula>NOT(ISERROR(SEARCH("FL",BE5)))</formula>
    </cfRule>
    <cfRule type="containsText" dxfId="1026" priority="724" operator="containsText" text="MC">
      <formula>NOT(ISERROR(SEARCH("MC",BE5)))</formula>
    </cfRule>
    <cfRule type="containsText" dxfId="1025" priority="725" operator="containsText" text="AB">
      <formula>NOT(ISERROR(SEARCH("AB",BE5)))</formula>
    </cfRule>
    <cfRule type="containsText" dxfId="1024" priority="726" operator="containsText" text="Sick">
      <formula>NOT(ISERROR(SEARCH("Sick",BE5)))</formula>
    </cfRule>
    <cfRule type="containsText" dxfId="1023" priority="727" operator="containsText" text="OFF">
      <formula>NOT(ISERROR(SEARCH("OFF",BE5)))</formula>
    </cfRule>
    <cfRule type="containsText" dxfId="1022" priority="728" operator="containsText" text="AL">
      <formula>NOT(ISERROR(SEARCH("AL",BE5)))</formula>
    </cfRule>
  </conditionalFormatting>
  <conditionalFormatting sqref="BE13:BF13">
    <cfRule type="containsText" dxfId="1021" priority="688" operator="containsText" text="MC">
      <formula>NOT(ISERROR(SEARCH("MC",BE13)))</formula>
    </cfRule>
    <cfRule type="containsText" dxfId="1020" priority="686" operator="containsText" text="SUS">
      <formula>NOT(ISERROR(SEARCH("SUS",BE13)))</formula>
    </cfRule>
    <cfRule type="containsText" dxfId="1019" priority="692" operator="containsText" text="AL">
      <formula>NOT(ISERROR(SEARCH("AL",BE13)))</formula>
    </cfRule>
    <cfRule type="containsText" dxfId="1018" priority="691" operator="containsText" text="OFF">
      <formula>NOT(ISERROR(SEARCH("OFF",BE13)))</formula>
    </cfRule>
    <cfRule type="containsText" dxfId="1017" priority="687" operator="containsText" text="FL">
      <formula>NOT(ISERROR(SEARCH("FL",BE13)))</formula>
    </cfRule>
    <cfRule type="containsText" dxfId="1016" priority="689" operator="containsText" text="AB">
      <formula>NOT(ISERROR(SEARCH("AB",BE13)))</formula>
    </cfRule>
    <cfRule type="containsText" dxfId="1015" priority="685" operator="containsText" text="AB">
      <formula>NOT(ISERROR(SEARCH("AB",BE13)))</formula>
    </cfRule>
    <cfRule type="containsText" dxfId="1014" priority="684" operator="containsText" text="EL">
      <formula>NOT(ISERROR(SEARCH("EL",BE13)))</formula>
    </cfRule>
    <cfRule type="containsText" dxfId="1013" priority="690" operator="containsText" text="Sick">
      <formula>NOT(ISERROR(SEARCH("Sick",BE13)))</formula>
    </cfRule>
  </conditionalFormatting>
  <conditionalFormatting sqref="BE18:BF18">
    <cfRule type="containsText" dxfId="1012" priority="701" operator="containsText" text="AL">
      <formula>NOT(ISERROR(SEARCH("AL",BE18)))</formula>
    </cfRule>
    <cfRule type="containsText" dxfId="1011" priority="693" operator="containsText" text="EL">
      <formula>NOT(ISERROR(SEARCH("EL",BE18)))</formula>
    </cfRule>
    <cfRule type="containsText" dxfId="1010" priority="694" operator="containsText" text="AB">
      <formula>NOT(ISERROR(SEARCH("AB",BE18)))</formula>
    </cfRule>
    <cfRule type="containsText" dxfId="1009" priority="697" operator="containsText" text="MC">
      <formula>NOT(ISERROR(SEARCH("MC",BE18)))</formula>
    </cfRule>
    <cfRule type="containsText" dxfId="1008" priority="695" operator="containsText" text="SUS">
      <formula>NOT(ISERROR(SEARCH("SUS",BE18)))</formula>
    </cfRule>
    <cfRule type="containsText" dxfId="1007" priority="696" operator="containsText" text="FL">
      <formula>NOT(ISERROR(SEARCH("FL",BE18)))</formula>
    </cfRule>
    <cfRule type="containsText" dxfId="1006" priority="698" operator="containsText" text="AB">
      <formula>NOT(ISERROR(SEARCH("AB",BE18)))</formula>
    </cfRule>
    <cfRule type="containsText" dxfId="1005" priority="699" operator="containsText" text="Sick">
      <formula>NOT(ISERROR(SEARCH("Sick",BE18)))</formula>
    </cfRule>
    <cfRule type="containsText" dxfId="1004" priority="700" operator="containsText" text="OFF">
      <formula>NOT(ISERROR(SEARCH("OFF",BE18)))</formula>
    </cfRule>
  </conditionalFormatting>
  <conditionalFormatting sqref="BE42:BF43">
    <cfRule type="containsText" dxfId="1003" priority="662" operator="containsText" text="OFF">
      <formula>NOT(ISERROR(SEARCH("OFF",BE42)))</formula>
    </cfRule>
    <cfRule type="containsText" dxfId="1002" priority="655" operator="containsText" text="EL">
      <formula>NOT(ISERROR(SEARCH("EL",BE42)))</formula>
    </cfRule>
    <cfRule type="containsText" dxfId="1001" priority="656" operator="containsText" text="AB">
      <formula>NOT(ISERROR(SEARCH("AB",BE42)))</formula>
    </cfRule>
    <cfRule type="containsText" dxfId="1000" priority="657" operator="containsText" text="SUS">
      <formula>NOT(ISERROR(SEARCH("SUS",BE42)))</formula>
    </cfRule>
    <cfRule type="containsText" dxfId="999" priority="658" operator="containsText" text="FL">
      <formula>NOT(ISERROR(SEARCH("FL",BE42)))</formula>
    </cfRule>
    <cfRule type="containsText" dxfId="998" priority="659" operator="containsText" text="MC">
      <formula>NOT(ISERROR(SEARCH("MC",BE42)))</formula>
    </cfRule>
    <cfRule type="containsText" dxfId="997" priority="660" operator="containsText" text="AB">
      <formula>NOT(ISERROR(SEARCH("AB",BE42)))</formula>
    </cfRule>
    <cfRule type="containsText" dxfId="996" priority="661" operator="containsText" text="Sick">
      <formula>NOT(ISERROR(SEARCH("Sick",BE42)))</formula>
    </cfRule>
    <cfRule type="containsText" dxfId="995" priority="663" operator="containsText" text="AL">
      <formula>NOT(ISERROR(SEARCH("AL",BE42)))</formula>
    </cfRule>
  </conditionalFormatting>
  <conditionalFormatting sqref="BE46:BF46">
    <cfRule type="containsText" dxfId="994" priority="654" operator="containsText" text="AL">
      <formula>NOT(ISERROR(SEARCH("AL",BE46)))</formula>
    </cfRule>
    <cfRule type="containsText" dxfId="993" priority="653" operator="containsText" text="OFF">
      <formula>NOT(ISERROR(SEARCH("OFF",BE46)))</formula>
    </cfRule>
    <cfRule type="containsText" dxfId="992" priority="650" operator="containsText" text="MC">
      <formula>NOT(ISERROR(SEARCH("MC",BE46)))</formula>
    </cfRule>
    <cfRule type="containsText" dxfId="991" priority="651" operator="containsText" text="AB">
      <formula>NOT(ISERROR(SEARCH("AB",BE46)))</formula>
    </cfRule>
    <cfRule type="containsText" dxfId="990" priority="649" operator="containsText" text="FL">
      <formula>NOT(ISERROR(SEARCH("FL",BE46)))</formula>
    </cfRule>
    <cfRule type="containsText" dxfId="989" priority="648" operator="containsText" text="SUS">
      <formula>NOT(ISERROR(SEARCH("SUS",BE46)))</formula>
    </cfRule>
    <cfRule type="containsText" dxfId="988" priority="652" operator="containsText" text="Sick">
      <formula>NOT(ISERROR(SEARCH("Sick",BE46)))</formula>
    </cfRule>
    <cfRule type="containsText" dxfId="987" priority="647" operator="containsText" text="AB">
      <formula>NOT(ISERROR(SEARCH("AB",BE46)))</formula>
    </cfRule>
    <cfRule type="containsText" dxfId="986" priority="646" operator="containsText" text="EL">
      <formula>NOT(ISERROR(SEARCH("EL",BE46)))</formula>
    </cfRule>
  </conditionalFormatting>
  <conditionalFormatting sqref="BE56:BF57">
    <cfRule type="containsText" dxfId="985" priority="636" operator="containsText" text="AL">
      <formula>NOT(ISERROR(SEARCH("AL",BE56)))</formula>
    </cfRule>
    <cfRule type="containsText" dxfId="984" priority="635" operator="containsText" text="OFF">
      <formula>NOT(ISERROR(SEARCH("OFF",BE56)))</formula>
    </cfRule>
    <cfRule type="containsText" dxfId="983" priority="628" operator="containsText" text="EL">
      <formula>NOT(ISERROR(SEARCH("EL",BE56)))</formula>
    </cfRule>
    <cfRule type="containsText" dxfId="982" priority="631" operator="containsText" text="FL">
      <formula>NOT(ISERROR(SEARCH("FL",BE56)))</formula>
    </cfRule>
    <cfRule type="containsText" dxfId="981" priority="629" operator="containsText" text="AB">
      <formula>NOT(ISERROR(SEARCH("AB",BE56)))</formula>
    </cfRule>
    <cfRule type="containsText" dxfId="980" priority="630" operator="containsText" text="SUS">
      <formula>NOT(ISERROR(SEARCH("SUS",BE56)))</formula>
    </cfRule>
    <cfRule type="containsText" dxfId="979" priority="632" operator="containsText" text="MC">
      <formula>NOT(ISERROR(SEARCH("MC",BE56)))</formula>
    </cfRule>
    <cfRule type="containsText" dxfId="978" priority="633" operator="containsText" text="AB">
      <formula>NOT(ISERROR(SEARCH("AB",BE56)))</formula>
    </cfRule>
    <cfRule type="containsText" dxfId="977" priority="634" operator="containsText" text="Sick">
      <formula>NOT(ISERROR(SEARCH("Sick",BE56)))</formula>
    </cfRule>
  </conditionalFormatting>
  <conditionalFormatting sqref="BE60:BF61">
    <cfRule type="containsText" dxfId="976" priority="619" operator="containsText" text="EL">
      <formula>NOT(ISERROR(SEARCH("EL",BE60)))</formula>
    </cfRule>
    <cfRule type="containsText" dxfId="975" priority="620" operator="containsText" text="AB">
      <formula>NOT(ISERROR(SEARCH("AB",BE60)))</formula>
    </cfRule>
    <cfRule type="containsText" dxfId="974" priority="621" operator="containsText" text="SUS">
      <formula>NOT(ISERROR(SEARCH("SUS",BE60)))</formula>
    </cfRule>
    <cfRule type="containsText" dxfId="973" priority="622" operator="containsText" text="FL">
      <formula>NOT(ISERROR(SEARCH("FL",BE60)))</formula>
    </cfRule>
    <cfRule type="containsText" dxfId="972" priority="623" operator="containsText" text="MC">
      <formula>NOT(ISERROR(SEARCH("MC",BE60)))</formula>
    </cfRule>
    <cfRule type="containsText" dxfId="971" priority="624" operator="containsText" text="AB">
      <formula>NOT(ISERROR(SEARCH("AB",BE60)))</formula>
    </cfRule>
    <cfRule type="containsText" dxfId="970" priority="625" operator="containsText" text="Sick">
      <formula>NOT(ISERROR(SEARCH("Sick",BE60)))</formula>
    </cfRule>
    <cfRule type="containsText" dxfId="969" priority="626" operator="containsText" text="OFF">
      <formula>NOT(ISERROR(SEARCH("OFF",BE60)))</formula>
    </cfRule>
    <cfRule type="containsText" dxfId="968" priority="627" operator="containsText" text="AL">
      <formula>NOT(ISERROR(SEARCH("AL",BE60)))</formula>
    </cfRule>
  </conditionalFormatting>
  <conditionalFormatting sqref="BE63:BF63">
    <cfRule type="containsText" dxfId="967" priority="615" operator="containsText" text="AB">
      <formula>NOT(ISERROR(SEARCH("AB",BE63)))</formula>
    </cfRule>
    <cfRule type="containsText" dxfId="966" priority="617" operator="containsText" text="OFF">
      <formula>NOT(ISERROR(SEARCH("OFF",BE63)))</formula>
    </cfRule>
    <cfRule type="containsText" dxfId="965" priority="618" operator="containsText" text="AL">
      <formula>NOT(ISERROR(SEARCH("AL",BE63)))</formula>
    </cfRule>
    <cfRule type="containsText" dxfId="964" priority="614" operator="containsText" text="MC">
      <formula>NOT(ISERROR(SEARCH("MC",BE63)))</formula>
    </cfRule>
    <cfRule type="containsText" dxfId="963" priority="616" operator="containsText" text="Sick">
      <formula>NOT(ISERROR(SEARCH("Sick",BE63)))</formula>
    </cfRule>
    <cfRule type="containsText" dxfId="962" priority="613" operator="containsText" text="FL">
      <formula>NOT(ISERROR(SEARCH("FL",BE63)))</formula>
    </cfRule>
    <cfRule type="containsText" dxfId="961" priority="612" operator="containsText" text="SUS">
      <formula>NOT(ISERROR(SEARCH("SUS",BE63)))</formula>
    </cfRule>
    <cfRule type="containsText" dxfId="960" priority="611" operator="containsText" text="AB">
      <formula>NOT(ISERROR(SEARCH("AB",BE63)))</formula>
    </cfRule>
    <cfRule type="containsText" dxfId="959" priority="610" operator="containsText" text="EL">
      <formula>NOT(ISERROR(SEARCH("EL",BE63)))</formula>
    </cfRule>
  </conditionalFormatting>
  <conditionalFormatting sqref="BE65:BF66">
    <cfRule type="containsText" dxfId="958" priority="607" operator="containsText" text="Sick">
      <formula>NOT(ISERROR(SEARCH("Sick",BE65)))</formula>
    </cfRule>
    <cfRule type="containsText" dxfId="957" priority="609" operator="containsText" text="AL">
      <formula>NOT(ISERROR(SEARCH("AL",BE65)))</formula>
    </cfRule>
    <cfRule type="containsText" dxfId="956" priority="608" operator="containsText" text="OFF">
      <formula>NOT(ISERROR(SEARCH("OFF",BE65)))</formula>
    </cfRule>
    <cfRule type="containsText" dxfId="955" priority="602" operator="containsText" text="AB">
      <formula>NOT(ISERROR(SEARCH("AB",BE65)))</formula>
    </cfRule>
    <cfRule type="containsText" dxfId="954" priority="606" operator="containsText" text="AB">
      <formula>NOT(ISERROR(SEARCH("AB",BE65)))</formula>
    </cfRule>
    <cfRule type="containsText" dxfId="953" priority="605" operator="containsText" text="MC">
      <formula>NOT(ISERROR(SEARCH("MC",BE65)))</formula>
    </cfRule>
    <cfRule type="containsText" dxfId="952" priority="603" operator="containsText" text="SUS">
      <formula>NOT(ISERROR(SEARCH("SUS",BE65)))</formula>
    </cfRule>
    <cfRule type="containsText" dxfId="951" priority="601" operator="containsText" text="EL">
      <formula>NOT(ISERROR(SEARCH("EL",BE65)))</formula>
    </cfRule>
    <cfRule type="containsText" dxfId="950" priority="604" operator="containsText" text="FL">
      <formula>NOT(ISERROR(SEARCH("FL",BE65)))</formula>
    </cfRule>
  </conditionalFormatting>
  <conditionalFormatting sqref="BE71:BF71">
    <cfRule type="containsText" dxfId="949" priority="595" operator="containsText" text="FL">
      <formula>NOT(ISERROR(SEARCH("FL",BE71)))</formula>
    </cfRule>
    <cfRule type="containsText" dxfId="948" priority="596" operator="containsText" text="MC">
      <formula>NOT(ISERROR(SEARCH("MC",BE71)))</formula>
    </cfRule>
    <cfRule type="containsText" dxfId="947" priority="597" operator="containsText" text="AB">
      <formula>NOT(ISERROR(SEARCH("AB",BE71)))</formula>
    </cfRule>
    <cfRule type="containsText" dxfId="946" priority="598" operator="containsText" text="Sick">
      <formula>NOT(ISERROR(SEARCH("Sick",BE71)))</formula>
    </cfRule>
    <cfRule type="containsText" dxfId="945" priority="599" operator="containsText" text="OFF">
      <formula>NOT(ISERROR(SEARCH("OFF",BE71)))</formula>
    </cfRule>
    <cfRule type="containsText" dxfId="944" priority="600" operator="containsText" text="AL">
      <formula>NOT(ISERROR(SEARCH("AL",BE71)))</formula>
    </cfRule>
    <cfRule type="containsText" dxfId="943" priority="594" operator="containsText" text="SUS">
      <formula>NOT(ISERROR(SEARCH("SUS",BE71)))</formula>
    </cfRule>
    <cfRule type="containsText" dxfId="942" priority="592" operator="containsText" text="EL">
      <formula>NOT(ISERROR(SEARCH("EL",BE71)))</formula>
    </cfRule>
    <cfRule type="containsText" dxfId="941" priority="593" operator="containsText" text="AB">
      <formula>NOT(ISERROR(SEARCH("AB",BE71)))</formula>
    </cfRule>
  </conditionalFormatting>
  <conditionalFormatting sqref="BE77:BF83">
    <cfRule type="containsText" dxfId="940" priority="590" operator="containsText" text="OFF">
      <formula>NOT(ISERROR(SEARCH("OFF",BE77)))</formula>
    </cfRule>
    <cfRule type="containsText" dxfId="939" priority="591" operator="containsText" text="AL">
      <formula>NOT(ISERROR(SEARCH("AL",BE77)))</formula>
    </cfRule>
    <cfRule type="containsText" dxfId="938" priority="586" operator="containsText" text="FL">
      <formula>NOT(ISERROR(SEARCH("FL",BE77)))</formula>
    </cfRule>
    <cfRule type="containsText" dxfId="937" priority="585" operator="containsText" text="SUS">
      <formula>NOT(ISERROR(SEARCH("SUS",BE77)))</formula>
    </cfRule>
    <cfRule type="containsText" dxfId="936" priority="584" operator="containsText" text="AB">
      <formula>NOT(ISERROR(SEARCH("AB",BE77)))</formula>
    </cfRule>
    <cfRule type="containsText" dxfId="935" priority="583" operator="containsText" text="EL">
      <formula>NOT(ISERROR(SEARCH("EL",BE77)))</formula>
    </cfRule>
    <cfRule type="containsText" dxfId="934" priority="587" operator="containsText" text="MC">
      <formula>NOT(ISERROR(SEARCH("MC",BE77)))</formula>
    </cfRule>
    <cfRule type="containsText" dxfId="933" priority="588" operator="containsText" text="AB">
      <formula>NOT(ISERROR(SEARCH("AB",BE77)))</formula>
    </cfRule>
    <cfRule type="containsText" dxfId="932" priority="589" operator="containsText" text="Sick">
      <formula>NOT(ISERROR(SEARCH("Sick",BE77)))</formula>
    </cfRule>
  </conditionalFormatting>
  <conditionalFormatting sqref="BE85:BF86">
    <cfRule type="containsText" dxfId="931" priority="582" operator="containsText" text="AL">
      <formula>NOT(ISERROR(SEARCH("AL",BE85)))</formula>
    </cfRule>
    <cfRule type="containsText" dxfId="930" priority="581" operator="containsText" text="OFF">
      <formula>NOT(ISERROR(SEARCH("OFF",BE85)))</formula>
    </cfRule>
    <cfRule type="containsText" dxfId="929" priority="576" operator="containsText" text="SUS">
      <formula>NOT(ISERROR(SEARCH("SUS",BE85)))</formula>
    </cfRule>
    <cfRule type="containsText" dxfId="928" priority="574" operator="containsText" text="EL">
      <formula>NOT(ISERROR(SEARCH("EL",BE85)))</formula>
    </cfRule>
    <cfRule type="containsText" dxfId="927" priority="579" operator="containsText" text="AB">
      <formula>NOT(ISERROR(SEARCH("AB",BE85)))</formula>
    </cfRule>
    <cfRule type="containsText" dxfId="926" priority="580" operator="containsText" text="Sick">
      <formula>NOT(ISERROR(SEARCH("Sick",BE85)))</formula>
    </cfRule>
    <cfRule type="containsText" dxfId="925" priority="578" operator="containsText" text="MC">
      <formula>NOT(ISERROR(SEARCH("MC",BE85)))</formula>
    </cfRule>
    <cfRule type="containsText" dxfId="924" priority="577" operator="containsText" text="FL">
      <formula>NOT(ISERROR(SEARCH("FL",BE85)))</formula>
    </cfRule>
    <cfRule type="containsText" dxfId="923" priority="575" operator="containsText" text="AB">
      <formula>NOT(ISERROR(SEARCH("AB",BE85)))</formula>
    </cfRule>
  </conditionalFormatting>
  <conditionalFormatting sqref="BE88:BF88">
    <cfRule type="containsText" dxfId="922" priority="569" operator="containsText" text="MC">
      <formula>NOT(ISERROR(SEARCH("MC",BE88)))</formula>
    </cfRule>
    <cfRule type="containsText" dxfId="921" priority="570" operator="containsText" text="AB">
      <formula>NOT(ISERROR(SEARCH("AB",BE88)))</formula>
    </cfRule>
    <cfRule type="containsText" dxfId="920" priority="571" operator="containsText" text="Sick">
      <formula>NOT(ISERROR(SEARCH("Sick",BE88)))</formula>
    </cfRule>
    <cfRule type="containsText" dxfId="919" priority="572" operator="containsText" text="OFF">
      <formula>NOT(ISERROR(SEARCH("OFF",BE88)))</formula>
    </cfRule>
    <cfRule type="containsText" dxfId="918" priority="573" operator="containsText" text="AL">
      <formula>NOT(ISERROR(SEARCH("AL",BE88)))</formula>
    </cfRule>
    <cfRule type="containsText" dxfId="917" priority="568" operator="containsText" text="FL">
      <formula>NOT(ISERROR(SEARCH("FL",BE88)))</formula>
    </cfRule>
    <cfRule type="containsText" dxfId="916" priority="567" operator="containsText" text="SUS">
      <formula>NOT(ISERROR(SEARCH("SUS",BE88)))</formula>
    </cfRule>
    <cfRule type="containsText" dxfId="915" priority="566" operator="containsText" text="AB">
      <formula>NOT(ISERROR(SEARCH("AB",BE88)))</formula>
    </cfRule>
    <cfRule type="containsText" dxfId="914" priority="565" operator="containsText" text="EL">
      <formula>NOT(ISERROR(SEARCH("EL",BE88)))</formula>
    </cfRule>
  </conditionalFormatting>
  <conditionalFormatting sqref="BE90:BF90">
    <cfRule type="containsText" dxfId="913" priority="561" operator="containsText" text="AB">
      <formula>NOT(ISERROR(SEARCH("AB",BE90)))</formula>
    </cfRule>
    <cfRule type="containsText" dxfId="912" priority="556" operator="containsText" text="EL">
      <formula>NOT(ISERROR(SEARCH("EL",BE90)))</formula>
    </cfRule>
    <cfRule type="containsText" dxfId="911" priority="557" operator="containsText" text="AB">
      <formula>NOT(ISERROR(SEARCH("AB",BE90)))</formula>
    </cfRule>
    <cfRule type="containsText" dxfId="910" priority="559" operator="containsText" text="FL">
      <formula>NOT(ISERROR(SEARCH("FL",BE90)))</formula>
    </cfRule>
    <cfRule type="containsText" dxfId="909" priority="560" operator="containsText" text="MC">
      <formula>NOT(ISERROR(SEARCH("MC",BE90)))</formula>
    </cfRule>
    <cfRule type="containsText" dxfId="908" priority="558" operator="containsText" text="SUS">
      <formula>NOT(ISERROR(SEARCH("SUS",BE90)))</formula>
    </cfRule>
    <cfRule type="containsText" dxfId="907" priority="564" operator="containsText" text="AL">
      <formula>NOT(ISERROR(SEARCH("AL",BE90)))</formula>
    </cfRule>
    <cfRule type="containsText" dxfId="906" priority="563" operator="containsText" text="OFF">
      <formula>NOT(ISERROR(SEARCH("OFF",BE90)))</formula>
    </cfRule>
    <cfRule type="containsText" dxfId="905" priority="562" operator="containsText" text="Sick">
      <formula>NOT(ISERROR(SEARCH("Sick",BE90)))</formula>
    </cfRule>
  </conditionalFormatting>
  <conditionalFormatting sqref="BE92:BF95">
    <cfRule type="containsText" dxfId="904" priority="549" operator="containsText" text="SUS">
      <formula>NOT(ISERROR(SEARCH("SUS",BE92)))</formula>
    </cfRule>
    <cfRule type="containsText" dxfId="903" priority="551" operator="containsText" text="MC">
      <formula>NOT(ISERROR(SEARCH("MC",BE92)))</formula>
    </cfRule>
    <cfRule type="containsText" dxfId="902" priority="552" operator="containsText" text="AB">
      <formula>NOT(ISERROR(SEARCH("AB",BE92)))</formula>
    </cfRule>
    <cfRule type="containsText" dxfId="901" priority="553" operator="containsText" text="Sick">
      <formula>NOT(ISERROR(SEARCH("Sick",BE92)))</formula>
    </cfRule>
    <cfRule type="containsText" dxfId="900" priority="555" operator="containsText" text="AL">
      <formula>NOT(ISERROR(SEARCH("AL",BE92)))</formula>
    </cfRule>
    <cfRule type="containsText" dxfId="899" priority="554" operator="containsText" text="OFF">
      <formula>NOT(ISERROR(SEARCH("OFF",BE92)))</formula>
    </cfRule>
    <cfRule type="containsText" dxfId="898" priority="547" operator="containsText" text="EL">
      <formula>NOT(ISERROR(SEARCH("EL",BE92)))</formula>
    </cfRule>
    <cfRule type="containsText" dxfId="897" priority="548" operator="containsText" text="AB">
      <formula>NOT(ISERROR(SEARCH("AB",BE92)))</formula>
    </cfRule>
    <cfRule type="containsText" dxfId="896" priority="550" operator="containsText" text="FL">
      <formula>NOT(ISERROR(SEARCH("FL",BE92)))</formula>
    </cfRule>
  </conditionalFormatting>
  <conditionalFormatting sqref="BE99:BF99">
    <cfRule type="containsText" dxfId="895" priority="538" operator="containsText" text="EL">
      <formula>NOT(ISERROR(SEARCH("EL",BE99)))</formula>
    </cfRule>
    <cfRule type="containsText" dxfId="894" priority="539" operator="containsText" text="AB">
      <formula>NOT(ISERROR(SEARCH("AB",BE99)))</formula>
    </cfRule>
    <cfRule type="containsText" dxfId="893" priority="540" operator="containsText" text="SUS">
      <formula>NOT(ISERROR(SEARCH("SUS",BE99)))</formula>
    </cfRule>
    <cfRule type="containsText" dxfId="892" priority="541" operator="containsText" text="FL">
      <formula>NOT(ISERROR(SEARCH("FL",BE99)))</formula>
    </cfRule>
    <cfRule type="containsText" dxfId="891" priority="542" operator="containsText" text="MC">
      <formula>NOT(ISERROR(SEARCH("MC",BE99)))</formula>
    </cfRule>
    <cfRule type="containsText" dxfId="890" priority="544" operator="containsText" text="Sick">
      <formula>NOT(ISERROR(SEARCH("Sick",BE99)))</formula>
    </cfRule>
    <cfRule type="containsText" dxfId="889" priority="545" operator="containsText" text="OFF">
      <formula>NOT(ISERROR(SEARCH("OFF",BE99)))</formula>
    </cfRule>
    <cfRule type="containsText" dxfId="888" priority="546" operator="containsText" text="AL">
      <formula>NOT(ISERROR(SEARCH("AL",BE99)))</formula>
    </cfRule>
    <cfRule type="containsText" dxfId="887" priority="543" operator="containsText" text="AB">
      <formula>NOT(ISERROR(SEARCH("AB",BE99)))</formula>
    </cfRule>
  </conditionalFormatting>
  <conditionalFormatting sqref="BE103:BF104">
    <cfRule type="containsText" dxfId="886" priority="537" operator="containsText" text="AL">
      <formula>NOT(ISERROR(SEARCH("AL",BE103)))</formula>
    </cfRule>
    <cfRule type="containsText" dxfId="885" priority="531" operator="containsText" text="SUS">
      <formula>NOT(ISERROR(SEARCH("SUS",BE103)))</formula>
    </cfRule>
    <cfRule type="containsText" dxfId="884" priority="529" operator="containsText" text="EL">
      <formula>NOT(ISERROR(SEARCH("EL",BE103)))</formula>
    </cfRule>
    <cfRule type="containsText" dxfId="883" priority="530" operator="containsText" text="AB">
      <formula>NOT(ISERROR(SEARCH("AB",BE103)))</formula>
    </cfRule>
    <cfRule type="containsText" dxfId="882" priority="532" operator="containsText" text="FL">
      <formula>NOT(ISERROR(SEARCH("FL",BE103)))</formula>
    </cfRule>
    <cfRule type="containsText" dxfId="881" priority="533" operator="containsText" text="MC">
      <formula>NOT(ISERROR(SEARCH("MC",BE103)))</formula>
    </cfRule>
    <cfRule type="containsText" dxfId="880" priority="534" operator="containsText" text="AB">
      <formula>NOT(ISERROR(SEARCH("AB",BE103)))</formula>
    </cfRule>
    <cfRule type="containsText" dxfId="879" priority="535" operator="containsText" text="Sick">
      <formula>NOT(ISERROR(SEARCH("Sick",BE103)))</formula>
    </cfRule>
    <cfRule type="containsText" dxfId="878" priority="536" operator="containsText" text="OFF">
      <formula>NOT(ISERROR(SEARCH("OFF",BE103)))</formula>
    </cfRule>
  </conditionalFormatting>
  <conditionalFormatting sqref="BE106:BF108">
    <cfRule type="containsText" dxfId="877" priority="523" operator="containsText" text="FL">
      <formula>NOT(ISERROR(SEARCH("FL",BE106)))</formula>
    </cfRule>
    <cfRule type="containsText" dxfId="876" priority="525" operator="containsText" text="AB">
      <formula>NOT(ISERROR(SEARCH("AB",BE106)))</formula>
    </cfRule>
    <cfRule type="containsText" dxfId="875" priority="522" operator="containsText" text="SUS">
      <formula>NOT(ISERROR(SEARCH("SUS",BE106)))</formula>
    </cfRule>
    <cfRule type="containsText" dxfId="874" priority="521" operator="containsText" text="AB">
      <formula>NOT(ISERROR(SEARCH("AB",BE106)))</formula>
    </cfRule>
    <cfRule type="containsText" dxfId="873" priority="520" operator="containsText" text="EL">
      <formula>NOT(ISERROR(SEARCH("EL",BE106)))</formula>
    </cfRule>
    <cfRule type="containsText" dxfId="872" priority="526" operator="containsText" text="Sick">
      <formula>NOT(ISERROR(SEARCH("Sick",BE106)))</formula>
    </cfRule>
    <cfRule type="containsText" dxfId="871" priority="527" operator="containsText" text="OFF">
      <formula>NOT(ISERROR(SEARCH("OFF",BE106)))</formula>
    </cfRule>
    <cfRule type="containsText" dxfId="870" priority="528" operator="containsText" text="AL">
      <formula>NOT(ISERROR(SEARCH("AL",BE106)))</formula>
    </cfRule>
    <cfRule type="containsText" dxfId="869" priority="524" operator="containsText" text="MC">
      <formula>NOT(ISERROR(SEARCH("MC",BE106)))</formula>
    </cfRule>
  </conditionalFormatting>
  <conditionalFormatting sqref="BG144 I51:J53 I55:J55">
    <cfRule type="containsText" dxfId="868" priority="3231" operator="containsText" text="Sick">
      <formula>NOT(ISERROR(SEARCH("Sick",I51)))</formula>
    </cfRule>
  </conditionalFormatting>
  <conditionalFormatting sqref="BG144">
    <cfRule type="containsText" dxfId="867" priority="3230" operator="containsText" text="AB">
      <formula>NOT(ISERROR(SEARCH("AB",BG144)))</formula>
    </cfRule>
  </conditionalFormatting>
  <conditionalFormatting sqref="BG144:BH144 I51:J53 I55:J55 AG54:AT55 AW54:BP55 AO55:BP55 AG68:AI68 AJ139 E143:F143 BC68:BP68 AO143:BP143 E68:F68">
    <cfRule type="containsText" dxfId="866" priority="3248" operator="containsText" text="AB">
      <formula>NOT(ISERROR(SEARCH("AB",E51)))</formula>
    </cfRule>
  </conditionalFormatting>
  <conditionalFormatting sqref="BG144:BH144">
    <cfRule type="containsText" dxfId="865" priority="3243" operator="containsText" text="EL">
      <formula>NOT(ISERROR(SEARCH("EL",BG144)))</formula>
    </cfRule>
  </conditionalFormatting>
  <conditionalFormatting sqref="BH144">
    <cfRule type="containsText" dxfId="864" priority="3267" operator="containsText" text="Sick">
      <formula>NOT(ISERROR(SEARCH("Sick",BH144)))</formula>
    </cfRule>
    <cfRule type="containsText" dxfId="863" priority="3265" operator="containsText" text="MC">
      <formula>NOT(ISERROR(SEARCH("MC",BH144)))</formula>
    </cfRule>
    <cfRule type="containsText" dxfId="862" priority="3264" operator="containsText" text="FL">
      <formula>NOT(ISERROR(SEARCH("FL",BH144)))</formula>
    </cfRule>
    <cfRule type="containsText" dxfId="861" priority="3268" operator="containsText" text="OFF">
      <formula>NOT(ISERROR(SEARCH("OFF",BH144)))</formula>
    </cfRule>
    <cfRule type="containsText" dxfId="860" priority="3269" operator="containsText" text="AL">
      <formula>NOT(ISERROR(SEARCH("AL",BH144)))</formula>
    </cfRule>
    <cfRule type="containsText" dxfId="859" priority="3263" operator="containsText" text="SUS">
      <formula>NOT(ISERROR(SEARCH("SUS",BH144)))</formula>
    </cfRule>
  </conditionalFormatting>
  <conditionalFormatting sqref="BK144">
    <cfRule type="containsText" dxfId="858" priority="1857" operator="containsText" text="MC">
      <formula>NOT(ISERROR(SEARCH("MC",BK144)))</formula>
    </cfRule>
    <cfRule type="containsText" dxfId="857" priority="1858" operator="containsText" text="AB">
      <formula>NOT(ISERROR(SEARCH("AB",BK144)))</formula>
    </cfRule>
    <cfRule type="containsText" dxfId="856" priority="1859" operator="containsText" text="Sick">
      <formula>NOT(ISERROR(SEARCH("Sick",BK144)))</formula>
    </cfRule>
    <cfRule type="containsText" dxfId="855" priority="1860" operator="containsText" text="OFF">
      <formula>NOT(ISERROR(SEARCH("OFF",BK144)))</formula>
    </cfRule>
    <cfRule type="containsText" dxfId="854" priority="1861" operator="containsText" text="AL">
      <formula>NOT(ISERROR(SEARCH("AL",BK144)))</formula>
    </cfRule>
    <cfRule type="containsText" dxfId="853" priority="1855" operator="containsText" text="SUS">
      <formula>NOT(ISERROR(SEARCH("SUS",BK144)))</formula>
    </cfRule>
    <cfRule type="containsText" dxfId="852" priority="1856" operator="containsText" text="FL">
      <formula>NOT(ISERROR(SEARCH("FL",BK144)))</formula>
    </cfRule>
  </conditionalFormatting>
  <conditionalFormatting sqref="BK144:BL144">
    <cfRule type="containsText" dxfId="851" priority="1846" operator="containsText" text="EL">
      <formula>NOT(ISERROR(SEARCH("EL",BK144)))</formula>
    </cfRule>
    <cfRule type="containsText" dxfId="850" priority="1851" operator="containsText" text="AB">
      <formula>NOT(ISERROR(SEARCH("AB",BK144)))</formula>
    </cfRule>
  </conditionalFormatting>
  <conditionalFormatting sqref="BL144">
    <cfRule type="containsText" dxfId="849" priority="1847" operator="containsText" text="AB">
      <formula>NOT(ISERROR(SEARCH("AB",BL144)))</formula>
    </cfRule>
    <cfRule type="containsText" dxfId="848" priority="1852" operator="containsText" text="Sick">
      <formula>NOT(ISERROR(SEARCH("Sick",BL144)))</formula>
    </cfRule>
    <cfRule type="containsText" dxfId="847" priority="1848" operator="containsText" text="SUS">
      <formula>NOT(ISERROR(SEARCH("SUS",BL144)))</formula>
    </cfRule>
    <cfRule type="containsText" dxfId="846" priority="1849" operator="containsText" text="FL">
      <formula>NOT(ISERROR(SEARCH("FL",BL144)))</formula>
    </cfRule>
    <cfRule type="containsText" dxfId="845" priority="1850" operator="containsText" text="MC">
      <formula>NOT(ISERROR(SEARCH("MC",BL144)))</formula>
    </cfRule>
    <cfRule type="containsText" dxfId="844" priority="1854" operator="containsText" text="AL">
      <formula>NOT(ISERROR(SEARCH("AL",BL144)))</formula>
    </cfRule>
    <cfRule type="containsText" dxfId="843" priority="1853" operator="containsText" text="OFF">
      <formula>NOT(ISERROR(SEARCH("OFF",BL144)))</formula>
    </cfRule>
  </conditionalFormatting>
  <conditionalFormatting sqref="BR2 BR5:BR27 BR41:BR115 BR138:BR145">
    <cfRule type="cellIs" dxfId="842" priority="13645" stopIfTrue="1" operator="equal">
      <formula>";"</formula>
    </cfRule>
  </conditionalFormatting>
  <conditionalFormatting sqref="BR38">
    <cfRule type="cellIs" dxfId="841" priority="13608" operator="equal">
      <formula>";"</formula>
    </cfRule>
  </conditionalFormatting>
  <conditionalFormatting sqref="BT4">
    <cfRule type="containsText" dxfId="840" priority="3468" operator="containsText" text="AL">
      <formula>NOT(ISERROR(SEARCH("AL",BT4)))</formula>
    </cfRule>
    <cfRule type="containsText" dxfId="839" priority="3467" operator="containsText" text="OFF">
      <formula>NOT(ISERROR(SEARCH("OFF",BT4)))</formula>
    </cfRule>
    <cfRule type="containsText" dxfId="838" priority="3466" operator="containsText" text="Sick">
      <formula>NOT(ISERROR(SEARCH("Sick",BT4)))</formula>
    </cfRule>
    <cfRule type="containsText" dxfId="837" priority="3465" operator="containsText" text="AB">
      <formula>NOT(ISERROR(SEARCH("AB",BT4)))</formula>
    </cfRule>
    <cfRule type="containsText" dxfId="836" priority="3464" operator="containsText" text="MC">
      <formula>NOT(ISERROR(SEARCH("MC",BT4)))</formula>
    </cfRule>
    <cfRule type="containsText" dxfId="835" priority="3463" operator="containsText" text="FL">
      <formula>NOT(ISERROR(SEARCH("FL",BT4)))</formula>
    </cfRule>
    <cfRule type="containsText" dxfId="834" priority="3462" operator="containsText" text="SUS">
      <formula>NOT(ISERROR(SEARCH("SUS",BT4)))</formula>
    </cfRule>
  </conditionalFormatting>
  <conditionalFormatting sqref="BT40">
    <cfRule type="containsText" dxfId="833" priority="3456" operator="containsText" text="AB">
      <formula>NOT(ISERROR(SEARCH("AB",BT40)))</formula>
    </cfRule>
    <cfRule type="containsText" dxfId="832" priority="3455" operator="containsText" text="MC">
      <formula>NOT(ISERROR(SEARCH("MC",BT40)))</formula>
    </cfRule>
    <cfRule type="containsText" dxfId="831" priority="3454" operator="containsText" text="FL">
      <formula>NOT(ISERROR(SEARCH("FL",BT40)))</formula>
    </cfRule>
    <cfRule type="containsText" dxfId="830" priority="3453" operator="containsText" text="SUS">
      <formula>NOT(ISERROR(SEARCH("SUS",BT40)))</formula>
    </cfRule>
    <cfRule type="containsText" dxfId="829" priority="3459" operator="containsText" text="AL">
      <formula>NOT(ISERROR(SEARCH("AL",BT40)))</formula>
    </cfRule>
    <cfRule type="containsText" dxfId="828" priority="3458" operator="containsText" text="OFF">
      <formula>NOT(ISERROR(SEARCH("OFF",BT40)))</formula>
    </cfRule>
    <cfRule type="containsText" dxfId="827" priority="3457" operator="containsText" text="Sick">
      <formula>NOT(ISERROR(SEARCH("Sick",BT40)))</formula>
    </cfRule>
  </conditionalFormatting>
  <conditionalFormatting sqref="BT4:BU4">
    <cfRule type="containsText" dxfId="826" priority="3407" operator="containsText" text="AB">
      <formula>NOT(ISERROR(SEARCH("AB",BT4)))</formula>
    </cfRule>
  </conditionalFormatting>
  <conditionalFormatting sqref="BT40:BU40">
    <cfRule type="containsText" dxfId="825" priority="3313" operator="containsText" text="AB">
      <formula>NOT(ISERROR(SEARCH("AB",BT40)))</formula>
    </cfRule>
  </conditionalFormatting>
  <conditionalFormatting sqref="BT4:BY4">
    <cfRule type="containsText" dxfId="824" priority="3375" operator="containsText" text="EL">
      <formula>NOT(ISERROR(SEARCH("EL",BT4)))</formula>
    </cfRule>
  </conditionalFormatting>
  <conditionalFormatting sqref="BT40:BY40">
    <cfRule type="containsText" dxfId="823" priority="3299" operator="containsText" text="EL">
      <formula>NOT(ISERROR(SEARCH("EL",BT40)))</formula>
    </cfRule>
  </conditionalFormatting>
  <conditionalFormatting sqref="BU4">
    <cfRule type="containsText" dxfId="822" priority="3410" operator="containsText" text="AL">
      <formula>NOT(ISERROR(SEARCH("AL",BU4)))</formula>
    </cfRule>
    <cfRule type="containsText" dxfId="821" priority="3409" operator="containsText" text="OFF">
      <formula>NOT(ISERROR(SEARCH("OFF",BU4)))</formula>
    </cfRule>
    <cfRule type="containsText" dxfId="820" priority="3404" operator="containsText" text="SUS">
      <formula>NOT(ISERROR(SEARCH("SUS",BU4)))</formula>
    </cfRule>
    <cfRule type="containsText" dxfId="819" priority="3405" operator="containsText" text="FL">
      <formula>NOT(ISERROR(SEARCH("FL",BU4)))</formula>
    </cfRule>
    <cfRule type="containsText" dxfId="818" priority="3406" operator="containsText" text="MC">
      <formula>NOT(ISERROR(SEARCH("MC",BU4)))</formula>
    </cfRule>
    <cfRule type="containsText" dxfId="817" priority="3408" operator="containsText" text="Sick">
      <formula>NOT(ISERROR(SEARCH("Sick",BU4)))</formula>
    </cfRule>
  </conditionalFormatting>
  <conditionalFormatting sqref="BU40">
    <cfRule type="containsText" dxfId="816" priority="3314" operator="containsText" text="Sick">
      <formula>NOT(ISERROR(SEARCH("Sick",BU40)))</formula>
    </cfRule>
    <cfRule type="containsText" dxfId="815" priority="3310" operator="containsText" text="SUS">
      <formula>NOT(ISERROR(SEARCH("SUS",BU40)))</formula>
    </cfRule>
    <cfRule type="containsText" dxfId="814" priority="3311" operator="containsText" text="FL">
      <formula>NOT(ISERROR(SEARCH("FL",BU40)))</formula>
    </cfRule>
    <cfRule type="containsText" dxfId="813" priority="3312" operator="containsText" text="MC">
      <formula>NOT(ISERROR(SEARCH("MC",BU40)))</formula>
    </cfRule>
    <cfRule type="containsText" dxfId="812" priority="3315" operator="containsText" text="OFF">
      <formula>NOT(ISERROR(SEARCH("OFF",BU40)))</formula>
    </cfRule>
    <cfRule type="containsText" dxfId="811" priority="3316" operator="containsText" text="AL">
      <formula>NOT(ISERROR(SEARCH("AL",BU40)))</formula>
    </cfRule>
  </conditionalFormatting>
  <conditionalFormatting sqref="BU4:BV4">
    <cfRule type="containsText" dxfId="810" priority="3380" operator="containsText" text="AB">
      <formula>NOT(ISERROR(SEARCH("AB",BU4)))</formula>
    </cfRule>
  </conditionalFormatting>
  <conditionalFormatting sqref="BU40:BV40">
    <cfRule type="containsText" dxfId="809" priority="3304" operator="containsText" text="AB">
      <formula>NOT(ISERROR(SEARCH("AB",BU40)))</formula>
    </cfRule>
  </conditionalFormatting>
  <conditionalFormatting sqref="BV4">
    <cfRule type="containsText" dxfId="808" priority="3382" operator="containsText" text="OFF">
      <formula>NOT(ISERROR(SEARCH("OFF",BV4)))</formula>
    </cfRule>
    <cfRule type="containsText" dxfId="807" priority="3379" operator="containsText" text="MC">
      <formula>NOT(ISERROR(SEARCH("MC",BV4)))</formula>
    </cfRule>
    <cfRule type="containsText" dxfId="806" priority="3381" operator="containsText" text="Sick">
      <formula>NOT(ISERROR(SEARCH("Sick",BV4)))</formula>
    </cfRule>
    <cfRule type="containsText" dxfId="805" priority="3376" operator="containsText" text="AB">
      <formula>NOT(ISERROR(SEARCH("AB",BV4)))</formula>
    </cfRule>
    <cfRule type="containsText" dxfId="804" priority="3377" operator="containsText" text="SUS">
      <formula>NOT(ISERROR(SEARCH("SUS",BV4)))</formula>
    </cfRule>
    <cfRule type="containsText" dxfId="803" priority="3383" operator="containsText" text="AL">
      <formula>NOT(ISERROR(SEARCH("AL",BV4)))</formula>
    </cfRule>
    <cfRule type="containsText" dxfId="802" priority="3378" operator="containsText" text="FL">
      <formula>NOT(ISERROR(SEARCH("FL",BV4)))</formula>
    </cfRule>
  </conditionalFormatting>
  <conditionalFormatting sqref="BV40">
    <cfRule type="containsText" dxfId="801" priority="3300" operator="containsText" text="AB">
      <formula>NOT(ISERROR(SEARCH("AB",BV40)))</formula>
    </cfRule>
    <cfRule type="containsText" dxfId="800" priority="3301" operator="containsText" text="SUS">
      <formula>NOT(ISERROR(SEARCH("SUS",BV40)))</formula>
    </cfRule>
    <cfRule type="containsText" dxfId="799" priority="3302" operator="containsText" text="FL">
      <formula>NOT(ISERROR(SEARCH("FL",BV40)))</formula>
    </cfRule>
    <cfRule type="containsText" dxfId="798" priority="3303" operator="containsText" text="MC">
      <formula>NOT(ISERROR(SEARCH("MC",BV40)))</formula>
    </cfRule>
    <cfRule type="containsText" dxfId="797" priority="3305" operator="containsText" text="Sick">
      <formula>NOT(ISERROR(SEARCH("Sick",BV40)))</formula>
    </cfRule>
    <cfRule type="containsText" dxfId="796" priority="3306" operator="containsText" text="OFF">
      <formula>NOT(ISERROR(SEARCH("OFF",BV40)))</formula>
    </cfRule>
    <cfRule type="containsText" dxfId="795" priority="3307" operator="containsText" text="AL">
      <formula>NOT(ISERROR(SEARCH("AL",BV40)))</formula>
    </cfRule>
  </conditionalFormatting>
  <conditionalFormatting sqref="BW4 AG54:AI55 AG68:AI68 E143:F143">
    <cfRule type="containsText" dxfId="794" priority="3484" operator="containsText" text="Sick">
      <formula>NOT(ISERROR(SEARCH("Sick",E4)))</formula>
    </cfRule>
    <cfRule type="containsText" dxfId="793" priority="3485" operator="containsText" text="OFF">
      <formula>NOT(ISERROR(SEARCH("OFF",E4)))</formula>
    </cfRule>
    <cfRule type="containsText" dxfId="792" priority="3486" operator="containsText" text="AL">
      <formula>NOT(ISERROR(SEARCH("AL",E4)))</formula>
    </cfRule>
  </conditionalFormatting>
  <conditionalFormatting sqref="BW4 AJ54:AT55 AW54:BP55 BC68:BP68 AO143:BP143 E68:F68">
    <cfRule type="containsText" dxfId="791" priority="3480" operator="containsText" text="SUS">
      <formula>NOT(ISERROR(SEARCH("SUS",E4)))</formula>
    </cfRule>
    <cfRule type="containsText" dxfId="790" priority="3481" operator="containsText" text="FL">
      <formula>NOT(ISERROR(SEARCH("FL",E4)))</formula>
    </cfRule>
  </conditionalFormatting>
  <conditionalFormatting sqref="BW4">
    <cfRule type="containsText" dxfId="789" priority="3482" operator="containsText" text="MC">
      <formula>NOT(ISERROR(SEARCH("MC",BW4)))</formula>
    </cfRule>
    <cfRule type="containsText" dxfId="788" priority="3483" operator="containsText" text="AB">
      <formula>NOT(ISERROR(SEARCH("AB",BW4)))</formula>
    </cfRule>
  </conditionalFormatting>
  <conditionalFormatting sqref="BW40">
    <cfRule type="containsText" dxfId="787" priority="3472" operator="containsText" text="FL">
      <formula>NOT(ISERROR(SEARCH("FL",BW40)))</formula>
    </cfRule>
    <cfRule type="containsText" dxfId="786" priority="3477" operator="containsText" text="AL">
      <formula>NOT(ISERROR(SEARCH("AL",BW40)))</formula>
    </cfRule>
    <cfRule type="containsText" dxfId="785" priority="3474" operator="containsText" text="AB">
      <formula>NOT(ISERROR(SEARCH("AB",BW40)))</formula>
    </cfRule>
    <cfRule type="containsText" dxfId="784" priority="3475" operator="containsText" text="Sick">
      <formula>NOT(ISERROR(SEARCH("Sick",BW40)))</formula>
    </cfRule>
    <cfRule type="containsText" dxfId="783" priority="3471" operator="containsText" text="SUS">
      <formula>NOT(ISERROR(SEARCH("SUS",BW40)))</formula>
    </cfRule>
    <cfRule type="containsText" dxfId="782" priority="3476" operator="containsText" text="OFF">
      <formula>NOT(ISERROR(SEARCH("OFF",BW40)))</formula>
    </cfRule>
    <cfRule type="containsText" dxfId="781" priority="3473" operator="containsText" text="MC">
      <formula>NOT(ISERROR(SEARCH("MC",BW40)))</formula>
    </cfRule>
  </conditionalFormatting>
  <conditionalFormatting sqref="BW4:BY4">
    <cfRule type="containsText" dxfId="780" priority="3389" operator="containsText" text="AB">
      <formula>NOT(ISERROR(SEARCH("AB",BW4)))</formula>
    </cfRule>
  </conditionalFormatting>
  <conditionalFormatting sqref="BW40:BY40">
    <cfRule type="containsText" dxfId="779" priority="3322" operator="containsText" text="AB">
      <formula>NOT(ISERROR(SEARCH("AB",BW40)))</formula>
    </cfRule>
  </conditionalFormatting>
  <conditionalFormatting sqref="BX4">
    <cfRule type="containsText" dxfId="778" priority="3388" operator="containsText" text="MC">
      <formula>NOT(ISERROR(SEARCH("MC",BX4)))</formula>
    </cfRule>
    <cfRule type="containsText" dxfId="777" priority="3390" operator="containsText" text="Sick">
      <formula>NOT(ISERROR(SEARCH("Sick",BX4)))</formula>
    </cfRule>
    <cfRule type="containsText" dxfId="776" priority="3392" operator="containsText" text="AL">
      <formula>NOT(ISERROR(SEARCH("AL",BX4)))</formula>
    </cfRule>
    <cfRule type="containsText" dxfId="775" priority="3391" operator="containsText" text="OFF">
      <formula>NOT(ISERROR(SEARCH("OFF",BX4)))</formula>
    </cfRule>
    <cfRule type="containsText" dxfId="774" priority="3387" operator="containsText" text="FL">
      <formula>NOT(ISERROR(SEARCH("FL",BX4)))</formula>
    </cfRule>
    <cfRule type="containsText" dxfId="773" priority="3386" operator="containsText" text="SUS">
      <formula>NOT(ISERROR(SEARCH("SUS",BX4)))</formula>
    </cfRule>
    <cfRule type="containsText" dxfId="772" priority="3385" operator="containsText" text="AB">
      <formula>NOT(ISERROR(SEARCH("AB",BX4)))</formula>
    </cfRule>
  </conditionalFormatting>
  <conditionalFormatting sqref="BX40">
    <cfRule type="containsText" dxfId="771" priority="3323" operator="containsText" text="Sick">
      <formula>NOT(ISERROR(SEARCH("Sick",BX40)))</formula>
    </cfRule>
    <cfRule type="containsText" dxfId="770" priority="3324" operator="containsText" text="OFF">
      <formula>NOT(ISERROR(SEARCH("OFF",BX40)))</formula>
    </cfRule>
    <cfRule type="containsText" dxfId="769" priority="3325" operator="containsText" text="AL">
      <formula>NOT(ISERROR(SEARCH("AL",BX40)))</formula>
    </cfRule>
    <cfRule type="containsText" dxfId="768" priority="3318" operator="containsText" text="AB">
      <formula>NOT(ISERROR(SEARCH("AB",BX40)))</formula>
    </cfRule>
    <cfRule type="containsText" dxfId="767" priority="3319" operator="containsText" text="SUS">
      <formula>NOT(ISERROR(SEARCH("SUS",BX40)))</formula>
    </cfRule>
    <cfRule type="containsText" dxfId="766" priority="3320" operator="containsText" text="FL">
      <formula>NOT(ISERROR(SEARCH("FL",BX40)))</formula>
    </cfRule>
    <cfRule type="containsText" dxfId="765" priority="3321" operator="containsText" text="MC">
      <formula>NOT(ISERROR(SEARCH("MC",BX40)))</formula>
    </cfRule>
  </conditionalFormatting>
  <conditionalFormatting sqref="BY4">
    <cfRule type="containsText" dxfId="764" priority="3401" operator="containsText" text="AL">
      <formula>NOT(ISERROR(SEARCH("AL",BY4)))</formula>
    </cfRule>
    <cfRule type="containsText" dxfId="763" priority="3395" operator="containsText" text="SUS">
      <formula>NOT(ISERROR(SEARCH("SUS",BY4)))</formula>
    </cfRule>
    <cfRule type="containsText" dxfId="762" priority="3400" operator="containsText" text="OFF">
      <formula>NOT(ISERROR(SEARCH("OFF",BY4)))</formula>
    </cfRule>
    <cfRule type="containsText" dxfId="761" priority="3399" operator="containsText" text="Sick">
      <formula>NOT(ISERROR(SEARCH("Sick",BY4)))</formula>
    </cfRule>
    <cfRule type="containsText" dxfId="760" priority="3398" operator="containsText" text="AB">
      <formula>NOT(ISERROR(SEARCH("AB",BY4)))</formula>
    </cfRule>
    <cfRule type="containsText" dxfId="759" priority="3397" operator="containsText" text="MC">
      <formula>NOT(ISERROR(SEARCH("MC",BY4)))</formula>
    </cfRule>
    <cfRule type="containsText" dxfId="758" priority="3396" operator="containsText" text="FL">
      <formula>NOT(ISERROR(SEARCH("FL",BY4)))</formula>
    </cfRule>
  </conditionalFormatting>
  <conditionalFormatting sqref="BY40">
    <cfRule type="containsText" dxfId="757" priority="3328" operator="containsText" text="SUS">
      <formula>NOT(ISERROR(SEARCH("SUS",BY40)))</formula>
    </cfRule>
    <cfRule type="containsText" dxfId="756" priority="3329" operator="containsText" text="FL">
      <formula>NOT(ISERROR(SEARCH("FL",BY40)))</formula>
    </cfRule>
    <cfRule type="containsText" dxfId="755" priority="3334" operator="containsText" text="AL">
      <formula>NOT(ISERROR(SEARCH("AL",BY40)))</formula>
    </cfRule>
    <cfRule type="containsText" dxfId="754" priority="3333" operator="containsText" text="OFF">
      <formula>NOT(ISERROR(SEARCH("OFF",BY40)))</formula>
    </cfRule>
    <cfRule type="containsText" dxfId="753" priority="3332" operator="containsText" text="Sick">
      <formula>NOT(ISERROR(SEARCH("Sick",BY40)))</formula>
    </cfRule>
    <cfRule type="containsText" dxfId="752" priority="3331" operator="containsText" text="AB">
      <formula>NOT(ISERROR(SEARCH("AB",BY40)))</formula>
    </cfRule>
    <cfRule type="containsText" dxfId="751" priority="3330" operator="containsText" text="MC">
      <formula>NOT(ISERROR(SEARCH("MC",BY40)))</formula>
    </cfRule>
  </conditionalFormatting>
  <conditionalFormatting sqref="BZ4">
    <cfRule type="containsText" dxfId="750" priority="3448" operator="containsText" text="AB">
      <formula>NOT(ISERROR(SEARCH("AB",BZ4)))</formula>
    </cfRule>
    <cfRule type="containsText" dxfId="749" priority="3447" operator="containsText" text="OFF">
      <formula>NOT(ISERROR(SEARCH("OFF",BZ4)))</formula>
    </cfRule>
    <cfRule type="containsText" dxfId="748" priority="3446" operator="containsText" text="MC">
      <formula>NOT(ISERROR(SEARCH("MC",BZ4)))</formula>
    </cfRule>
    <cfRule type="containsText" dxfId="747" priority="3445" operator="containsText" text="EL">
      <formula>NOT(ISERROR(SEARCH("EL",BZ4)))</formula>
    </cfRule>
    <cfRule type="containsText" dxfId="746" priority="3444" operator="containsText" text="FL">
      <formula>NOT(ISERROR(SEARCH("FL",BZ4)))</formula>
    </cfRule>
    <cfRule type="containsText" dxfId="745" priority="3443" operator="containsText" text="SUS">
      <formula>NOT(ISERROR(SEARCH("SUS",BZ4)))</formula>
    </cfRule>
    <cfRule type="containsText" dxfId="744" priority="3442" operator="containsText" text="NL">
      <formula>NOT(ISERROR(SEARCH("NL",BZ4)))</formula>
    </cfRule>
    <cfRule type="containsText" dxfId="743" priority="3441" operator="containsText" text="SP">
      <formula>NOT(ISERROR(SEARCH("SP",BZ4)))</formula>
    </cfRule>
    <cfRule type="containsText" dxfId="742" priority="3450" operator="containsText" text="AL">
      <formula>NOT(ISERROR(SEARCH("AL",BZ4)))</formula>
    </cfRule>
    <cfRule type="containsText" dxfId="741" priority="3449" operator="containsText" text="SICK">
      <formula>NOT(ISERROR(SEARCH("SICK",BZ4)))</formula>
    </cfRule>
  </conditionalFormatting>
  <conditionalFormatting sqref="BZ40">
    <cfRule type="containsText" dxfId="740" priority="3437" operator="containsText" text="OFF">
      <formula>NOT(ISERROR(SEARCH("OFF",BZ40)))</formula>
    </cfRule>
    <cfRule type="containsText" dxfId="739" priority="3436" operator="containsText" text="MC">
      <formula>NOT(ISERROR(SEARCH("MC",BZ40)))</formula>
    </cfRule>
    <cfRule type="containsText" dxfId="738" priority="3434" operator="containsText" text="FL">
      <formula>NOT(ISERROR(SEARCH("FL",BZ40)))</formula>
    </cfRule>
    <cfRule type="containsText" dxfId="737" priority="3433" operator="containsText" text="SUS">
      <formula>NOT(ISERROR(SEARCH("SUS",BZ40)))</formula>
    </cfRule>
    <cfRule type="containsText" dxfId="736" priority="3432" operator="containsText" text="NL">
      <formula>NOT(ISERROR(SEARCH("NL",BZ40)))</formula>
    </cfRule>
    <cfRule type="containsText" dxfId="735" priority="3431" operator="containsText" text="SP">
      <formula>NOT(ISERROR(SEARCH("SP",BZ40)))</formula>
    </cfRule>
    <cfRule type="containsText" dxfId="734" priority="3435" operator="containsText" text="EL">
      <formula>NOT(ISERROR(SEARCH("EL",BZ40)))</formula>
    </cfRule>
    <cfRule type="containsText" dxfId="733" priority="3440" operator="containsText" text="AL">
      <formula>NOT(ISERROR(SEARCH("AL",BZ40)))</formula>
    </cfRule>
    <cfRule type="containsText" dxfId="732" priority="3439" operator="containsText" text="SICK">
      <formula>NOT(ISERROR(SEARCH("SICK",BZ40)))</formula>
    </cfRule>
    <cfRule type="containsText" dxfId="731" priority="3438" operator="containsText" text="AB">
      <formula>NOT(ISERROR(SEARCH("AB",BZ40)))</formula>
    </cfRule>
  </conditionalFormatting>
  <conditionalFormatting sqref="CB4:CD4">
    <cfRule type="containsText" dxfId="730" priority="3335" operator="containsText" text="SP">
      <formula>NOT(ISERROR(SEARCH("SP",CB4)))</formula>
    </cfRule>
    <cfRule type="containsText" dxfId="729" priority="3337" operator="containsText" text="SUS">
      <formula>NOT(ISERROR(SEARCH("SUS",CB4)))</formula>
    </cfRule>
    <cfRule type="containsText" dxfId="728" priority="3338" operator="containsText" text="FL">
      <formula>NOT(ISERROR(SEARCH("FL",CB4)))</formula>
    </cfRule>
    <cfRule type="containsText" dxfId="727" priority="3339" operator="containsText" text="EL">
      <formula>NOT(ISERROR(SEARCH("EL",CB4)))</formula>
    </cfRule>
    <cfRule type="containsText" dxfId="726" priority="3340" operator="containsText" text="MC">
      <formula>NOT(ISERROR(SEARCH("MC",CB4)))</formula>
    </cfRule>
    <cfRule type="containsText" dxfId="725" priority="3341" operator="containsText" text="OFF">
      <formula>NOT(ISERROR(SEARCH("OFF",CB4)))</formula>
    </cfRule>
    <cfRule type="containsText" dxfId="724" priority="3342" operator="containsText" text="AB">
      <formula>NOT(ISERROR(SEARCH("AB",CB4)))</formula>
    </cfRule>
    <cfRule type="containsText" dxfId="723" priority="3343" operator="containsText" text="SICK">
      <formula>NOT(ISERROR(SEARCH("SICK",CB4)))</formula>
    </cfRule>
    <cfRule type="containsText" dxfId="722" priority="3336" operator="containsText" text="NL">
      <formula>NOT(ISERROR(SEARCH("NL",CB4)))</formula>
    </cfRule>
    <cfRule type="containsText" dxfId="721" priority="3344" operator="containsText" text="AL">
      <formula>NOT(ISERROR(SEARCH("AL",CB4)))</formula>
    </cfRule>
  </conditionalFormatting>
  <conditionalFormatting sqref="CB40:CD40">
    <cfRule type="containsText" dxfId="720" priority="3351" operator="containsText" text="OFF">
      <formula>NOT(ISERROR(SEARCH("OFF",CB40)))</formula>
    </cfRule>
    <cfRule type="containsText" dxfId="719" priority="3353" operator="containsText" text="SICK">
      <formula>NOT(ISERROR(SEARCH("SICK",CB40)))</formula>
    </cfRule>
    <cfRule type="containsText" dxfId="718" priority="3354" operator="containsText" text="AL">
      <formula>NOT(ISERROR(SEARCH("AL",CB40)))</formula>
    </cfRule>
    <cfRule type="containsText" dxfId="717" priority="3345" operator="containsText" text="SP">
      <formula>NOT(ISERROR(SEARCH("SP",CB40)))</formula>
    </cfRule>
    <cfRule type="containsText" dxfId="716" priority="3346" operator="containsText" text="NL">
      <formula>NOT(ISERROR(SEARCH("NL",CB40)))</formula>
    </cfRule>
    <cfRule type="containsText" dxfId="715" priority="3347" operator="containsText" text="SUS">
      <formula>NOT(ISERROR(SEARCH("SUS",CB40)))</formula>
    </cfRule>
    <cfRule type="containsText" dxfId="714" priority="3348" operator="containsText" text="FL">
      <formula>NOT(ISERROR(SEARCH("FL",CB40)))</formula>
    </cfRule>
    <cfRule type="containsText" dxfId="713" priority="3349" operator="containsText" text="EL">
      <formula>NOT(ISERROR(SEARCH("EL",CB40)))</formula>
    </cfRule>
    <cfRule type="containsText" dxfId="712" priority="3350" operator="containsText" text="MC">
      <formula>NOT(ISERROR(SEARCH("MC",CB40)))</formula>
    </cfRule>
    <cfRule type="containsText" dxfId="711" priority="3352" operator="containsText" text="AB">
      <formula>NOT(ISERROR(SEARCH("AB",CB40)))</formula>
    </cfRule>
  </conditionalFormatting>
  <pageMargins left="0.7" right="0.7" top="0.75" bottom="0.75" header="0.3" footer="0.3"/>
  <pageSetup paperSize="9" scale="20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09F5-324D-4EE8-A17D-1F4E9A6A3159}">
  <sheetPr>
    <pageSetUpPr fitToPage="1"/>
  </sheetPr>
  <dimension ref="A2:BQ28"/>
  <sheetViews>
    <sheetView zoomScaleNormal="100" workbookViewId="0">
      <selection activeCell="I23" sqref="I23"/>
    </sheetView>
  </sheetViews>
  <sheetFormatPr defaultRowHeight="15" x14ac:dyDescent="0.25"/>
  <cols>
    <col min="1" max="1" width="5.140625" style="46" customWidth="1"/>
    <col min="2" max="2" width="12" style="15" customWidth="1"/>
    <col min="3" max="3" width="33.7109375" customWidth="1"/>
    <col min="4" max="4" width="10" bestFit="1" customWidth="1"/>
    <col min="5" max="5" width="6.85546875" customWidth="1"/>
    <col min="6" max="34" width="6.5703125" customWidth="1"/>
    <col min="35" max="35" width="5" style="74" customWidth="1"/>
    <col min="36" max="36" width="5.140625" style="58" customWidth="1"/>
    <col min="37" max="68" width="6.5703125" customWidth="1"/>
    <col min="69" max="69" width="5.85546875" style="15" customWidth="1"/>
    <col min="70" max="77" width="5" customWidth="1"/>
    <col min="78" max="78" width="5.85546875" customWidth="1"/>
    <col min="79" max="82" width="5" customWidth="1"/>
    <col min="83" max="83" width="10.28515625" customWidth="1"/>
    <col min="85" max="95" width="6" customWidth="1"/>
  </cols>
  <sheetData>
    <row r="2" spans="1:26" ht="15.75" x14ac:dyDescent="0.25">
      <c r="A2" s="243" t="s">
        <v>250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</row>
    <row r="3" spans="1:26" x14ac:dyDescent="0.25">
      <c r="A3" s="245" t="s">
        <v>170</v>
      </c>
      <c r="B3" s="246"/>
      <c r="C3" s="247"/>
      <c r="D3" s="204" t="s">
        <v>4</v>
      </c>
      <c r="E3" s="204"/>
      <c r="F3" s="204" t="s">
        <v>5</v>
      </c>
      <c r="G3" s="204"/>
      <c r="H3" s="204" t="s">
        <v>6</v>
      </c>
      <c r="I3" s="204"/>
      <c r="J3" s="204" t="s">
        <v>7</v>
      </c>
      <c r="K3" s="204"/>
      <c r="L3" s="213" t="s">
        <v>8</v>
      </c>
      <c r="M3" s="225" t="s">
        <v>9</v>
      </c>
      <c r="N3" s="214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6"/>
    </row>
    <row r="4" spans="1:26" x14ac:dyDescent="0.25">
      <c r="A4" s="234"/>
      <c r="B4" s="235"/>
      <c r="C4" s="236"/>
      <c r="D4" s="201">
        <v>46235</v>
      </c>
      <c r="E4" s="201"/>
      <c r="F4" s="201">
        <v>46236</v>
      </c>
      <c r="G4" s="201"/>
      <c r="H4" s="201">
        <v>46237</v>
      </c>
      <c r="I4" s="201"/>
      <c r="J4" s="201">
        <v>46238</v>
      </c>
      <c r="K4" s="201"/>
      <c r="L4" s="241"/>
      <c r="M4" s="226"/>
      <c r="N4" s="62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4"/>
    </row>
    <row r="5" spans="1:26" ht="28.5" x14ac:dyDescent="0.25">
      <c r="A5" s="4" t="s">
        <v>10</v>
      </c>
      <c r="B5" s="4" t="s">
        <v>11</v>
      </c>
      <c r="C5" s="4" t="s">
        <v>12</v>
      </c>
      <c r="D5" s="13" t="s">
        <v>13</v>
      </c>
      <c r="E5" s="13" t="s">
        <v>14</v>
      </c>
      <c r="F5" s="13" t="s">
        <v>13</v>
      </c>
      <c r="G5" s="13" t="s">
        <v>14</v>
      </c>
      <c r="H5" s="13" t="s">
        <v>13</v>
      </c>
      <c r="I5" s="13" t="s">
        <v>14</v>
      </c>
      <c r="J5" s="13" t="s">
        <v>13</v>
      </c>
      <c r="K5" s="13" t="s">
        <v>14</v>
      </c>
      <c r="L5" s="241"/>
      <c r="M5" s="227"/>
      <c r="N5" s="59"/>
      <c r="O5" s="92" t="s">
        <v>15</v>
      </c>
      <c r="P5" s="91" t="s">
        <v>16</v>
      </c>
      <c r="Q5" s="91" t="s">
        <v>17</v>
      </c>
      <c r="R5" s="89" t="s">
        <v>18</v>
      </c>
      <c r="S5" s="91" t="s">
        <v>19</v>
      </c>
      <c r="T5" s="91" t="s">
        <v>20</v>
      </c>
      <c r="U5" s="75" t="s">
        <v>171</v>
      </c>
      <c r="V5" s="60" t="s">
        <v>22</v>
      </c>
      <c r="W5" s="77" t="s">
        <v>23</v>
      </c>
      <c r="X5" s="77" t="s">
        <v>24</v>
      </c>
      <c r="Y5" s="77" t="s">
        <v>25</v>
      </c>
      <c r="Z5" s="61" t="s">
        <v>26</v>
      </c>
    </row>
    <row r="6" spans="1:26" x14ac:dyDescent="0.25">
      <c r="A6" s="45">
        <v>40</v>
      </c>
      <c r="B6" s="11" t="s">
        <v>106</v>
      </c>
      <c r="C6" s="78" t="s">
        <v>107</v>
      </c>
      <c r="D6" s="65">
        <v>0.3527777777777778</v>
      </c>
      <c r="E6" s="65">
        <v>0.97361111111111109</v>
      </c>
      <c r="F6" s="65">
        <v>0.34791666666666665</v>
      </c>
      <c r="G6" s="65">
        <v>0.9916666666666667</v>
      </c>
      <c r="H6" s="65">
        <v>0.34791666666666665</v>
      </c>
      <c r="I6" s="65">
        <v>0.9916666666666667</v>
      </c>
      <c r="J6" s="65">
        <v>0.35416666666666669</v>
      </c>
      <c r="K6" s="65">
        <v>0.94861111111111107</v>
      </c>
      <c r="L6" s="99">
        <v>4</v>
      </c>
      <c r="M6" s="68"/>
      <c r="N6" s="1">
        <v>4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3"/>
    </row>
    <row r="9" spans="1:26" x14ac:dyDescent="0.25">
      <c r="C9" s="135" t="s">
        <v>249</v>
      </c>
      <c r="D9" s="244" t="s">
        <v>252</v>
      </c>
      <c r="E9" s="244"/>
      <c r="F9" s="244"/>
      <c r="G9" s="244"/>
      <c r="H9" s="244"/>
      <c r="I9" s="244"/>
      <c r="J9" s="244"/>
      <c r="K9" s="244"/>
    </row>
    <row r="10" spans="1:26" x14ac:dyDescent="0.25">
      <c r="C10" s="136" t="s">
        <v>251</v>
      </c>
      <c r="D10" s="134">
        <v>340.03</v>
      </c>
      <c r="E10" s="134"/>
      <c r="F10" s="134"/>
      <c r="G10" s="134"/>
      <c r="H10" s="134"/>
      <c r="I10" s="134"/>
      <c r="J10" s="134"/>
      <c r="K10" s="134"/>
    </row>
    <row r="14" spans="1:26" ht="15.75" x14ac:dyDescent="0.25">
      <c r="C14" s="16"/>
      <c r="D14" s="17" t="s">
        <v>62</v>
      </c>
      <c r="E14" s="18"/>
      <c r="F14" s="17"/>
      <c r="G14" s="19"/>
      <c r="J14" s="19"/>
      <c r="K14" s="20"/>
      <c r="L14" s="21"/>
      <c r="M14" s="21"/>
      <c r="N14" s="22" t="s">
        <v>63</v>
      </c>
      <c r="O14" s="22"/>
      <c r="P14" s="20"/>
      <c r="Q14" s="20"/>
      <c r="R14" s="20"/>
      <c r="S14" s="20"/>
      <c r="T14" s="20" t="s">
        <v>64</v>
      </c>
      <c r="U14" s="20"/>
      <c r="V14" s="20"/>
      <c r="W14" s="20"/>
      <c r="X14" s="22" t="s">
        <v>65</v>
      </c>
      <c r="Y14" s="20"/>
    </row>
    <row r="15" spans="1:26" ht="17.25" x14ac:dyDescent="0.25">
      <c r="C15" s="23"/>
      <c r="D15" s="19"/>
      <c r="E15" s="19"/>
      <c r="F15" s="19"/>
      <c r="G15" s="19"/>
      <c r="J15" s="19"/>
      <c r="K15" s="19"/>
      <c r="L15" s="24"/>
      <c r="M15" s="24"/>
      <c r="N15" s="24"/>
      <c r="O15" s="19"/>
      <c r="P15" s="19"/>
      <c r="Q15" s="19"/>
      <c r="R15" s="25"/>
      <c r="S15" s="25"/>
      <c r="T15" s="25"/>
      <c r="U15" s="25"/>
      <c r="V15" s="25"/>
      <c r="W15" s="25"/>
      <c r="X15" s="26"/>
      <c r="Y15" s="26"/>
    </row>
    <row r="16" spans="1:26" ht="17.25" x14ac:dyDescent="0.25">
      <c r="C16" s="23"/>
      <c r="D16" s="27"/>
      <c r="E16" s="19"/>
      <c r="F16" s="27"/>
      <c r="G16" s="19"/>
      <c r="J16" s="19"/>
      <c r="K16" s="27" t="s">
        <v>64</v>
      </c>
      <c r="L16" s="28"/>
      <c r="M16" s="28"/>
      <c r="N16" s="24"/>
      <c r="O16" s="19"/>
      <c r="P16" s="27"/>
      <c r="Q16" s="27"/>
      <c r="R16" s="20"/>
      <c r="S16" s="19"/>
      <c r="T16" s="19"/>
      <c r="U16" s="19"/>
      <c r="V16" s="19"/>
      <c r="W16" s="19"/>
      <c r="X16" s="29"/>
      <c r="Y16" s="29"/>
    </row>
    <row r="17" spans="3:69" ht="17.25" x14ac:dyDescent="0.25">
      <c r="C17" s="30"/>
      <c r="D17" s="27"/>
      <c r="E17" s="19"/>
      <c r="F17" s="27"/>
      <c r="G17" s="19"/>
      <c r="J17" s="19"/>
      <c r="K17" s="27"/>
      <c r="L17" s="28"/>
      <c r="M17" s="28"/>
      <c r="N17" s="24"/>
      <c r="O17" s="20"/>
      <c r="P17" s="27"/>
      <c r="Q17" s="27"/>
      <c r="R17" s="20"/>
      <c r="S17" s="19"/>
      <c r="T17" s="19"/>
      <c r="U17" s="19"/>
      <c r="V17" s="19"/>
      <c r="W17" s="19"/>
      <c r="X17" s="29"/>
      <c r="Y17" s="29"/>
    </row>
    <row r="18" spans="3:69" ht="17.25" x14ac:dyDescent="0.25">
      <c r="C18" s="31"/>
      <c r="D18" s="32"/>
      <c r="E18" s="16"/>
      <c r="F18" s="31"/>
      <c r="G18" s="19"/>
      <c r="J18" s="19"/>
      <c r="K18" s="27"/>
      <c r="L18" s="24"/>
      <c r="M18" s="28"/>
      <c r="N18" s="18" t="s">
        <v>66</v>
      </c>
      <c r="O18" s="19"/>
      <c r="P18" s="27"/>
      <c r="Q18" s="20"/>
      <c r="R18" s="19"/>
      <c r="S18" s="19"/>
      <c r="T18" s="19"/>
      <c r="U18" s="19"/>
      <c r="V18" s="19"/>
      <c r="W18" s="19"/>
      <c r="X18" s="18" t="s">
        <v>67</v>
      </c>
      <c r="Y18" s="29"/>
    </row>
    <row r="19" spans="3:69" ht="17.25" x14ac:dyDescent="0.25">
      <c r="C19" s="31"/>
      <c r="D19" s="31" t="s">
        <v>68</v>
      </c>
      <c r="E19" s="30"/>
      <c r="F19" s="30"/>
      <c r="G19" s="19"/>
      <c r="J19" s="19"/>
      <c r="K19" s="18"/>
      <c r="L19" s="33"/>
      <c r="M19" s="33"/>
      <c r="N19" s="18" t="s">
        <v>69</v>
      </c>
      <c r="O19" s="18"/>
      <c r="P19" s="18"/>
      <c r="Q19" s="20"/>
      <c r="R19" s="18"/>
      <c r="S19" s="19"/>
      <c r="T19" s="19"/>
      <c r="U19" s="19"/>
      <c r="V19" s="19"/>
      <c r="W19" s="19"/>
      <c r="X19" s="18" t="s">
        <v>70</v>
      </c>
      <c r="Y19" s="29"/>
    </row>
    <row r="23" spans="3:69" x14ac:dyDescent="0.25">
      <c r="AH23" s="58"/>
      <c r="AI23" s="58"/>
      <c r="AJ23"/>
      <c r="BI23" s="15"/>
      <c r="BJ23" s="15"/>
      <c r="BK23" s="15"/>
      <c r="BL23" s="15"/>
      <c r="BM23" s="15"/>
      <c r="BN23" s="15"/>
      <c r="BO23" s="15"/>
      <c r="BP23" s="15"/>
      <c r="BQ23"/>
    </row>
    <row r="24" spans="3:69" x14ac:dyDescent="0.25">
      <c r="AH24" s="58"/>
      <c r="AI24" s="58"/>
      <c r="AJ24"/>
      <c r="BI24" s="15"/>
      <c r="BJ24" s="15"/>
      <c r="BK24" s="15"/>
      <c r="BL24" s="15"/>
      <c r="BM24" s="15"/>
      <c r="BN24" s="15"/>
      <c r="BO24" s="15"/>
      <c r="BP24" s="15"/>
      <c r="BQ24"/>
    </row>
    <row r="25" spans="3:69" x14ac:dyDescent="0.25">
      <c r="AH25" s="58"/>
      <c r="AI25" s="58"/>
      <c r="AJ25"/>
      <c r="BI25" s="15"/>
      <c r="BJ25" s="15"/>
      <c r="BK25" s="15"/>
      <c r="BL25" s="15"/>
      <c r="BM25" s="15"/>
      <c r="BN25" s="15"/>
      <c r="BO25" s="15"/>
      <c r="BP25" s="15"/>
      <c r="BQ25"/>
    </row>
    <row r="26" spans="3:69" x14ac:dyDescent="0.25">
      <c r="AH26" s="58"/>
      <c r="AI26" s="58"/>
      <c r="AJ26"/>
      <c r="BI26" s="15"/>
      <c r="BJ26" s="15"/>
      <c r="BK26" s="15"/>
      <c r="BL26" s="15"/>
      <c r="BM26" s="15"/>
      <c r="BN26" s="15"/>
      <c r="BO26" s="15"/>
      <c r="BP26" s="15"/>
      <c r="BQ26"/>
    </row>
    <row r="27" spans="3:69" x14ac:dyDescent="0.25">
      <c r="AH27" s="58"/>
      <c r="AI27" s="58"/>
      <c r="AJ27"/>
      <c r="BI27" s="15"/>
      <c r="BJ27" s="15"/>
      <c r="BK27" s="15"/>
      <c r="BL27" s="15"/>
      <c r="BM27" s="15"/>
      <c r="BN27" s="15"/>
      <c r="BO27" s="15"/>
      <c r="BP27" s="15"/>
      <c r="BQ27"/>
    </row>
    <row r="28" spans="3:69" x14ac:dyDescent="0.25">
      <c r="AJ28"/>
      <c r="BI28" s="15"/>
      <c r="BJ28" s="15"/>
      <c r="BK28" s="15"/>
      <c r="BL28" s="15"/>
      <c r="BM28" s="15"/>
      <c r="BN28" s="15"/>
      <c r="BO28" s="15"/>
      <c r="BP28" s="15"/>
      <c r="BQ28"/>
    </row>
  </sheetData>
  <mergeCells count="14">
    <mergeCell ref="N3:Z3"/>
    <mergeCell ref="A2:Z2"/>
    <mergeCell ref="H4:I4"/>
    <mergeCell ref="J4:K4"/>
    <mergeCell ref="D9:K9"/>
    <mergeCell ref="L3:L5"/>
    <mergeCell ref="M3:M5"/>
    <mergeCell ref="A3:C4"/>
    <mergeCell ref="D3:E3"/>
    <mergeCell ref="F3:G3"/>
    <mergeCell ref="H3:I3"/>
    <mergeCell ref="J3:K3"/>
    <mergeCell ref="D4:E4"/>
    <mergeCell ref="F4:G4"/>
  </mergeCells>
  <phoneticPr fontId="12" type="noConversion"/>
  <conditionalFormatting sqref="A3:C5 D5:K5 A6">
    <cfRule type="containsText" dxfId="710" priority="89" stopIfTrue="1" operator="containsText" text="SP">
      <formula>NOT(ISERROR(SEARCH("SP",A3)))</formula>
    </cfRule>
    <cfRule type="containsText" dxfId="709" priority="91" stopIfTrue="1" operator="containsText" text="EL">
      <formula>NOT(ISERROR(SEARCH("EL",A3)))</formula>
    </cfRule>
    <cfRule type="containsText" dxfId="708" priority="92" stopIfTrue="1" operator="containsText" text="AB">
      <formula>NOT(ISERROR(SEARCH("AB",A3)))</formula>
    </cfRule>
    <cfRule type="containsText" dxfId="707" priority="93" stopIfTrue="1" operator="containsText" text="FL">
      <formula>NOT(ISERROR(SEARCH("FL",A3)))</formula>
    </cfRule>
    <cfRule type="containsText" dxfId="706" priority="94" stopIfTrue="1" operator="containsText" text="SICK">
      <formula>NOT(ISERROR(SEARCH("SICK",A3)))</formula>
    </cfRule>
    <cfRule type="containsText" dxfId="705" priority="90" stopIfTrue="1" operator="containsText" text="AL">
      <formula>NOT(ISERROR(SEARCH("AL",A3)))</formula>
    </cfRule>
  </conditionalFormatting>
  <conditionalFormatting sqref="C3:C6">
    <cfRule type="duplicateValues" dxfId="704" priority="98"/>
    <cfRule type="duplicateValues" dxfId="703" priority="95"/>
    <cfRule type="duplicateValues" dxfId="702" priority="96"/>
    <cfRule type="duplicateValues" dxfId="701" priority="97"/>
  </conditionalFormatting>
  <conditionalFormatting sqref="C6">
    <cfRule type="duplicateValues" dxfId="700" priority="88"/>
  </conditionalFormatting>
  <conditionalFormatting sqref="C23:C1048576">
    <cfRule type="duplicateValues" dxfId="699" priority="14048"/>
    <cfRule type="duplicateValues" dxfId="698" priority="14046"/>
  </conditionalFormatting>
  <conditionalFormatting sqref="C23:D1048576">
    <cfRule type="duplicateValues" dxfId="697" priority="14052"/>
  </conditionalFormatting>
  <conditionalFormatting sqref="J14:Y17">
    <cfRule type="containsText" dxfId="696" priority="1" stopIfTrue="1" operator="containsText" text="AB">
      <formula>NOT(ISERROR(SEARCH("AB",J14)))</formula>
    </cfRule>
    <cfRule type="containsText" dxfId="695" priority="2" stopIfTrue="1" operator="containsText" text="SICK">
      <formula>NOT(ISERROR(SEARCH("SICK",J14)))</formula>
    </cfRule>
    <cfRule type="containsText" dxfId="694" priority="3" stopIfTrue="1" operator="containsText" text="SP">
      <formula>NOT(ISERROR(SEARCH("SP",J14)))</formula>
    </cfRule>
    <cfRule type="containsText" priority="4" stopIfTrue="1" operator="containsText" text="SP">
      <formula>NOT(ISERROR(SEARCH("SP",J14)))</formula>
    </cfRule>
    <cfRule type="containsText" dxfId="693" priority="5" stopIfTrue="1" operator="containsText" text="SICK">
      <formula>NOT(ISERROR(SEARCH("SICK",J14)))</formula>
    </cfRule>
  </conditionalFormatting>
  <conditionalFormatting sqref="L3:L6">
    <cfRule type="containsText" dxfId="692" priority="77" stopIfTrue="1" operator="containsText" text="SICK">
      <formula>NOT(ISERROR(SEARCH("SICK",L3)))</formula>
    </cfRule>
    <cfRule type="containsText" dxfId="691" priority="74" stopIfTrue="1" operator="containsText" text="EL">
      <formula>NOT(ISERROR(SEARCH("EL",L3)))</formula>
    </cfRule>
    <cfRule type="containsText" dxfId="690" priority="76" stopIfTrue="1" operator="containsText" text="FL">
      <formula>NOT(ISERROR(SEARCH("FL",L3)))</formula>
    </cfRule>
    <cfRule type="containsText" dxfId="689" priority="75" stopIfTrue="1" operator="containsText" text="AB">
      <formula>NOT(ISERROR(SEARCH("AB",L3)))</formula>
    </cfRule>
    <cfRule type="containsText" dxfId="688" priority="73" stopIfTrue="1" operator="containsText" text="AL">
      <formula>NOT(ISERROR(SEARCH("AL",L3)))</formula>
    </cfRule>
    <cfRule type="containsText" dxfId="687" priority="72" stopIfTrue="1" operator="containsText" text="SP">
      <formula>NOT(ISERROR(SEARCH("SP",L3)))</formula>
    </cfRule>
  </conditionalFormatting>
  <conditionalFormatting sqref="M3">
    <cfRule type="cellIs" dxfId="686" priority="78" operator="equal">
      <formula>";"</formula>
    </cfRule>
  </conditionalFormatting>
  <conditionalFormatting sqref="M6">
    <cfRule type="cellIs" dxfId="685" priority="6" stopIfTrue="1" operator="equal">
      <formula>";"</formula>
    </cfRule>
  </conditionalFormatting>
  <conditionalFormatting sqref="O5">
    <cfRule type="containsText" dxfId="684" priority="59" operator="containsText" text="FL">
      <formula>NOT(ISERROR(SEARCH("FL",O5)))</formula>
    </cfRule>
    <cfRule type="containsText" dxfId="683" priority="60" operator="containsText" text="MC">
      <formula>NOT(ISERROR(SEARCH("MC",O5)))</formula>
    </cfRule>
    <cfRule type="containsText" dxfId="682" priority="61" operator="containsText" text="AB">
      <formula>NOT(ISERROR(SEARCH("AB",O5)))</formula>
    </cfRule>
    <cfRule type="containsText" dxfId="681" priority="62" operator="containsText" text="Sick">
      <formula>NOT(ISERROR(SEARCH("Sick",O5)))</formula>
    </cfRule>
    <cfRule type="containsText" dxfId="680" priority="58" operator="containsText" text="SUS">
      <formula>NOT(ISERROR(SEARCH("SUS",O5)))</formula>
    </cfRule>
    <cfRule type="containsText" dxfId="679" priority="64" operator="containsText" text="AL">
      <formula>NOT(ISERROR(SEARCH("AL",O5)))</formula>
    </cfRule>
    <cfRule type="containsText" dxfId="678" priority="63" operator="containsText" text="OFF">
      <formula>NOT(ISERROR(SEARCH("OFF",O5)))</formula>
    </cfRule>
  </conditionalFormatting>
  <conditionalFormatting sqref="O5:P5">
    <cfRule type="containsText" dxfId="677" priority="19" operator="containsText" text="AB">
      <formula>NOT(ISERROR(SEARCH("AB",O5)))</formula>
    </cfRule>
  </conditionalFormatting>
  <conditionalFormatting sqref="O5:T5">
    <cfRule type="containsText" dxfId="676" priority="7" operator="containsText" text="EL">
      <formula>NOT(ISERROR(SEARCH("EL",O5)))</formula>
    </cfRule>
  </conditionalFormatting>
  <conditionalFormatting sqref="P5">
    <cfRule type="containsText" dxfId="675" priority="16" operator="containsText" text="SUS">
      <formula>NOT(ISERROR(SEARCH("SUS",P5)))</formula>
    </cfRule>
    <cfRule type="containsText" dxfId="674" priority="21" operator="containsText" text="OFF">
      <formula>NOT(ISERROR(SEARCH("OFF",P5)))</formula>
    </cfRule>
    <cfRule type="containsText" dxfId="673" priority="20" operator="containsText" text="Sick">
      <formula>NOT(ISERROR(SEARCH("Sick",P5)))</formula>
    </cfRule>
    <cfRule type="containsText" dxfId="672" priority="17" operator="containsText" text="FL">
      <formula>NOT(ISERROR(SEARCH("FL",P5)))</formula>
    </cfRule>
    <cfRule type="containsText" dxfId="671" priority="18" operator="containsText" text="MC">
      <formula>NOT(ISERROR(SEARCH("MC",P5)))</formula>
    </cfRule>
    <cfRule type="containsText" dxfId="670" priority="22" operator="containsText" text="AL">
      <formula>NOT(ISERROR(SEARCH("AL",P5)))</formula>
    </cfRule>
  </conditionalFormatting>
  <conditionalFormatting sqref="P5:Q5">
    <cfRule type="containsText" dxfId="669" priority="12" operator="containsText" text="AB">
      <formula>NOT(ISERROR(SEARCH("AB",P5)))</formula>
    </cfRule>
  </conditionalFormatting>
  <conditionalFormatting sqref="Q5">
    <cfRule type="containsText" dxfId="668" priority="8" operator="containsText" text="AB">
      <formula>NOT(ISERROR(SEARCH("AB",Q5)))</formula>
    </cfRule>
    <cfRule type="containsText" dxfId="667" priority="9" operator="containsText" text="SUS">
      <formula>NOT(ISERROR(SEARCH("SUS",Q5)))</formula>
    </cfRule>
    <cfRule type="containsText" dxfId="666" priority="10" operator="containsText" text="FL">
      <formula>NOT(ISERROR(SEARCH("FL",Q5)))</formula>
    </cfRule>
    <cfRule type="containsText" dxfId="665" priority="11" operator="containsText" text="MC">
      <formula>NOT(ISERROR(SEARCH("MC",Q5)))</formula>
    </cfRule>
    <cfRule type="containsText" dxfId="664" priority="13" operator="containsText" text="Sick">
      <formula>NOT(ISERROR(SEARCH("Sick",Q5)))</formula>
    </cfRule>
    <cfRule type="containsText" dxfId="663" priority="14" operator="containsText" text="OFF">
      <formula>NOT(ISERROR(SEARCH("OFF",Q5)))</formula>
    </cfRule>
    <cfRule type="containsText" dxfId="662" priority="15" operator="containsText" text="AL">
      <formula>NOT(ISERROR(SEARCH("AL",Q5)))</formula>
    </cfRule>
  </conditionalFormatting>
  <conditionalFormatting sqref="R5">
    <cfRule type="containsText" dxfId="661" priority="66" operator="containsText" text="FL">
      <formula>NOT(ISERROR(SEARCH("FL",R5)))</formula>
    </cfRule>
    <cfRule type="containsText" dxfId="660" priority="67" operator="containsText" text="MC">
      <formula>NOT(ISERROR(SEARCH("MC",R5)))</formula>
    </cfRule>
    <cfRule type="containsText" dxfId="659" priority="70" operator="containsText" text="OFF">
      <formula>NOT(ISERROR(SEARCH("OFF",R5)))</formula>
    </cfRule>
    <cfRule type="containsText" dxfId="658" priority="68" operator="containsText" text="AB">
      <formula>NOT(ISERROR(SEARCH("AB",R5)))</formula>
    </cfRule>
    <cfRule type="containsText" dxfId="657" priority="71" operator="containsText" text="AL">
      <formula>NOT(ISERROR(SEARCH("AL",R5)))</formula>
    </cfRule>
    <cfRule type="containsText" dxfId="656" priority="69" operator="containsText" text="Sick">
      <formula>NOT(ISERROR(SEARCH("Sick",R5)))</formula>
    </cfRule>
    <cfRule type="containsText" dxfId="655" priority="65" operator="containsText" text="SUS">
      <formula>NOT(ISERROR(SEARCH("SUS",R5)))</formula>
    </cfRule>
  </conditionalFormatting>
  <conditionalFormatting sqref="R5:T5">
    <cfRule type="containsText" dxfId="654" priority="27" operator="containsText" text="AB">
      <formula>NOT(ISERROR(SEARCH("AB",R5)))</formula>
    </cfRule>
  </conditionalFormatting>
  <conditionalFormatting sqref="S5">
    <cfRule type="containsText" dxfId="653" priority="30" operator="containsText" text="AL">
      <formula>NOT(ISERROR(SEARCH("AL",S5)))</formula>
    </cfRule>
    <cfRule type="containsText" dxfId="652" priority="25" operator="containsText" text="FL">
      <formula>NOT(ISERROR(SEARCH("FL",S5)))</formula>
    </cfRule>
    <cfRule type="containsText" dxfId="651" priority="23" operator="containsText" text="AB">
      <formula>NOT(ISERROR(SEARCH("AB",S5)))</formula>
    </cfRule>
    <cfRule type="containsText" dxfId="650" priority="24" operator="containsText" text="SUS">
      <formula>NOT(ISERROR(SEARCH("SUS",S5)))</formula>
    </cfRule>
    <cfRule type="containsText" dxfId="649" priority="26" operator="containsText" text="MC">
      <formula>NOT(ISERROR(SEARCH("MC",S5)))</formula>
    </cfRule>
    <cfRule type="containsText" dxfId="648" priority="28" operator="containsText" text="Sick">
      <formula>NOT(ISERROR(SEARCH("Sick",S5)))</formula>
    </cfRule>
    <cfRule type="containsText" dxfId="647" priority="29" operator="containsText" text="OFF">
      <formula>NOT(ISERROR(SEARCH("OFF",S5)))</formula>
    </cfRule>
  </conditionalFormatting>
  <conditionalFormatting sqref="T5">
    <cfRule type="containsText" dxfId="646" priority="31" operator="containsText" text="SUS">
      <formula>NOT(ISERROR(SEARCH("SUS",T5)))</formula>
    </cfRule>
    <cfRule type="containsText" dxfId="645" priority="36" operator="containsText" text="OFF">
      <formula>NOT(ISERROR(SEARCH("OFF",T5)))</formula>
    </cfRule>
    <cfRule type="containsText" dxfId="644" priority="37" operator="containsText" text="AL">
      <formula>NOT(ISERROR(SEARCH("AL",T5)))</formula>
    </cfRule>
    <cfRule type="containsText" dxfId="643" priority="35" operator="containsText" text="Sick">
      <formula>NOT(ISERROR(SEARCH("Sick",T5)))</formula>
    </cfRule>
    <cfRule type="containsText" dxfId="642" priority="34" operator="containsText" text="AB">
      <formula>NOT(ISERROR(SEARCH("AB",T5)))</formula>
    </cfRule>
    <cfRule type="containsText" dxfId="641" priority="33" operator="containsText" text="MC">
      <formula>NOT(ISERROR(SEARCH("MC",T5)))</formula>
    </cfRule>
    <cfRule type="containsText" dxfId="640" priority="32" operator="containsText" text="FL">
      <formula>NOT(ISERROR(SEARCH("FL",T5)))</formula>
    </cfRule>
  </conditionalFormatting>
  <conditionalFormatting sqref="U5">
    <cfRule type="containsText" dxfId="639" priority="48" operator="containsText" text="SP">
      <formula>NOT(ISERROR(SEARCH("SP",U5)))</formula>
    </cfRule>
    <cfRule type="containsText" dxfId="638" priority="49" operator="containsText" text="NL">
      <formula>NOT(ISERROR(SEARCH("NL",U5)))</formula>
    </cfRule>
    <cfRule type="containsText" dxfId="637" priority="57" operator="containsText" text="AL">
      <formula>NOT(ISERROR(SEARCH("AL",U5)))</formula>
    </cfRule>
    <cfRule type="containsText" dxfId="636" priority="50" operator="containsText" text="SUS">
      <formula>NOT(ISERROR(SEARCH("SUS",U5)))</formula>
    </cfRule>
    <cfRule type="containsText" dxfId="635" priority="56" operator="containsText" text="SICK">
      <formula>NOT(ISERROR(SEARCH("SICK",U5)))</formula>
    </cfRule>
    <cfRule type="containsText" dxfId="634" priority="55" operator="containsText" text="AB">
      <formula>NOT(ISERROR(SEARCH("AB",U5)))</formula>
    </cfRule>
    <cfRule type="containsText" dxfId="633" priority="54" operator="containsText" text="OFF">
      <formula>NOT(ISERROR(SEARCH("OFF",U5)))</formula>
    </cfRule>
    <cfRule type="containsText" dxfId="632" priority="53" operator="containsText" text="MC">
      <formula>NOT(ISERROR(SEARCH("MC",U5)))</formula>
    </cfRule>
    <cfRule type="containsText" dxfId="631" priority="52" operator="containsText" text="EL">
      <formula>NOT(ISERROR(SEARCH("EL",U5)))</formula>
    </cfRule>
    <cfRule type="containsText" dxfId="630" priority="51" operator="containsText" text="FL">
      <formula>NOT(ISERROR(SEARCH("FL",U5)))</formula>
    </cfRule>
  </conditionalFormatting>
  <conditionalFormatting sqref="W5:Y5">
    <cfRule type="containsText" dxfId="629" priority="41" operator="containsText" text="FL">
      <formula>NOT(ISERROR(SEARCH("FL",W5)))</formula>
    </cfRule>
    <cfRule type="containsText" dxfId="628" priority="40" operator="containsText" text="SUS">
      <formula>NOT(ISERROR(SEARCH("SUS",W5)))</formula>
    </cfRule>
    <cfRule type="containsText" dxfId="627" priority="42" operator="containsText" text="EL">
      <formula>NOT(ISERROR(SEARCH("EL",W5)))</formula>
    </cfRule>
    <cfRule type="containsText" dxfId="626" priority="39" operator="containsText" text="NL">
      <formula>NOT(ISERROR(SEARCH("NL",W5)))</formula>
    </cfRule>
    <cfRule type="containsText" dxfId="625" priority="38" operator="containsText" text="SP">
      <formula>NOT(ISERROR(SEARCH("SP",W5)))</formula>
    </cfRule>
    <cfRule type="containsText" dxfId="624" priority="44" operator="containsText" text="OFF">
      <formula>NOT(ISERROR(SEARCH("OFF",W5)))</formula>
    </cfRule>
    <cfRule type="containsText" dxfId="623" priority="43" operator="containsText" text="MC">
      <formula>NOT(ISERROR(SEARCH("MC",W5)))</formula>
    </cfRule>
    <cfRule type="containsText" dxfId="622" priority="45" operator="containsText" text="AB">
      <formula>NOT(ISERROR(SEARCH("AB",W5)))</formula>
    </cfRule>
    <cfRule type="containsText" dxfId="621" priority="46" operator="containsText" text="SICK">
      <formula>NOT(ISERROR(SEARCH("SICK",W5)))</formula>
    </cfRule>
    <cfRule type="containsText" dxfId="620" priority="47" operator="containsText" text="AL">
      <formula>NOT(ISERROR(SEARCH("AL",W5)))</formula>
    </cfRule>
  </conditionalFormatting>
  <pageMargins left="0.7" right="0.7" top="0.75" bottom="0.75" header="0.3" footer="0.3"/>
  <pageSetup paperSize="9" scale="2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C18A-BB30-479E-AFC5-5293481E270D}">
  <sheetPr>
    <pageSetUpPr fitToPage="1"/>
  </sheetPr>
  <dimension ref="A1:CQ63"/>
  <sheetViews>
    <sheetView zoomScaleNormal="100" workbookViewId="0">
      <selection activeCell="M23" sqref="M23"/>
    </sheetView>
  </sheetViews>
  <sheetFormatPr defaultRowHeight="15" x14ac:dyDescent="0.25"/>
  <cols>
    <col min="1" max="1" width="5.140625" style="46" customWidth="1"/>
    <col min="2" max="2" width="12" style="15" customWidth="1"/>
    <col min="3" max="3" width="33.7109375" customWidth="1"/>
    <col min="4" max="4" width="10" hidden="1" customWidth="1"/>
    <col min="5" max="34" width="6.5703125" customWidth="1"/>
    <col min="35" max="35" width="5" style="74" customWidth="1"/>
    <col min="36" max="36" width="5.140625" style="58" customWidth="1"/>
    <col min="37" max="68" width="6.5703125" customWidth="1"/>
    <col min="69" max="69" width="5.85546875" style="15" customWidth="1"/>
    <col min="70" max="77" width="5" customWidth="1"/>
    <col min="78" max="78" width="5.85546875" customWidth="1"/>
    <col min="79" max="82" width="5" customWidth="1"/>
    <col min="83" max="83" width="10.28515625" customWidth="1"/>
    <col min="85" max="95" width="6" customWidth="1"/>
  </cols>
  <sheetData>
    <row r="1" spans="1:95" ht="15.75" x14ac:dyDescent="0.25"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34"/>
      <c r="Y1" s="34"/>
    </row>
    <row r="2" spans="1:95" ht="25.5" customHeight="1" x14ac:dyDescent="0.25">
      <c r="A2" s="238" t="s">
        <v>264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  <c r="AA2" s="239"/>
      <c r="AB2" s="239"/>
      <c r="AC2" s="239"/>
      <c r="AD2" s="239"/>
      <c r="AE2" s="239"/>
      <c r="AF2" s="239"/>
      <c r="AG2" s="239"/>
      <c r="AH2" s="240"/>
      <c r="AI2" s="112"/>
      <c r="AJ2" s="217" t="s">
        <v>247</v>
      </c>
      <c r="AK2" s="217"/>
      <c r="AL2" s="217"/>
      <c r="AM2" s="217"/>
      <c r="AN2" s="217"/>
      <c r="AO2" s="217"/>
      <c r="AP2" s="217"/>
      <c r="AQ2" s="217"/>
      <c r="AR2" s="217"/>
      <c r="AS2" s="217"/>
      <c r="AT2" s="217"/>
      <c r="AU2" s="217"/>
      <c r="AV2" s="217"/>
      <c r="AW2" s="217"/>
      <c r="AX2" s="217"/>
      <c r="AY2" s="217"/>
      <c r="AZ2" s="217"/>
      <c r="BA2" s="217"/>
      <c r="BB2" s="217"/>
      <c r="BC2" s="217"/>
      <c r="BD2" s="217"/>
      <c r="BE2" s="217"/>
      <c r="BF2" s="217"/>
      <c r="BG2" s="217"/>
      <c r="BH2" s="217"/>
      <c r="BI2" s="217"/>
      <c r="BJ2" s="217"/>
      <c r="BK2" s="217"/>
      <c r="BL2" s="217"/>
      <c r="BM2" s="217"/>
      <c r="BN2" s="217"/>
      <c r="BO2" s="217"/>
      <c r="BP2" s="217"/>
      <c r="BQ2" s="217"/>
      <c r="BR2" s="217"/>
      <c r="BS2" s="217"/>
      <c r="BT2" s="217"/>
      <c r="BU2" s="217"/>
      <c r="BV2" s="217"/>
      <c r="BW2" s="217"/>
      <c r="BX2" s="217"/>
      <c r="BY2" s="217"/>
      <c r="BZ2" s="217"/>
      <c r="CA2" s="217"/>
      <c r="CB2" s="217"/>
      <c r="CC2" s="217"/>
      <c r="CD2" s="217"/>
      <c r="CE2" s="217"/>
    </row>
    <row r="3" spans="1:95" ht="22.5" customHeight="1" x14ac:dyDescent="0.25">
      <c r="A3" s="231" t="s">
        <v>170</v>
      </c>
      <c r="B3" s="232"/>
      <c r="C3" s="233"/>
      <c r="D3" s="85"/>
      <c r="E3" s="205" t="s">
        <v>4</v>
      </c>
      <c r="F3" s="205"/>
      <c r="G3" s="205" t="s">
        <v>5</v>
      </c>
      <c r="H3" s="205"/>
      <c r="I3" s="205" t="s">
        <v>6</v>
      </c>
      <c r="J3" s="205"/>
      <c r="K3" s="205" t="s">
        <v>7</v>
      </c>
      <c r="L3" s="205"/>
      <c r="M3" s="205" t="s">
        <v>1</v>
      </c>
      <c r="N3" s="205"/>
      <c r="O3" s="205" t="s">
        <v>2</v>
      </c>
      <c r="P3" s="205"/>
      <c r="Q3" s="205" t="s">
        <v>3</v>
      </c>
      <c r="R3" s="205"/>
      <c r="S3" s="205" t="s">
        <v>4</v>
      </c>
      <c r="T3" s="205"/>
      <c r="U3" s="205" t="s">
        <v>5</v>
      </c>
      <c r="V3" s="205"/>
      <c r="W3" s="205" t="s">
        <v>6</v>
      </c>
      <c r="X3" s="205"/>
      <c r="Y3" s="205" t="s">
        <v>7</v>
      </c>
      <c r="Z3" s="205"/>
      <c r="AA3" s="205" t="s">
        <v>1</v>
      </c>
      <c r="AB3" s="205"/>
      <c r="AC3" s="205" t="s">
        <v>2</v>
      </c>
      <c r="AD3" s="205"/>
      <c r="AE3" s="205" t="s">
        <v>3</v>
      </c>
      <c r="AF3" s="205"/>
      <c r="AG3" s="205" t="s">
        <v>4</v>
      </c>
      <c r="AH3" s="205"/>
      <c r="AI3" s="113"/>
      <c r="AJ3" s="133"/>
      <c r="AK3" s="205" t="s">
        <v>5</v>
      </c>
      <c r="AL3" s="206"/>
      <c r="AM3" s="205" t="s">
        <v>6</v>
      </c>
      <c r="AN3" s="206"/>
      <c r="AO3" s="205" t="s">
        <v>7</v>
      </c>
      <c r="AP3" s="206"/>
      <c r="AQ3" s="205" t="s">
        <v>1</v>
      </c>
      <c r="AR3" s="206"/>
      <c r="AS3" s="205" t="s">
        <v>2</v>
      </c>
      <c r="AT3" s="206"/>
      <c r="AU3" s="205" t="s">
        <v>3</v>
      </c>
      <c r="AV3" s="206"/>
      <c r="AW3" s="205" t="s">
        <v>4</v>
      </c>
      <c r="AX3" s="206"/>
      <c r="AY3" s="205" t="s">
        <v>5</v>
      </c>
      <c r="AZ3" s="206"/>
      <c r="BA3" s="205" t="s">
        <v>6</v>
      </c>
      <c r="BB3" s="206"/>
      <c r="BC3" s="205" t="s">
        <v>7</v>
      </c>
      <c r="BD3" s="206"/>
      <c r="BE3" s="205" t="s">
        <v>1</v>
      </c>
      <c r="BF3" s="206"/>
      <c r="BG3" s="205" t="s">
        <v>2</v>
      </c>
      <c r="BH3" s="206"/>
      <c r="BI3" s="205" t="s">
        <v>3</v>
      </c>
      <c r="BJ3" s="206"/>
      <c r="BK3" s="205" t="s">
        <v>4</v>
      </c>
      <c r="BL3" s="206"/>
      <c r="BM3" s="205" t="s">
        <v>5</v>
      </c>
      <c r="BN3" s="206"/>
      <c r="BO3" s="205" t="s">
        <v>6</v>
      </c>
      <c r="BP3" s="206"/>
      <c r="BQ3" s="213" t="s">
        <v>8</v>
      </c>
      <c r="BR3" s="225" t="s">
        <v>9</v>
      </c>
      <c r="BS3" s="214"/>
      <c r="BT3" s="215"/>
      <c r="BU3" s="215"/>
      <c r="BV3" s="215"/>
      <c r="BW3" s="215"/>
      <c r="BX3" s="215"/>
      <c r="BY3" s="215"/>
      <c r="BZ3" s="215"/>
      <c r="CA3" s="215"/>
      <c r="CB3" s="215"/>
      <c r="CC3" s="215"/>
      <c r="CD3" s="215"/>
      <c r="CE3" s="216"/>
      <c r="CG3" s="237" t="s">
        <v>191</v>
      </c>
      <c r="CH3" s="237"/>
      <c r="CI3" s="237"/>
      <c r="CJ3" s="237"/>
      <c r="CK3" s="237"/>
      <c r="CL3" s="237"/>
      <c r="CM3" s="237"/>
      <c r="CN3" s="237"/>
      <c r="CO3" s="237"/>
      <c r="CP3" s="237"/>
      <c r="CQ3" s="47"/>
    </row>
    <row r="4" spans="1:95" ht="22.5" customHeight="1" x14ac:dyDescent="0.25">
      <c r="A4" s="234"/>
      <c r="B4" s="235"/>
      <c r="C4" s="236"/>
      <c r="D4" s="85"/>
      <c r="E4" s="201">
        <v>46235</v>
      </c>
      <c r="F4" s="201"/>
      <c r="G4" s="201">
        <v>46236</v>
      </c>
      <c r="H4" s="201"/>
      <c r="I4" s="201">
        <v>46237</v>
      </c>
      <c r="J4" s="201"/>
      <c r="K4" s="201">
        <v>46238</v>
      </c>
      <c r="L4" s="201"/>
      <c r="M4" s="201">
        <v>46239</v>
      </c>
      <c r="N4" s="201"/>
      <c r="O4" s="201">
        <v>46240</v>
      </c>
      <c r="P4" s="201"/>
      <c r="Q4" s="201">
        <v>46241</v>
      </c>
      <c r="R4" s="201"/>
      <c r="S4" s="201">
        <v>46242</v>
      </c>
      <c r="T4" s="201"/>
      <c r="U4" s="201">
        <v>46243</v>
      </c>
      <c r="V4" s="201"/>
      <c r="W4" s="201">
        <v>46244</v>
      </c>
      <c r="X4" s="201"/>
      <c r="Y4" s="201">
        <v>46245</v>
      </c>
      <c r="Z4" s="201"/>
      <c r="AA4" s="201">
        <v>46246</v>
      </c>
      <c r="AB4" s="201"/>
      <c r="AC4" s="201">
        <v>46247</v>
      </c>
      <c r="AD4" s="201"/>
      <c r="AE4" s="201">
        <v>46248</v>
      </c>
      <c r="AF4" s="201"/>
      <c r="AG4" s="201">
        <v>46249</v>
      </c>
      <c r="AH4" s="201"/>
      <c r="AI4" s="114"/>
      <c r="AJ4" s="104"/>
      <c r="AK4" s="201">
        <v>46250</v>
      </c>
      <c r="AL4" s="202"/>
      <c r="AM4" s="201">
        <v>46251</v>
      </c>
      <c r="AN4" s="202"/>
      <c r="AO4" s="201">
        <v>46252</v>
      </c>
      <c r="AP4" s="202"/>
      <c r="AQ4" s="201">
        <v>46253</v>
      </c>
      <c r="AR4" s="202"/>
      <c r="AS4" s="201">
        <v>46254</v>
      </c>
      <c r="AT4" s="202"/>
      <c r="AU4" s="201">
        <v>46255</v>
      </c>
      <c r="AV4" s="202"/>
      <c r="AW4" s="201">
        <v>46256</v>
      </c>
      <c r="AX4" s="202"/>
      <c r="AY4" s="201">
        <v>46257</v>
      </c>
      <c r="AZ4" s="202"/>
      <c r="BA4" s="201">
        <v>46258</v>
      </c>
      <c r="BB4" s="202"/>
      <c r="BC4" s="201">
        <v>46259</v>
      </c>
      <c r="BD4" s="202"/>
      <c r="BE4" s="201">
        <v>46260</v>
      </c>
      <c r="BF4" s="202"/>
      <c r="BG4" s="201">
        <v>46261</v>
      </c>
      <c r="BH4" s="202"/>
      <c r="BI4" s="201">
        <v>46262</v>
      </c>
      <c r="BJ4" s="202"/>
      <c r="BK4" s="201">
        <v>46263</v>
      </c>
      <c r="BL4" s="202"/>
      <c r="BM4" s="201">
        <v>46264</v>
      </c>
      <c r="BN4" s="202"/>
      <c r="BO4" s="201">
        <v>46265</v>
      </c>
      <c r="BP4" s="202"/>
      <c r="BQ4" s="241"/>
      <c r="BR4" s="226"/>
      <c r="BS4" s="62"/>
      <c r="BT4" s="63"/>
      <c r="BU4" s="63"/>
      <c r="BV4" s="63"/>
      <c r="BW4" s="63"/>
      <c r="BX4" s="63"/>
      <c r="BY4" s="63"/>
      <c r="BZ4" s="63"/>
      <c r="CA4" s="63"/>
      <c r="CB4" s="63"/>
      <c r="CC4" s="63"/>
      <c r="CD4" s="63"/>
      <c r="CE4" s="64"/>
      <c r="CG4" s="57" t="s">
        <v>246</v>
      </c>
      <c r="CH4" s="57"/>
      <c r="CI4" s="57"/>
      <c r="CJ4" s="57"/>
      <c r="CK4" s="57"/>
      <c r="CL4" s="57"/>
      <c r="CM4" s="57"/>
      <c r="CN4" s="57"/>
      <c r="CO4" s="57"/>
      <c r="CP4" s="57"/>
      <c r="CQ4" s="47"/>
    </row>
    <row r="5" spans="1:95" ht="20.25" customHeight="1" x14ac:dyDescent="0.25">
      <c r="A5" s="4" t="s">
        <v>10</v>
      </c>
      <c r="B5" s="4" t="s">
        <v>11</v>
      </c>
      <c r="C5" s="4" t="s">
        <v>12</v>
      </c>
      <c r="D5" s="13"/>
      <c r="E5" s="13" t="s">
        <v>13</v>
      </c>
      <c r="F5" s="13" t="s">
        <v>14</v>
      </c>
      <c r="G5" s="13" t="s">
        <v>13</v>
      </c>
      <c r="H5" s="13" t="s">
        <v>14</v>
      </c>
      <c r="I5" s="13" t="s">
        <v>13</v>
      </c>
      <c r="J5" s="13" t="s">
        <v>14</v>
      </c>
      <c r="K5" s="13" t="s">
        <v>13</v>
      </c>
      <c r="L5" s="13" t="s">
        <v>14</v>
      </c>
      <c r="M5" s="13" t="s">
        <v>13</v>
      </c>
      <c r="N5" s="13" t="s">
        <v>14</v>
      </c>
      <c r="O5" s="13" t="s">
        <v>13</v>
      </c>
      <c r="P5" s="13" t="s">
        <v>14</v>
      </c>
      <c r="Q5" s="13" t="s">
        <v>13</v>
      </c>
      <c r="R5" s="13" t="s">
        <v>14</v>
      </c>
      <c r="S5" s="13" t="s">
        <v>13</v>
      </c>
      <c r="T5" s="13" t="s">
        <v>14</v>
      </c>
      <c r="U5" s="13" t="s">
        <v>13</v>
      </c>
      <c r="V5" s="13" t="s">
        <v>14</v>
      </c>
      <c r="W5" s="13" t="s">
        <v>13</v>
      </c>
      <c r="X5" s="13" t="s">
        <v>14</v>
      </c>
      <c r="Y5" s="4" t="s">
        <v>13</v>
      </c>
      <c r="Z5" s="4" t="s">
        <v>14</v>
      </c>
      <c r="AA5" s="4" t="s">
        <v>13</v>
      </c>
      <c r="AB5" s="4" t="s">
        <v>14</v>
      </c>
      <c r="AC5" s="4" t="s">
        <v>13</v>
      </c>
      <c r="AD5" s="4" t="s">
        <v>14</v>
      </c>
      <c r="AE5" s="4" t="s">
        <v>13</v>
      </c>
      <c r="AF5" s="4" t="s">
        <v>14</v>
      </c>
      <c r="AG5" s="4" t="s">
        <v>13</v>
      </c>
      <c r="AH5" s="4" t="s">
        <v>14</v>
      </c>
      <c r="AI5" s="115"/>
      <c r="AJ5" s="4"/>
      <c r="AK5" s="4" t="s">
        <v>13</v>
      </c>
      <c r="AL5" s="4" t="s">
        <v>14</v>
      </c>
      <c r="AM5" s="4" t="s">
        <v>13</v>
      </c>
      <c r="AN5" s="4" t="s">
        <v>14</v>
      </c>
      <c r="AO5" s="4" t="s">
        <v>13</v>
      </c>
      <c r="AP5" s="4" t="s">
        <v>14</v>
      </c>
      <c r="AQ5" s="4" t="s">
        <v>13</v>
      </c>
      <c r="AR5" s="4" t="s">
        <v>14</v>
      </c>
      <c r="AS5" s="4" t="s">
        <v>13</v>
      </c>
      <c r="AT5" s="4" t="s">
        <v>14</v>
      </c>
      <c r="AU5" s="13" t="s">
        <v>13</v>
      </c>
      <c r="AV5" s="13" t="s">
        <v>14</v>
      </c>
      <c r="AW5" s="13" t="s">
        <v>13</v>
      </c>
      <c r="AX5" s="13" t="s">
        <v>14</v>
      </c>
      <c r="AY5" s="13" t="s">
        <v>13</v>
      </c>
      <c r="AZ5" s="13" t="s">
        <v>14</v>
      </c>
      <c r="BA5" s="13" t="s">
        <v>13</v>
      </c>
      <c r="BB5" s="13" t="s">
        <v>14</v>
      </c>
      <c r="BC5" s="13" t="s">
        <v>13</v>
      </c>
      <c r="BD5" s="13" t="s">
        <v>14</v>
      </c>
      <c r="BE5" s="4" t="s">
        <v>13</v>
      </c>
      <c r="BF5" s="4" t="s">
        <v>14</v>
      </c>
      <c r="BG5" s="4" t="s">
        <v>13</v>
      </c>
      <c r="BH5" s="4" t="s">
        <v>14</v>
      </c>
      <c r="BI5" s="4" t="s">
        <v>13</v>
      </c>
      <c r="BJ5" s="4" t="s">
        <v>14</v>
      </c>
      <c r="BK5" s="4" t="s">
        <v>13</v>
      </c>
      <c r="BL5" s="4" t="s">
        <v>14</v>
      </c>
      <c r="BM5" s="4" t="s">
        <v>13</v>
      </c>
      <c r="BN5" s="4" t="s">
        <v>14</v>
      </c>
      <c r="BO5" s="4" t="s">
        <v>13</v>
      </c>
      <c r="BP5" s="4" t="s">
        <v>14</v>
      </c>
      <c r="BQ5" s="241"/>
      <c r="BR5" s="227"/>
      <c r="BS5" s="59"/>
      <c r="BT5" s="92" t="s">
        <v>15</v>
      </c>
      <c r="BU5" s="91" t="s">
        <v>16</v>
      </c>
      <c r="BV5" s="91" t="s">
        <v>17</v>
      </c>
      <c r="BW5" s="89" t="s">
        <v>18</v>
      </c>
      <c r="BX5" s="91" t="s">
        <v>19</v>
      </c>
      <c r="BY5" s="91" t="s">
        <v>20</v>
      </c>
      <c r="BZ5" s="75" t="s">
        <v>171</v>
      </c>
      <c r="CA5" s="60" t="s">
        <v>22</v>
      </c>
      <c r="CB5" s="77" t="s">
        <v>23</v>
      </c>
      <c r="CC5" s="77" t="s">
        <v>24</v>
      </c>
      <c r="CD5" s="77" t="s">
        <v>25</v>
      </c>
      <c r="CE5" s="61" t="s">
        <v>26</v>
      </c>
      <c r="CG5" s="51" t="s">
        <v>16</v>
      </c>
      <c r="CH5" s="52" t="s">
        <v>17</v>
      </c>
      <c r="CI5" s="52" t="s">
        <v>18</v>
      </c>
      <c r="CJ5" s="52" t="s">
        <v>19</v>
      </c>
      <c r="CK5" s="52" t="s">
        <v>20</v>
      </c>
      <c r="CL5" s="52" t="s">
        <v>21</v>
      </c>
      <c r="CM5" s="52" t="s">
        <v>22</v>
      </c>
      <c r="CN5" s="52" t="s">
        <v>23</v>
      </c>
      <c r="CO5" s="52" t="s">
        <v>24</v>
      </c>
      <c r="CP5" s="52" t="s">
        <v>25</v>
      </c>
      <c r="CQ5" s="53" t="s">
        <v>192</v>
      </c>
    </row>
    <row r="6" spans="1:95" ht="21.75" customHeight="1" x14ac:dyDescent="0.25">
      <c r="A6" s="45">
        <v>48</v>
      </c>
      <c r="B6" s="11" t="s">
        <v>126</v>
      </c>
      <c r="C6" s="78" t="s">
        <v>127</v>
      </c>
      <c r="D6" s="88">
        <v>45491</v>
      </c>
      <c r="E6" s="137">
        <v>46235.353703703702</v>
      </c>
      <c r="F6" s="137">
        <v>46235.980462962965</v>
      </c>
      <c r="G6" s="137">
        <v>46236.354444444441</v>
      </c>
      <c r="H6" s="137">
        <v>46236.991655092592</v>
      </c>
      <c r="I6" s="137">
        <v>46237.353680555556</v>
      </c>
      <c r="J6" s="137">
        <v>46237.969293981485</v>
      </c>
      <c r="K6" s="137">
        <v>46238.353321759256</v>
      </c>
      <c r="L6" s="137">
        <v>46238.944537037038</v>
      </c>
      <c r="M6" s="137">
        <v>46239.353182870371</v>
      </c>
      <c r="N6" s="137">
        <v>46239.965127314812</v>
      </c>
      <c r="O6" s="137">
        <v>46240.354062500002</v>
      </c>
      <c r="P6" s="137">
        <v>46240.970486111109</v>
      </c>
      <c r="Q6" s="137">
        <v>46241.582152777781</v>
      </c>
      <c r="R6" s="137">
        <v>46241.93408564815</v>
      </c>
      <c r="S6" s="137">
        <v>46242.353055555555</v>
      </c>
      <c r="T6" s="137">
        <v>46242.987881944442</v>
      </c>
      <c r="U6" s="137">
        <v>46243.353622685187</v>
      </c>
      <c r="V6" s="137">
        <v>46243.937581018516</v>
      </c>
      <c r="W6" s="137">
        <v>46244.353460648148</v>
      </c>
      <c r="X6" s="137">
        <v>46244.966226851851</v>
      </c>
      <c r="Y6" s="137">
        <v>46245.352141203701</v>
      </c>
      <c r="Z6" s="137">
        <v>46245.92597222222</v>
      </c>
      <c r="AA6" s="137">
        <v>46246.352268518516</v>
      </c>
      <c r="AB6" s="137">
        <v>46246.993807870371</v>
      </c>
      <c r="AC6" s="137">
        <v>46247.354143518518</v>
      </c>
      <c r="AD6" s="137">
        <v>46247.966990740744</v>
      </c>
      <c r="AE6" s="138" t="s">
        <v>15</v>
      </c>
      <c r="AF6" s="138" t="s">
        <v>15</v>
      </c>
      <c r="AG6" s="137">
        <v>46249.353148148148</v>
      </c>
      <c r="AH6" s="137">
        <v>46249.972037037034</v>
      </c>
      <c r="AI6" s="116"/>
      <c r="AJ6" s="45">
        <v>48</v>
      </c>
      <c r="AK6" s="142">
        <v>46250.352835648147</v>
      </c>
      <c r="AL6" s="142">
        <v>46250.948761574073</v>
      </c>
      <c r="AM6" s="142">
        <v>46251.353449074071</v>
      </c>
      <c r="AN6" s="142">
        <v>46251.956944444442</v>
      </c>
      <c r="AO6" s="142">
        <v>46252.353715277779</v>
      </c>
      <c r="AP6" s="142">
        <v>46252.942349537036</v>
      </c>
      <c r="AQ6" s="142">
        <v>46253.353645833333</v>
      </c>
      <c r="AR6" s="142">
        <v>46253.986678240741</v>
      </c>
      <c r="AS6" s="142">
        <v>46254.352638888886</v>
      </c>
      <c r="AT6" s="142">
        <v>46254.947546296295</v>
      </c>
      <c r="AU6" s="142">
        <v>46255.583101851851</v>
      </c>
      <c r="AV6" s="142">
        <v>46255.917326388888</v>
      </c>
      <c r="AW6" s="142">
        <v>46256.352500000001</v>
      </c>
      <c r="AX6" s="65">
        <v>1</v>
      </c>
      <c r="AY6" s="65"/>
      <c r="AZ6" s="65"/>
      <c r="BA6" s="65"/>
      <c r="BB6" s="65"/>
      <c r="BC6" s="65"/>
      <c r="BD6" s="65"/>
      <c r="BE6" s="100"/>
      <c r="BF6" s="100"/>
      <c r="BG6" s="65"/>
      <c r="BH6" s="65"/>
      <c r="BI6" s="65"/>
      <c r="BJ6" s="65"/>
      <c r="BK6" s="65"/>
      <c r="BL6" s="65"/>
      <c r="BM6" s="65"/>
      <c r="BN6" s="69"/>
      <c r="BO6" s="69"/>
      <c r="BP6" s="69"/>
      <c r="BQ6" s="99">
        <f t="shared" ref="BQ6" si="0">BS6+BT6+BV6+CA6+BY6+BZ6+CD6+BU6</f>
        <v>22</v>
      </c>
      <c r="BR6" s="68">
        <v>2</v>
      </c>
      <c r="BS6" s="1">
        <f t="shared" ref="BS6" si="1">COUNT(E6:AH6)/2+COUNT(AK6:BN6)/2</f>
        <v>21</v>
      </c>
      <c r="BT6" s="2">
        <f t="shared" ref="BT6" si="2">COUNTIF(E6:BN6,"OFF")/2</f>
        <v>1</v>
      </c>
      <c r="BU6" s="2">
        <f t="shared" ref="BU6" si="3">COUNTIF(E6:BN6,"MC")/2</f>
        <v>0</v>
      </c>
      <c r="BV6" s="2">
        <f t="shared" ref="BV6" si="4">COUNTIF(E6:BN6,"EL")/2</f>
        <v>0</v>
      </c>
      <c r="BW6" s="2">
        <f t="shared" ref="BW6" si="5">COUNTIF(E6:BN6,"AL")/2</f>
        <v>0</v>
      </c>
      <c r="BX6" s="2">
        <f t="shared" ref="BX6" si="6">COUNTIF(E6:BN6,"SUS")/2</f>
        <v>0</v>
      </c>
      <c r="BY6" s="2">
        <f t="shared" ref="BY6" si="7">COUNTIF(E6:BN6,"FL")/2</f>
        <v>0</v>
      </c>
      <c r="BZ6" s="2">
        <f t="shared" ref="BZ6" si="8">COUNTIF(E6:BN6,"SICK")/2</f>
        <v>0</v>
      </c>
      <c r="CA6" s="2">
        <f t="shared" ref="CA6" si="9">COUNTIF(E6:BN6,"HD")/2</f>
        <v>0</v>
      </c>
      <c r="CB6" s="2">
        <f t="shared" ref="CB6" si="10">COUNTIF(E6:BN6,"AB")/2</f>
        <v>0</v>
      </c>
      <c r="CC6" s="2">
        <f t="shared" ref="CC6" si="11">COUNTIF(E6:BN6,"NL")/2</f>
        <v>0</v>
      </c>
      <c r="CD6" s="2">
        <f t="shared" ref="CD6" si="12">COUNTIF(E6:BN6,"SP")/2</f>
        <v>0</v>
      </c>
      <c r="CE6" s="3"/>
      <c r="CG6" s="123">
        <v>0</v>
      </c>
      <c r="CH6" s="124">
        <v>0</v>
      </c>
      <c r="CI6" s="124">
        <v>0</v>
      </c>
      <c r="CJ6" s="124">
        <v>0</v>
      </c>
      <c r="CK6" s="124">
        <v>0</v>
      </c>
      <c r="CL6" s="123">
        <v>4</v>
      </c>
      <c r="CM6" s="124">
        <v>0</v>
      </c>
      <c r="CN6" s="123">
        <v>5</v>
      </c>
      <c r="CO6" s="124">
        <v>0</v>
      </c>
      <c r="CP6" s="124">
        <v>0</v>
      </c>
      <c r="CQ6" s="126">
        <f t="shared" ref="CQ6" si="13">SUM(CG6:CP6)</f>
        <v>9</v>
      </c>
    </row>
    <row r="8" spans="1:95" x14ac:dyDescent="0.25">
      <c r="E8" s="205" t="s">
        <v>5</v>
      </c>
      <c r="F8" s="206"/>
      <c r="G8" s="205" t="s">
        <v>6</v>
      </c>
      <c r="H8" s="206"/>
      <c r="I8" s="205" t="s">
        <v>7</v>
      </c>
      <c r="J8" s="206"/>
      <c r="K8" s="205" t="s">
        <v>1</v>
      </c>
      <c r="L8" s="206"/>
      <c r="M8" s="205" t="s">
        <v>2</v>
      </c>
      <c r="N8" s="206"/>
      <c r="O8" s="205" t="s">
        <v>3</v>
      </c>
      <c r="P8" s="206"/>
      <c r="Q8" s="205" t="s">
        <v>4</v>
      </c>
      <c r="R8" s="206"/>
    </row>
    <row r="9" spans="1:95" x14ac:dyDescent="0.25">
      <c r="E9" s="201">
        <v>46250</v>
      </c>
      <c r="F9" s="202"/>
      <c r="G9" s="201">
        <v>46251</v>
      </c>
      <c r="H9" s="202"/>
      <c r="I9" s="201">
        <v>46252</v>
      </c>
      <c r="J9" s="202"/>
      <c r="K9" s="201">
        <v>46253</v>
      </c>
      <c r="L9" s="202"/>
      <c r="M9" s="201">
        <v>46254</v>
      </c>
      <c r="N9" s="202"/>
      <c r="O9" s="201">
        <v>46255</v>
      </c>
      <c r="P9" s="202"/>
      <c r="Q9" s="201">
        <v>46256</v>
      </c>
      <c r="R9" s="202"/>
    </row>
    <row r="10" spans="1:95" x14ac:dyDescent="0.25">
      <c r="E10" s="13" t="s">
        <v>13</v>
      </c>
      <c r="F10" s="13" t="s">
        <v>14</v>
      </c>
      <c r="G10" s="13" t="s">
        <v>13</v>
      </c>
      <c r="H10" s="13" t="s">
        <v>14</v>
      </c>
      <c r="I10" s="13" t="s">
        <v>13</v>
      </c>
      <c r="J10" s="13" t="s">
        <v>14</v>
      </c>
      <c r="K10" s="13" t="s">
        <v>13</v>
      </c>
      <c r="L10" s="13" t="s">
        <v>14</v>
      </c>
      <c r="M10" s="13" t="s">
        <v>13</v>
      </c>
      <c r="N10" s="13" t="s">
        <v>14</v>
      </c>
      <c r="O10" s="13" t="s">
        <v>13</v>
      </c>
      <c r="P10" s="13" t="s">
        <v>14</v>
      </c>
      <c r="Q10" s="13" t="s">
        <v>13</v>
      </c>
      <c r="R10" s="13" t="s">
        <v>14</v>
      </c>
    </row>
    <row r="11" spans="1:95" x14ac:dyDescent="0.25">
      <c r="E11" s="143">
        <v>46250.352835648147</v>
      </c>
      <c r="F11" s="143">
        <v>46250.948761574073</v>
      </c>
      <c r="G11" s="143">
        <v>46251.353449074071</v>
      </c>
      <c r="H11" s="143">
        <v>46251.956944444442</v>
      </c>
      <c r="I11" s="143">
        <v>46252.353715277779</v>
      </c>
      <c r="J11" s="143">
        <v>46252.942349537036</v>
      </c>
      <c r="K11" s="143">
        <v>46253.353645833333</v>
      </c>
      <c r="L11" s="143">
        <v>46253.986678240741</v>
      </c>
      <c r="M11" s="143">
        <v>46254.352638888886</v>
      </c>
      <c r="N11" s="143">
        <v>46254.947546296295</v>
      </c>
      <c r="O11" s="143">
        <v>46255.583101851851</v>
      </c>
      <c r="P11" s="143">
        <v>46255.917326388888</v>
      </c>
      <c r="Q11" s="143">
        <v>46256.352500000001</v>
      </c>
      <c r="R11" s="65">
        <v>0.95833333333333337</v>
      </c>
    </row>
    <row r="13" spans="1:95" x14ac:dyDescent="0.25">
      <c r="E13" s="213" t="s">
        <v>8</v>
      </c>
      <c r="F13" s="225" t="s">
        <v>9</v>
      </c>
      <c r="G13" s="214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6"/>
    </row>
    <row r="14" spans="1:95" x14ac:dyDescent="0.25">
      <c r="E14" s="241"/>
      <c r="F14" s="226"/>
      <c r="G14" s="62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4"/>
    </row>
    <row r="15" spans="1:95" ht="28.5" x14ac:dyDescent="0.25">
      <c r="E15" s="241"/>
      <c r="F15" s="227"/>
      <c r="G15" s="59"/>
      <c r="H15" s="92" t="s">
        <v>15</v>
      </c>
      <c r="I15" s="91" t="s">
        <v>16</v>
      </c>
      <c r="J15" s="91" t="s">
        <v>17</v>
      </c>
      <c r="K15" s="89" t="s">
        <v>18</v>
      </c>
      <c r="L15" s="91" t="s">
        <v>19</v>
      </c>
      <c r="M15" s="91" t="s">
        <v>20</v>
      </c>
      <c r="N15" s="75" t="s">
        <v>171</v>
      </c>
      <c r="O15" s="60" t="s">
        <v>22</v>
      </c>
      <c r="P15" s="77" t="s">
        <v>23</v>
      </c>
      <c r="Q15" s="77" t="s">
        <v>24</v>
      </c>
      <c r="R15" s="77" t="s">
        <v>25</v>
      </c>
      <c r="S15" s="61" t="s">
        <v>26</v>
      </c>
    </row>
    <row r="16" spans="1:95" x14ac:dyDescent="0.25">
      <c r="E16" s="99">
        <v>22</v>
      </c>
      <c r="F16" s="68">
        <v>2</v>
      </c>
      <c r="G16" s="1">
        <v>21</v>
      </c>
      <c r="H16" s="2">
        <v>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3"/>
    </row>
    <row r="19" spans="3:79" x14ac:dyDescent="0.25">
      <c r="C19" s="135" t="s">
        <v>249</v>
      </c>
      <c r="D19" s="244" t="s">
        <v>263</v>
      </c>
      <c r="E19" s="244"/>
      <c r="F19" s="244"/>
      <c r="G19" s="244"/>
      <c r="H19" s="244"/>
      <c r="I19" s="244"/>
      <c r="J19" s="244"/>
      <c r="K19" s="244"/>
    </row>
    <row r="20" spans="3:79" x14ac:dyDescent="0.25">
      <c r="C20" s="136" t="s">
        <v>251</v>
      </c>
      <c r="D20" s="134">
        <v>340.03</v>
      </c>
      <c r="E20" s="134"/>
      <c r="F20" s="134">
        <v>926.83</v>
      </c>
      <c r="G20" s="134"/>
      <c r="H20" s="134"/>
      <c r="I20" s="134"/>
      <c r="J20" s="134"/>
      <c r="K20" s="134"/>
    </row>
    <row r="22" spans="3:79" x14ac:dyDescent="0.25">
      <c r="BR22" s="35" t="s">
        <v>71</v>
      </c>
      <c r="BS22" s="36"/>
      <c r="BT22" s="36"/>
      <c r="BU22" s="37" t="s">
        <v>16</v>
      </c>
      <c r="BV22" s="38"/>
      <c r="BW22" s="43" t="s">
        <v>72</v>
      </c>
      <c r="BX22" s="44"/>
      <c r="BY22" s="44"/>
      <c r="BZ22" s="41"/>
      <c r="CA22" s="42" t="s">
        <v>22</v>
      </c>
    </row>
    <row r="23" spans="3:79" ht="15.75" x14ac:dyDescent="0.25">
      <c r="F23" s="16"/>
      <c r="G23" s="17" t="s">
        <v>62</v>
      </c>
      <c r="H23" s="18"/>
      <c r="I23" s="17"/>
      <c r="J23" s="19"/>
      <c r="M23" s="19"/>
      <c r="N23" s="20"/>
      <c r="O23" s="21"/>
      <c r="P23" s="21"/>
      <c r="Q23" s="22" t="s">
        <v>63</v>
      </c>
      <c r="R23" s="22"/>
      <c r="S23" s="20"/>
      <c r="T23" s="20"/>
      <c r="U23" s="20"/>
      <c r="V23" s="20"/>
      <c r="W23" s="20" t="s">
        <v>64</v>
      </c>
      <c r="X23" s="20"/>
      <c r="Y23" s="20"/>
      <c r="Z23" s="20"/>
      <c r="AA23" s="22" t="s">
        <v>65</v>
      </c>
      <c r="AB23" s="20"/>
      <c r="AF23" s="74"/>
      <c r="AG23" s="58"/>
      <c r="AI23"/>
      <c r="AJ23"/>
      <c r="BN23" s="15"/>
      <c r="BO23" s="35" t="s">
        <v>73</v>
      </c>
      <c r="BP23" s="36"/>
      <c r="BQ23" s="36"/>
      <c r="BR23" s="37" t="s">
        <v>17</v>
      </c>
      <c r="BS23" s="38"/>
      <c r="BT23" s="43" t="s">
        <v>74</v>
      </c>
      <c r="BU23" s="44"/>
      <c r="BV23" s="44"/>
      <c r="BW23" s="41"/>
      <c r="BX23" s="42" t="s">
        <v>23</v>
      </c>
    </row>
    <row r="24" spans="3:79" ht="17.25" x14ac:dyDescent="0.25">
      <c r="F24" s="23"/>
      <c r="G24" s="19"/>
      <c r="H24" s="19"/>
      <c r="I24" s="19"/>
      <c r="J24" s="19"/>
      <c r="M24" s="19"/>
      <c r="N24" s="19"/>
      <c r="O24" s="24"/>
      <c r="P24" s="24"/>
      <c r="Q24" s="24"/>
      <c r="R24" s="19"/>
      <c r="S24" s="19"/>
      <c r="T24" s="19"/>
      <c r="U24" s="25"/>
      <c r="V24" s="25"/>
      <c r="W24" s="25"/>
      <c r="X24" s="25"/>
      <c r="Y24" s="25"/>
      <c r="Z24" s="25"/>
      <c r="AA24" s="26"/>
      <c r="AB24" s="26"/>
      <c r="AF24" s="74"/>
      <c r="AG24" s="58"/>
      <c r="AI24"/>
      <c r="AJ24"/>
      <c r="BN24" s="15"/>
      <c r="BO24" s="35" t="s">
        <v>75</v>
      </c>
      <c r="BP24" s="36"/>
      <c r="BQ24" s="36"/>
      <c r="BR24" s="37" t="s">
        <v>18</v>
      </c>
      <c r="BS24" s="38"/>
      <c r="BT24" s="39" t="s">
        <v>76</v>
      </c>
      <c r="BU24" s="40"/>
      <c r="BV24" s="40"/>
      <c r="BW24" s="41"/>
      <c r="BX24" s="42" t="s">
        <v>24</v>
      </c>
    </row>
    <row r="25" spans="3:79" ht="17.25" x14ac:dyDescent="0.25">
      <c r="F25" s="23"/>
      <c r="G25" s="27"/>
      <c r="H25" s="19"/>
      <c r="I25" s="27"/>
      <c r="J25" s="19"/>
      <c r="M25" s="19"/>
      <c r="N25" s="27" t="s">
        <v>64</v>
      </c>
      <c r="O25" s="28"/>
      <c r="P25" s="28"/>
      <c r="Q25" s="24"/>
      <c r="R25" s="19"/>
      <c r="S25" s="27"/>
      <c r="T25" s="27"/>
      <c r="U25" s="20"/>
      <c r="V25" s="19"/>
      <c r="W25" s="19"/>
      <c r="X25" s="19"/>
      <c r="Y25" s="19"/>
      <c r="Z25" s="19"/>
      <c r="AA25" s="29"/>
      <c r="AB25" s="29"/>
      <c r="AF25" s="74"/>
      <c r="AG25" s="58"/>
      <c r="AI25"/>
      <c r="AJ25"/>
      <c r="BN25" s="15"/>
      <c r="BO25" s="35" t="s">
        <v>77</v>
      </c>
      <c r="BP25" s="36"/>
      <c r="BQ25" s="36"/>
      <c r="BR25" s="37" t="s">
        <v>19</v>
      </c>
      <c r="BS25" s="38"/>
      <c r="BT25" s="39" t="s">
        <v>78</v>
      </c>
      <c r="BU25" s="40"/>
      <c r="BV25" s="40"/>
      <c r="BW25" s="41"/>
      <c r="BX25" s="42" t="s">
        <v>25</v>
      </c>
    </row>
    <row r="26" spans="3:79" ht="17.25" x14ac:dyDescent="0.25">
      <c r="F26" s="30"/>
      <c r="G26" s="27"/>
      <c r="H26" s="19"/>
      <c r="I26" s="27"/>
      <c r="J26" s="19"/>
      <c r="M26" s="19"/>
      <c r="N26" s="27"/>
      <c r="O26" s="28"/>
      <c r="P26" s="28"/>
      <c r="Q26" s="24"/>
      <c r="R26" s="20"/>
      <c r="S26" s="27"/>
      <c r="T26" s="27"/>
      <c r="U26" s="20"/>
      <c r="V26" s="19"/>
      <c r="W26" s="19"/>
      <c r="X26" s="19"/>
      <c r="Y26" s="19"/>
      <c r="Z26" s="19"/>
      <c r="AA26" s="29"/>
      <c r="AB26" s="29"/>
      <c r="AF26" s="74"/>
      <c r="AG26" s="58"/>
      <c r="AI26"/>
      <c r="AJ26"/>
      <c r="BN26" s="15"/>
      <c r="BO26" s="35" t="s">
        <v>79</v>
      </c>
      <c r="BP26" s="36"/>
      <c r="BQ26" s="36"/>
      <c r="BR26" s="37" t="s">
        <v>20</v>
      </c>
      <c r="BS26" s="38"/>
      <c r="BT26" s="38"/>
      <c r="BU26" s="38"/>
      <c r="BV26" s="38"/>
      <c r="BW26" s="38"/>
      <c r="BX26" s="38"/>
    </row>
    <row r="27" spans="3:79" ht="17.25" x14ac:dyDescent="0.25">
      <c r="F27" s="31"/>
      <c r="G27" s="32"/>
      <c r="H27" s="16"/>
      <c r="I27" s="31"/>
      <c r="J27" s="19"/>
      <c r="M27" s="19"/>
      <c r="N27" s="27"/>
      <c r="O27" s="24"/>
      <c r="P27" s="28"/>
      <c r="Q27" s="18" t="s">
        <v>66</v>
      </c>
      <c r="R27" s="19"/>
      <c r="S27" s="27"/>
      <c r="T27" s="20"/>
      <c r="U27" s="19"/>
      <c r="V27" s="19"/>
      <c r="W27" s="19"/>
      <c r="X27" s="19"/>
      <c r="Y27" s="19"/>
      <c r="Z27" s="19"/>
      <c r="AA27" s="18" t="s">
        <v>67</v>
      </c>
      <c r="AB27" s="29"/>
      <c r="AF27" s="74"/>
      <c r="AG27" s="58"/>
      <c r="AI27"/>
      <c r="AJ27"/>
      <c r="BN27" s="15"/>
      <c r="BQ27"/>
    </row>
    <row r="28" spans="3:79" ht="17.25" x14ac:dyDescent="0.25">
      <c r="F28" s="31"/>
      <c r="G28" s="31" t="s">
        <v>68</v>
      </c>
      <c r="H28" s="30"/>
      <c r="I28" s="30"/>
      <c r="J28" s="19"/>
      <c r="M28" s="19"/>
      <c r="N28" s="18"/>
      <c r="O28" s="33"/>
      <c r="P28" s="33"/>
      <c r="Q28" s="18" t="s">
        <v>69</v>
      </c>
      <c r="R28" s="18"/>
      <c r="S28" s="18"/>
      <c r="T28" s="20"/>
      <c r="U28" s="18"/>
      <c r="V28" s="19"/>
      <c r="W28" s="19"/>
      <c r="X28" s="19"/>
      <c r="Y28" s="19"/>
      <c r="Z28" s="19"/>
      <c r="AA28" s="18" t="s">
        <v>70</v>
      </c>
      <c r="AB28" s="29"/>
      <c r="AF28" s="74"/>
      <c r="AG28" s="66"/>
      <c r="AI28"/>
      <c r="AJ28"/>
      <c r="BN28" s="15"/>
      <c r="BQ28"/>
    </row>
    <row r="29" spans="3:79" x14ac:dyDescent="0.25">
      <c r="AJ29" s="66"/>
    </row>
    <row r="30" spans="3:79" x14ac:dyDescent="0.25">
      <c r="AJ30" s="66"/>
    </row>
    <row r="31" spans="3:79" x14ac:dyDescent="0.25">
      <c r="AJ31" s="66"/>
    </row>
    <row r="34" spans="1:95" ht="15.75" x14ac:dyDescent="0.25">
      <c r="CG34" s="54">
        <v>0</v>
      </c>
      <c r="CH34" s="54">
        <v>0</v>
      </c>
      <c r="CI34" s="54">
        <v>0</v>
      </c>
      <c r="CJ34" s="54">
        <v>0</v>
      </c>
      <c r="CK34" s="54">
        <v>0</v>
      </c>
      <c r="CL34" s="54">
        <v>0</v>
      </c>
      <c r="CM34" s="54">
        <v>0</v>
      </c>
      <c r="CN34" s="54">
        <v>0</v>
      </c>
      <c r="CO34" s="54">
        <v>0</v>
      </c>
      <c r="CP34" s="54">
        <v>0</v>
      </c>
      <c r="CQ34" s="56">
        <f>SUM(CG34:CP34)</f>
        <v>0</v>
      </c>
    </row>
    <row r="35" spans="1:95" ht="15.75" x14ac:dyDescent="0.25"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G35" s="54">
        <v>0</v>
      </c>
      <c r="CH35" s="54">
        <v>0</v>
      </c>
      <c r="CI35" s="54">
        <v>60</v>
      </c>
      <c r="CJ35" s="54">
        <v>0</v>
      </c>
      <c r="CK35" s="54">
        <v>0</v>
      </c>
      <c r="CL35" s="54">
        <v>0</v>
      </c>
      <c r="CM35" s="54">
        <v>0</v>
      </c>
      <c r="CN35" s="54">
        <v>0</v>
      </c>
      <c r="CO35" s="54">
        <v>11</v>
      </c>
      <c r="CP35" s="54">
        <v>0</v>
      </c>
      <c r="CQ35" s="56">
        <f>SUM(CG35:CP35)</f>
        <v>71</v>
      </c>
    </row>
    <row r="36" spans="1:95" ht="15.75" x14ac:dyDescent="0.25">
      <c r="CG36" s="54">
        <v>0</v>
      </c>
      <c r="CH36" s="54">
        <v>0</v>
      </c>
      <c r="CI36" s="54">
        <v>0</v>
      </c>
      <c r="CJ36" s="54">
        <v>0</v>
      </c>
      <c r="CK36" s="54">
        <v>0</v>
      </c>
      <c r="CL36" s="55">
        <v>7</v>
      </c>
      <c r="CM36" s="55">
        <v>0</v>
      </c>
      <c r="CN36" s="55">
        <v>0</v>
      </c>
      <c r="CO36" s="54">
        <v>0</v>
      </c>
      <c r="CP36" s="54">
        <v>0</v>
      </c>
      <c r="CQ36" s="56">
        <f>SUM(CG36:CP36)</f>
        <v>7</v>
      </c>
    </row>
    <row r="39" spans="1:95" ht="15.75" x14ac:dyDescent="0.25">
      <c r="CG39" s="54">
        <v>0</v>
      </c>
      <c r="CH39" s="54">
        <v>0</v>
      </c>
      <c r="CI39" s="54">
        <v>0</v>
      </c>
      <c r="CJ39" s="54">
        <v>0</v>
      </c>
      <c r="CK39" s="54">
        <v>0</v>
      </c>
      <c r="CL39" s="54">
        <v>0</v>
      </c>
      <c r="CM39" s="55">
        <v>0</v>
      </c>
      <c r="CN39" s="55">
        <v>0</v>
      </c>
      <c r="CO39" s="54">
        <v>0</v>
      </c>
      <c r="CP39" s="54">
        <v>0</v>
      </c>
      <c r="CQ39" s="56">
        <f>SUM(CG39:CP39)</f>
        <v>0</v>
      </c>
    </row>
    <row r="40" spans="1:95" ht="15.75" x14ac:dyDescent="0.25">
      <c r="CG40" s="54">
        <v>0</v>
      </c>
      <c r="CH40" s="54">
        <v>0</v>
      </c>
      <c r="CI40" s="54">
        <v>0</v>
      </c>
      <c r="CJ40" s="54">
        <v>0</v>
      </c>
      <c r="CK40" s="54">
        <v>0</v>
      </c>
      <c r="CL40" s="54">
        <v>1</v>
      </c>
      <c r="CM40" s="54">
        <v>0</v>
      </c>
      <c r="CN40" s="54">
        <v>0</v>
      </c>
      <c r="CO40" s="54">
        <v>0</v>
      </c>
      <c r="CP40" s="54">
        <v>0</v>
      </c>
      <c r="CQ40" s="56">
        <f>SUM(CG40:CP40)</f>
        <v>1</v>
      </c>
    </row>
    <row r="41" spans="1:95" ht="15.75" x14ac:dyDescent="0.25">
      <c r="CG41" s="54">
        <v>0</v>
      </c>
      <c r="CH41" s="54">
        <v>0</v>
      </c>
      <c r="CI41" s="54">
        <v>0</v>
      </c>
      <c r="CJ41" s="54">
        <v>0</v>
      </c>
      <c r="CK41" s="54">
        <v>1</v>
      </c>
      <c r="CL41" s="55">
        <v>7</v>
      </c>
      <c r="CM41" s="55">
        <v>1</v>
      </c>
      <c r="CN41" s="54">
        <v>0</v>
      </c>
      <c r="CO41" s="54">
        <v>0</v>
      </c>
      <c r="CP41" s="54">
        <v>0</v>
      </c>
      <c r="CQ41" s="56">
        <f>SUM(CG41:CP41)</f>
        <v>9</v>
      </c>
    </row>
    <row r="42" spans="1:95" ht="15.75" x14ac:dyDescent="0.25">
      <c r="CG42" s="54">
        <v>0</v>
      </c>
      <c r="CH42" s="54">
        <v>0</v>
      </c>
      <c r="CI42" s="54">
        <v>0</v>
      </c>
      <c r="CJ42" s="54">
        <v>0</v>
      </c>
      <c r="CK42" s="54">
        <v>0</v>
      </c>
      <c r="CL42" s="55">
        <v>1</v>
      </c>
      <c r="CM42" s="54">
        <v>0</v>
      </c>
      <c r="CN42" s="54">
        <v>0</v>
      </c>
      <c r="CO42" s="54">
        <v>0</v>
      </c>
      <c r="CP42" s="54">
        <v>0</v>
      </c>
      <c r="CQ42" s="56">
        <f>SUM(CG42:CP42)</f>
        <v>1</v>
      </c>
    </row>
    <row r="43" spans="1:95" ht="24.75" customHeight="1" x14ac:dyDescent="0.25"/>
    <row r="44" spans="1:95" ht="15.75" x14ac:dyDescent="0.25">
      <c r="AH44" s="119">
        <v>0.94930555555555551</v>
      </c>
      <c r="AI44" s="110"/>
      <c r="CG44" s="54">
        <v>0</v>
      </c>
      <c r="CH44" s="54">
        <v>0</v>
      </c>
      <c r="CI44" s="54">
        <v>0</v>
      </c>
      <c r="CJ44" s="54">
        <v>0</v>
      </c>
      <c r="CK44" s="54">
        <v>0</v>
      </c>
      <c r="CL44" s="54">
        <v>0</v>
      </c>
      <c r="CM44" s="54">
        <v>0</v>
      </c>
      <c r="CN44" s="54">
        <v>0</v>
      </c>
      <c r="CO44" s="54">
        <v>0</v>
      </c>
      <c r="CP44" s="54">
        <v>0</v>
      </c>
      <c r="CQ44" s="56">
        <f>SUM(CG44:CP44)</f>
        <v>0</v>
      </c>
    </row>
    <row r="47" spans="1:95" ht="21.75" customHeight="1" x14ac:dyDescent="0.25">
      <c r="A47" s="45">
        <v>40</v>
      </c>
      <c r="B47" s="11" t="s">
        <v>106</v>
      </c>
      <c r="C47" s="78" t="s">
        <v>107</v>
      </c>
      <c r="D47" s="88">
        <v>44990</v>
      </c>
      <c r="E47" s="65">
        <v>0.35972222222222222</v>
      </c>
      <c r="F47" s="65">
        <v>0.97361111111111109</v>
      </c>
      <c r="G47" s="65">
        <v>0.35486111111111113</v>
      </c>
      <c r="H47" s="65">
        <v>0.9916666666666667</v>
      </c>
      <c r="I47" s="92" t="s">
        <v>15</v>
      </c>
      <c r="J47" s="92" t="s">
        <v>15</v>
      </c>
      <c r="K47" s="65">
        <v>0.35416666666666669</v>
      </c>
      <c r="L47" s="65">
        <v>0.94861111111111107</v>
      </c>
      <c r="M47" s="65"/>
      <c r="N47" s="65"/>
      <c r="O47" s="65"/>
      <c r="P47" s="65"/>
      <c r="Q47" s="65"/>
      <c r="R47" s="69"/>
      <c r="S47" s="65"/>
      <c r="T47" s="65"/>
      <c r="U47" s="65"/>
      <c r="V47" s="65"/>
      <c r="W47" s="100"/>
      <c r="X47" s="100"/>
      <c r="Y47" s="65"/>
      <c r="Z47" s="65"/>
      <c r="AA47" s="65"/>
      <c r="AB47" s="65"/>
      <c r="AC47" s="65"/>
      <c r="AD47" s="65">
        <v>0.93055555555555547</v>
      </c>
      <c r="AE47" s="65">
        <v>0.3520833333333333</v>
      </c>
      <c r="AF47" s="65">
        <v>0.96180555555555547</v>
      </c>
      <c r="AG47" s="65">
        <v>0.35347222222222219</v>
      </c>
      <c r="AH47" s="65">
        <v>0.97499999999999998</v>
      </c>
      <c r="AI47" s="116"/>
      <c r="AJ47" s="45">
        <v>38</v>
      </c>
      <c r="AK47" s="65"/>
      <c r="AL47" s="65"/>
      <c r="AM47" s="65"/>
      <c r="AN47" s="65"/>
      <c r="AO47" s="65"/>
      <c r="AP47" s="65"/>
      <c r="AQ47" s="92"/>
      <c r="AR47" s="102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100"/>
      <c r="BF47" s="100"/>
      <c r="BG47" s="65"/>
      <c r="BH47" s="65"/>
      <c r="BI47" s="65"/>
      <c r="BJ47" s="65"/>
      <c r="BK47" s="65"/>
      <c r="BL47" s="65"/>
      <c r="BM47" s="65"/>
      <c r="BN47" s="65"/>
      <c r="BO47" s="65"/>
      <c r="BP47" s="65"/>
      <c r="BQ47" s="99">
        <f>BS47+BT47+BV47+CA47+BY47+BZ47+CD47+BU47</f>
        <v>6.5</v>
      </c>
      <c r="BR47" s="68"/>
      <c r="BS47" s="1">
        <f>COUNT(E47:AH47)/2+COUNT(AK47:BN47)/2</f>
        <v>5.5</v>
      </c>
      <c r="BT47" s="2">
        <f>COUNTIF(E47:BN47,"OFF")/2</f>
        <v>1</v>
      </c>
      <c r="BU47" s="2">
        <f>COUNTIF(E47:BN47,"MC")/2</f>
        <v>0</v>
      </c>
      <c r="BV47" s="2">
        <f>COUNTIF(E47:BN47,"EL")/2</f>
        <v>0</v>
      </c>
      <c r="BW47" s="2">
        <f>COUNTIF(E47:BN47,"AL")/2</f>
        <v>0</v>
      </c>
      <c r="BX47" s="2">
        <f>COUNTIF(E47:BN47,"SUS")/2</f>
        <v>0</v>
      </c>
      <c r="BY47" s="2">
        <f>COUNTIF(E47:BN47,"FL")/2</f>
        <v>0</v>
      </c>
      <c r="BZ47" s="2">
        <f>COUNTIF(E47:BN47,"SICK")/2</f>
        <v>0</v>
      </c>
      <c r="CA47" s="2">
        <f>COUNTIF(E47:BN47,"HD")/2</f>
        <v>0</v>
      </c>
      <c r="CB47" s="2">
        <f>COUNTIF(E47:BN47,"AB")/2</f>
        <v>0</v>
      </c>
      <c r="CC47" s="2">
        <f>COUNTIF(E47:BN47,"NL")/2</f>
        <v>0</v>
      </c>
      <c r="CD47" s="2">
        <f>COUNTIF(E47:BN47,"SP")/2</f>
        <v>0</v>
      </c>
      <c r="CE47" s="3"/>
      <c r="CG47" s="55">
        <v>0</v>
      </c>
      <c r="CH47" s="54">
        <v>0</v>
      </c>
      <c r="CI47" s="54">
        <v>0</v>
      </c>
      <c r="CJ47" s="54">
        <v>0</v>
      </c>
      <c r="CK47" s="54">
        <v>0</v>
      </c>
      <c r="CL47" s="55">
        <v>1</v>
      </c>
      <c r="CM47" s="55">
        <v>0</v>
      </c>
      <c r="CN47" s="55">
        <v>2</v>
      </c>
      <c r="CO47" s="54">
        <v>0</v>
      </c>
      <c r="CP47" s="54">
        <v>0</v>
      </c>
      <c r="CQ47" s="127">
        <f>SUM(CG47:CP47)</f>
        <v>3</v>
      </c>
    </row>
    <row r="48" spans="1:95" ht="21.75" customHeight="1" x14ac:dyDescent="0.25">
      <c r="A48" s="45">
        <v>42</v>
      </c>
      <c r="B48" s="11" t="s">
        <v>113</v>
      </c>
      <c r="C48" s="78" t="s">
        <v>227</v>
      </c>
      <c r="D48" s="88">
        <v>45330</v>
      </c>
      <c r="E48" s="92" t="s">
        <v>15</v>
      </c>
      <c r="F48" s="92" t="s">
        <v>15</v>
      </c>
      <c r="G48" s="75">
        <v>0.35416666666666669</v>
      </c>
      <c r="H48" s="75">
        <v>0.96736111111111101</v>
      </c>
      <c r="I48" s="75">
        <v>0.3527777777777778</v>
      </c>
      <c r="J48" s="75">
        <v>0.9291666666666667</v>
      </c>
      <c r="K48" s="75">
        <v>0.35972222222222222</v>
      </c>
      <c r="L48" s="75">
        <v>0.9604166666666667</v>
      </c>
      <c r="M48" s="75">
        <v>0.35625000000000001</v>
      </c>
      <c r="N48" s="75">
        <v>0.94513888888888886</v>
      </c>
      <c r="O48" s="75">
        <v>0.3527777777777778</v>
      </c>
      <c r="P48" s="75">
        <v>0.96527777777777779</v>
      </c>
      <c r="Q48" s="75">
        <v>0.35000000000000003</v>
      </c>
      <c r="R48" s="75">
        <v>0.96944444444444444</v>
      </c>
      <c r="S48" s="75">
        <v>0.5805555555555556</v>
      </c>
      <c r="T48" s="75">
        <v>0.93194444444444446</v>
      </c>
      <c r="U48" s="75">
        <v>0.34930555555555554</v>
      </c>
      <c r="V48" s="75">
        <v>0.94027777777777777</v>
      </c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118"/>
      <c r="AI48" s="108"/>
      <c r="AJ48" s="121">
        <v>42</v>
      </c>
      <c r="AK48" s="75"/>
      <c r="AL48" s="75"/>
      <c r="AM48" s="77"/>
      <c r="AN48" s="77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132"/>
      <c r="BP48" s="132"/>
      <c r="BQ48" s="9">
        <f t="shared" ref="BQ48:BQ54" si="14">BS48+BT48+BV48+BW48+CA48+BY48+BZ48+CD48</f>
        <v>9</v>
      </c>
      <c r="BR48" s="68"/>
      <c r="BS48" s="1">
        <f>COUNT(E48:AH48)/2+COUNT(AK48:BN48)/2</f>
        <v>8</v>
      </c>
      <c r="BT48" s="2">
        <f t="shared" ref="BT48:BT54" si="15">COUNTIF(E48:BN48,"OFF")/2</f>
        <v>1</v>
      </c>
      <c r="BU48" s="2">
        <f t="shared" ref="BU48:BU54" si="16">COUNTIF(E48:BN48,"MC")/2</f>
        <v>0</v>
      </c>
      <c r="BV48" s="2">
        <f t="shared" ref="BV48:BV54" si="17">COUNTIF(E48:BN48,"EL")/2</f>
        <v>0</v>
      </c>
      <c r="BW48" s="2">
        <f t="shared" ref="BW48:BW54" si="18">COUNTIF(E48:BN48,"AL")/2</f>
        <v>0</v>
      </c>
      <c r="BX48" s="2">
        <f t="shared" ref="BX48:BX54" si="19">COUNTIF(E48:BN48,"SUS")/2</f>
        <v>0</v>
      </c>
      <c r="BY48" s="2">
        <f t="shared" ref="BY48:BY54" si="20">COUNTIF(E48:BN48,"FL")/2</f>
        <v>0</v>
      </c>
      <c r="BZ48" s="2">
        <f t="shared" ref="BZ48:BZ54" si="21">COUNTIF(E48:BN48,"SICK")/2</f>
        <v>0</v>
      </c>
      <c r="CA48" s="2">
        <f t="shared" ref="CA48:CA54" si="22">COUNTIF(E48:BN48,"HD")/2</f>
        <v>0</v>
      </c>
      <c r="CB48" s="2">
        <f t="shared" ref="CB48:CB54" si="23">COUNTIF(E48:BN48,"AB")/2</f>
        <v>0</v>
      </c>
      <c r="CC48" s="2">
        <f t="shared" ref="CC48:CC54" si="24">COUNTIF(E48:BN48,"NL")/2</f>
        <v>0</v>
      </c>
      <c r="CD48" s="2">
        <f t="shared" ref="CD48:CD54" si="25">COUNTIF(E48:BN48,"SP")/2</f>
        <v>0</v>
      </c>
      <c r="CE48" s="3"/>
      <c r="CG48" s="54">
        <v>0</v>
      </c>
      <c r="CH48" s="54">
        <v>0</v>
      </c>
      <c r="CI48" s="54">
        <v>0</v>
      </c>
      <c r="CJ48" s="54">
        <v>0</v>
      </c>
      <c r="CK48" s="54">
        <v>0</v>
      </c>
      <c r="CL48" s="54">
        <v>0</v>
      </c>
      <c r="CM48" s="55">
        <v>0</v>
      </c>
      <c r="CN48" s="55">
        <v>0</v>
      </c>
      <c r="CO48" s="54">
        <v>0</v>
      </c>
      <c r="CP48" s="54">
        <v>0</v>
      </c>
      <c r="CQ48" s="56">
        <f>SUM(CG48:CP48)</f>
        <v>0</v>
      </c>
    </row>
    <row r="49" spans="1:95" ht="21.75" customHeight="1" x14ac:dyDescent="0.25">
      <c r="A49" s="45">
        <v>33</v>
      </c>
      <c r="B49" s="11" t="s">
        <v>96</v>
      </c>
      <c r="C49" s="78" t="s">
        <v>97</v>
      </c>
      <c r="D49" s="88">
        <v>44485</v>
      </c>
      <c r="E49" s="92" t="s">
        <v>15</v>
      </c>
      <c r="F49" s="92" t="s">
        <v>15</v>
      </c>
      <c r="G49" s="75">
        <v>0.3520833333333333</v>
      </c>
      <c r="H49" s="75">
        <v>0.95833333333333337</v>
      </c>
      <c r="I49" s="75">
        <v>0.3520833333333333</v>
      </c>
      <c r="J49" s="75">
        <v>0.93958333333333333</v>
      </c>
      <c r="K49" s="75">
        <v>0.35486111111111113</v>
      </c>
      <c r="L49" s="75">
        <v>0.95624999999999993</v>
      </c>
      <c r="M49" s="75">
        <v>0.35694444444444445</v>
      </c>
      <c r="N49" s="75">
        <v>0.94166666666666676</v>
      </c>
      <c r="O49" s="75">
        <v>0.36319444444444443</v>
      </c>
      <c r="P49" s="75">
        <v>0.95972222222222225</v>
      </c>
      <c r="Q49" s="75">
        <v>0.35347222222222219</v>
      </c>
      <c r="R49" s="75">
        <v>0.98541666666666661</v>
      </c>
      <c r="S49" s="93">
        <v>0.58402777777777781</v>
      </c>
      <c r="T49" s="93">
        <v>0.94444444444444453</v>
      </c>
      <c r="U49" s="75">
        <v>0.3520833333333333</v>
      </c>
      <c r="V49" s="75">
        <v>0.9555555555555556</v>
      </c>
      <c r="W49" s="75">
        <v>0.35416666666666669</v>
      </c>
      <c r="X49" s="75">
        <v>0.94374999999999998</v>
      </c>
      <c r="Y49" s="75">
        <v>0.3527777777777778</v>
      </c>
      <c r="Z49" s="75">
        <v>0.94166666666666676</v>
      </c>
      <c r="AA49" s="75">
        <v>0.35625000000000001</v>
      </c>
      <c r="AB49" s="75">
        <v>0.93958333333333333</v>
      </c>
      <c r="AC49" s="75">
        <v>0.3527777777777778</v>
      </c>
      <c r="AD49" s="75">
        <v>0.93888888888888899</v>
      </c>
      <c r="AE49" s="75">
        <v>0.35069444444444442</v>
      </c>
      <c r="AF49" s="75">
        <v>0.96180555555555547</v>
      </c>
      <c r="AG49" s="75">
        <v>0.58263888888888882</v>
      </c>
      <c r="AH49" s="118">
        <v>0.94027777777777777</v>
      </c>
      <c r="AI49" s="108"/>
      <c r="AJ49" s="121">
        <v>33</v>
      </c>
      <c r="AK49" s="77">
        <v>1</v>
      </c>
      <c r="AL49" s="77">
        <v>1</v>
      </c>
      <c r="AM49" s="77">
        <v>1</v>
      </c>
      <c r="AN49" s="77">
        <v>1</v>
      </c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75"/>
      <c r="BL49" s="75"/>
      <c r="BM49" s="75"/>
      <c r="BN49" s="75"/>
      <c r="BO49" s="132"/>
      <c r="BP49" s="132"/>
      <c r="BQ49" s="9">
        <f t="shared" si="14"/>
        <v>17</v>
      </c>
      <c r="BR49" s="68"/>
      <c r="BS49" s="1">
        <f>COUNT(E49:AH49)/2+COUNT(AK49:BN49)/2</f>
        <v>16</v>
      </c>
      <c r="BT49" s="2">
        <f t="shared" si="15"/>
        <v>1</v>
      </c>
      <c r="BU49" s="2">
        <f t="shared" si="16"/>
        <v>0</v>
      </c>
      <c r="BV49" s="2">
        <f t="shared" si="17"/>
        <v>0</v>
      </c>
      <c r="BW49" s="2">
        <f t="shared" si="18"/>
        <v>0</v>
      </c>
      <c r="BX49" s="2">
        <f t="shared" si="19"/>
        <v>0</v>
      </c>
      <c r="BY49" s="2">
        <f t="shared" si="20"/>
        <v>0</v>
      </c>
      <c r="BZ49" s="2">
        <f t="shared" si="21"/>
        <v>0</v>
      </c>
      <c r="CA49" s="2">
        <f t="shared" si="22"/>
        <v>0</v>
      </c>
      <c r="CB49" s="2">
        <f t="shared" si="23"/>
        <v>0</v>
      </c>
      <c r="CC49" s="2">
        <f t="shared" si="24"/>
        <v>0</v>
      </c>
      <c r="CD49" s="2">
        <f t="shared" si="25"/>
        <v>0</v>
      </c>
      <c r="CE49" s="3"/>
      <c r="CG49" s="54">
        <v>0</v>
      </c>
      <c r="CH49" s="54">
        <v>0</v>
      </c>
      <c r="CI49" s="54">
        <v>0</v>
      </c>
      <c r="CJ49" s="54">
        <v>0</v>
      </c>
      <c r="CK49" s="54">
        <v>0</v>
      </c>
      <c r="CL49" s="54">
        <v>0</v>
      </c>
      <c r="CM49" s="55">
        <v>0</v>
      </c>
      <c r="CN49" s="55">
        <v>0</v>
      </c>
      <c r="CO49" s="54">
        <v>0</v>
      </c>
      <c r="CP49" s="54">
        <v>0</v>
      </c>
      <c r="CQ49" s="56">
        <f>SUM(CG49:CP49)</f>
        <v>0</v>
      </c>
    </row>
    <row r="50" spans="1:95" ht="21.75" customHeight="1" x14ac:dyDescent="0.25">
      <c r="A50" s="45">
        <v>39</v>
      </c>
      <c r="B50" s="11" t="s">
        <v>108</v>
      </c>
      <c r="C50" s="78" t="s">
        <v>176</v>
      </c>
      <c r="D50" s="88">
        <v>45148</v>
      </c>
      <c r="E50" s="92" t="s">
        <v>15</v>
      </c>
      <c r="F50" s="92" t="s">
        <v>15</v>
      </c>
      <c r="G50" s="75">
        <v>0.35486111111111113</v>
      </c>
      <c r="H50" s="75">
        <v>0.92291666666666661</v>
      </c>
      <c r="I50" s="75">
        <v>0.3576388888888889</v>
      </c>
      <c r="J50" s="75">
        <v>0.91249999999999998</v>
      </c>
      <c r="K50" s="75">
        <v>0.35555555555555557</v>
      </c>
      <c r="L50" s="75">
        <v>0.92986111111111114</v>
      </c>
      <c r="M50" s="75">
        <v>0.35694444444444445</v>
      </c>
      <c r="N50" s="77">
        <v>1</v>
      </c>
      <c r="O50" s="75">
        <v>0.35138888888888892</v>
      </c>
      <c r="P50" s="75">
        <v>0.94652777777777775</v>
      </c>
      <c r="Q50" s="75">
        <v>0.3527777777777778</v>
      </c>
      <c r="R50" s="75">
        <v>0.93888888888888899</v>
      </c>
      <c r="S50" s="93">
        <v>0.58124999999999993</v>
      </c>
      <c r="T50" s="93">
        <v>0.90069444444444446</v>
      </c>
      <c r="U50" s="75">
        <v>0.3520833333333333</v>
      </c>
      <c r="V50" s="75">
        <v>0.9277777777777777</v>
      </c>
      <c r="W50" s="75">
        <v>0.35069444444444442</v>
      </c>
      <c r="X50" s="75">
        <v>0.94444444444444453</v>
      </c>
      <c r="Y50" s="75">
        <v>0.35347222222222219</v>
      </c>
      <c r="Z50" s="75">
        <v>0.93402777777777779</v>
      </c>
      <c r="AA50" s="75">
        <v>0.35347222222222219</v>
      </c>
      <c r="AB50" s="77">
        <v>1</v>
      </c>
      <c r="AC50" s="75">
        <v>0.34861111111111115</v>
      </c>
      <c r="AD50" s="77">
        <v>1</v>
      </c>
      <c r="AE50" s="75">
        <v>0.35972222222222222</v>
      </c>
      <c r="AF50" s="77">
        <v>1</v>
      </c>
      <c r="AG50" s="92" t="s">
        <v>15</v>
      </c>
      <c r="AH50" s="102" t="s">
        <v>15</v>
      </c>
      <c r="AI50" s="122"/>
      <c r="AJ50" s="121">
        <v>39</v>
      </c>
      <c r="AK50" s="75"/>
      <c r="AL50" s="75"/>
      <c r="AM50" s="77"/>
      <c r="AN50" s="77"/>
      <c r="AO50" s="75"/>
      <c r="AP50" s="75"/>
      <c r="AQ50" s="75"/>
      <c r="AR50" s="75"/>
      <c r="AS50" s="75"/>
      <c r="AT50" s="77"/>
      <c r="AU50" s="75"/>
      <c r="AV50" s="77"/>
      <c r="AW50" s="75"/>
      <c r="AX50" s="75"/>
      <c r="AY50" s="75"/>
      <c r="AZ50" s="75"/>
      <c r="BA50" s="75"/>
      <c r="BB50" s="75"/>
      <c r="BC50" s="75"/>
      <c r="BD50" s="75"/>
      <c r="BE50" s="75"/>
      <c r="BF50" s="75"/>
      <c r="BG50" s="75"/>
      <c r="BH50" s="75"/>
      <c r="BI50" s="75"/>
      <c r="BJ50" s="75"/>
      <c r="BK50" s="75"/>
      <c r="BL50" s="75"/>
      <c r="BM50" s="75"/>
      <c r="BN50" s="75"/>
      <c r="BO50" s="132"/>
      <c r="BP50" s="132"/>
      <c r="BQ50" s="9">
        <f t="shared" si="14"/>
        <v>15</v>
      </c>
      <c r="BR50" s="68"/>
      <c r="BS50" s="1">
        <f>COUNT(E50:AF50)/2+COUNT(AK50:BN50)/2</f>
        <v>13</v>
      </c>
      <c r="BT50" s="2">
        <f t="shared" si="15"/>
        <v>2</v>
      </c>
      <c r="BU50" s="2">
        <f t="shared" si="16"/>
        <v>0</v>
      </c>
      <c r="BV50" s="2">
        <f t="shared" si="17"/>
        <v>0</v>
      </c>
      <c r="BW50" s="2">
        <f t="shared" si="18"/>
        <v>0</v>
      </c>
      <c r="BX50" s="2">
        <f t="shared" si="19"/>
        <v>0</v>
      </c>
      <c r="BY50" s="2">
        <f t="shared" si="20"/>
        <v>0</v>
      </c>
      <c r="BZ50" s="2">
        <f t="shared" si="21"/>
        <v>0</v>
      </c>
      <c r="CA50" s="2">
        <f t="shared" si="22"/>
        <v>0</v>
      </c>
      <c r="CB50" s="2">
        <f t="shared" si="23"/>
        <v>0</v>
      </c>
      <c r="CC50" s="2">
        <f t="shared" si="24"/>
        <v>0</v>
      </c>
      <c r="CD50" s="2">
        <f t="shared" si="25"/>
        <v>0</v>
      </c>
      <c r="CE50" s="3"/>
      <c r="CG50" s="54">
        <v>0</v>
      </c>
      <c r="CH50" s="54">
        <v>0</v>
      </c>
      <c r="CI50" s="54">
        <v>0</v>
      </c>
      <c r="CJ50" s="54">
        <v>0</v>
      </c>
      <c r="CK50" s="54">
        <v>0</v>
      </c>
      <c r="CL50" s="55">
        <v>4</v>
      </c>
      <c r="CM50" s="55">
        <v>1</v>
      </c>
      <c r="CN50" s="54">
        <v>0</v>
      </c>
      <c r="CO50" s="54">
        <v>0</v>
      </c>
      <c r="CP50" s="54">
        <v>0</v>
      </c>
      <c r="CQ50" s="56">
        <f>SUM(CG50:CP50)</f>
        <v>5</v>
      </c>
    </row>
    <row r="51" spans="1:95" ht="21.75" customHeight="1" x14ac:dyDescent="0.25">
      <c r="A51" s="45">
        <v>41</v>
      </c>
      <c r="B51" s="11" t="s">
        <v>111</v>
      </c>
      <c r="C51" s="78" t="s">
        <v>112</v>
      </c>
      <c r="D51" s="88">
        <v>45330</v>
      </c>
      <c r="E51" s="93">
        <v>0.32708333333333334</v>
      </c>
      <c r="F51" s="93">
        <v>0.97152777777777777</v>
      </c>
      <c r="G51" s="75">
        <v>0.35902777777777778</v>
      </c>
      <c r="H51" s="75">
        <v>0.94861111111111107</v>
      </c>
      <c r="I51" s="75">
        <v>0.33611111111111108</v>
      </c>
      <c r="J51" s="75">
        <v>0.95416666666666661</v>
      </c>
      <c r="K51" s="75">
        <v>0.35555555555555557</v>
      </c>
      <c r="L51" s="75">
        <v>0.94791666666666663</v>
      </c>
      <c r="M51" s="77">
        <v>1</v>
      </c>
      <c r="N51" s="77">
        <v>1</v>
      </c>
      <c r="O51" s="75">
        <v>0.33055555555555555</v>
      </c>
      <c r="P51" s="75">
        <v>0.95208333333333339</v>
      </c>
      <c r="Q51" s="75">
        <v>0.33194444444444443</v>
      </c>
      <c r="R51" s="75">
        <v>0.97152777777777777</v>
      </c>
      <c r="S51" s="93">
        <v>0.57708333333333328</v>
      </c>
      <c r="T51" s="93">
        <v>0.95972222222222225</v>
      </c>
      <c r="U51" s="75">
        <v>0.3298611111111111</v>
      </c>
      <c r="V51" s="75">
        <v>0.97013888888888899</v>
      </c>
      <c r="W51" s="75">
        <v>0.32916666666666666</v>
      </c>
      <c r="X51" s="75">
        <v>0.9506944444444444</v>
      </c>
      <c r="Y51" s="75">
        <v>0.3263888888888889</v>
      </c>
      <c r="Z51" s="75">
        <v>0.94930555555555562</v>
      </c>
      <c r="AA51" s="75">
        <v>0.33124999999999999</v>
      </c>
      <c r="AB51" s="75">
        <v>0.95347222222222217</v>
      </c>
      <c r="AC51" s="75">
        <v>0.32847222222222222</v>
      </c>
      <c r="AD51" s="75">
        <v>0.95000000000000007</v>
      </c>
      <c r="AE51" s="75">
        <v>0.3354166666666667</v>
      </c>
      <c r="AF51" s="75">
        <v>0.97222222222222221</v>
      </c>
      <c r="AG51" s="92" t="s">
        <v>15</v>
      </c>
      <c r="AH51" s="102" t="s">
        <v>15</v>
      </c>
      <c r="AI51" s="122"/>
      <c r="AJ51" s="121">
        <v>41</v>
      </c>
      <c r="AK51" s="77">
        <v>1</v>
      </c>
      <c r="AL51" s="77">
        <v>1</v>
      </c>
      <c r="AM51" s="77">
        <v>1</v>
      </c>
      <c r="AN51" s="77">
        <v>1</v>
      </c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5"/>
      <c r="BE51" s="75"/>
      <c r="BF51" s="75"/>
      <c r="BG51" s="75"/>
      <c r="BH51" s="75"/>
      <c r="BI51" s="75"/>
      <c r="BJ51" s="75"/>
      <c r="BK51" s="75"/>
      <c r="BL51" s="75"/>
      <c r="BM51" s="75"/>
      <c r="BN51" s="75"/>
      <c r="BO51" s="132"/>
      <c r="BP51" s="132"/>
      <c r="BQ51" s="9">
        <f t="shared" si="14"/>
        <v>17</v>
      </c>
      <c r="BR51" s="68"/>
      <c r="BS51" s="1">
        <f>COUNT(E51:AH51)/2+COUNT(AK51:BN51)/2</f>
        <v>16</v>
      </c>
      <c r="BT51" s="2">
        <f t="shared" si="15"/>
        <v>1</v>
      </c>
      <c r="BU51" s="2">
        <f t="shared" si="16"/>
        <v>0</v>
      </c>
      <c r="BV51" s="2">
        <f t="shared" si="17"/>
        <v>0</v>
      </c>
      <c r="BW51" s="2">
        <f t="shared" si="18"/>
        <v>0</v>
      </c>
      <c r="BX51" s="2">
        <f t="shared" si="19"/>
        <v>0</v>
      </c>
      <c r="BY51" s="2">
        <f t="shared" si="20"/>
        <v>0</v>
      </c>
      <c r="BZ51" s="2">
        <f t="shared" si="21"/>
        <v>0</v>
      </c>
      <c r="CA51" s="2">
        <f t="shared" si="22"/>
        <v>0</v>
      </c>
      <c r="CB51" s="2">
        <f t="shared" si="23"/>
        <v>0</v>
      </c>
      <c r="CC51" s="2">
        <f t="shared" si="24"/>
        <v>0</v>
      </c>
      <c r="CD51" s="2">
        <f t="shared" si="25"/>
        <v>0</v>
      </c>
      <c r="CE51" s="3"/>
    </row>
    <row r="52" spans="1:95" ht="21.75" customHeight="1" x14ac:dyDescent="0.25">
      <c r="A52" s="45">
        <v>37</v>
      </c>
      <c r="B52" s="11" t="s">
        <v>114</v>
      </c>
      <c r="C52" s="78" t="s">
        <v>228</v>
      </c>
      <c r="D52" s="88">
        <v>45330</v>
      </c>
      <c r="E52" s="92" t="s">
        <v>15</v>
      </c>
      <c r="F52" s="92" t="s">
        <v>15</v>
      </c>
      <c r="G52" s="75">
        <v>0.34652777777777777</v>
      </c>
      <c r="H52" s="77">
        <v>1</v>
      </c>
      <c r="I52" s="75">
        <v>0.35069444444444442</v>
      </c>
      <c r="J52" s="75">
        <v>0.94097222222222221</v>
      </c>
      <c r="K52" s="75">
        <v>0.3520833333333333</v>
      </c>
      <c r="L52" s="75">
        <v>0.9590277777777777</v>
      </c>
      <c r="M52" s="75">
        <v>0.3520833333333333</v>
      </c>
      <c r="N52" s="75">
        <v>0.95624999999999993</v>
      </c>
      <c r="O52" s="75">
        <v>0.35000000000000003</v>
      </c>
      <c r="P52" s="75">
        <v>0.96250000000000002</v>
      </c>
      <c r="Q52" s="75">
        <v>0.35069444444444442</v>
      </c>
      <c r="R52" s="75">
        <v>0.94027777777777777</v>
      </c>
      <c r="S52" s="93">
        <v>0.55902777777777779</v>
      </c>
      <c r="T52" s="93">
        <v>0.93541666666666667</v>
      </c>
      <c r="U52" s="75">
        <v>0.34791666666666665</v>
      </c>
      <c r="V52" s="75">
        <v>0.94166666666666676</v>
      </c>
      <c r="W52" s="75">
        <v>0.34930555555555554</v>
      </c>
      <c r="X52" s="75">
        <v>0.94444444444444453</v>
      </c>
      <c r="Y52" s="75">
        <v>0.35069444444444442</v>
      </c>
      <c r="Z52" s="75">
        <v>0.94097222222222221</v>
      </c>
      <c r="AA52" s="75">
        <v>0.35069444444444442</v>
      </c>
      <c r="AB52" s="75">
        <v>0.94027777777777777</v>
      </c>
      <c r="AC52" s="75">
        <v>0.34861111111111115</v>
      </c>
      <c r="AD52" s="75">
        <v>0.8881944444444444</v>
      </c>
      <c r="AE52" s="75">
        <v>0.34930555555555554</v>
      </c>
      <c r="AF52" s="75">
        <v>0.95694444444444438</v>
      </c>
      <c r="AG52" s="92" t="s">
        <v>15</v>
      </c>
      <c r="AH52" s="102" t="s">
        <v>15</v>
      </c>
      <c r="AI52" s="122"/>
      <c r="AJ52" s="121">
        <v>43</v>
      </c>
      <c r="AK52" s="75">
        <v>0.35069444444444442</v>
      </c>
      <c r="AL52" s="75">
        <v>0.95138888888888884</v>
      </c>
      <c r="AM52" s="75">
        <v>0.34930555555555554</v>
      </c>
      <c r="AN52" s="75">
        <v>0.93888888888888899</v>
      </c>
      <c r="AO52" s="75">
        <v>0.35138888888888892</v>
      </c>
      <c r="AP52" s="75">
        <v>0.93888888888888899</v>
      </c>
      <c r="AQ52" s="75">
        <v>0.35069444444444442</v>
      </c>
      <c r="AR52" s="75">
        <v>0.93888888888888899</v>
      </c>
      <c r="AS52" s="75">
        <v>0.3527777777777778</v>
      </c>
      <c r="AT52" s="75">
        <v>0.95138888888888884</v>
      </c>
      <c r="AU52" s="75">
        <v>0.35000000000000003</v>
      </c>
      <c r="AV52" s="96">
        <v>1</v>
      </c>
      <c r="AW52" s="95">
        <v>1</v>
      </c>
      <c r="AX52" s="95">
        <v>1</v>
      </c>
      <c r="AY52" s="96">
        <v>1</v>
      </c>
      <c r="AZ52" s="96">
        <v>1</v>
      </c>
      <c r="BA52" s="96">
        <v>1</v>
      </c>
      <c r="BB52" s="96">
        <v>1</v>
      </c>
      <c r="BC52" s="75"/>
      <c r="BD52" s="75"/>
      <c r="BE52" s="75"/>
      <c r="BF52" s="77"/>
      <c r="BG52" s="75"/>
      <c r="BH52" s="75"/>
      <c r="BI52" s="75"/>
      <c r="BJ52" s="75"/>
      <c r="BK52" s="75"/>
      <c r="BL52" s="75"/>
      <c r="BM52" s="75"/>
      <c r="BN52" s="75"/>
      <c r="BO52" s="132"/>
      <c r="BP52" s="132"/>
      <c r="BQ52" s="9">
        <f t="shared" si="14"/>
        <v>20</v>
      </c>
      <c r="BR52" s="68"/>
      <c r="BS52" s="1">
        <f>COUNT(E52:X52)/2+COUNT(AK52:BN52)/2</f>
        <v>18</v>
      </c>
      <c r="BT52" s="2">
        <f t="shared" si="15"/>
        <v>2</v>
      </c>
      <c r="BU52" s="2">
        <f t="shared" si="16"/>
        <v>0</v>
      </c>
      <c r="BV52" s="2">
        <f t="shared" si="17"/>
        <v>0</v>
      </c>
      <c r="BW52" s="2">
        <f t="shared" si="18"/>
        <v>0</v>
      </c>
      <c r="BX52" s="2">
        <f t="shared" si="19"/>
        <v>0</v>
      </c>
      <c r="BY52" s="2">
        <f t="shared" si="20"/>
        <v>0</v>
      </c>
      <c r="BZ52" s="2">
        <f t="shared" si="21"/>
        <v>0</v>
      </c>
      <c r="CA52" s="2">
        <f t="shared" si="22"/>
        <v>0</v>
      </c>
      <c r="CB52" s="2">
        <f t="shared" si="23"/>
        <v>0</v>
      </c>
      <c r="CC52" s="2">
        <f t="shared" si="24"/>
        <v>0</v>
      </c>
      <c r="CD52" s="2">
        <f t="shared" si="25"/>
        <v>0</v>
      </c>
      <c r="CE52" s="3"/>
      <c r="CG52" s="54">
        <v>0</v>
      </c>
      <c r="CH52" s="54">
        <v>0</v>
      </c>
      <c r="CI52" s="54">
        <v>0</v>
      </c>
      <c r="CJ52" s="54">
        <v>0</v>
      </c>
      <c r="CK52" s="54">
        <v>0</v>
      </c>
      <c r="CL52" s="55">
        <v>3</v>
      </c>
      <c r="CM52" s="55">
        <v>0</v>
      </c>
      <c r="CN52" s="55">
        <v>0</v>
      </c>
      <c r="CO52" s="54">
        <v>0</v>
      </c>
      <c r="CP52" s="54">
        <v>0</v>
      </c>
      <c r="CQ52" s="56">
        <f>SUM(CG52:CP52)</f>
        <v>3</v>
      </c>
    </row>
    <row r="53" spans="1:95" ht="21.75" customHeight="1" x14ac:dyDescent="0.25">
      <c r="A53" s="45">
        <v>43</v>
      </c>
      <c r="B53" s="11" t="s">
        <v>123</v>
      </c>
      <c r="C53" s="78" t="s">
        <v>174</v>
      </c>
      <c r="D53" s="88">
        <v>45447</v>
      </c>
      <c r="E53" s="92" t="s">
        <v>15</v>
      </c>
      <c r="F53" s="92" t="s">
        <v>15</v>
      </c>
      <c r="G53" s="75">
        <v>0.34791666666666665</v>
      </c>
      <c r="H53" s="75">
        <v>0.96805555555555556</v>
      </c>
      <c r="I53" s="75">
        <v>0.34652777777777777</v>
      </c>
      <c r="J53" s="75">
        <v>0.94791666666666663</v>
      </c>
      <c r="K53" s="75">
        <v>0.41736111111111113</v>
      </c>
      <c r="L53" s="75">
        <v>0.95624999999999993</v>
      </c>
      <c r="M53" s="77">
        <v>1</v>
      </c>
      <c r="N53" s="75">
        <v>0.95277777777777783</v>
      </c>
      <c r="O53" s="75">
        <v>0.3430555555555555</v>
      </c>
      <c r="P53" s="77">
        <v>1</v>
      </c>
      <c r="Q53" s="75">
        <v>0.34513888888888888</v>
      </c>
      <c r="R53" s="75">
        <v>0.96805555555555556</v>
      </c>
      <c r="S53" s="93">
        <v>0.57291666666666663</v>
      </c>
      <c r="T53" s="93">
        <v>0.95486111111111116</v>
      </c>
      <c r="U53" s="75">
        <v>0.34583333333333338</v>
      </c>
      <c r="V53" s="75">
        <v>0.95833333333333337</v>
      </c>
      <c r="W53" s="75">
        <v>0.34652777777777777</v>
      </c>
      <c r="X53" s="75">
        <v>0.9506944444444444</v>
      </c>
      <c r="Y53" s="75">
        <v>0.34652777777777777</v>
      </c>
      <c r="Z53" s="77">
        <v>1</v>
      </c>
      <c r="AA53" s="75">
        <v>0.34652777777777777</v>
      </c>
      <c r="AB53" s="75">
        <v>0.9555555555555556</v>
      </c>
      <c r="AC53" s="75">
        <v>0.34652777777777777</v>
      </c>
      <c r="AD53" s="77">
        <v>1</v>
      </c>
      <c r="AE53" s="75">
        <v>0.34583333333333338</v>
      </c>
      <c r="AF53" s="75">
        <v>0.96250000000000002</v>
      </c>
      <c r="AG53" s="92" t="s">
        <v>15</v>
      </c>
      <c r="AH53" s="102" t="s">
        <v>15</v>
      </c>
      <c r="AI53" s="122"/>
      <c r="AJ53" s="121">
        <v>49</v>
      </c>
      <c r="AK53" s="75">
        <v>0.34722222222222227</v>
      </c>
      <c r="AL53" s="75">
        <v>0.97013888888888899</v>
      </c>
      <c r="AM53" s="75">
        <v>0.34861111111111115</v>
      </c>
      <c r="AN53" s="75">
        <v>0.94791666666666663</v>
      </c>
      <c r="AO53" s="75">
        <v>0.34722222222222227</v>
      </c>
      <c r="AP53" s="75">
        <v>0.9506944444444444</v>
      </c>
      <c r="AQ53" s="75">
        <v>1</v>
      </c>
      <c r="AR53" s="75">
        <v>1</v>
      </c>
      <c r="AS53" s="75"/>
      <c r="AT53" s="75"/>
      <c r="AU53" s="75"/>
      <c r="AV53" s="77"/>
      <c r="AW53" s="75"/>
      <c r="AX53" s="77"/>
      <c r="AY53" s="75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5"/>
      <c r="BK53" s="75"/>
      <c r="BL53" s="75"/>
      <c r="BM53" s="75"/>
      <c r="BN53" s="75"/>
      <c r="BO53" s="132"/>
      <c r="BP53" s="132"/>
      <c r="BQ53" s="9">
        <f t="shared" si="14"/>
        <v>19</v>
      </c>
      <c r="BR53" s="68"/>
      <c r="BS53" s="1">
        <f>COUNT(E53:AF53)/2+COUNT(AK53:BN53)/2</f>
        <v>17</v>
      </c>
      <c r="BT53" s="2">
        <f t="shared" si="15"/>
        <v>2</v>
      </c>
      <c r="BU53" s="2">
        <f t="shared" si="16"/>
        <v>0</v>
      </c>
      <c r="BV53" s="2">
        <f t="shared" si="17"/>
        <v>0</v>
      </c>
      <c r="BW53" s="2">
        <f t="shared" si="18"/>
        <v>0</v>
      </c>
      <c r="BX53" s="2">
        <f t="shared" si="19"/>
        <v>0</v>
      </c>
      <c r="BY53" s="2">
        <f t="shared" si="20"/>
        <v>0</v>
      </c>
      <c r="BZ53" s="2">
        <f t="shared" si="21"/>
        <v>0</v>
      </c>
      <c r="CA53" s="2">
        <f t="shared" si="22"/>
        <v>0</v>
      </c>
      <c r="CB53" s="2">
        <f t="shared" si="23"/>
        <v>0</v>
      </c>
      <c r="CC53" s="2">
        <f t="shared" si="24"/>
        <v>0</v>
      </c>
      <c r="CD53" s="2">
        <f t="shared" si="25"/>
        <v>0</v>
      </c>
      <c r="CE53" s="3"/>
    </row>
    <row r="54" spans="1:95" ht="21.75" customHeight="1" x14ac:dyDescent="0.25">
      <c r="A54" s="45">
        <v>37</v>
      </c>
      <c r="B54" s="11" t="s">
        <v>105</v>
      </c>
      <c r="C54" s="78" t="s">
        <v>177</v>
      </c>
      <c r="D54" s="88">
        <v>44987</v>
      </c>
      <c r="E54" s="65">
        <v>0.3520833333333333</v>
      </c>
      <c r="F54" s="65">
        <v>0.92569444444444438</v>
      </c>
      <c r="G54" s="65">
        <v>0.3520833333333333</v>
      </c>
      <c r="H54" s="65">
        <v>0.96250000000000002</v>
      </c>
      <c r="I54" s="65">
        <v>0.3520833333333333</v>
      </c>
      <c r="J54" s="65">
        <v>0.92638888888888893</v>
      </c>
      <c r="K54" s="65">
        <v>0.3520833333333333</v>
      </c>
      <c r="L54" s="65">
        <v>0.94791666666666663</v>
      </c>
      <c r="M54" s="100">
        <v>0.57708333333333328</v>
      </c>
      <c r="N54" s="103">
        <v>0.87986111111111109</v>
      </c>
      <c r="O54" s="65">
        <v>0.3888888888888889</v>
      </c>
      <c r="P54" s="65">
        <v>0.95138888888888884</v>
      </c>
      <c r="Q54" s="65">
        <v>0.35347222222222219</v>
      </c>
      <c r="R54" s="65">
        <v>0.92222222222222217</v>
      </c>
      <c r="S54" s="65">
        <v>0.35138888888888892</v>
      </c>
      <c r="T54" s="65">
        <v>0.90277777777777779</v>
      </c>
      <c r="U54" s="65">
        <v>0.3527777777777778</v>
      </c>
      <c r="V54" s="65">
        <v>0.92569444444444438</v>
      </c>
      <c r="W54" s="65">
        <v>0.35138888888888892</v>
      </c>
      <c r="X54" s="65">
        <v>0.90694444444444444</v>
      </c>
      <c r="Y54" s="65">
        <v>0.35138888888888892</v>
      </c>
      <c r="Z54" s="65">
        <v>0.92708333333333337</v>
      </c>
      <c r="AA54" s="92" t="s">
        <v>15</v>
      </c>
      <c r="AB54" s="102" t="s">
        <v>15</v>
      </c>
      <c r="AC54" s="65">
        <v>0.3520833333333333</v>
      </c>
      <c r="AD54" s="65">
        <v>0.91805555555555562</v>
      </c>
      <c r="AE54" s="65">
        <v>0.3520833333333333</v>
      </c>
      <c r="AF54" s="65">
        <v>0.88958333333333339</v>
      </c>
      <c r="AG54" s="77" t="s">
        <v>23</v>
      </c>
      <c r="AH54" s="111" t="s">
        <v>23</v>
      </c>
      <c r="AI54" s="117"/>
      <c r="AJ54" s="120">
        <v>37</v>
      </c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93"/>
      <c r="AX54" s="93"/>
      <c r="AY54" s="75"/>
      <c r="AZ54" s="75"/>
      <c r="BA54" s="75"/>
      <c r="BB54" s="75"/>
      <c r="BC54" s="75"/>
      <c r="BD54" s="75"/>
      <c r="BE54" s="75"/>
      <c r="BF54" s="75"/>
      <c r="BG54" s="92"/>
      <c r="BH54" s="92"/>
      <c r="BI54" s="75"/>
      <c r="BJ54" s="75"/>
      <c r="BK54" s="92"/>
      <c r="BL54" s="92"/>
      <c r="BM54" s="75"/>
      <c r="BN54" s="75"/>
      <c r="BO54" s="75"/>
      <c r="BP54" s="75"/>
      <c r="BQ54" s="99">
        <f t="shared" si="14"/>
        <v>14</v>
      </c>
      <c r="BR54" s="68"/>
      <c r="BS54" s="1">
        <f>COUNT(E54:AF54)/2+COUNT(AK54:BN54)/2</f>
        <v>13</v>
      </c>
      <c r="BT54" s="2">
        <f t="shared" si="15"/>
        <v>1</v>
      </c>
      <c r="BU54" s="2">
        <f t="shared" si="16"/>
        <v>0</v>
      </c>
      <c r="BV54" s="2">
        <f t="shared" si="17"/>
        <v>0</v>
      </c>
      <c r="BW54" s="2">
        <f t="shared" si="18"/>
        <v>0</v>
      </c>
      <c r="BX54" s="2">
        <f t="shared" si="19"/>
        <v>0</v>
      </c>
      <c r="BY54" s="2">
        <f t="shared" si="20"/>
        <v>0</v>
      </c>
      <c r="BZ54" s="2">
        <f t="shared" si="21"/>
        <v>0</v>
      </c>
      <c r="CA54" s="2">
        <f t="shared" si="22"/>
        <v>0</v>
      </c>
      <c r="CB54" s="2">
        <f t="shared" si="23"/>
        <v>1</v>
      </c>
      <c r="CC54" s="2">
        <f t="shared" si="24"/>
        <v>0</v>
      </c>
      <c r="CD54" s="2">
        <f t="shared" si="25"/>
        <v>0</v>
      </c>
      <c r="CE54" s="3"/>
    </row>
    <row r="55" spans="1:95" x14ac:dyDescent="0.25">
      <c r="AH55" s="58"/>
      <c r="AI55" s="58"/>
      <c r="AJ55"/>
      <c r="BI55" s="15"/>
      <c r="BJ55" s="15"/>
      <c r="BK55" s="15"/>
      <c r="BL55" s="15"/>
      <c r="BM55" s="15"/>
      <c r="BN55" s="15"/>
      <c r="BO55" s="15"/>
      <c r="BP55" s="15"/>
      <c r="BQ55"/>
    </row>
    <row r="56" spans="1:95" x14ac:dyDescent="0.25">
      <c r="AH56" s="58"/>
      <c r="AI56" s="58"/>
      <c r="AJ56"/>
      <c r="BI56" s="15"/>
      <c r="BJ56" s="15"/>
      <c r="BK56" s="15"/>
      <c r="BL56" s="15"/>
      <c r="BM56" s="15"/>
      <c r="BN56" s="15"/>
      <c r="BO56" s="15"/>
      <c r="BP56" s="15"/>
      <c r="BQ56"/>
    </row>
    <row r="57" spans="1:95" x14ac:dyDescent="0.25">
      <c r="AH57" s="58"/>
      <c r="AI57" s="58"/>
      <c r="AJ57"/>
      <c r="BI57" s="15"/>
      <c r="BJ57" s="15"/>
      <c r="BK57" s="15"/>
      <c r="BL57" s="15"/>
      <c r="BM57" s="15"/>
      <c r="BN57" s="15"/>
      <c r="BO57" s="15"/>
      <c r="BP57" s="15"/>
      <c r="BQ57"/>
    </row>
    <row r="58" spans="1:95" x14ac:dyDescent="0.25">
      <c r="AH58" s="58"/>
      <c r="AI58" s="58"/>
      <c r="AJ58"/>
      <c r="BI58" s="15"/>
      <c r="BJ58" s="15"/>
      <c r="BK58" s="15"/>
      <c r="BL58" s="15"/>
      <c r="BM58" s="15"/>
      <c r="BN58" s="15"/>
      <c r="BO58" s="15"/>
      <c r="BP58" s="15"/>
      <c r="BQ58"/>
    </row>
    <row r="59" spans="1:95" x14ac:dyDescent="0.25">
      <c r="AH59" s="58"/>
      <c r="AI59" s="58"/>
      <c r="AJ59"/>
      <c r="BI59" s="15"/>
      <c r="BJ59" s="15"/>
      <c r="BK59" s="15"/>
      <c r="BL59" s="15"/>
      <c r="BM59" s="15"/>
      <c r="BN59" s="15"/>
      <c r="BO59" s="15"/>
      <c r="BP59" s="15"/>
      <c r="BQ59"/>
    </row>
    <row r="60" spans="1:95" x14ac:dyDescent="0.25">
      <c r="AH60" s="58"/>
      <c r="AI60" s="58"/>
      <c r="AJ60"/>
      <c r="BI60" s="15"/>
      <c r="BJ60" s="15"/>
      <c r="BK60" s="15"/>
      <c r="BL60" s="15"/>
      <c r="BM60" s="15"/>
      <c r="BN60" s="15"/>
      <c r="BO60" s="15"/>
      <c r="BP60" s="15"/>
      <c r="BQ60"/>
    </row>
    <row r="61" spans="1:95" x14ac:dyDescent="0.25">
      <c r="AH61" s="58"/>
      <c r="AI61" s="58"/>
      <c r="AJ61"/>
      <c r="BI61" s="15"/>
      <c r="BJ61" s="15"/>
      <c r="BK61" s="15"/>
      <c r="BL61" s="15"/>
      <c r="BM61" s="15"/>
      <c r="BN61" s="15"/>
      <c r="BO61" s="15"/>
      <c r="BP61" s="15"/>
      <c r="BQ61"/>
    </row>
    <row r="62" spans="1:95" x14ac:dyDescent="0.25">
      <c r="AH62" s="58"/>
      <c r="AI62" s="58"/>
      <c r="AJ62"/>
      <c r="BI62" s="15"/>
      <c r="BJ62" s="15"/>
      <c r="BK62" s="15"/>
      <c r="BL62" s="15"/>
      <c r="BM62" s="15"/>
      <c r="BN62" s="15"/>
      <c r="BO62" s="15"/>
      <c r="BP62" s="15"/>
      <c r="BQ62"/>
    </row>
    <row r="63" spans="1:95" x14ac:dyDescent="0.25">
      <c r="AJ63"/>
      <c r="BI63" s="15"/>
      <c r="BJ63" s="15"/>
      <c r="BK63" s="15"/>
      <c r="BL63" s="15"/>
      <c r="BM63" s="15"/>
      <c r="BN63" s="15"/>
      <c r="BO63" s="15"/>
      <c r="BP63" s="15"/>
      <c r="BQ63"/>
    </row>
  </sheetData>
  <mergeCells count="87">
    <mergeCell ref="A2:AH2"/>
    <mergeCell ref="AJ2:CE2"/>
    <mergeCell ref="A3:C4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Y4:Z4"/>
    <mergeCell ref="BO3:BP3"/>
    <mergeCell ref="CG3:CP3"/>
    <mergeCell ref="E4:F4"/>
    <mergeCell ref="G4:H4"/>
    <mergeCell ref="I4:J4"/>
    <mergeCell ref="K4:L4"/>
    <mergeCell ref="M4:N4"/>
    <mergeCell ref="BC3:BD3"/>
    <mergeCell ref="BE3:BF3"/>
    <mergeCell ref="BG3:BH3"/>
    <mergeCell ref="BI3:BJ3"/>
    <mergeCell ref="BK3:BL3"/>
    <mergeCell ref="BM3:BN3"/>
    <mergeCell ref="AQ3:AR3"/>
    <mergeCell ref="AS3:AT3"/>
    <mergeCell ref="AU3:AV3"/>
    <mergeCell ref="AW3:AX3"/>
    <mergeCell ref="BS3:CE3"/>
    <mergeCell ref="AY3:AZ3"/>
    <mergeCell ref="BA3:BB3"/>
    <mergeCell ref="AY4:AZ4"/>
    <mergeCell ref="BO4:BP4"/>
    <mergeCell ref="AK3:AL3"/>
    <mergeCell ref="AM3:AN3"/>
    <mergeCell ref="BQ3:BQ5"/>
    <mergeCell ref="BR3:BR5"/>
    <mergeCell ref="AO3:AP3"/>
    <mergeCell ref="AO4:AP4"/>
    <mergeCell ref="AA3:AB3"/>
    <mergeCell ref="O4:P4"/>
    <mergeCell ref="Q4:R4"/>
    <mergeCell ref="S4:T4"/>
    <mergeCell ref="U4:V4"/>
    <mergeCell ref="W4:X4"/>
    <mergeCell ref="AA4:AB4"/>
    <mergeCell ref="AC3:AD3"/>
    <mergeCell ref="AE3:AF3"/>
    <mergeCell ref="AW4:AX4"/>
    <mergeCell ref="BM4:BN4"/>
    <mergeCell ref="BA4:BB4"/>
    <mergeCell ref="BC4:BD4"/>
    <mergeCell ref="BE4:BF4"/>
    <mergeCell ref="BG4:BH4"/>
    <mergeCell ref="BI4:BJ4"/>
    <mergeCell ref="BK4:BL4"/>
    <mergeCell ref="AC4:AD4"/>
    <mergeCell ref="AE4:AF4"/>
    <mergeCell ref="AG4:AH4"/>
    <mergeCell ref="AK4:AL4"/>
    <mergeCell ref="AM4:AN4"/>
    <mergeCell ref="AG3:AH3"/>
    <mergeCell ref="M8:N8"/>
    <mergeCell ref="Q9:R9"/>
    <mergeCell ref="AQ4:AR4"/>
    <mergeCell ref="AS4:AT4"/>
    <mergeCell ref="AU4:AV4"/>
    <mergeCell ref="D19:K19"/>
    <mergeCell ref="E13:E15"/>
    <mergeCell ref="F13:F15"/>
    <mergeCell ref="G13:S13"/>
    <mergeCell ref="O8:P8"/>
    <mergeCell ref="Q8:R8"/>
    <mergeCell ref="E9:F9"/>
    <mergeCell ref="G9:H9"/>
    <mergeCell ref="I9:J9"/>
    <mergeCell ref="K9:L9"/>
    <mergeCell ref="M9:N9"/>
    <mergeCell ref="O9:P9"/>
    <mergeCell ref="E8:F8"/>
    <mergeCell ref="G8:H8"/>
    <mergeCell ref="I8:J8"/>
    <mergeCell ref="K8:L8"/>
  </mergeCells>
  <phoneticPr fontId="12" type="noConversion"/>
  <conditionalFormatting sqref="A1:BQ1 A2:AJ2 A3:D4 AJ3:AJ4 BQ3:BQ4 A5:BQ5 A6 AJ6 BQ6 AJ47 A47:A54 BQ47:BQ54 AJ54">
    <cfRule type="containsText" dxfId="619" priority="1279" stopIfTrue="1" operator="containsText" text="EL">
      <formula>NOT(ISERROR(SEARCH("EL",A1)))</formula>
    </cfRule>
    <cfRule type="containsText" dxfId="618" priority="1278" stopIfTrue="1" operator="containsText" text="AL">
      <formula>NOT(ISERROR(SEARCH("AL",A1)))</formula>
    </cfRule>
    <cfRule type="containsText" dxfId="617" priority="1277" stopIfTrue="1" operator="containsText" text="SP">
      <formula>NOT(ISERROR(SEARCH("SP",A1)))</formula>
    </cfRule>
    <cfRule type="containsText" dxfId="616" priority="1280" stopIfTrue="1" operator="containsText" text="AB">
      <formula>NOT(ISERROR(SEARCH("AB",A1)))</formula>
    </cfRule>
    <cfRule type="containsText" dxfId="615" priority="1281" stopIfTrue="1" operator="containsText" text="FL">
      <formula>NOT(ISERROR(SEARCH("FL",A1)))</formula>
    </cfRule>
    <cfRule type="containsText" dxfId="614" priority="1282" stopIfTrue="1" operator="containsText" text="SICK">
      <formula>NOT(ISERROR(SEARCH("SICK",A1)))</formula>
    </cfRule>
  </conditionalFormatting>
  <conditionalFormatting sqref="C21:C1048576 C1:C18">
    <cfRule type="duplicateValues" dxfId="613" priority="14168"/>
  </conditionalFormatting>
  <conditionalFormatting sqref="C22:C24 C6 C47:C54">
    <cfRule type="duplicateValues" dxfId="612" priority="1304"/>
  </conditionalFormatting>
  <conditionalFormatting sqref="C22:C36 C38:C44 C47:C1048576 C1:C6">
    <cfRule type="duplicateValues" dxfId="611" priority="1303"/>
  </conditionalFormatting>
  <conditionalFormatting sqref="C22:C36">
    <cfRule type="duplicateValues" dxfId="610" priority="1302"/>
  </conditionalFormatting>
  <conditionalFormatting sqref="C38:D45 C1:D18 C47:D1048576 C21:D36">
    <cfRule type="duplicateValues" dxfId="609" priority="1299"/>
  </conditionalFormatting>
  <conditionalFormatting sqref="D6 D47:D54">
    <cfRule type="timePeriod" dxfId="608" priority="1264" timePeriod="nextWeek">
      <formula>AND(ROUNDDOWN(D6,0)-TODAY()&gt;(7-WEEKDAY(TODAY())),ROUNDDOWN(D6,0)-TODAY()&lt;(15-WEEKDAY(TODAY())))</formula>
    </cfRule>
    <cfRule type="timePeriod" dxfId="607" priority="1263" timePeriod="thisWeek">
      <formula>AND(TODAY()-ROUNDDOWN(D6,0)&lt;=WEEKDAY(TODAY())-1,ROUNDDOWN(D6,0)-TODAY()&lt;=7-WEEKDAY(TODAY()))</formula>
    </cfRule>
    <cfRule type="timePeriod" dxfId="606" priority="1262" timePeriod="last7Days">
      <formula>AND(TODAY()-FLOOR(D6,1)&lt;=6,FLOOR(D6,1)&lt;=TODAY())</formula>
    </cfRule>
    <cfRule type="timePeriod" priority="1256" timePeriod="nextWeek">
      <formula>AND(ROUNDDOWN(D6,0)-TODAY()&gt;(7-WEEKDAY(TODAY())),ROUNDDOWN(D6,0)-TODAY()&lt;(15-WEEKDAY(TODAY())))</formula>
    </cfRule>
  </conditionalFormatting>
  <conditionalFormatting sqref="E13:E16">
    <cfRule type="containsText" dxfId="605" priority="70" stopIfTrue="1" operator="containsText" text="FL">
      <formula>NOT(ISERROR(SEARCH("FL",E13)))</formula>
    </cfRule>
    <cfRule type="containsText" dxfId="604" priority="69" stopIfTrue="1" operator="containsText" text="AB">
      <formula>NOT(ISERROR(SEARCH("AB",E13)))</formula>
    </cfRule>
    <cfRule type="containsText" dxfId="603" priority="71" stopIfTrue="1" operator="containsText" text="SICK">
      <formula>NOT(ISERROR(SEARCH("SICK",E13)))</formula>
    </cfRule>
    <cfRule type="containsText" dxfId="602" priority="66" stopIfTrue="1" operator="containsText" text="SP">
      <formula>NOT(ISERROR(SEARCH("SP",E13)))</formula>
    </cfRule>
    <cfRule type="containsText" dxfId="601" priority="67" stopIfTrue="1" operator="containsText" text="AL">
      <formula>NOT(ISERROR(SEARCH("AL",E13)))</formula>
    </cfRule>
    <cfRule type="containsText" dxfId="600" priority="68" stopIfTrue="1" operator="containsText" text="EL">
      <formula>NOT(ISERROR(SEARCH("EL",E13)))</formula>
    </cfRule>
  </conditionalFormatting>
  <conditionalFormatting sqref="E48:F50 W48:AI48">
    <cfRule type="containsText" dxfId="599" priority="1095" operator="containsText" text="AB">
      <formula>NOT(ISERROR(SEARCH("AB",E48)))</formula>
    </cfRule>
  </conditionalFormatting>
  <conditionalFormatting sqref="E48:F50 AG50:AI52">
    <cfRule type="containsText" dxfId="598" priority="1235" operator="containsText" text="AL">
      <formula>NOT(ISERROR(SEARCH("AL",E48)))</formula>
    </cfRule>
    <cfRule type="containsText" dxfId="597" priority="1234" operator="containsText" text="OFF">
      <formula>NOT(ISERROR(SEARCH("OFF",E48)))</formula>
    </cfRule>
    <cfRule type="containsText" dxfId="596" priority="1232" operator="containsText" text="AB">
      <formula>NOT(ISERROR(SEARCH("AB",E48)))</formula>
    </cfRule>
    <cfRule type="containsText" dxfId="595" priority="1233" operator="containsText" text="Sick">
      <formula>NOT(ISERROR(SEARCH("Sick",E48)))</formula>
    </cfRule>
  </conditionalFormatting>
  <conditionalFormatting sqref="E48:F50">
    <cfRule type="containsText" dxfId="594" priority="1231" operator="containsText" text="MC">
      <formula>NOT(ISERROR(SEARCH("MC",E48)))</formula>
    </cfRule>
    <cfRule type="containsText" dxfId="593" priority="1094" operator="containsText" text="EL">
      <formula>NOT(ISERROR(SEARCH("EL",E48)))</formula>
    </cfRule>
  </conditionalFormatting>
  <conditionalFormatting sqref="E52:F52 AJ48:BP48 AH53:AJ53 AH50:AI52 AG50:AG53 I47:J47">
    <cfRule type="containsText" dxfId="592" priority="1251" operator="containsText" text="AB">
      <formula>NOT(ISERROR(SEARCH("AB",E47)))</formula>
    </cfRule>
  </conditionalFormatting>
  <conditionalFormatting sqref="E52:F52">
    <cfRule type="containsText" dxfId="591" priority="1250" operator="containsText" text="MC">
      <formula>NOT(ISERROR(SEARCH("MC",E52)))</formula>
    </cfRule>
    <cfRule type="containsText" dxfId="590" priority="1254" operator="containsText" text="AL">
      <formula>NOT(ISERROR(SEARCH("AL",E52)))</formula>
    </cfRule>
    <cfRule type="containsText" dxfId="589" priority="1252" operator="containsText" text="Sick">
      <formula>NOT(ISERROR(SEARCH("Sick",E52)))</formula>
    </cfRule>
    <cfRule type="containsText" dxfId="588" priority="1253" operator="containsText" text="OFF">
      <formula>NOT(ISERROR(SEARCH("OFF",E52)))</formula>
    </cfRule>
  </conditionalFormatting>
  <conditionalFormatting sqref="E52:F53 BG54:BH54 AO49:BP49 AJ50:BP50 AO51:BP51 BC52:BP52 AQ53:BP53">
    <cfRule type="containsText" dxfId="587" priority="1090" operator="containsText" text="AB">
      <formula>NOT(ISERROR(SEARCH("AB",E49)))</formula>
    </cfRule>
  </conditionalFormatting>
  <conditionalFormatting sqref="E53:F53">
    <cfRule type="containsText" dxfId="586" priority="1087" operator="containsText" text="SUS">
      <formula>NOT(ISERROR(SEARCH("SUS",E53)))</formula>
    </cfRule>
    <cfRule type="containsText" dxfId="585" priority="1091" operator="containsText" text="Sick">
      <formula>NOT(ISERROR(SEARCH("Sick",E53)))</formula>
    </cfRule>
    <cfRule type="containsText" dxfId="584" priority="1093" operator="containsText" text="AL">
      <formula>NOT(ISERROR(SEARCH("AL",E53)))</formula>
    </cfRule>
    <cfRule type="containsText" dxfId="583" priority="1086" operator="containsText" text="AB">
      <formula>NOT(ISERROR(SEARCH("AB",E53)))</formula>
    </cfRule>
    <cfRule type="containsText" dxfId="582" priority="1092" operator="containsText" text="OFF">
      <formula>NOT(ISERROR(SEARCH("OFF",E53)))</formula>
    </cfRule>
    <cfRule type="containsText" dxfId="581" priority="1088" operator="containsText" text="FL">
      <formula>NOT(ISERROR(SEARCH("FL",E53)))</formula>
    </cfRule>
    <cfRule type="containsText" dxfId="580" priority="1089" operator="containsText" text="MC">
      <formula>NOT(ISERROR(SEARCH("MC",E53)))</formula>
    </cfRule>
  </conditionalFormatting>
  <conditionalFormatting sqref="E10:R10">
    <cfRule type="containsText" dxfId="579" priority="92" stopIfTrue="1" operator="containsText" text="SP">
      <formula>NOT(ISERROR(SEARCH("SP",E10)))</formula>
    </cfRule>
    <cfRule type="containsText" dxfId="578" priority="93" stopIfTrue="1" operator="containsText" text="AL">
      <formula>NOT(ISERROR(SEARCH("AL",E10)))</formula>
    </cfRule>
    <cfRule type="containsText" dxfId="577" priority="94" stopIfTrue="1" operator="containsText" text="EL">
      <formula>NOT(ISERROR(SEARCH("EL",E10)))</formula>
    </cfRule>
    <cfRule type="containsText" dxfId="576" priority="97" stopIfTrue="1" operator="containsText" text="SICK">
      <formula>NOT(ISERROR(SEARCH("SICK",E10)))</formula>
    </cfRule>
    <cfRule type="containsText" dxfId="575" priority="96" stopIfTrue="1" operator="containsText" text="FL">
      <formula>NOT(ISERROR(SEARCH("FL",E10)))</formula>
    </cfRule>
    <cfRule type="containsText" dxfId="574" priority="95" stopIfTrue="1" operator="containsText" text="AB">
      <formula>NOT(ISERROR(SEARCH("AB",E10)))</formula>
    </cfRule>
  </conditionalFormatting>
  <conditionalFormatting sqref="F13">
    <cfRule type="cellIs" dxfId="573" priority="72" operator="equal">
      <formula>";"</formula>
    </cfRule>
  </conditionalFormatting>
  <conditionalFormatting sqref="F16">
    <cfRule type="cellIs" dxfId="572" priority="73" stopIfTrue="1" operator="equal">
      <formula>";"</formula>
    </cfRule>
  </conditionalFormatting>
  <conditionalFormatting sqref="H15">
    <cfRule type="containsText" dxfId="571" priority="54" operator="containsText" text="MC">
      <formula>NOT(ISERROR(SEARCH("MC",H15)))</formula>
    </cfRule>
    <cfRule type="containsText" dxfId="570" priority="55" operator="containsText" text="AB">
      <formula>NOT(ISERROR(SEARCH("AB",H15)))</formula>
    </cfRule>
    <cfRule type="containsText" dxfId="569" priority="56" operator="containsText" text="Sick">
      <formula>NOT(ISERROR(SEARCH("Sick",H15)))</formula>
    </cfRule>
    <cfRule type="containsText" dxfId="568" priority="57" operator="containsText" text="OFF">
      <formula>NOT(ISERROR(SEARCH("OFF",H15)))</formula>
    </cfRule>
    <cfRule type="containsText" dxfId="567" priority="58" operator="containsText" text="AL">
      <formula>NOT(ISERROR(SEARCH("AL",H15)))</formula>
    </cfRule>
    <cfRule type="containsText" dxfId="566" priority="52" operator="containsText" text="SUS">
      <formula>NOT(ISERROR(SEARCH("SUS",H15)))</formula>
    </cfRule>
    <cfRule type="containsText" dxfId="565" priority="53" operator="containsText" text="FL">
      <formula>NOT(ISERROR(SEARCH("FL",H15)))</formula>
    </cfRule>
  </conditionalFormatting>
  <conditionalFormatting sqref="H15:I15">
    <cfRule type="containsText" dxfId="564" priority="13" operator="containsText" text="AB">
      <formula>NOT(ISERROR(SEARCH("AB",H15)))</formula>
    </cfRule>
  </conditionalFormatting>
  <conditionalFormatting sqref="H15:M15">
    <cfRule type="containsText" dxfId="563" priority="1" operator="containsText" text="EL">
      <formula>NOT(ISERROR(SEARCH("EL",H15)))</formula>
    </cfRule>
  </conditionalFormatting>
  <conditionalFormatting sqref="I15">
    <cfRule type="containsText" dxfId="562" priority="12" operator="containsText" text="MC">
      <formula>NOT(ISERROR(SEARCH("MC",I15)))</formula>
    </cfRule>
    <cfRule type="containsText" dxfId="561" priority="14" operator="containsText" text="Sick">
      <formula>NOT(ISERROR(SEARCH("Sick",I15)))</formula>
    </cfRule>
    <cfRule type="containsText" dxfId="560" priority="10" operator="containsText" text="SUS">
      <formula>NOT(ISERROR(SEARCH("SUS",I15)))</formula>
    </cfRule>
    <cfRule type="containsText" dxfId="559" priority="11" operator="containsText" text="FL">
      <formula>NOT(ISERROR(SEARCH("FL",I15)))</formula>
    </cfRule>
    <cfRule type="containsText" dxfId="558" priority="15" operator="containsText" text="OFF">
      <formula>NOT(ISERROR(SEARCH("OFF",I15)))</formula>
    </cfRule>
    <cfRule type="containsText" dxfId="557" priority="16" operator="containsText" text="AL">
      <formula>NOT(ISERROR(SEARCH("AL",I15)))</formula>
    </cfRule>
  </conditionalFormatting>
  <conditionalFormatting sqref="I15:J15">
    <cfRule type="containsText" dxfId="556" priority="6" operator="containsText" text="AB">
      <formula>NOT(ISERROR(SEARCH("AB",I15)))</formula>
    </cfRule>
  </conditionalFormatting>
  <conditionalFormatting sqref="I47:J47 W48:BP48 AO49:BP49 AJ50:BP50 AO51:BP51 BC52:BP52 AQ53:BP53">
    <cfRule type="containsText" dxfId="555" priority="1046" operator="containsText" text="EL">
      <formula>NOT(ISERROR(SEARCH("EL",I47)))</formula>
    </cfRule>
  </conditionalFormatting>
  <conditionalFormatting sqref="I47:J47 AG53 BG54">
    <cfRule type="containsText" dxfId="554" priority="1081" operator="containsText" text="AB">
      <formula>NOT(ISERROR(SEARCH("AB",I47)))</formula>
    </cfRule>
  </conditionalFormatting>
  <conditionalFormatting sqref="I47:J47 AG50:AI53 BG54">
    <cfRule type="containsText" dxfId="553" priority="1080" operator="containsText" text="MC">
      <formula>NOT(ISERROR(SEARCH("MC",I47)))</formula>
    </cfRule>
  </conditionalFormatting>
  <conditionalFormatting sqref="I47:J47 AG53:AI53 BG54">
    <cfRule type="containsText" dxfId="552" priority="1083" operator="containsText" text="OFF">
      <formula>NOT(ISERROR(SEARCH("OFF",I47)))</formula>
    </cfRule>
    <cfRule type="containsText" dxfId="551" priority="1084" operator="containsText" text="AL">
      <formula>NOT(ISERROR(SEARCH("AL",I47)))</formula>
    </cfRule>
    <cfRule type="containsText" dxfId="550" priority="1082" operator="containsText" text="Sick">
      <formula>NOT(ISERROR(SEARCH("Sick",I47)))</formula>
    </cfRule>
    <cfRule type="containsText" dxfId="549" priority="1078" operator="containsText" text="SUS">
      <formula>NOT(ISERROR(SEARCH("SUS",I47)))</formula>
    </cfRule>
    <cfRule type="containsText" dxfId="548" priority="1079" operator="containsText" text="FL">
      <formula>NOT(ISERROR(SEARCH("FL",I47)))</formula>
    </cfRule>
  </conditionalFormatting>
  <conditionalFormatting sqref="J15">
    <cfRule type="containsText" dxfId="547" priority="3" operator="containsText" text="SUS">
      <formula>NOT(ISERROR(SEARCH("SUS",J15)))</formula>
    </cfRule>
    <cfRule type="containsText" dxfId="546" priority="4" operator="containsText" text="FL">
      <formula>NOT(ISERROR(SEARCH("FL",J15)))</formula>
    </cfRule>
    <cfRule type="containsText" dxfId="545" priority="5" operator="containsText" text="MC">
      <formula>NOT(ISERROR(SEARCH("MC",J15)))</formula>
    </cfRule>
    <cfRule type="containsText" dxfId="544" priority="7" operator="containsText" text="Sick">
      <formula>NOT(ISERROR(SEARCH("Sick",J15)))</formula>
    </cfRule>
    <cfRule type="containsText" dxfId="543" priority="9" operator="containsText" text="AL">
      <formula>NOT(ISERROR(SEARCH("AL",J15)))</formula>
    </cfRule>
    <cfRule type="containsText" dxfId="542" priority="8" operator="containsText" text="OFF">
      <formula>NOT(ISERROR(SEARCH("OFF",J15)))</formula>
    </cfRule>
    <cfRule type="containsText" dxfId="541" priority="2" operator="containsText" text="AB">
      <formula>NOT(ISERROR(SEARCH("AB",J15)))</formula>
    </cfRule>
  </conditionalFormatting>
  <conditionalFormatting sqref="K15">
    <cfRule type="containsText" dxfId="540" priority="65" operator="containsText" text="AL">
      <formula>NOT(ISERROR(SEARCH("AL",K15)))</formula>
    </cfRule>
    <cfRule type="containsText" dxfId="539" priority="64" operator="containsText" text="OFF">
      <formula>NOT(ISERROR(SEARCH("OFF",K15)))</formula>
    </cfRule>
    <cfRule type="containsText" dxfId="538" priority="63" operator="containsText" text="Sick">
      <formula>NOT(ISERROR(SEARCH("Sick",K15)))</formula>
    </cfRule>
    <cfRule type="containsText" dxfId="537" priority="59" operator="containsText" text="SUS">
      <formula>NOT(ISERROR(SEARCH("SUS",K15)))</formula>
    </cfRule>
    <cfRule type="containsText" dxfId="536" priority="62" operator="containsText" text="AB">
      <formula>NOT(ISERROR(SEARCH("AB",K15)))</formula>
    </cfRule>
    <cfRule type="containsText" dxfId="535" priority="61" operator="containsText" text="MC">
      <formula>NOT(ISERROR(SEARCH("MC",K15)))</formula>
    </cfRule>
    <cfRule type="containsText" dxfId="534" priority="60" operator="containsText" text="FL">
      <formula>NOT(ISERROR(SEARCH("FL",K15)))</formula>
    </cfRule>
  </conditionalFormatting>
  <conditionalFormatting sqref="K11:L11">
    <cfRule type="containsText" dxfId="533" priority="88" operator="containsText" text="AB">
      <formula>NOT(ISERROR(SEARCH("AB",K11)))</formula>
    </cfRule>
    <cfRule type="containsText" dxfId="532" priority="89" operator="containsText" text="Sick">
      <formula>NOT(ISERROR(SEARCH("Sick",K11)))</formula>
    </cfRule>
    <cfRule type="containsText" dxfId="531" priority="90" operator="containsText" text="OFF">
      <formula>NOT(ISERROR(SEARCH("OFF",K11)))</formula>
    </cfRule>
    <cfRule type="containsText" dxfId="530" priority="91" operator="containsText" text="AL">
      <formula>NOT(ISERROR(SEARCH("AL",K11)))</formula>
    </cfRule>
    <cfRule type="containsText" dxfId="529" priority="83" operator="containsText" text="EL">
      <formula>NOT(ISERROR(SEARCH("EL",K11)))</formula>
    </cfRule>
    <cfRule type="containsText" dxfId="528" priority="84" operator="containsText" text="AB">
      <formula>NOT(ISERROR(SEARCH("AB",K11)))</formula>
    </cfRule>
    <cfRule type="containsText" dxfId="527" priority="85" operator="containsText" text="SUS">
      <formula>NOT(ISERROR(SEARCH("SUS",K11)))</formula>
    </cfRule>
    <cfRule type="containsText" dxfId="526" priority="86" operator="containsText" text="FL">
      <formula>NOT(ISERROR(SEARCH("FL",K11)))</formula>
    </cfRule>
    <cfRule type="containsText" dxfId="525" priority="87" operator="containsText" text="MC">
      <formula>NOT(ISERROR(SEARCH("MC",K11)))</formula>
    </cfRule>
  </conditionalFormatting>
  <conditionalFormatting sqref="K15:M15">
    <cfRule type="containsText" dxfId="524" priority="21" operator="containsText" text="AB">
      <formula>NOT(ISERROR(SEARCH("AB",K15)))</formula>
    </cfRule>
  </conditionalFormatting>
  <conditionalFormatting sqref="L15">
    <cfRule type="containsText" dxfId="523" priority="18" operator="containsText" text="SUS">
      <formula>NOT(ISERROR(SEARCH("SUS",L15)))</formula>
    </cfRule>
    <cfRule type="containsText" dxfId="522" priority="24" operator="containsText" text="AL">
      <formula>NOT(ISERROR(SEARCH("AL",L15)))</formula>
    </cfRule>
    <cfRule type="containsText" dxfId="521" priority="23" operator="containsText" text="OFF">
      <formula>NOT(ISERROR(SEARCH("OFF",L15)))</formula>
    </cfRule>
    <cfRule type="containsText" dxfId="520" priority="22" operator="containsText" text="Sick">
      <formula>NOT(ISERROR(SEARCH("Sick",L15)))</formula>
    </cfRule>
    <cfRule type="containsText" dxfId="519" priority="20" operator="containsText" text="MC">
      <formula>NOT(ISERROR(SEARCH("MC",L15)))</formula>
    </cfRule>
    <cfRule type="containsText" dxfId="518" priority="19" operator="containsText" text="FL">
      <formula>NOT(ISERROR(SEARCH("FL",L15)))</formula>
    </cfRule>
    <cfRule type="containsText" dxfId="517" priority="17" operator="containsText" text="AB">
      <formula>NOT(ISERROR(SEARCH("AB",L15)))</formula>
    </cfRule>
  </conditionalFormatting>
  <conditionalFormatting sqref="M15">
    <cfRule type="containsText" dxfId="516" priority="31" operator="containsText" text="AL">
      <formula>NOT(ISERROR(SEARCH("AL",M15)))</formula>
    </cfRule>
    <cfRule type="containsText" dxfId="515" priority="30" operator="containsText" text="OFF">
      <formula>NOT(ISERROR(SEARCH("OFF",M15)))</formula>
    </cfRule>
    <cfRule type="containsText" dxfId="514" priority="28" operator="containsText" text="AB">
      <formula>NOT(ISERROR(SEARCH("AB",M15)))</formula>
    </cfRule>
    <cfRule type="containsText" dxfId="513" priority="27" operator="containsText" text="MC">
      <formula>NOT(ISERROR(SEARCH("MC",M15)))</formula>
    </cfRule>
    <cfRule type="containsText" dxfId="512" priority="26" operator="containsText" text="FL">
      <formula>NOT(ISERROR(SEARCH("FL",M15)))</formula>
    </cfRule>
    <cfRule type="containsText" dxfId="511" priority="25" operator="containsText" text="SUS">
      <formula>NOT(ISERROR(SEARCH("SUS",M15)))</formula>
    </cfRule>
    <cfRule type="containsText" dxfId="510" priority="29" operator="containsText" text="Sick">
      <formula>NOT(ISERROR(SEARCH("Sick",M15)))</formula>
    </cfRule>
  </conditionalFormatting>
  <conditionalFormatting sqref="M23:AB26 AA33:AA34">
    <cfRule type="containsText" priority="1286" stopIfTrue="1" operator="containsText" text="SP">
      <formula>NOT(ISERROR(SEARCH("SP",M23)))</formula>
    </cfRule>
    <cfRule type="containsText" dxfId="509" priority="1287" stopIfTrue="1" operator="containsText" text="SICK">
      <formula>NOT(ISERROR(SEARCH("SICK",M23)))</formula>
    </cfRule>
    <cfRule type="containsText" dxfId="508" priority="1285" stopIfTrue="1" operator="containsText" text="SP">
      <formula>NOT(ISERROR(SEARCH("SP",M23)))</formula>
    </cfRule>
    <cfRule type="containsText" dxfId="507" priority="1284" stopIfTrue="1" operator="containsText" text="SICK">
      <formula>NOT(ISERROR(SEARCH("SICK",M23)))</formula>
    </cfRule>
    <cfRule type="containsText" dxfId="506" priority="1283" stopIfTrue="1" operator="containsText" text="AB">
      <formula>NOT(ISERROR(SEARCH("AB",M23)))</formula>
    </cfRule>
  </conditionalFormatting>
  <conditionalFormatting sqref="N15">
    <cfRule type="containsText" dxfId="505" priority="51" operator="containsText" text="AL">
      <formula>NOT(ISERROR(SEARCH("AL",N15)))</formula>
    </cfRule>
    <cfRule type="containsText" dxfId="504" priority="43" operator="containsText" text="NL">
      <formula>NOT(ISERROR(SEARCH("NL",N15)))</formula>
    </cfRule>
    <cfRule type="containsText" dxfId="503" priority="45" operator="containsText" text="FL">
      <formula>NOT(ISERROR(SEARCH("FL",N15)))</formula>
    </cfRule>
    <cfRule type="containsText" dxfId="502" priority="44" operator="containsText" text="SUS">
      <formula>NOT(ISERROR(SEARCH("SUS",N15)))</formula>
    </cfRule>
    <cfRule type="containsText" dxfId="501" priority="46" operator="containsText" text="EL">
      <formula>NOT(ISERROR(SEARCH("EL",N15)))</formula>
    </cfRule>
    <cfRule type="containsText" dxfId="500" priority="42" operator="containsText" text="SP">
      <formula>NOT(ISERROR(SEARCH("SP",N15)))</formula>
    </cfRule>
    <cfRule type="containsText" dxfId="499" priority="47" operator="containsText" text="MC">
      <formula>NOT(ISERROR(SEARCH("MC",N15)))</formula>
    </cfRule>
    <cfRule type="containsText" dxfId="498" priority="48" operator="containsText" text="OFF">
      <formula>NOT(ISERROR(SEARCH("OFF",N15)))</formula>
    </cfRule>
    <cfRule type="containsText" dxfId="497" priority="49" operator="containsText" text="AB">
      <formula>NOT(ISERROR(SEARCH("AB",N15)))</formula>
    </cfRule>
    <cfRule type="containsText" dxfId="496" priority="50" operator="containsText" text="SICK">
      <formula>NOT(ISERROR(SEARCH("SICK",N15)))</formula>
    </cfRule>
  </conditionalFormatting>
  <conditionalFormatting sqref="P15:R15">
    <cfRule type="containsText" dxfId="495" priority="32" operator="containsText" text="SP">
      <formula>NOT(ISERROR(SEARCH("SP",P15)))</formula>
    </cfRule>
    <cfRule type="containsText" dxfId="494" priority="37" operator="containsText" text="MC">
      <formula>NOT(ISERROR(SEARCH("MC",P15)))</formula>
    </cfRule>
    <cfRule type="containsText" dxfId="493" priority="41" operator="containsText" text="AL">
      <formula>NOT(ISERROR(SEARCH("AL",P15)))</formula>
    </cfRule>
    <cfRule type="containsText" dxfId="492" priority="40" operator="containsText" text="SICK">
      <formula>NOT(ISERROR(SEARCH("SICK",P15)))</formula>
    </cfRule>
    <cfRule type="containsText" dxfId="491" priority="39" operator="containsText" text="AB">
      <formula>NOT(ISERROR(SEARCH("AB",P15)))</formula>
    </cfRule>
    <cfRule type="containsText" dxfId="490" priority="38" operator="containsText" text="OFF">
      <formula>NOT(ISERROR(SEARCH("OFF",P15)))</formula>
    </cfRule>
    <cfRule type="containsText" dxfId="489" priority="36" operator="containsText" text="EL">
      <formula>NOT(ISERROR(SEARCH("EL",P15)))</formula>
    </cfRule>
    <cfRule type="containsText" dxfId="488" priority="35" operator="containsText" text="FL">
      <formula>NOT(ISERROR(SEARCH("FL",P15)))</formula>
    </cfRule>
    <cfRule type="containsText" dxfId="487" priority="34" operator="containsText" text="SUS">
      <formula>NOT(ISERROR(SEARCH("SUS",P15)))</formula>
    </cfRule>
    <cfRule type="containsText" dxfId="486" priority="33" operator="containsText" text="NL">
      <formula>NOT(ISERROR(SEARCH("NL",P15)))</formula>
    </cfRule>
  </conditionalFormatting>
  <conditionalFormatting sqref="W48:BP48 AJ49 AO49:BP49 AJ50:BP50 AO51:BP51 AJ51:AJ53 BC52:BP52 AQ53:BP53">
    <cfRule type="containsText" dxfId="485" priority="1245" operator="containsText" text="AL">
      <formula>NOT(ISERROR(SEARCH("AL",W48)))</formula>
    </cfRule>
    <cfRule type="containsText" dxfId="484" priority="1242" operator="containsText" text="OFF">
      <formula>NOT(ISERROR(SEARCH("OFF",W48)))</formula>
    </cfRule>
  </conditionalFormatting>
  <conditionalFormatting sqref="W48:BP48 AO49:BP49 AJ50:BP50 AO51:BP51 AJ51:AJ53 BC52:BP52 AQ53:BP53">
    <cfRule type="containsText" dxfId="483" priority="1105" operator="containsText" text="NL">
      <formula>NOT(ISERROR(SEARCH("NL",W48)))</formula>
    </cfRule>
  </conditionalFormatting>
  <conditionalFormatting sqref="AG28 AJ29:AJ31">
    <cfRule type="containsText" dxfId="482" priority="1288" stopIfTrue="1" operator="containsText" text="SICK">
      <formula>NOT(ISERROR(SEARCH("SICK",AG28)))</formula>
    </cfRule>
    <cfRule type="containsText" dxfId="481" priority="1290" stopIfTrue="1" operator="containsText" text="SP">
      <formula>NOT(ISERROR(SEARCH("SP",AG28)))</formula>
    </cfRule>
    <cfRule type="containsText" priority="1291" stopIfTrue="1" operator="containsText" text="SP">
      <formula>NOT(ISERROR(SEARCH("SP",AG28)))</formula>
    </cfRule>
    <cfRule type="containsText" dxfId="480" priority="1292" stopIfTrue="1" operator="containsText" text="AB">
      <formula>NOT(ISERROR(SEARCH("AB",AG28)))</formula>
    </cfRule>
    <cfRule type="containsText" dxfId="479" priority="1293" stopIfTrue="1" operator="containsText" text="HD">
      <formula>NOT(ISERROR(SEARCH("HD",AG28)))</formula>
    </cfRule>
    <cfRule type="containsText" dxfId="478" priority="1294" stopIfTrue="1" operator="containsText" text="AB">
      <formula>NOT(ISERROR(SEARCH("AB",AG28)))</formula>
    </cfRule>
  </conditionalFormatting>
  <conditionalFormatting sqref="AG50:AI54">
    <cfRule type="containsText" dxfId="477" priority="976" operator="containsText" text="EL">
      <formula>NOT(ISERROR(SEARCH("EL",AG50)))</formula>
    </cfRule>
  </conditionalFormatting>
  <conditionalFormatting sqref="AG54:AI54">
    <cfRule type="containsText" dxfId="476" priority="979" operator="containsText" text="AB">
      <formula>NOT(ISERROR(SEARCH("AB",AG54)))</formula>
    </cfRule>
    <cfRule type="containsText" dxfId="475" priority="978" operator="containsText" text="OFF">
      <formula>NOT(ISERROR(SEARCH("OFF",AG54)))</formula>
    </cfRule>
    <cfRule type="containsText" dxfId="474" priority="975" operator="containsText" text="FL">
      <formula>NOT(ISERROR(SEARCH("FL",AG54)))</formula>
    </cfRule>
    <cfRule type="containsText" dxfId="473" priority="972" operator="containsText" text="SP">
      <formula>NOT(ISERROR(SEARCH("SP",AG54)))</formula>
    </cfRule>
    <cfRule type="containsText" dxfId="472" priority="973" operator="containsText" text="NL">
      <formula>NOT(ISERROR(SEARCH("NL",AG54)))</formula>
    </cfRule>
    <cfRule type="containsText" dxfId="471" priority="974" operator="containsText" text="SUS">
      <formula>NOT(ISERROR(SEARCH("SUS",AG54)))</formula>
    </cfRule>
    <cfRule type="containsText" dxfId="470" priority="980" operator="containsText" text="SICK">
      <formula>NOT(ISERROR(SEARCH("SICK",AG54)))</formula>
    </cfRule>
    <cfRule type="containsText" dxfId="469" priority="981" operator="containsText" text="AL">
      <formula>NOT(ISERROR(SEARCH("AL",AG54)))</formula>
    </cfRule>
    <cfRule type="containsText" dxfId="468" priority="977" operator="containsText" text="MC">
      <formula>NOT(ISERROR(SEARCH("MC",AG54)))</formula>
    </cfRule>
  </conditionalFormatting>
  <conditionalFormatting sqref="AH44:AI44">
    <cfRule type="containsText" dxfId="467" priority="1295" stopIfTrue="1" operator="containsText" text="MC">
      <formula>NOT(ISERROR(SEARCH("MC",AH44)))</formula>
    </cfRule>
    <cfRule type="containsText" dxfId="466" priority="1289" stopIfTrue="1" operator="containsText" text="AB">
      <formula>NOT(ISERROR(SEARCH("AB",AH44)))</formula>
    </cfRule>
    <cfRule type="containsText" dxfId="465" priority="1296" stopIfTrue="1" operator="containsText" text="Sick">
      <formula>NOT(ISERROR(SEARCH("Sick",AH44)))</formula>
    </cfRule>
  </conditionalFormatting>
  <conditionalFormatting sqref="AJ49 AG50:AI52 W48:BP48">
    <cfRule type="containsText" dxfId="464" priority="1239" operator="containsText" text="FL">
      <formula>NOT(ISERROR(SEARCH("FL",W48)))</formula>
    </cfRule>
    <cfRule type="containsText" dxfId="463" priority="1238" operator="containsText" text="SUS">
      <formula>NOT(ISERROR(SEARCH("SUS",W48)))</formula>
    </cfRule>
  </conditionalFormatting>
  <conditionalFormatting sqref="AJ49 AJ51:AJ52">
    <cfRule type="containsText" dxfId="462" priority="1243" operator="containsText" text="AB">
      <formula>NOT(ISERROR(SEARCH("AB",AJ49)))</formula>
    </cfRule>
    <cfRule type="containsText" dxfId="461" priority="1240" operator="containsText" text="EL">
      <formula>NOT(ISERROR(SEARCH("EL",AJ49)))</formula>
    </cfRule>
  </conditionalFormatting>
  <conditionalFormatting sqref="AJ49 AJ51:AJ53 W48:BP48 AO49:BP49 AJ50:BP50 AO51:BP51 BC52:BP52 AQ53:BP53">
    <cfRule type="containsText" dxfId="460" priority="1241" operator="containsText" text="MC">
      <formula>NOT(ISERROR(SEARCH("MC",W48)))</formula>
    </cfRule>
    <cfRule type="containsText" dxfId="459" priority="1244" operator="containsText" text="SICK">
      <formula>NOT(ISERROR(SEARCH("SICK",W48)))</formula>
    </cfRule>
  </conditionalFormatting>
  <conditionalFormatting sqref="AJ49">
    <cfRule type="containsText" dxfId="458" priority="1236" operator="containsText" text="SP">
      <formula>NOT(ISERROR(SEARCH("SP",AJ49)))</formula>
    </cfRule>
    <cfRule type="containsText" dxfId="457" priority="1237" operator="containsText" text="NL">
      <formula>NOT(ISERROR(SEARCH("NL",AJ49)))</formula>
    </cfRule>
  </conditionalFormatting>
  <conditionalFormatting sqref="AJ51:AJ53 W48:BP48 AO49:BP49 AJ50:BP50 AO51:BP51 BC52:BP52 AQ53:BP53">
    <cfRule type="containsText" dxfId="456" priority="1104" operator="containsText" text="SP">
      <formula>NOT(ISERROR(SEARCH("SP",W48)))</formula>
    </cfRule>
  </conditionalFormatting>
  <conditionalFormatting sqref="AJ53">
    <cfRule type="containsText" dxfId="455" priority="1096" operator="containsText" text="EL">
      <formula>NOT(ISERROR(SEARCH("EL",AJ53)))</formula>
    </cfRule>
  </conditionalFormatting>
  <conditionalFormatting sqref="AO49:BP49 AJ50:BP50 AO51:BP51 AJ51:AJ53 BC52:BP52 AQ53:BP53 E48:F50 E52:F52">
    <cfRule type="containsText" dxfId="454" priority="1229" operator="containsText" text="SUS">
      <formula>NOT(ISERROR(SEARCH("SUS",E48)))</formula>
    </cfRule>
    <cfRule type="containsText" dxfId="453" priority="1230" operator="containsText" text="FL">
      <formula>NOT(ISERROR(SEARCH("FL",E48)))</formula>
    </cfRule>
  </conditionalFormatting>
  <conditionalFormatting sqref="AQ6:AR6">
    <cfRule type="containsText" dxfId="452" priority="81" operator="containsText" text="OFF">
      <formula>NOT(ISERROR(SEARCH("OFF",AQ6)))</formula>
    </cfRule>
    <cfRule type="containsText" dxfId="451" priority="80" operator="containsText" text="Sick">
      <formula>NOT(ISERROR(SEARCH("Sick",AQ6)))</formula>
    </cfRule>
    <cfRule type="containsText" dxfId="450" priority="82" operator="containsText" text="AL">
      <formula>NOT(ISERROR(SEARCH("AL",AQ6)))</formula>
    </cfRule>
    <cfRule type="containsText" dxfId="449" priority="79" operator="containsText" text="AB">
      <formula>NOT(ISERROR(SEARCH("AB",AQ6)))</formula>
    </cfRule>
    <cfRule type="containsText" dxfId="448" priority="78" operator="containsText" text="MC">
      <formula>NOT(ISERROR(SEARCH("MC",AQ6)))</formula>
    </cfRule>
    <cfRule type="containsText" dxfId="447" priority="77" operator="containsText" text="FL">
      <formula>NOT(ISERROR(SEARCH("FL",AQ6)))</formula>
    </cfRule>
    <cfRule type="containsText" dxfId="446" priority="76" operator="containsText" text="SUS">
      <formula>NOT(ISERROR(SEARCH("SUS",AQ6)))</formula>
    </cfRule>
    <cfRule type="containsText" dxfId="445" priority="75" operator="containsText" text="AB">
      <formula>NOT(ISERROR(SEARCH("AB",AQ6)))</formula>
    </cfRule>
    <cfRule type="containsText" dxfId="444" priority="74" operator="containsText" text="EL">
      <formula>NOT(ISERROR(SEARCH("EL",AQ6)))</formula>
    </cfRule>
  </conditionalFormatting>
  <conditionalFormatting sqref="AQ47:AR47 AA54:AB54">
    <cfRule type="containsText" dxfId="443" priority="1039" operator="containsText" text="SUS">
      <formula>NOT(ISERROR(SEARCH("SUS",AA47)))</formula>
    </cfRule>
    <cfRule type="containsText" dxfId="442" priority="1040" operator="containsText" text="FL">
      <formula>NOT(ISERROR(SEARCH("FL",AA47)))</formula>
    </cfRule>
    <cfRule type="containsText" dxfId="441" priority="1042" operator="containsText" text="AB">
      <formula>NOT(ISERROR(SEARCH("AB",AA47)))</formula>
    </cfRule>
    <cfRule type="containsText" dxfId="440" priority="1043" operator="containsText" text="Sick">
      <formula>NOT(ISERROR(SEARCH("Sick",AA47)))</formula>
    </cfRule>
    <cfRule type="containsText" dxfId="439" priority="1044" operator="containsText" text="OFF">
      <formula>NOT(ISERROR(SEARCH("OFF",AA47)))</formula>
    </cfRule>
    <cfRule type="containsText" dxfId="438" priority="1045" operator="containsText" text="AL">
      <formula>NOT(ISERROR(SEARCH("AL",AA47)))</formula>
    </cfRule>
    <cfRule type="containsText" dxfId="437" priority="1038" operator="containsText" text="AB">
      <formula>NOT(ISERROR(SEARCH("AB",AA47)))</formula>
    </cfRule>
    <cfRule type="containsText" dxfId="436" priority="1041" operator="containsText" text="MC">
      <formula>NOT(ISERROR(SEARCH("MC",AA47)))</formula>
    </cfRule>
    <cfRule type="containsText" dxfId="435" priority="1037" operator="containsText" text="EL">
      <formula>NOT(ISERROR(SEARCH("EL",AA47)))</formula>
    </cfRule>
  </conditionalFormatting>
  <conditionalFormatting sqref="AY54:AZ54">
    <cfRule type="containsText" dxfId="434" priority="1068" operator="containsText" text="SP">
      <formula>NOT(ISERROR(SEARCH("SP",AY54)))</formula>
    </cfRule>
    <cfRule type="containsText" dxfId="433" priority="1069" operator="containsText" text="NL">
      <formula>NOT(ISERROR(SEARCH("NL",AY54)))</formula>
    </cfRule>
    <cfRule type="containsText" dxfId="432" priority="1070" operator="containsText" text="SUS">
      <formula>NOT(ISERROR(SEARCH("SUS",AY54)))</formula>
    </cfRule>
    <cfRule type="containsText" dxfId="431" priority="1076" operator="containsText" text="SICK">
      <formula>NOT(ISERROR(SEARCH("SICK",AY54)))</formula>
    </cfRule>
    <cfRule type="containsText" dxfId="430" priority="1071" operator="containsText" text="FL">
      <formula>NOT(ISERROR(SEARCH("FL",AY54)))</formula>
    </cfRule>
    <cfRule type="containsText" dxfId="429" priority="1072" operator="containsText" text="EL">
      <formula>NOT(ISERROR(SEARCH("EL",AY54)))</formula>
    </cfRule>
    <cfRule type="containsText" dxfId="428" priority="1073" operator="containsText" text="MC">
      <formula>NOT(ISERROR(SEARCH("MC",AY54)))</formula>
    </cfRule>
    <cfRule type="containsText" dxfId="427" priority="1074" operator="containsText" text="OFF">
      <formula>NOT(ISERROR(SEARCH("OFF",AY54)))</formula>
    </cfRule>
    <cfRule type="containsText" dxfId="426" priority="1075" operator="containsText" text="AB">
      <formula>NOT(ISERROR(SEARCH("AB",AY54)))</formula>
    </cfRule>
    <cfRule type="containsText" dxfId="425" priority="1077" operator="containsText" text="AL">
      <formula>NOT(ISERROR(SEARCH("AL",AY54)))</formula>
    </cfRule>
  </conditionalFormatting>
  <conditionalFormatting sqref="BG54:BH54 E52:F53">
    <cfRule type="containsText" dxfId="424" priority="1085" operator="containsText" text="EL">
      <formula>NOT(ISERROR(SEARCH("EL",E52)))</formula>
    </cfRule>
  </conditionalFormatting>
  <conditionalFormatting sqref="BH54">
    <cfRule type="containsText" dxfId="423" priority="1102" operator="containsText" text="OFF">
      <formula>NOT(ISERROR(SEARCH("OFF",BH54)))</formula>
    </cfRule>
    <cfRule type="containsText" dxfId="422" priority="1101" operator="containsText" text="Sick">
      <formula>NOT(ISERROR(SEARCH("Sick",BH54)))</formula>
    </cfRule>
    <cfRule type="containsText" dxfId="421" priority="1099" operator="containsText" text="MC">
      <formula>NOT(ISERROR(SEARCH("MC",BH54)))</formula>
    </cfRule>
    <cfRule type="containsText" dxfId="420" priority="1097" operator="containsText" text="SUS">
      <formula>NOT(ISERROR(SEARCH("SUS",BH54)))</formula>
    </cfRule>
    <cfRule type="containsText" dxfId="419" priority="1098" operator="containsText" text="FL">
      <formula>NOT(ISERROR(SEARCH("FL",BH54)))</formula>
    </cfRule>
    <cfRule type="containsText" dxfId="418" priority="1103" operator="containsText" text="AL">
      <formula>NOT(ISERROR(SEARCH("AL",BH54)))</formula>
    </cfRule>
  </conditionalFormatting>
  <conditionalFormatting sqref="BK54">
    <cfRule type="containsText" dxfId="417" priority="1066" operator="containsText" text="OFF">
      <formula>NOT(ISERROR(SEARCH("OFF",BK54)))</formula>
    </cfRule>
    <cfRule type="containsText" dxfId="416" priority="1065" operator="containsText" text="Sick">
      <formula>NOT(ISERROR(SEARCH("Sick",BK54)))</formula>
    </cfRule>
    <cfRule type="containsText" dxfId="415" priority="1064" operator="containsText" text="AB">
      <formula>NOT(ISERROR(SEARCH("AB",BK54)))</formula>
    </cfRule>
    <cfRule type="containsText" dxfId="414" priority="1063" operator="containsText" text="MC">
      <formula>NOT(ISERROR(SEARCH("MC",BK54)))</formula>
    </cfRule>
    <cfRule type="containsText" dxfId="413" priority="1061" operator="containsText" text="SUS">
      <formula>NOT(ISERROR(SEARCH("SUS",BK54)))</formula>
    </cfRule>
    <cfRule type="containsText" dxfId="412" priority="1067" operator="containsText" text="AL">
      <formula>NOT(ISERROR(SEARCH("AL",BK54)))</formula>
    </cfRule>
    <cfRule type="containsText" dxfId="411" priority="1062" operator="containsText" text="FL">
      <formula>NOT(ISERROR(SEARCH("FL",BK54)))</formula>
    </cfRule>
  </conditionalFormatting>
  <conditionalFormatting sqref="BK54:BL54">
    <cfRule type="containsText" dxfId="410" priority="1052" operator="containsText" text="EL">
      <formula>NOT(ISERROR(SEARCH("EL",BK54)))</formula>
    </cfRule>
    <cfRule type="containsText" dxfId="409" priority="1057" operator="containsText" text="AB">
      <formula>NOT(ISERROR(SEARCH("AB",BK54)))</formula>
    </cfRule>
  </conditionalFormatting>
  <conditionalFormatting sqref="BL54">
    <cfRule type="containsText" dxfId="408" priority="1058" operator="containsText" text="Sick">
      <formula>NOT(ISERROR(SEARCH("Sick",BL54)))</formula>
    </cfRule>
    <cfRule type="containsText" dxfId="407" priority="1059" operator="containsText" text="OFF">
      <formula>NOT(ISERROR(SEARCH("OFF",BL54)))</formula>
    </cfRule>
    <cfRule type="containsText" dxfId="406" priority="1060" operator="containsText" text="AL">
      <formula>NOT(ISERROR(SEARCH("AL",BL54)))</formula>
    </cfRule>
    <cfRule type="containsText" dxfId="405" priority="1056" operator="containsText" text="MC">
      <formula>NOT(ISERROR(SEARCH("MC",BL54)))</formula>
    </cfRule>
    <cfRule type="containsText" dxfId="404" priority="1055" operator="containsText" text="FL">
      <formula>NOT(ISERROR(SEARCH("FL",BL54)))</formula>
    </cfRule>
    <cfRule type="containsText" dxfId="403" priority="1054" operator="containsText" text="SUS">
      <formula>NOT(ISERROR(SEARCH("SUS",BL54)))</formula>
    </cfRule>
    <cfRule type="containsText" dxfId="402" priority="1053" operator="containsText" text="AB">
      <formula>NOT(ISERROR(SEARCH("AB",BL54)))</formula>
    </cfRule>
  </conditionalFormatting>
  <conditionalFormatting sqref="BR3">
    <cfRule type="cellIs" dxfId="401" priority="1297" operator="equal">
      <formula>";"</formula>
    </cfRule>
  </conditionalFormatting>
  <conditionalFormatting sqref="BR6 BR47:BR54">
    <cfRule type="cellIs" dxfId="400" priority="1298" stopIfTrue="1" operator="equal">
      <formula>";"</formula>
    </cfRule>
  </conditionalFormatting>
  <conditionalFormatting sqref="BT5">
    <cfRule type="containsText" dxfId="399" priority="1208" operator="containsText" text="SUS">
      <formula>NOT(ISERROR(SEARCH("SUS",BT5)))</formula>
    </cfRule>
    <cfRule type="containsText" dxfId="398" priority="1211" operator="containsText" text="AB">
      <formula>NOT(ISERROR(SEARCH("AB",BT5)))</formula>
    </cfRule>
    <cfRule type="containsText" dxfId="397" priority="1209" operator="containsText" text="FL">
      <formula>NOT(ISERROR(SEARCH("FL",BT5)))</formula>
    </cfRule>
    <cfRule type="containsText" dxfId="396" priority="1210" operator="containsText" text="MC">
      <formula>NOT(ISERROR(SEARCH("MC",BT5)))</formula>
    </cfRule>
    <cfRule type="containsText" dxfId="395" priority="1212" operator="containsText" text="Sick">
      <formula>NOT(ISERROR(SEARCH("Sick",BT5)))</formula>
    </cfRule>
    <cfRule type="containsText" dxfId="394" priority="1213" operator="containsText" text="OFF">
      <formula>NOT(ISERROR(SEARCH("OFF",BT5)))</formula>
    </cfRule>
    <cfRule type="containsText" dxfId="393" priority="1214" operator="containsText" text="AL">
      <formula>NOT(ISERROR(SEARCH("AL",BT5)))</formula>
    </cfRule>
  </conditionalFormatting>
  <conditionalFormatting sqref="BT5:BU5">
    <cfRule type="containsText" dxfId="392" priority="1118" operator="containsText" text="AB">
      <formula>NOT(ISERROR(SEARCH("AB",BT5)))</formula>
    </cfRule>
  </conditionalFormatting>
  <conditionalFormatting sqref="BT5:BY5">
    <cfRule type="containsText" dxfId="391" priority="1106" operator="containsText" text="EL">
      <formula>NOT(ISERROR(SEARCH("EL",BT5)))</formula>
    </cfRule>
  </conditionalFormatting>
  <conditionalFormatting sqref="BU5">
    <cfRule type="containsText" dxfId="390" priority="1120" operator="containsText" text="OFF">
      <formula>NOT(ISERROR(SEARCH("OFF",BU5)))</formula>
    </cfRule>
    <cfRule type="containsText" dxfId="389" priority="1121" operator="containsText" text="AL">
      <formula>NOT(ISERROR(SEARCH("AL",BU5)))</formula>
    </cfRule>
    <cfRule type="containsText" dxfId="388" priority="1119" operator="containsText" text="Sick">
      <formula>NOT(ISERROR(SEARCH("Sick",BU5)))</formula>
    </cfRule>
    <cfRule type="containsText" dxfId="387" priority="1116" operator="containsText" text="FL">
      <formula>NOT(ISERROR(SEARCH("FL",BU5)))</formula>
    </cfRule>
    <cfRule type="containsText" dxfId="386" priority="1117" operator="containsText" text="MC">
      <formula>NOT(ISERROR(SEARCH("MC",BU5)))</formula>
    </cfRule>
    <cfRule type="containsText" dxfId="385" priority="1115" operator="containsText" text="SUS">
      <formula>NOT(ISERROR(SEARCH("SUS",BU5)))</formula>
    </cfRule>
  </conditionalFormatting>
  <conditionalFormatting sqref="BU5:BV5">
    <cfRule type="containsText" dxfId="384" priority="1111" operator="containsText" text="AB">
      <formula>NOT(ISERROR(SEARCH("AB",BU5)))</formula>
    </cfRule>
  </conditionalFormatting>
  <conditionalFormatting sqref="BV5">
    <cfRule type="containsText" dxfId="383" priority="1109" operator="containsText" text="FL">
      <formula>NOT(ISERROR(SEARCH("FL",BV5)))</formula>
    </cfRule>
    <cfRule type="containsText" dxfId="382" priority="1114" operator="containsText" text="AL">
      <formula>NOT(ISERROR(SEARCH("AL",BV5)))</formula>
    </cfRule>
    <cfRule type="containsText" dxfId="381" priority="1107" operator="containsText" text="AB">
      <formula>NOT(ISERROR(SEARCH("AB",BV5)))</formula>
    </cfRule>
    <cfRule type="containsText" dxfId="380" priority="1113" operator="containsText" text="OFF">
      <formula>NOT(ISERROR(SEARCH("OFF",BV5)))</formula>
    </cfRule>
    <cfRule type="containsText" dxfId="379" priority="1112" operator="containsText" text="Sick">
      <formula>NOT(ISERROR(SEARCH("Sick",BV5)))</formula>
    </cfRule>
    <cfRule type="containsText" dxfId="378" priority="1108" operator="containsText" text="SUS">
      <formula>NOT(ISERROR(SEARCH("SUS",BV5)))</formula>
    </cfRule>
    <cfRule type="containsText" dxfId="377" priority="1110" operator="containsText" text="MC">
      <formula>NOT(ISERROR(SEARCH("MC",BV5)))</formula>
    </cfRule>
  </conditionalFormatting>
  <conditionalFormatting sqref="BW5">
    <cfRule type="containsText" dxfId="376" priority="1223" operator="containsText" text="FL">
      <formula>NOT(ISERROR(SEARCH("FL",BW5)))</formula>
    </cfRule>
    <cfRule type="containsText" dxfId="375" priority="1222" operator="containsText" text="SUS">
      <formula>NOT(ISERROR(SEARCH("SUS",BW5)))</formula>
    </cfRule>
    <cfRule type="containsText" dxfId="374" priority="1228" operator="containsText" text="AL">
      <formula>NOT(ISERROR(SEARCH("AL",BW5)))</formula>
    </cfRule>
    <cfRule type="containsText" dxfId="373" priority="1227" operator="containsText" text="OFF">
      <formula>NOT(ISERROR(SEARCH("OFF",BW5)))</formula>
    </cfRule>
    <cfRule type="containsText" dxfId="372" priority="1226" operator="containsText" text="Sick">
      <formula>NOT(ISERROR(SEARCH("Sick",BW5)))</formula>
    </cfRule>
    <cfRule type="containsText" dxfId="371" priority="1225" operator="containsText" text="AB">
      <formula>NOT(ISERROR(SEARCH("AB",BW5)))</formula>
    </cfRule>
    <cfRule type="containsText" dxfId="370" priority="1224" operator="containsText" text="MC">
      <formula>NOT(ISERROR(SEARCH("MC",BW5)))</formula>
    </cfRule>
  </conditionalFormatting>
  <conditionalFormatting sqref="BW5:BY5">
    <cfRule type="containsText" dxfId="369" priority="1126" operator="containsText" text="AB">
      <formula>NOT(ISERROR(SEARCH("AB",BW5)))</formula>
    </cfRule>
  </conditionalFormatting>
  <conditionalFormatting sqref="BX5">
    <cfRule type="containsText" dxfId="368" priority="1122" operator="containsText" text="AB">
      <formula>NOT(ISERROR(SEARCH("AB",BX5)))</formula>
    </cfRule>
    <cfRule type="containsText" dxfId="367" priority="1124" operator="containsText" text="FL">
      <formula>NOT(ISERROR(SEARCH("FL",BX5)))</formula>
    </cfRule>
    <cfRule type="containsText" dxfId="366" priority="1123" operator="containsText" text="SUS">
      <formula>NOT(ISERROR(SEARCH("SUS",BX5)))</formula>
    </cfRule>
    <cfRule type="containsText" dxfId="365" priority="1127" operator="containsText" text="Sick">
      <formula>NOT(ISERROR(SEARCH("Sick",BX5)))</formula>
    </cfRule>
    <cfRule type="containsText" dxfId="364" priority="1125" operator="containsText" text="MC">
      <formula>NOT(ISERROR(SEARCH("MC",BX5)))</formula>
    </cfRule>
    <cfRule type="containsText" dxfId="363" priority="1128" operator="containsText" text="OFF">
      <formula>NOT(ISERROR(SEARCH("OFF",BX5)))</formula>
    </cfRule>
    <cfRule type="containsText" dxfId="362" priority="1129" operator="containsText" text="AL">
      <formula>NOT(ISERROR(SEARCH("AL",BX5)))</formula>
    </cfRule>
  </conditionalFormatting>
  <conditionalFormatting sqref="BY5">
    <cfRule type="containsText" dxfId="361" priority="1132" operator="containsText" text="MC">
      <formula>NOT(ISERROR(SEARCH("MC",BY5)))</formula>
    </cfRule>
    <cfRule type="containsText" dxfId="360" priority="1130" operator="containsText" text="SUS">
      <formula>NOT(ISERROR(SEARCH("SUS",BY5)))</formula>
    </cfRule>
    <cfRule type="containsText" dxfId="359" priority="1134" operator="containsText" text="Sick">
      <formula>NOT(ISERROR(SEARCH("Sick",BY5)))</formula>
    </cfRule>
    <cfRule type="containsText" dxfId="358" priority="1136" operator="containsText" text="AL">
      <formula>NOT(ISERROR(SEARCH("AL",BY5)))</formula>
    </cfRule>
    <cfRule type="containsText" dxfId="357" priority="1135" operator="containsText" text="OFF">
      <formula>NOT(ISERROR(SEARCH("OFF",BY5)))</formula>
    </cfRule>
    <cfRule type="containsText" dxfId="356" priority="1131" operator="containsText" text="FL">
      <formula>NOT(ISERROR(SEARCH("FL",BY5)))</formula>
    </cfRule>
    <cfRule type="containsText" dxfId="355" priority="1133" operator="containsText" text="AB">
      <formula>NOT(ISERROR(SEARCH("AB",BY5)))</formula>
    </cfRule>
  </conditionalFormatting>
  <conditionalFormatting sqref="BZ5">
    <cfRule type="containsText" dxfId="354" priority="1189" operator="containsText" text="NL">
      <formula>NOT(ISERROR(SEARCH("NL",BZ5)))</formula>
    </cfRule>
    <cfRule type="containsText" dxfId="353" priority="1190" operator="containsText" text="SUS">
      <formula>NOT(ISERROR(SEARCH("SUS",BZ5)))</formula>
    </cfRule>
    <cfRule type="containsText" dxfId="352" priority="1197" operator="containsText" text="AL">
      <formula>NOT(ISERROR(SEARCH("AL",BZ5)))</formula>
    </cfRule>
    <cfRule type="containsText" dxfId="351" priority="1196" operator="containsText" text="SICK">
      <formula>NOT(ISERROR(SEARCH("SICK",BZ5)))</formula>
    </cfRule>
    <cfRule type="containsText" dxfId="350" priority="1195" operator="containsText" text="AB">
      <formula>NOT(ISERROR(SEARCH("AB",BZ5)))</formula>
    </cfRule>
    <cfRule type="containsText" dxfId="349" priority="1194" operator="containsText" text="OFF">
      <formula>NOT(ISERROR(SEARCH("OFF",BZ5)))</formula>
    </cfRule>
    <cfRule type="containsText" dxfId="348" priority="1193" operator="containsText" text="MC">
      <formula>NOT(ISERROR(SEARCH("MC",BZ5)))</formula>
    </cfRule>
    <cfRule type="containsText" dxfId="347" priority="1191" operator="containsText" text="FL">
      <formula>NOT(ISERROR(SEARCH("FL",BZ5)))</formula>
    </cfRule>
    <cfRule type="containsText" dxfId="346" priority="1188" operator="containsText" text="SP">
      <formula>NOT(ISERROR(SEARCH("SP",BZ5)))</formula>
    </cfRule>
    <cfRule type="containsText" dxfId="345" priority="1192" operator="containsText" text="EL">
      <formula>NOT(ISERROR(SEARCH("EL",BZ5)))</formula>
    </cfRule>
  </conditionalFormatting>
  <conditionalFormatting sqref="CB5:CD5">
    <cfRule type="containsText" dxfId="344" priority="1153" operator="containsText" text="OFF">
      <formula>NOT(ISERROR(SEARCH("OFF",CB5)))</formula>
    </cfRule>
    <cfRule type="containsText" dxfId="343" priority="1147" operator="containsText" text="SP">
      <formula>NOT(ISERROR(SEARCH("SP",CB5)))</formula>
    </cfRule>
    <cfRule type="containsText" dxfId="342" priority="1149" operator="containsText" text="SUS">
      <formula>NOT(ISERROR(SEARCH("SUS",CB5)))</formula>
    </cfRule>
    <cfRule type="containsText" dxfId="341" priority="1148" operator="containsText" text="NL">
      <formula>NOT(ISERROR(SEARCH("NL",CB5)))</formula>
    </cfRule>
    <cfRule type="containsText" dxfId="340" priority="1150" operator="containsText" text="FL">
      <formula>NOT(ISERROR(SEARCH("FL",CB5)))</formula>
    </cfRule>
    <cfRule type="containsText" dxfId="339" priority="1151" operator="containsText" text="EL">
      <formula>NOT(ISERROR(SEARCH("EL",CB5)))</formula>
    </cfRule>
    <cfRule type="containsText" dxfId="338" priority="1154" operator="containsText" text="AB">
      <formula>NOT(ISERROR(SEARCH("AB",CB5)))</formula>
    </cfRule>
    <cfRule type="containsText" dxfId="337" priority="1152" operator="containsText" text="MC">
      <formula>NOT(ISERROR(SEARCH("MC",CB5)))</formula>
    </cfRule>
    <cfRule type="containsText" dxfId="336" priority="1155" operator="containsText" text="SICK">
      <formula>NOT(ISERROR(SEARCH("SICK",CB5)))</formula>
    </cfRule>
    <cfRule type="containsText" dxfId="335" priority="1156" operator="containsText" text="AL">
      <formula>NOT(ISERROR(SEARCH("AL",CB5)))</formula>
    </cfRule>
  </conditionalFormatting>
  <pageMargins left="0.7" right="0.7" top="0.75" bottom="0.75" header="0.3" footer="0.3"/>
  <pageSetup paperSize="9" scale="2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0034-63CA-43B7-8FDB-A79E3009FC61}">
  <sheetPr>
    <pageSetUpPr fitToPage="1"/>
  </sheetPr>
  <dimension ref="A1:CC37"/>
  <sheetViews>
    <sheetView zoomScaleNormal="100" workbookViewId="0">
      <selection activeCell="X18" sqref="X18"/>
    </sheetView>
  </sheetViews>
  <sheetFormatPr defaultRowHeight="15" x14ac:dyDescent="0.25"/>
  <cols>
    <col min="1" max="1" width="5.140625" style="46" customWidth="1"/>
    <col min="2" max="2" width="12" style="15" customWidth="1"/>
    <col min="3" max="3" width="33.7109375" customWidth="1"/>
    <col min="4" max="4" width="10" hidden="1" customWidth="1"/>
    <col min="5" max="32" width="6.5703125" customWidth="1"/>
    <col min="33" max="34" width="6.28515625" customWidth="1"/>
    <col min="35" max="35" width="6.28515625" style="74" customWidth="1"/>
    <col min="36" max="36" width="6.28515625" style="58" customWidth="1"/>
    <col min="37" max="37" width="6.28515625" customWidth="1"/>
    <col min="38" max="38" width="10.28515625" customWidth="1"/>
    <col min="39" max="68" width="6.5703125" customWidth="1"/>
    <col min="69" max="69" width="5.85546875" style="15" customWidth="1"/>
    <col min="70" max="77" width="5" customWidth="1"/>
    <col min="78" max="78" width="5.85546875" customWidth="1"/>
    <col min="79" max="82" width="5" customWidth="1"/>
  </cols>
  <sheetData>
    <row r="1" spans="1:78" ht="15.75" x14ac:dyDescent="0.25"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34"/>
      <c r="Y1" s="34"/>
    </row>
    <row r="2" spans="1:78" ht="25.5" customHeight="1" x14ac:dyDescent="0.25">
      <c r="A2" s="238" t="s">
        <v>270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  <c r="AA2" s="239"/>
      <c r="AB2" s="239"/>
      <c r="AC2" s="239"/>
      <c r="AD2" s="239"/>
      <c r="AE2" s="239"/>
      <c r="AF2" s="239"/>
      <c r="AG2" s="239"/>
      <c r="AH2" s="240"/>
      <c r="AI2" s="112"/>
    </row>
    <row r="3" spans="1:78" ht="22.5" customHeight="1" x14ac:dyDescent="0.25">
      <c r="A3" s="231" t="s">
        <v>170</v>
      </c>
      <c r="B3" s="232"/>
      <c r="C3" s="233"/>
      <c r="D3" s="85"/>
      <c r="E3" s="205" t="s">
        <v>4</v>
      </c>
      <c r="F3" s="205"/>
      <c r="G3" s="205" t="s">
        <v>5</v>
      </c>
      <c r="H3" s="205"/>
      <c r="I3" s="205" t="s">
        <v>6</v>
      </c>
      <c r="J3" s="205"/>
      <c r="K3" s="205" t="s">
        <v>7</v>
      </c>
      <c r="L3" s="205"/>
      <c r="M3" s="205" t="s">
        <v>1</v>
      </c>
      <c r="N3" s="205"/>
      <c r="O3" s="205" t="s">
        <v>2</v>
      </c>
      <c r="P3" s="205"/>
      <c r="Q3" s="205" t="s">
        <v>3</v>
      </c>
      <c r="R3" s="205"/>
      <c r="S3" s="205" t="s">
        <v>4</v>
      </c>
      <c r="T3" s="205"/>
      <c r="U3" s="205" t="s">
        <v>5</v>
      </c>
      <c r="V3" s="205"/>
      <c r="W3" s="205" t="s">
        <v>6</v>
      </c>
      <c r="X3" s="205"/>
      <c r="Y3" s="205" t="s">
        <v>7</v>
      </c>
      <c r="Z3" s="205"/>
      <c r="AA3" s="205" t="s">
        <v>1</v>
      </c>
      <c r="AB3" s="205"/>
      <c r="AC3" s="205" t="s">
        <v>2</v>
      </c>
      <c r="AD3" s="205"/>
      <c r="AE3" s="205" t="s">
        <v>3</v>
      </c>
      <c r="AF3" s="205"/>
      <c r="AG3" s="205" t="s">
        <v>4</v>
      </c>
      <c r="AH3" s="205"/>
      <c r="AI3" s="112"/>
    </row>
    <row r="4" spans="1:78" ht="22.5" customHeight="1" x14ac:dyDescent="0.25">
      <c r="A4" s="234"/>
      <c r="B4" s="235"/>
      <c r="C4" s="236"/>
      <c r="D4" s="85"/>
      <c r="E4" s="201">
        <v>46235</v>
      </c>
      <c r="F4" s="201"/>
      <c r="G4" s="201">
        <v>46236</v>
      </c>
      <c r="H4" s="201"/>
      <c r="I4" s="201">
        <v>46237</v>
      </c>
      <c r="J4" s="201"/>
      <c r="K4" s="201">
        <v>46238</v>
      </c>
      <c r="L4" s="201"/>
      <c r="M4" s="201">
        <v>46239</v>
      </c>
      <c r="N4" s="201"/>
      <c r="O4" s="201">
        <v>46240</v>
      </c>
      <c r="P4" s="201"/>
      <c r="Q4" s="201">
        <v>46241</v>
      </c>
      <c r="R4" s="201"/>
      <c r="S4" s="201">
        <v>46242</v>
      </c>
      <c r="T4" s="201"/>
      <c r="U4" s="201">
        <v>46243</v>
      </c>
      <c r="V4" s="201"/>
      <c r="W4" s="201">
        <v>46244</v>
      </c>
      <c r="X4" s="201"/>
      <c r="Y4" s="201">
        <v>46245</v>
      </c>
      <c r="Z4" s="201"/>
      <c r="AA4" s="201">
        <v>46246</v>
      </c>
      <c r="AB4" s="201"/>
      <c r="AC4" s="201">
        <v>46247</v>
      </c>
      <c r="AD4" s="201"/>
      <c r="AE4" s="201">
        <v>46248</v>
      </c>
      <c r="AF4" s="201"/>
      <c r="AG4" s="201">
        <v>46249</v>
      </c>
      <c r="AH4" s="201"/>
      <c r="AI4" s="112"/>
    </row>
    <row r="5" spans="1:78" ht="20.25" customHeight="1" x14ac:dyDescent="0.25">
      <c r="A5" s="4" t="s">
        <v>10</v>
      </c>
      <c r="B5" s="4" t="s">
        <v>11</v>
      </c>
      <c r="C5" s="4" t="s">
        <v>12</v>
      </c>
      <c r="D5" s="13"/>
      <c r="E5" s="13" t="s">
        <v>13</v>
      </c>
      <c r="F5" s="13" t="s">
        <v>14</v>
      </c>
      <c r="G5" s="13" t="s">
        <v>13</v>
      </c>
      <c r="H5" s="13" t="s">
        <v>14</v>
      </c>
      <c r="I5" s="13" t="s">
        <v>13</v>
      </c>
      <c r="J5" s="13" t="s">
        <v>14</v>
      </c>
      <c r="K5" s="13" t="s">
        <v>13</v>
      </c>
      <c r="L5" s="13" t="s">
        <v>14</v>
      </c>
      <c r="M5" s="13" t="s">
        <v>13</v>
      </c>
      <c r="N5" s="13" t="s">
        <v>14</v>
      </c>
      <c r="O5" s="13" t="s">
        <v>13</v>
      </c>
      <c r="P5" s="13" t="s">
        <v>14</v>
      </c>
      <c r="Q5" s="13" t="s">
        <v>13</v>
      </c>
      <c r="R5" s="13" t="s">
        <v>14</v>
      </c>
      <c r="S5" s="13" t="s">
        <v>13</v>
      </c>
      <c r="T5" s="13" t="s">
        <v>14</v>
      </c>
      <c r="U5" s="13" t="s">
        <v>13</v>
      </c>
      <c r="V5" s="13" t="s">
        <v>14</v>
      </c>
      <c r="W5" s="13" t="s">
        <v>13</v>
      </c>
      <c r="X5" s="13" t="s">
        <v>14</v>
      </c>
      <c r="Y5" s="4" t="s">
        <v>13</v>
      </c>
      <c r="Z5" s="4" t="s">
        <v>14</v>
      </c>
      <c r="AA5" s="4" t="s">
        <v>13</v>
      </c>
      <c r="AB5" s="4" t="s">
        <v>14</v>
      </c>
      <c r="AC5" s="4" t="s">
        <v>13</v>
      </c>
      <c r="AD5" s="4" t="s">
        <v>14</v>
      </c>
      <c r="AE5" s="4" t="s">
        <v>13</v>
      </c>
      <c r="AF5" s="4" t="s">
        <v>14</v>
      </c>
      <c r="AG5" s="4" t="s">
        <v>13</v>
      </c>
      <c r="AH5" s="4" t="s">
        <v>14</v>
      </c>
      <c r="AI5" s="112"/>
    </row>
    <row r="6" spans="1:78" ht="21.75" customHeight="1" x14ac:dyDescent="0.25">
      <c r="A6" s="10">
        <v>1</v>
      </c>
      <c r="B6" s="11" t="s">
        <v>49</v>
      </c>
      <c r="C6" s="8" t="s">
        <v>50</v>
      </c>
      <c r="D6" s="86">
        <v>38713</v>
      </c>
      <c r="E6" s="137">
        <v>46235.328194444446</v>
      </c>
      <c r="F6" s="137">
        <v>1</v>
      </c>
      <c r="G6" s="137">
        <v>46236.338888888888</v>
      </c>
      <c r="H6" s="137">
        <v>1</v>
      </c>
      <c r="I6" s="137">
        <v>46237.007430555554</v>
      </c>
      <c r="J6" s="137">
        <v>46237.97415509259</v>
      </c>
      <c r="K6" s="137">
        <v>46238.349594907406</v>
      </c>
      <c r="L6" s="137">
        <v>1</v>
      </c>
      <c r="M6" s="137">
        <v>46239.351643518516</v>
      </c>
      <c r="N6" s="137">
        <v>1</v>
      </c>
      <c r="O6" s="137">
        <v>46240.347870370373</v>
      </c>
      <c r="P6" s="137">
        <v>1</v>
      </c>
      <c r="Q6" s="141" t="s">
        <v>15</v>
      </c>
      <c r="R6" s="141" t="s">
        <v>15</v>
      </c>
      <c r="S6" s="137">
        <v>46242.318229166667</v>
      </c>
      <c r="T6" s="137">
        <v>46242.992280092592</v>
      </c>
      <c r="U6" s="137">
        <v>46243.324618055558</v>
      </c>
      <c r="V6" s="137">
        <v>1</v>
      </c>
      <c r="W6" s="137">
        <v>46244.319328703707</v>
      </c>
      <c r="X6" s="137">
        <v>46244.97216435185</v>
      </c>
      <c r="Y6" s="137">
        <v>46245.329618055555</v>
      </c>
      <c r="Z6" s="137">
        <v>1</v>
      </c>
      <c r="AA6" s="137">
        <v>46246.348425925928</v>
      </c>
      <c r="AB6" s="137">
        <v>1</v>
      </c>
      <c r="AC6" s="137">
        <v>46247.340624999997</v>
      </c>
      <c r="AD6" s="137">
        <v>1</v>
      </c>
      <c r="AE6" s="137">
        <v>46248.56759259259</v>
      </c>
      <c r="AF6" s="137">
        <v>1</v>
      </c>
      <c r="AG6" s="137">
        <v>46249.346770833334</v>
      </c>
      <c r="AH6" s="137">
        <v>46250.016192129631</v>
      </c>
      <c r="AI6" s="112"/>
    </row>
    <row r="7" spans="1:78" ht="18.75" x14ac:dyDescent="0.25">
      <c r="AI7" s="112"/>
    </row>
    <row r="10" spans="1:78" x14ac:dyDescent="0.25">
      <c r="E10" s="133"/>
      <c r="F10" s="205" t="s">
        <v>5</v>
      </c>
      <c r="G10" s="206"/>
      <c r="H10" s="205" t="s">
        <v>6</v>
      </c>
      <c r="I10" s="206"/>
      <c r="J10" s="205" t="s">
        <v>7</v>
      </c>
      <c r="K10" s="206"/>
      <c r="L10" s="205" t="s">
        <v>1</v>
      </c>
      <c r="M10" s="206"/>
      <c r="N10" s="205" t="s">
        <v>2</v>
      </c>
      <c r="O10" s="206"/>
      <c r="P10" s="205" t="s">
        <v>3</v>
      </c>
      <c r="Q10" s="206"/>
      <c r="R10" s="205" t="s">
        <v>4</v>
      </c>
      <c r="S10" s="206"/>
      <c r="T10" s="205" t="s">
        <v>5</v>
      </c>
      <c r="U10" s="206"/>
      <c r="V10" s="205" t="s">
        <v>6</v>
      </c>
      <c r="W10" s="206"/>
      <c r="X10" s="205" t="s">
        <v>7</v>
      </c>
      <c r="Y10" s="206"/>
      <c r="Z10" s="205" t="s">
        <v>1</v>
      </c>
      <c r="AA10" s="206"/>
      <c r="AB10" s="205" t="s">
        <v>2</v>
      </c>
      <c r="AC10" s="206"/>
      <c r="AD10" s="205" t="s">
        <v>3</v>
      </c>
      <c r="AE10" s="206"/>
      <c r="AF10" s="205" t="s">
        <v>4</v>
      </c>
      <c r="AG10" s="206"/>
      <c r="AH10" s="205" t="s">
        <v>5</v>
      </c>
      <c r="AI10" s="206"/>
      <c r="AJ10" s="205" t="s">
        <v>6</v>
      </c>
      <c r="AK10" s="205"/>
    </row>
    <row r="11" spans="1:78" x14ac:dyDescent="0.25">
      <c r="E11" s="104"/>
      <c r="F11" s="201">
        <v>46250</v>
      </c>
      <c r="G11" s="202"/>
      <c r="H11" s="201">
        <v>46251</v>
      </c>
      <c r="I11" s="202"/>
      <c r="J11" s="201">
        <v>46252</v>
      </c>
      <c r="K11" s="202"/>
      <c r="L11" s="201">
        <v>46253</v>
      </c>
      <c r="M11" s="202"/>
      <c r="N11" s="201">
        <v>46254</v>
      </c>
      <c r="O11" s="202"/>
      <c r="P11" s="201">
        <v>46255</v>
      </c>
      <c r="Q11" s="202"/>
      <c r="R11" s="201">
        <v>46256</v>
      </c>
      <c r="S11" s="202"/>
      <c r="T11" s="201">
        <v>46257</v>
      </c>
      <c r="U11" s="202"/>
      <c r="V11" s="201">
        <v>46258</v>
      </c>
      <c r="W11" s="202"/>
      <c r="X11" s="201">
        <v>46259</v>
      </c>
      <c r="Y11" s="202"/>
      <c r="Z11" s="201">
        <v>46260</v>
      </c>
      <c r="AA11" s="202"/>
      <c r="AB11" s="201">
        <v>46261</v>
      </c>
      <c r="AC11" s="202"/>
      <c r="AD11" s="201">
        <v>46262</v>
      </c>
      <c r="AE11" s="202"/>
      <c r="AF11" s="201">
        <v>46263</v>
      </c>
      <c r="AG11" s="202"/>
      <c r="AH11" s="201">
        <v>46264</v>
      </c>
      <c r="AI11" s="202"/>
      <c r="AJ11" s="201">
        <v>46265</v>
      </c>
      <c r="AK11" s="201"/>
    </row>
    <row r="12" spans="1:78" x14ac:dyDescent="0.25">
      <c r="E12" s="4"/>
      <c r="F12" s="4" t="s">
        <v>13</v>
      </c>
      <c r="G12" s="4" t="s">
        <v>14</v>
      </c>
      <c r="H12" s="4" t="s">
        <v>13</v>
      </c>
      <c r="I12" s="4" t="s">
        <v>14</v>
      </c>
      <c r="J12" s="4" t="s">
        <v>13</v>
      </c>
      <c r="K12" s="4" t="s">
        <v>14</v>
      </c>
      <c r="L12" s="4" t="s">
        <v>13</v>
      </c>
      <c r="M12" s="4" t="s">
        <v>14</v>
      </c>
      <c r="N12" s="4" t="s">
        <v>13</v>
      </c>
      <c r="O12" s="4" t="s">
        <v>14</v>
      </c>
      <c r="P12" s="13" t="s">
        <v>13</v>
      </c>
      <c r="Q12" s="13" t="s">
        <v>14</v>
      </c>
      <c r="R12" s="13" t="s">
        <v>13</v>
      </c>
      <c r="S12" s="13" t="s">
        <v>14</v>
      </c>
      <c r="T12" s="13" t="s">
        <v>13</v>
      </c>
      <c r="U12" s="13" t="s">
        <v>14</v>
      </c>
      <c r="V12" s="13" t="s">
        <v>13</v>
      </c>
      <c r="W12" s="13" t="s">
        <v>14</v>
      </c>
      <c r="X12" s="13" t="s">
        <v>13</v>
      </c>
      <c r="Y12" s="13" t="s">
        <v>14</v>
      </c>
      <c r="Z12" s="4" t="s">
        <v>13</v>
      </c>
      <c r="AA12" s="4" t="s">
        <v>14</v>
      </c>
      <c r="AB12" s="4" t="s">
        <v>13</v>
      </c>
      <c r="AC12" s="4" t="s">
        <v>14</v>
      </c>
      <c r="AD12" s="4" t="s">
        <v>13</v>
      </c>
      <c r="AE12" s="4" t="s">
        <v>14</v>
      </c>
      <c r="AF12" s="4" t="s">
        <v>13</v>
      </c>
      <c r="AG12" s="4" t="s">
        <v>14</v>
      </c>
      <c r="AH12" s="4" t="s">
        <v>13</v>
      </c>
      <c r="AI12" s="4" t="s">
        <v>14</v>
      </c>
      <c r="AJ12" s="4" t="s">
        <v>13</v>
      </c>
      <c r="AK12" s="4" t="s">
        <v>14</v>
      </c>
    </row>
    <row r="13" spans="1:78" x14ac:dyDescent="0.25">
      <c r="E13" s="45">
        <v>13</v>
      </c>
      <c r="F13" s="137">
        <v>46250.347905092596</v>
      </c>
      <c r="G13" s="137">
        <v>46250.973101851851</v>
      </c>
      <c r="H13" s="147">
        <v>46251.345891203702</v>
      </c>
      <c r="I13" s="137">
        <v>46251.971030092594</v>
      </c>
      <c r="J13" s="137">
        <v>46252.346273148149</v>
      </c>
      <c r="K13" s="137">
        <v>46252.969131944446</v>
      </c>
      <c r="L13" s="137">
        <v>46253.351967592593</v>
      </c>
      <c r="M13" s="137">
        <v>1</v>
      </c>
      <c r="N13" s="137">
        <v>46254.342499999999</v>
      </c>
      <c r="O13" s="137">
        <v>46254.989374999997</v>
      </c>
      <c r="P13" s="141" t="s">
        <v>15</v>
      </c>
      <c r="Q13" s="141" t="s">
        <v>15</v>
      </c>
      <c r="R13" s="137">
        <v>46256.350752314815</v>
      </c>
      <c r="S13" s="137">
        <v>46256.987256944441</v>
      </c>
      <c r="T13" s="137">
        <v>46257.347453703704</v>
      </c>
      <c r="U13" s="137">
        <v>46257.967719907407</v>
      </c>
      <c r="V13" s="137">
        <v>46258.344155092593</v>
      </c>
      <c r="W13" s="137">
        <v>46258.964699074073</v>
      </c>
      <c r="X13" s="137">
        <v>46259.347719907404</v>
      </c>
      <c r="Y13" s="137">
        <v>46259.990902777776</v>
      </c>
      <c r="Z13" s="137">
        <v>46260.346608796295</v>
      </c>
      <c r="AA13" s="137">
        <v>46260.979363425926</v>
      </c>
      <c r="AB13" s="137">
        <v>46261.34716435185</v>
      </c>
      <c r="AC13" s="137">
        <v>46261.987210648149</v>
      </c>
      <c r="AD13" s="137">
        <v>46262.579305555555</v>
      </c>
      <c r="AE13" s="137">
        <v>46262.981481481482</v>
      </c>
      <c r="AF13" s="137">
        <v>46263.34957175926</v>
      </c>
      <c r="AG13" s="137">
        <v>46263.984039351853</v>
      </c>
      <c r="AH13" s="137">
        <v>46264.338113425925</v>
      </c>
      <c r="AI13" s="12">
        <v>1</v>
      </c>
      <c r="AJ13" s="12">
        <v>1</v>
      </c>
      <c r="AK13" s="12">
        <v>1</v>
      </c>
      <c r="BY13" s="157"/>
      <c r="BZ13" s="16"/>
    </row>
    <row r="14" spans="1:78" x14ac:dyDescent="0.25">
      <c r="AF14" s="74"/>
      <c r="AG14" s="58"/>
      <c r="AI14"/>
      <c r="AJ14"/>
      <c r="BN14" s="15"/>
    </row>
    <row r="15" spans="1:78" ht="15" customHeight="1" x14ac:dyDescent="0.25">
      <c r="X15" s="213" t="s">
        <v>8</v>
      </c>
      <c r="Y15" s="229" t="s">
        <v>9</v>
      </c>
      <c r="Z15" s="150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BN15" s="15"/>
    </row>
    <row r="16" spans="1:78" x14ac:dyDescent="0.25">
      <c r="C16" s="152" t="s">
        <v>249</v>
      </c>
      <c r="D16" s="248" t="s">
        <v>266</v>
      </c>
      <c r="E16" s="248"/>
      <c r="F16" s="248"/>
      <c r="G16" s="248"/>
      <c r="H16" s="248"/>
      <c r="I16" s="248"/>
      <c r="J16" s="248"/>
      <c r="K16" s="248"/>
      <c r="X16" s="241"/>
      <c r="Y16" s="230"/>
      <c r="Z16" s="62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BN16" s="15"/>
    </row>
    <row r="17" spans="3:69" x14ac:dyDescent="0.25">
      <c r="F17" s="248" t="s">
        <v>268</v>
      </c>
      <c r="G17" s="248"/>
      <c r="H17" s="248"/>
      <c r="I17" s="248"/>
      <c r="J17" s="248"/>
      <c r="K17" s="248"/>
      <c r="L17" s="248"/>
      <c r="M17" s="248"/>
      <c r="X17" s="241"/>
      <c r="Y17" s="149"/>
      <c r="Z17" s="59"/>
      <c r="AA17" s="92" t="s">
        <v>15</v>
      </c>
      <c r="AB17" s="91" t="s">
        <v>16</v>
      </c>
      <c r="AC17" s="91" t="s">
        <v>17</v>
      </c>
      <c r="AD17" s="89" t="s">
        <v>18</v>
      </c>
      <c r="AE17" s="91" t="s">
        <v>19</v>
      </c>
      <c r="AF17" s="91" t="s">
        <v>20</v>
      </c>
      <c r="AG17" s="75" t="s">
        <v>171</v>
      </c>
      <c r="AH17" s="60" t="s">
        <v>22</v>
      </c>
      <c r="AI17" s="77" t="s">
        <v>23</v>
      </c>
      <c r="AJ17" s="77" t="s">
        <v>24</v>
      </c>
      <c r="AK17" s="77" t="s">
        <v>25</v>
      </c>
      <c r="AL17" s="7" t="s">
        <v>26</v>
      </c>
      <c r="BN17" s="15"/>
    </row>
    <row r="18" spans="3:69" x14ac:dyDescent="0.25">
      <c r="C18" s="154" t="s">
        <v>251</v>
      </c>
      <c r="D18" s="153">
        <v>340.03</v>
      </c>
      <c r="E18" s="153"/>
      <c r="F18" s="153" t="s">
        <v>267</v>
      </c>
      <c r="G18" s="153"/>
      <c r="H18" s="169"/>
      <c r="I18" s="169"/>
      <c r="J18" s="169"/>
      <c r="K18" s="169"/>
      <c r="L18" s="169"/>
      <c r="M18" s="169"/>
      <c r="X18" s="99">
        <v>31</v>
      </c>
      <c r="Y18" s="68">
        <v>2</v>
      </c>
      <c r="Z18" s="1">
        <f>COUNT(E6:AH6)/2+COUNT(F13:AI13)/2</f>
        <v>28</v>
      </c>
      <c r="AA18" s="2">
        <f>COUNTIF(E6:BN6,"OFF")/2</f>
        <v>1</v>
      </c>
      <c r="AB18" s="2">
        <f>COUNTIF(E6:BN6,"MC")/2</f>
        <v>0</v>
      </c>
      <c r="AC18" s="2">
        <f>COUNTIF(E6:BN6,"EL")/2</f>
        <v>0</v>
      </c>
      <c r="AD18" s="2">
        <f>COUNTIF(E6:BN6,"AL")/2</f>
        <v>0</v>
      </c>
      <c r="AE18" s="2">
        <f>COUNTIF(E6:BN6,"SUS")/2</f>
        <v>0</v>
      </c>
      <c r="AF18" s="2">
        <f>COUNTIF(E6:BN6,"FL")/2</f>
        <v>0</v>
      </c>
      <c r="AG18" s="2">
        <f>COUNTIF(E6:BN6,"SICK")/2</f>
        <v>0</v>
      </c>
      <c r="AH18" s="2">
        <f>COUNTIF(E6:BN6,"HD")/2</f>
        <v>0</v>
      </c>
      <c r="AI18" s="2">
        <f>COUNTIF(E6:BN6,"AB")/2</f>
        <v>0</v>
      </c>
      <c r="AJ18" s="2">
        <f>COUNTIF(E6:BN6,"NL")/2</f>
        <v>0</v>
      </c>
      <c r="AK18" s="2">
        <f>COUNTIF(E6:BN6,"SP")/2</f>
        <v>0</v>
      </c>
      <c r="AL18" s="3"/>
      <c r="BN18" s="15"/>
      <c r="BQ18"/>
    </row>
    <row r="19" spans="3:69" x14ac:dyDescent="0.25">
      <c r="AF19" s="74"/>
      <c r="AG19" s="66"/>
      <c r="AI19"/>
      <c r="AJ19"/>
      <c r="AQ19" t="s">
        <v>64</v>
      </c>
      <c r="BN19" s="15"/>
      <c r="BQ19"/>
    </row>
    <row r="20" spans="3:69" x14ac:dyDescent="0.25">
      <c r="AJ20" s="66"/>
    </row>
    <row r="21" spans="3:69" x14ac:dyDescent="0.25">
      <c r="X21" s="158" t="s">
        <v>71</v>
      </c>
      <c r="Y21" s="159"/>
      <c r="Z21" s="160"/>
      <c r="AA21" s="161" t="s">
        <v>16</v>
      </c>
      <c r="AB21" s="162"/>
      <c r="AC21" s="163" t="s">
        <v>72</v>
      </c>
      <c r="AD21" s="159"/>
      <c r="AE21" s="164"/>
      <c r="AF21" s="159"/>
      <c r="AG21" s="165" t="s">
        <v>22</v>
      </c>
      <c r="AJ21" s="66"/>
    </row>
    <row r="22" spans="3:69" x14ac:dyDescent="0.25">
      <c r="X22" s="158" t="s">
        <v>73</v>
      </c>
      <c r="Y22" s="162"/>
      <c r="Z22" s="162"/>
      <c r="AA22" s="161" t="s">
        <v>17</v>
      </c>
      <c r="AB22" s="164"/>
      <c r="AC22" s="163" t="s">
        <v>74</v>
      </c>
      <c r="AD22" s="166"/>
      <c r="AE22" s="166"/>
      <c r="AF22" s="167"/>
      <c r="AG22" s="165" t="s">
        <v>23</v>
      </c>
      <c r="AJ22" s="66"/>
    </row>
    <row r="23" spans="3:69" x14ac:dyDescent="0.25">
      <c r="F23" s="169"/>
      <c r="G23" s="169"/>
      <c r="H23" s="169"/>
      <c r="I23" s="169"/>
      <c r="J23" s="169"/>
      <c r="K23" s="169"/>
      <c r="L23" s="169"/>
      <c r="M23" s="169"/>
      <c r="X23" s="158" t="s">
        <v>75</v>
      </c>
      <c r="Y23" s="162"/>
      <c r="Z23" s="162"/>
      <c r="AA23" s="161" t="s">
        <v>18</v>
      </c>
      <c r="AB23" s="164"/>
      <c r="AC23" s="158" t="s">
        <v>76</v>
      </c>
      <c r="AD23" s="168"/>
      <c r="AE23" s="168"/>
      <c r="AF23" s="167"/>
      <c r="AG23" s="165" t="s">
        <v>24</v>
      </c>
      <c r="AJ23" s="66"/>
    </row>
    <row r="24" spans="3:69" x14ac:dyDescent="0.25">
      <c r="F24" s="169"/>
      <c r="G24" s="169"/>
      <c r="H24" s="169"/>
      <c r="I24" s="169"/>
      <c r="J24" s="169"/>
      <c r="K24" s="169"/>
      <c r="L24" s="169"/>
      <c r="M24" s="169"/>
      <c r="X24" s="158" t="s">
        <v>77</v>
      </c>
      <c r="Y24" s="162"/>
      <c r="Z24" s="162"/>
      <c r="AA24" s="161" t="s">
        <v>19</v>
      </c>
      <c r="AB24" s="164"/>
      <c r="AC24" s="158" t="s">
        <v>78</v>
      </c>
      <c r="AD24" s="168"/>
      <c r="AE24" s="168"/>
      <c r="AF24" s="167"/>
      <c r="AG24" s="165" t="s">
        <v>25</v>
      </c>
      <c r="AJ24" s="66"/>
    </row>
    <row r="25" spans="3:69" x14ac:dyDescent="0.25">
      <c r="F25" s="169"/>
      <c r="G25" s="169"/>
      <c r="H25" s="169"/>
      <c r="I25" s="169"/>
      <c r="J25" s="169"/>
      <c r="K25" s="169"/>
      <c r="L25" s="169"/>
      <c r="M25" s="169"/>
      <c r="X25" s="158" t="s">
        <v>79</v>
      </c>
      <c r="Y25" s="162"/>
      <c r="Z25" s="162"/>
      <c r="AA25" s="161" t="s">
        <v>20</v>
      </c>
      <c r="AB25" s="164"/>
      <c r="AC25" s="164"/>
      <c r="AD25" s="164"/>
      <c r="AE25" s="164"/>
      <c r="AF25" s="164"/>
      <c r="AG25" s="164"/>
      <c r="AJ25" s="66"/>
    </row>
    <row r="26" spans="3:69" x14ac:dyDescent="0.25">
      <c r="F26" s="169"/>
      <c r="G26" s="169"/>
      <c r="H26" s="169"/>
      <c r="I26" s="169"/>
      <c r="J26" s="169"/>
      <c r="K26" s="169"/>
      <c r="L26" s="169"/>
      <c r="M26" s="169"/>
      <c r="AJ26" s="66"/>
    </row>
    <row r="27" spans="3:69" ht="15.75" x14ac:dyDescent="0.25">
      <c r="F27" s="169"/>
      <c r="G27" s="17" t="s">
        <v>62</v>
      </c>
      <c r="H27" s="18"/>
      <c r="I27" s="17"/>
      <c r="J27" s="19"/>
      <c r="M27" s="19"/>
      <c r="N27" s="20"/>
      <c r="O27" s="21"/>
      <c r="P27" s="21"/>
      <c r="Q27" s="22" t="s">
        <v>63</v>
      </c>
      <c r="R27" s="22"/>
      <c r="S27" s="20"/>
      <c r="T27" s="20"/>
      <c r="U27" s="20"/>
      <c r="V27" s="20"/>
      <c r="W27" s="20" t="s">
        <v>64</v>
      </c>
      <c r="X27" s="20"/>
      <c r="Y27" s="20"/>
      <c r="Z27" s="20"/>
      <c r="AA27" s="22" t="s">
        <v>65</v>
      </c>
      <c r="AB27" s="20"/>
      <c r="AJ27" s="66"/>
    </row>
    <row r="28" spans="3:69" ht="17.25" x14ac:dyDescent="0.25">
      <c r="F28" s="169"/>
      <c r="G28" s="19"/>
      <c r="H28" s="19"/>
      <c r="I28" s="19"/>
      <c r="J28" s="19"/>
      <c r="M28" s="19"/>
      <c r="N28" s="19"/>
      <c r="O28" s="24"/>
      <c r="P28" s="24"/>
      <c r="Q28" s="24"/>
      <c r="R28" s="19"/>
      <c r="S28" s="19"/>
      <c r="T28" s="19"/>
      <c r="U28" s="25"/>
      <c r="V28" s="25"/>
      <c r="W28" s="25"/>
      <c r="X28" s="25"/>
      <c r="Y28" s="25"/>
      <c r="Z28" s="25"/>
      <c r="AA28" s="26"/>
      <c r="AB28" s="26"/>
      <c r="AJ28" s="66"/>
    </row>
    <row r="29" spans="3:69" ht="17.25" x14ac:dyDescent="0.25">
      <c r="F29" s="169"/>
      <c r="G29" s="27"/>
      <c r="H29" s="19"/>
      <c r="I29" s="27"/>
      <c r="J29" s="19"/>
      <c r="M29" s="19"/>
      <c r="N29" s="27" t="s">
        <v>64</v>
      </c>
      <c r="O29" s="28"/>
      <c r="P29" s="28"/>
      <c r="Q29" s="24"/>
      <c r="R29" s="19"/>
      <c r="S29" s="27"/>
      <c r="T29" s="27"/>
      <c r="U29" s="20"/>
      <c r="V29" s="19"/>
      <c r="W29" s="19"/>
      <c r="X29" s="19"/>
      <c r="Y29" s="19"/>
      <c r="Z29" s="19"/>
      <c r="AA29" s="29"/>
      <c r="AB29" s="29"/>
      <c r="AJ29" s="66"/>
    </row>
    <row r="30" spans="3:69" ht="17.25" x14ac:dyDescent="0.25">
      <c r="G30" s="27"/>
      <c r="H30" s="19"/>
      <c r="I30" s="27"/>
      <c r="J30" s="19"/>
      <c r="M30" s="19"/>
      <c r="N30" s="27"/>
      <c r="O30" s="28"/>
      <c r="P30" s="28"/>
      <c r="Q30" s="24"/>
      <c r="R30" s="20"/>
      <c r="S30" s="27"/>
      <c r="T30" s="27"/>
      <c r="U30" s="20"/>
      <c r="V30" s="19"/>
      <c r="W30" s="19"/>
      <c r="X30" s="19"/>
      <c r="Y30" s="19"/>
      <c r="Z30" s="19"/>
      <c r="AA30" s="29"/>
      <c r="AB30" s="29"/>
      <c r="AJ30" s="66"/>
    </row>
    <row r="31" spans="3:69" ht="17.25" x14ac:dyDescent="0.25">
      <c r="G31" s="155"/>
      <c r="H31" s="156" t="s">
        <v>269</v>
      </c>
      <c r="I31" s="19"/>
      <c r="J31" s="19"/>
      <c r="M31" s="19"/>
      <c r="N31" s="27"/>
      <c r="O31" s="24"/>
      <c r="P31" s="28"/>
      <c r="Q31" s="18" t="s">
        <v>66</v>
      </c>
      <c r="R31" s="19"/>
      <c r="S31" s="27"/>
      <c r="T31" s="20"/>
      <c r="U31" s="19"/>
      <c r="V31" s="19"/>
      <c r="W31" s="19"/>
      <c r="X31" s="19"/>
      <c r="Y31" s="19"/>
      <c r="Z31" s="19"/>
      <c r="AA31" s="18" t="s">
        <v>67</v>
      </c>
      <c r="AB31" s="29"/>
    </row>
    <row r="32" spans="3:69" ht="17.25" x14ac:dyDescent="0.25">
      <c r="F32" s="16"/>
      <c r="G32" s="31" t="s">
        <v>68</v>
      </c>
      <c r="H32" s="30"/>
      <c r="I32" s="30"/>
      <c r="J32" s="19"/>
      <c r="M32" s="19"/>
      <c r="N32" s="18"/>
      <c r="O32" s="33"/>
      <c r="P32" s="33"/>
      <c r="Q32" s="18" t="s">
        <v>69</v>
      </c>
      <c r="R32" s="18"/>
      <c r="S32" s="18"/>
      <c r="T32" s="20"/>
      <c r="U32" s="18"/>
      <c r="V32" s="19"/>
      <c r="W32" s="19"/>
      <c r="X32" s="19"/>
      <c r="Y32" s="19"/>
      <c r="Z32" s="19"/>
      <c r="AA32" s="18" t="s">
        <v>70</v>
      </c>
      <c r="AB32" s="29"/>
    </row>
    <row r="33" spans="6:81" ht="15.75" x14ac:dyDescent="0.25">
      <c r="F33" s="23"/>
    </row>
    <row r="34" spans="6:81" ht="15.75" x14ac:dyDescent="0.25">
      <c r="F34" s="23"/>
      <c r="BT34" s="38"/>
      <c r="BU34" s="38"/>
      <c r="BV34" s="38"/>
      <c r="BW34" s="38"/>
      <c r="BX34" s="38"/>
      <c r="BY34" s="38"/>
      <c r="BZ34" s="38"/>
      <c r="CA34" s="38"/>
      <c r="CB34" s="38"/>
      <c r="CC34" s="38"/>
    </row>
    <row r="35" spans="6:81" ht="15.75" x14ac:dyDescent="0.25">
      <c r="F35" s="30"/>
    </row>
    <row r="36" spans="6:81" ht="15.75" x14ac:dyDescent="0.25">
      <c r="F36" s="31"/>
    </row>
    <row r="37" spans="6:81" ht="15.75" x14ac:dyDescent="0.25">
      <c r="F37" s="31"/>
    </row>
  </sheetData>
  <mergeCells count="68">
    <mergeCell ref="AJ10:AK10"/>
    <mergeCell ref="AG4:AH4"/>
    <mergeCell ref="F11:G11"/>
    <mergeCell ref="H11:I11"/>
    <mergeCell ref="J11:K11"/>
    <mergeCell ref="Q4:R4"/>
    <mergeCell ref="S4:T4"/>
    <mergeCell ref="U4:V4"/>
    <mergeCell ref="W4:X4"/>
    <mergeCell ref="Y4:Z4"/>
    <mergeCell ref="AA4:AB4"/>
    <mergeCell ref="AJ11:AK11"/>
    <mergeCell ref="X11:Y11"/>
    <mergeCell ref="Z11:AA11"/>
    <mergeCell ref="AH11:AI11"/>
    <mergeCell ref="L11:M11"/>
    <mergeCell ref="R11:S11"/>
    <mergeCell ref="T11:U11"/>
    <mergeCell ref="V11:W11"/>
    <mergeCell ref="X10:Y10"/>
    <mergeCell ref="Y15:Y16"/>
    <mergeCell ref="R10:S10"/>
    <mergeCell ref="T10:U10"/>
    <mergeCell ref="V10:W10"/>
    <mergeCell ref="O4:P4"/>
    <mergeCell ref="D16:K16"/>
    <mergeCell ref="F17:M17"/>
    <mergeCell ref="N11:O11"/>
    <mergeCell ref="P11:Q11"/>
    <mergeCell ref="E4:F4"/>
    <mergeCell ref="G4:H4"/>
    <mergeCell ref="I4:J4"/>
    <mergeCell ref="K4:L4"/>
    <mergeCell ref="M4:N4"/>
    <mergeCell ref="P10:Q10"/>
    <mergeCell ref="F10:G10"/>
    <mergeCell ref="H10:I10"/>
    <mergeCell ref="J10:K10"/>
    <mergeCell ref="L10:M10"/>
    <mergeCell ref="N10:O10"/>
    <mergeCell ref="AB10:AC10"/>
    <mergeCell ref="AD10:AE10"/>
    <mergeCell ref="AH10:AI10"/>
    <mergeCell ref="AC3:AD3"/>
    <mergeCell ref="X15:X17"/>
    <mergeCell ref="AC4:AD4"/>
    <mergeCell ref="AE4:AF4"/>
    <mergeCell ref="AB11:AC11"/>
    <mergeCell ref="AD11:AE11"/>
    <mergeCell ref="AF11:AG11"/>
    <mergeCell ref="AF10:AG10"/>
    <mergeCell ref="Z10:AA10"/>
    <mergeCell ref="A2:AH2"/>
    <mergeCell ref="A3:C4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E3:AF3"/>
    <mergeCell ref="AG3:AH3"/>
  </mergeCells>
  <conditionalFormatting sqref="A5:AH5 A6 E12:AK12 X15:X18">
    <cfRule type="containsText" dxfId="334" priority="25" stopIfTrue="1" operator="containsText" text="AB">
      <formula>NOT(ISERROR(SEARCH("AB",A5)))</formula>
    </cfRule>
    <cfRule type="containsText" dxfId="333" priority="24" stopIfTrue="1" operator="containsText" text="EL">
      <formula>NOT(ISERROR(SEARCH("EL",A5)))</formula>
    </cfRule>
    <cfRule type="containsText" dxfId="332" priority="23" stopIfTrue="1" operator="containsText" text="AL">
      <formula>NOT(ISERROR(SEARCH("AL",A5)))</formula>
    </cfRule>
    <cfRule type="containsText" dxfId="331" priority="22" stopIfTrue="1" operator="containsText" text="SP">
      <formula>NOT(ISERROR(SEARCH("SP",A5)))</formula>
    </cfRule>
    <cfRule type="containsText" dxfId="330" priority="27" stopIfTrue="1" operator="containsText" text="SICK">
      <formula>NOT(ISERROR(SEARCH("SICK",A5)))</formula>
    </cfRule>
    <cfRule type="containsText" dxfId="329" priority="26" stopIfTrue="1" operator="containsText" text="FL">
      <formula>NOT(ISERROR(SEARCH("FL",A5)))</formula>
    </cfRule>
  </conditionalFormatting>
  <conditionalFormatting sqref="A1:BQ1 A2:AI2 A3:D4 AI3:AI7 E10:E11">
    <cfRule type="containsText" dxfId="328" priority="297" stopIfTrue="1" operator="containsText" text="FL">
      <formula>NOT(ISERROR(SEARCH("FL",A1)))</formula>
    </cfRule>
    <cfRule type="containsText" dxfId="327" priority="296" stopIfTrue="1" operator="containsText" text="AB">
      <formula>NOT(ISERROR(SEARCH("AB",A1)))</formula>
    </cfRule>
    <cfRule type="containsText" dxfId="326" priority="295" stopIfTrue="1" operator="containsText" text="EL">
      <formula>NOT(ISERROR(SEARCH("EL",A1)))</formula>
    </cfRule>
    <cfRule type="containsText" dxfId="325" priority="294" stopIfTrue="1" operator="containsText" text="AL">
      <formula>NOT(ISERROR(SEARCH("AL",A1)))</formula>
    </cfRule>
    <cfRule type="containsText" dxfId="324" priority="293" stopIfTrue="1" operator="containsText" text="SP">
      <formula>NOT(ISERROR(SEARCH("SP",A1)))</formula>
    </cfRule>
    <cfRule type="containsText" dxfId="323" priority="298" stopIfTrue="1" operator="containsText" text="SICK">
      <formula>NOT(ISERROR(SEARCH("SICK",A1)))</formula>
    </cfRule>
  </conditionalFormatting>
  <conditionalFormatting sqref="C6">
    <cfRule type="duplicateValues" dxfId="322" priority="30"/>
    <cfRule type="duplicateValues" dxfId="321" priority="31"/>
    <cfRule type="duplicateValues" dxfId="320" priority="29"/>
  </conditionalFormatting>
  <conditionalFormatting sqref="C31:C33">
    <cfRule type="duplicateValues" dxfId="319" priority="14238"/>
  </conditionalFormatting>
  <conditionalFormatting sqref="C31:C38">
    <cfRule type="duplicateValues" dxfId="318" priority="14235"/>
  </conditionalFormatting>
  <conditionalFormatting sqref="C31:C1048576 C1:C5 C7:C9">
    <cfRule type="duplicateValues" dxfId="317" priority="14224"/>
  </conditionalFormatting>
  <conditionalFormatting sqref="C31:C1048576 C1:C5">
    <cfRule type="duplicateValues" dxfId="316" priority="14244"/>
  </conditionalFormatting>
  <conditionalFormatting sqref="C1:D5 C31:D1048576 C7:D9">
    <cfRule type="duplicateValues" dxfId="315" priority="14248"/>
  </conditionalFormatting>
  <conditionalFormatting sqref="C6:D6">
    <cfRule type="duplicateValues" dxfId="314" priority="28"/>
  </conditionalFormatting>
  <conditionalFormatting sqref="D6">
    <cfRule type="timePeriod" priority="20" timePeriod="nextWeek">
      <formula>AND(ROUNDDOWN(D6,0)-TODAY()&gt;(7-WEEKDAY(TODAY())),ROUNDDOWN(D6,0)-TODAY()&lt;(15-WEEKDAY(TODAY())))</formula>
    </cfRule>
    <cfRule type="timePeriod" dxfId="313" priority="21" timePeriod="nextWeek">
      <formula>AND(ROUNDDOWN(D6,0)-TODAY()&gt;(7-WEEKDAY(TODAY())),ROUNDDOWN(D6,0)-TODAY()&lt;(15-WEEKDAY(TODAY())))</formula>
    </cfRule>
  </conditionalFormatting>
  <conditionalFormatting sqref="E13">
    <cfRule type="containsText" dxfId="312" priority="16" operator="containsText" text="AB">
      <formula>NOT(ISERROR(SEARCH("AB",E13)))</formula>
    </cfRule>
    <cfRule type="containsText" dxfId="311" priority="15" operator="containsText" text="MC">
      <formula>NOT(ISERROR(SEARCH("MC",E13)))</formula>
    </cfRule>
    <cfRule type="containsText" dxfId="310" priority="14" operator="containsText" text="FL">
      <formula>NOT(ISERROR(SEARCH("FL",E13)))</formula>
    </cfRule>
    <cfRule type="containsText" dxfId="309" priority="13" operator="containsText" text="SUS">
      <formula>NOT(ISERROR(SEARCH("SUS",E13)))</formula>
    </cfRule>
    <cfRule type="containsText" dxfId="308" priority="12" operator="containsText" text="NL">
      <formula>NOT(ISERROR(SEARCH("NL",E13)))</formula>
    </cfRule>
    <cfRule type="containsText" dxfId="307" priority="11" operator="containsText" text="SP">
      <formula>NOT(ISERROR(SEARCH("SP",E13)))</formula>
    </cfRule>
    <cfRule type="containsText" dxfId="306" priority="18" operator="containsText" text="OFF">
      <formula>NOT(ISERROR(SEARCH("OFF",E13)))</formula>
    </cfRule>
    <cfRule type="containsText" dxfId="305" priority="19" operator="containsText" text="AL">
      <formula>NOT(ISERROR(SEARCH("AL",E13)))</formula>
    </cfRule>
    <cfRule type="containsText" dxfId="304" priority="10" operator="containsText" text="EL">
      <formula>NOT(ISERROR(SEARCH("EL",E13)))</formula>
    </cfRule>
    <cfRule type="containsText" dxfId="303" priority="17" operator="containsText" text="Sick">
      <formula>NOT(ISERROR(SEARCH("Sick",E13)))</formula>
    </cfRule>
  </conditionalFormatting>
  <conditionalFormatting sqref="M27:AB30">
    <cfRule type="containsText" priority="302" stopIfTrue="1" operator="containsText" text="SP">
      <formula>NOT(ISERROR(SEARCH("SP",M27)))</formula>
    </cfRule>
    <cfRule type="containsText" dxfId="302" priority="303" stopIfTrue="1" operator="containsText" text="SICK">
      <formula>NOT(ISERROR(SEARCH("SICK",M27)))</formula>
    </cfRule>
    <cfRule type="containsText" dxfId="301" priority="301" stopIfTrue="1" operator="containsText" text="SP">
      <formula>NOT(ISERROR(SEARCH("SP",M27)))</formula>
    </cfRule>
    <cfRule type="containsText" dxfId="300" priority="299" stopIfTrue="1" operator="containsText" text="AB">
      <formula>NOT(ISERROR(SEARCH("AB",M27)))</formula>
    </cfRule>
    <cfRule type="containsText" dxfId="299" priority="300" stopIfTrue="1" operator="containsText" text="SICK">
      <formula>NOT(ISERROR(SEARCH("SICK",M27)))</formula>
    </cfRule>
  </conditionalFormatting>
  <conditionalFormatting sqref="Y15">
    <cfRule type="cellIs" dxfId="298" priority="313" operator="equal">
      <formula>";"</formula>
    </cfRule>
  </conditionalFormatting>
  <conditionalFormatting sqref="Y18">
    <cfRule type="cellIs" dxfId="297" priority="314" stopIfTrue="1" operator="equal">
      <formula>";"</formula>
    </cfRule>
  </conditionalFormatting>
  <conditionalFormatting sqref="Z13:AA13">
    <cfRule type="containsText" dxfId="296" priority="2" operator="containsText" text="AB">
      <formula>NOT(ISERROR(SEARCH("AB",Z13)))</formula>
    </cfRule>
    <cfRule type="containsText" dxfId="295" priority="3" operator="containsText" text="SUS">
      <formula>NOT(ISERROR(SEARCH("SUS",Z13)))</formula>
    </cfRule>
    <cfRule type="containsText" dxfId="294" priority="4" operator="containsText" text="FL">
      <formula>NOT(ISERROR(SEARCH("FL",Z13)))</formula>
    </cfRule>
    <cfRule type="containsText" dxfId="293" priority="5" operator="containsText" text="MC">
      <formula>NOT(ISERROR(SEARCH("MC",Z13)))</formula>
    </cfRule>
    <cfRule type="containsText" dxfId="292" priority="6" operator="containsText" text="AB">
      <formula>NOT(ISERROR(SEARCH("AB",Z13)))</formula>
    </cfRule>
    <cfRule type="containsText" dxfId="291" priority="7" operator="containsText" text="Sick">
      <formula>NOT(ISERROR(SEARCH("Sick",Z13)))</formula>
    </cfRule>
    <cfRule type="containsText" dxfId="290" priority="8" operator="containsText" text="OFF">
      <formula>NOT(ISERROR(SEARCH("OFF",Z13)))</formula>
    </cfRule>
    <cfRule type="containsText" dxfId="289" priority="9" operator="containsText" text="AL">
      <formula>NOT(ISERROR(SEARCH("AL",Z13)))</formula>
    </cfRule>
    <cfRule type="containsText" dxfId="288" priority="1" operator="containsText" text="EL">
      <formula>NOT(ISERROR(SEARCH("EL",Z13)))</formula>
    </cfRule>
  </conditionalFormatting>
  <conditionalFormatting sqref="AA17">
    <cfRule type="containsText" dxfId="287" priority="254" operator="containsText" text="FL">
      <formula>NOT(ISERROR(SEARCH("FL",AA17)))</formula>
    </cfRule>
    <cfRule type="containsText" dxfId="286" priority="255" operator="containsText" text="MC">
      <formula>NOT(ISERROR(SEARCH("MC",AA17)))</formula>
    </cfRule>
    <cfRule type="containsText" dxfId="285" priority="256" operator="containsText" text="AB">
      <formula>NOT(ISERROR(SEARCH("AB",AA17)))</formula>
    </cfRule>
    <cfRule type="containsText" dxfId="284" priority="257" operator="containsText" text="Sick">
      <formula>NOT(ISERROR(SEARCH("Sick",AA17)))</formula>
    </cfRule>
    <cfRule type="containsText" dxfId="283" priority="258" operator="containsText" text="OFF">
      <formula>NOT(ISERROR(SEARCH("OFF",AA17)))</formula>
    </cfRule>
    <cfRule type="containsText" dxfId="282" priority="259" operator="containsText" text="AL">
      <formula>NOT(ISERROR(SEARCH("AL",AA17)))</formula>
    </cfRule>
    <cfRule type="containsText" dxfId="281" priority="253" operator="containsText" text="SUS">
      <formula>NOT(ISERROR(SEARCH("SUS",AA17)))</formula>
    </cfRule>
  </conditionalFormatting>
  <conditionalFormatting sqref="AA17:AB17">
    <cfRule type="containsText" dxfId="280" priority="214" operator="containsText" text="AB">
      <formula>NOT(ISERROR(SEARCH("AB",AA17)))</formula>
    </cfRule>
  </conditionalFormatting>
  <conditionalFormatting sqref="AA17:AF17">
    <cfRule type="containsText" dxfId="279" priority="202" operator="containsText" text="EL">
      <formula>NOT(ISERROR(SEARCH("EL",AA17)))</formula>
    </cfRule>
  </conditionalFormatting>
  <conditionalFormatting sqref="AB17">
    <cfRule type="containsText" dxfId="278" priority="211" operator="containsText" text="SUS">
      <formula>NOT(ISERROR(SEARCH("SUS",AB17)))</formula>
    </cfRule>
    <cfRule type="containsText" dxfId="277" priority="212" operator="containsText" text="FL">
      <formula>NOT(ISERROR(SEARCH("FL",AB17)))</formula>
    </cfRule>
    <cfRule type="containsText" dxfId="276" priority="215" operator="containsText" text="Sick">
      <formula>NOT(ISERROR(SEARCH("Sick",AB17)))</formula>
    </cfRule>
    <cfRule type="containsText" dxfId="275" priority="216" operator="containsText" text="OFF">
      <formula>NOT(ISERROR(SEARCH("OFF",AB17)))</formula>
    </cfRule>
    <cfRule type="containsText" dxfId="274" priority="217" operator="containsText" text="AL">
      <formula>NOT(ISERROR(SEARCH("AL",AB17)))</formula>
    </cfRule>
    <cfRule type="containsText" dxfId="273" priority="213" operator="containsText" text="MC">
      <formula>NOT(ISERROR(SEARCH("MC",AB17)))</formula>
    </cfRule>
  </conditionalFormatting>
  <conditionalFormatting sqref="AB17:AC17">
    <cfRule type="containsText" dxfId="272" priority="207" operator="containsText" text="AB">
      <formula>NOT(ISERROR(SEARCH("AB",AB17)))</formula>
    </cfRule>
  </conditionalFormatting>
  <conditionalFormatting sqref="AC17">
    <cfRule type="containsText" dxfId="271" priority="203" operator="containsText" text="AB">
      <formula>NOT(ISERROR(SEARCH("AB",AC17)))</formula>
    </cfRule>
    <cfRule type="containsText" dxfId="270" priority="210" operator="containsText" text="AL">
      <formula>NOT(ISERROR(SEARCH("AL",AC17)))</formula>
    </cfRule>
    <cfRule type="containsText" dxfId="269" priority="209" operator="containsText" text="OFF">
      <formula>NOT(ISERROR(SEARCH("OFF",AC17)))</formula>
    </cfRule>
    <cfRule type="containsText" dxfId="268" priority="208" operator="containsText" text="Sick">
      <formula>NOT(ISERROR(SEARCH("Sick",AC17)))</formula>
    </cfRule>
    <cfRule type="containsText" dxfId="267" priority="206" operator="containsText" text="MC">
      <formula>NOT(ISERROR(SEARCH("MC",AC17)))</formula>
    </cfRule>
    <cfRule type="containsText" dxfId="266" priority="205" operator="containsText" text="FL">
      <formula>NOT(ISERROR(SEARCH("FL",AC17)))</formula>
    </cfRule>
    <cfRule type="containsText" dxfId="265" priority="204" operator="containsText" text="SUS">
      <formula>NOT(ISERROR(SEARCH("SUS",AC17)))</formula>
    </cfRule>
  </conditionalFormatting>
  <conditionalFormatting sqref="AD17">
    <cfRule type="containsText" dxfId="264" priority="266" operator="containsText" text="AL">
      <formula>NOT(ISERROR(SEARCH("AL",AD17)))</formula>
    </cfRule>
    <cfRule type="containsText" dxfId="263" priority="265" operator="containsText" text="OFF">
      <formula>NOT(ISERROR(SEARCH("OFF",AD17)))</formula>
    </cfRule>
    <cfRule type="containsText" dxfId="262" priority="264" operator="containsText" text="Sick">
      <formula>NOT(ISERROR(SEARCH("Sick",AD17)))</formula>
    </cfRule>
    <cfRule type="containsText" dxfId="261" priority="263" operator="containsText" text="AB">
      <formula>NOT(ISERROR(SEARCH("AB",AD17)))</formula>
    </cfRule>
    <cfRule type="containsText" dxfId="260" priority="262" operator="containsText" text="MC">
      <formula>NOT(ISERROR(SEARCH("MC",AD17)))</formula>
    </cfRule>
    <cfRule type="containsText" dxfId="259" priority="261" operator="containsText" text="FL">
      <formula>NOT(ISERROR(SEARCH("FL",AD17)))</formula>
    </cfRule>
    <cfRule type="containsText" dxfId="258" priority="260" operator="containsText" text="SUS">
      <formula>NOT(ISERROR(SEARCH("SUS",AD17)))</formula>
    </cfRule>
  </conditionalFormatting>
  <conditionalFormatting sqref="AD17:AF17">
    <cfRule type="containsText" dxfId="257" priority="222" operator="containsText" text="AB">
      <formula>NOT(ISERROR(SEARCH("AB",AD17)))</formula>
    </cfRule>
  </conditionalFormatting>
  <conditionalFormatting sqref="AE17">
    <cfRule type="containsText" dxfId="256" priority="219" operator="containsText" text="SUS">
      <formula>NOT(ISERROR(SEARCH("SUS",AE17)))</formula>
    </cfRule>
    <cfRule type="containsText" dxfId="255" priority="225" operator="containsText" text="AL">
      <formula>NOT(ISERROR(SEARCH("AL",AE17)))</formula>
    </cfRule>
    <cfRule type="containsText" dxfId="254" priority="224" operator="containsText" text="OFF">
      <formula>NOT(ISERROR(SEARCH("OFF",AE17)))</formula>
    </cfRule>
    <cfRule type="containsText" dxfId="253" priority="218" operator="containsText" text="AB">
      <formula>NOT(ISERROR(SEARCH("AB",AE17)))</formula>
    </cfRule>
    <cfRule type="containsText" dxfId="252" priority="223" operator="containsText" text="Sick">
      <formula>NOT(ISERROR(SEARCH("Sick",AE17)))</formula>
    </cfRule>
    <cfRule type="containsText" dxfId="251" priority="221" operator="containsText" text="MC">
      <formula>NOT(ISERROR(SEARCH("MC",AE17)))</formula>
    </cfRule>
    <cfRule type="containsText" dxfId="250" priority="220" operator="containsText" text="FL">
      <formula>NOT(ISERROR(SEARCH("FL",AE17)))</formula>
    </cfRule>
  </conditionalFormatting>
  <conditionalFormatting sqref="AF17">
    <cfRule type="containsText" dxfId="249" priority="231" operator="containsText" text="OFF">
      <formula>NOT(ISERROR(SEARCH("OFF",AF17)))</formula>
    </cfRule>
    <cfRule type="containsText" dxfId="248" priority="228" operator="containsText" text="MC">
      <formula>NOT(ISERROR(SEARCH("MC",AF17)))</formula>
    </cfRule>
    <cfRule type="containsText" dxfId="247" priority="227" operator="containsText" text="FL">
      <formula>NOT(ISERROR(SEARCH("FL",AF17)))</formula>
    </cfRule>
    <cfRule type="containsText" dxfId="246" priority="230" operator="containsText" text="Sick">
      <formula>NOT(ISERROR(SEARCH("Sick",AF17)))</formula>
    </cfRule>
    <cfRule type="containsText" dxfId="245" priority="226" operator="containsText" text="SUS">
      <formula>NOT(ISERROR(SEARCH("SUS",AF17)))</formula>
    </cfRule>
    <cfRule type="containsText" dxfId="244" priority="229" operator="containsText" text="AB">
      <formula>NOT(ISERROR(SEARCH("AB",AF17)))</formula>
    </cfRule>
    <cfRule type="containsText" dxfId="243" priority="232" operator="containsText" text="AL">
      <formula>NOT(ISERROR(SEARCH("AL",AF17)))</formula>
    </cfRule>
  </conditionalFormatting>
  <conditionalFormatting sqref="AG17">
    <cfRule type="containsText" dxfId="242" priority="251" operator="containsText" text="SICK">
      <formula>NOT(ISERROR(SEARCH("SICK",AG17)))</formula>
    </cfRule>
    <cfRule type="containsText" dxfId="241" priority="252" operator="containsText" text="AL">
      <formula>NOT(ISERROR(SEARCH("AL",AG17)))</formula>
    </cfRule>
    <cfRule type="containsText" dxfId="240" priority="249" operator="containsText" text="OFF">
      <formula>NOT(ISERROR(SEARCH("OFF",AG17)))</formula>
    </cfRule>
    <cfRule type="containsText" dxfId="239" priority="248" operator="containsText" text="MC">
      <formula>NOT(ISERROR(SEARCH("MC",AG17)))</formula>
    </cfRule>
    <cfRule type="containsText" dxfId="238" priority="247" operator="containsText" text="EL">
      <formula>NOT(ISERROR(SEARCH("EL",AG17)))</formula>
    </cfRule>
    <cfRule type="containsText" dxfId="237" priority="246" operator="containsText" text="FL">
      <formula>NOT(ISERROR(SEARCH("FL",AG17)))</formula>
    </cfRule>
    <cfRule type="containsText" dxfId="236" priority="245" operator="containsText" text="SUS">
      <formula>NOT(ISERROR(SEARCH("SUS",AG17)))</formula>
    </cfRule>
    <cfRule type="containsText" dxfId="235" priority="244" operator="containsText" text="NL">
      <formula>NOT(ISERROR(SEARCH("NL",AG17)))</formula>
    </cfRule>
    <cfRule type="containsText" dxfId="234" priority="250" operator="containsText" text="AB">
      <formula>NOT(ISERROR(SEARCH("AB",AG17)))</formula>
    </cfRule>
    <cfRule type="containsText" dxfId="233" priority="243" operator="containsText" text="SP">
      <formula>NOT(ISERROR(SEARCH("SP",AG17)))</formula>
    </cfRule>
  </conditionalFormatting>
  <conditionalFormatting sqref="AG19 AJ20:AJ30">
    <cfRule type="containsText" dxfId="232" priority="304" stopIfTrue="1" operator="containsText" text="SICK">
      <formula>NOT(ISERROR(SEARCH("SICK",AG19)))</formula>
    </cfRule>
    <cfRule type="containsText" dxfId="231" priority="306" stopIfTrue="1" operator="containsText" text="SP">
      <formula>NOT(ISERROR(SEARCH("SP",AG19)))</formula>
    </cfRule>
    <cfRule type="containsText" dxfId="230" priority="308" stopIfTrue="1" operator="containsText" text="AB">
      <formula>NOT(ISERROR(SEARCH("AB",AG19)))</formula>
    </cfRule>
    <cfRule type="containsText" dxfId="229" priority="309" stopIfTrue="1" operator="containsText" text="HD">
      <formula>NOT(ISERROR(SEARCH("HD",AG19)))</formula>
    </cfRule>
    <cfRule type="containsText" dxfId="228" priority="310" stopIfTrue="1" operator="containsText" text="AB">
      <formula>NOT(ISERROR(SEARCH("AB",AG19)))</formula>
    </cfRule>
    <cfRule type="containsText" priority="307" stopIfTrue="1" operator="containsText" text="SP">
      <formula>NOT(ISERROR(SEARCH("SP",AG19)))</formula>
    </cfRule>
  </conditionalFormatting>
  <conditionalFormatting sqref="AI17:AK17">
    <cfRule type="containsText" dxfId="227" priority="237" operator="containsText" text="EL">
      <formula>NOT(ISERROR(SEARCH("EL",AI17)))</formula>
    </cfRule>
    <cfRule type="containsText" dxfId="226" priority="236" operator="containsText" text="FL">
      <formula>NOT(ISERROR(SEARCH("FL",AI17)))</formula>
    </cfRule>
    <cfRule type="containsText" dxfId="225" priority="233" operator="containsText" text="SP">
      <formula>NOT(ISERROR(SEARCH("SP",AI17)))</formula>
    </cfRule>
    <cfRule type="containsText" dxfId="224" priority="234" operator="containsText" text="NL">
      <formula>NOT(ISERROR(SEARCH("NL",AI17)))</formula>
    </cfRule>
    <cfRule type="containsText" dxfId="223" priority="235" operator="containsText" text="SUS">
      <formula>NOT(ISERROR(SEARCH("SUS",AI17)))</formula>
    </cfRule>
    <cfRule type="containsText" dxfId="222" priority="240" operator="containsText" text="AB">
      <formula>NOT(ISERROR(SEARCH("AB",AI17)))</formula>
    </cfRule>
    <cfRule type="containsText" dxfId="221" priority="242" operator="containsText" text="AL">
      <formula>NOT(ISERROR(SEARCH("AL",AI17)))</formula>
    </cfRule>
    <cfRule type="containsText" dxfId="220" priority="241" operator="containsText" text="SICK">
      <formula>NOT(ISERROR(SEARCH("SICK",AI17)))</formula>
    </cfRule>
    <cfRule type="containsText" dxfId="219" priority="239" operator="containsText" text="OFF">
      <formula>NOT(ISERROR(SEARCH("OFF",AI17)))</formula>
    </cfRule>
    <cfRule type="containsText" dxfId="218" priority="238" operator="containsText" text="MC">
      <formula>NOT(ISERROR(SEARCH("MC",AI17)))</formula>
    </cfRule>
  </conditionalFormatting>
  <pageMargins left="0.7" right="0.7" top="0.75" bottom="0.75" header="0.3" footer="0.3"/>
  <pageSetup paperSize="9" scale="42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1C431-F177-45A2-8C21-E096A798CEA3}">
  <sheetPr>
    <pageSetUpPr fitToPage="1"/>
  </sheetPr>
  <dimension ref="A1:CC40"/>
  <sheetViews>
    <sheetView zoomScaleNormal="100" workbookViewId="0">
      <selection activeCell="S19" sqref="S19"/>
    </sheetView>
  </sheetViews>
  <sheetFormatPr defaultRowHeight="15" x14ac:dyDescent="0.25"/>
  <cols>
    <col min="1" max="1" width="5.140625" style="46" customWidth="1"/>
    <col min="2" max="2" width="12" style="15" customWidth="1"/>
    <col min="3" max="3" width="33.7109375" customWidth="1"/>
    <col min="4" max="4" width="10" hidden="1" customWidth="1"/>
    <col min="5" max="32" width="6.5703125" customWidth="1"/>
    <col min="33" max="34" width="6.28515625" customWidth="1"/>
    <col min="35" max="35" width="6.28515625" style="74" customWidth="1"/>
    <col min="36" max="36" width="6.28515625" style="58" customWidth="1"/>
    <col min="37" max="37" width="6.28515625" customWidth="1"/>
    <col min="38" max="38" width="19.140625" customWidth="1"/>
    <col min="39" max="68" width="6.5703125" customWidth="1"/>
    <col min="69" max="69" width="5.85546875" style="15" customWidth="1"/>
    <col min="70" max="77" width="5" customWidth="1"/>
    <col min="78" max="78" width="5.85546875" customWidth="1"/>
    <col min="79" max="82" width="5" customWidth="1"/>
  </cols>
  <sheetData>
    <row r="1" spans="1:78" ht="15.75" x14ac:dyDescent="0.25"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34"/>
      <c r="Y1" s="34"/>
    </row>
    <row r="2" spans="1:78" ht="25.5" customHeight="1" x14ac:dyDescent="0.25">
      <c r="A2" s="238" t="s">
        <v>290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  <c r="AA2" s="239"/>
      <c r="AB2" s="239"/>
      <c r="AC2" s="239"/>
      <c r="AD2" s="239"/>
      <c r="AE2" s="239"/>
      <c r="AF2" s="239"/>
      <c r="AG2" s="239"/>
      <c r="AH2" s="240"/>
      <c r="AI2" s="112"/>
    </row>
    <row r="3" spans="1:78" ht="22.5" customHeight="1" x14ac:dyDescent="0.25">
      <c r="A3" s="231" t="s">
        <v>170</v>
      </c>
      <c r="B3" s="232"/>
      <c r="C3" s="233"/>
      <c r="D3" s="85"/>
      <c r="E3" s="205" t="s">
        <v>4</v>
      </c>
      <c r="F3" s="205"/>
      <c r="G3" s="205" t="s">
        <v>5</v>
      </c>
      <c r="H3" s="205"/>
      <c r="I3" s="205" t="s">
        <v>6</v>
      </c>
      <c r="J3" s="205"/>
      <c r="K3" s="205" t="s">
        <v>7</v>
      </c>
      <c r="L3" s="205"/>
      <c r="M3" s="205" t="s">
        <v>1</v>
      </c>
      <c r="N3" s="205"/>
      <c r="O3" s="205" t="s">
        <v>2</v>
      </c>
      <c r="P3" s="205"/>
      <c r="Q3" s="205" t="s">
        <v>3</v>
      </c>
      <c r="R3" s="205"/>
      <c r="S3" s="205" t="s">
        <v>4</v>
      </c>
      <c r="T3" s="205"/>
      <c r="U3" s="205" t="s">
        <v>5</v>
      </c>
      <c r="V3" s="205"/>
      <c r="W3" s="205" t="s">
        <v>6</v>
      </c>
      <c r="X3" s="205"/>
      <c r="Y3" s="205" t="s">
        <v>7</v>
      </c>
      <c r="Z3" s="205"/>
      <c r="AA3" s="205" t="s">
        <v>1</v>
      </c>
      <c r="AB3" s="205"/>
      <c r="AC3" s="205" t="s">
        <v>2</v>
      </c>
      <c r="AD3" s="205"/>
      <c r="AE3" s="205" t="s">
        <v>3</v>
      </c>
      <c r="AF3" s="205"/>
      <c r="AG3" s="205" t="s">
        <v>4</v>
      </c>
      <c r="AH3" s="205"/>
      <c r="AI3" s="112"/>
    </row>
    <row r="4" spans="1:78" ht="22.5" customHeight="1" x14ac:dyDescent="0.25">
      <c r="A4" s="234"/>
      <c r="B4" s="235"/>
      <c r="C4" s="236"/>
      <c r="D4" s="85"/>
      <c r="E4" s="201">
        <v>46235</v>
      </c>
      <c r="F4" s="201"/>
      <c r="G4" s="201">
        <v>46236</v>
      </c>
      <c r="H4" s="201"/>
      <c r="I4" s="201">
        <v>46237</v>
      </c>
      <c r="J4" s="201"/>
      <c r="K4" s="201">
        <v>46238</v>
      </c>
      <c r="L4" s="201"/>
      <c r="M4" s="201">
        <v>46239</v>
      </c>
      <c r="N4" s="201"/>
      <c r="O4" s="201">
        <v>46240</v>
      </c>
      <c r="P4" s="201"/>
      <c r="Q4" s="201">
        <v>46241</v>
      </c>
      <c r="R4" s="201"/>
      <c r="S4" s="201">
        <v>46242</v>
      </c>
      <c r="T4" s="201"/>
      <c r="U4" s="201">
        <v>46243</v>
      </c>
      <c r="V4" s="201"/>
      <c r="W4" s="201">
        <v>46244</v>
      </c>
      <c r="X4" s="201"/>
      <c r="Y4" s="201">
        <v>46245</v>
      </c>
      <c r="Z4" s="201"/>
      <c r="AA4" s="201">
        <v>46246</v>
      </c>
      <c r="AB4" s="201"/>
      <c r="AC4" s="201">
        <v>46247</v>
      </c>
      <c r="AD4" s="201"/>
      <c r="AE4" s="201">
        <v>46248</v>
      </c>
      <c r="AF4" s="201"/>
      <c r="AG4" s="201">
        <v>46249</v>
      </c>
      <c r="AH4" s="201"/>
      <c r="AI4" s="112"/>
    </row>
    <row r="5" spans="1:78" ht="20.25" customHeight="1" x14ac:dyDescent="0.25">
      <c r="A5" s="4" t="s">
        <v>10</v>
      </c>
      <c r="B5" s="4" t="s">
        <v>11</v>
      </c>
      <c r="C5" s="4" t="s">
        <v>12</v>
      </c>
      <c r="D5" s="13"/>
      <c r="E5" s="13" t="s">
        <v>13</v>
      </c>
      <c r="F5" s="13" t="s">
        <v>14</v>
      </c>
      <c r="G5" s="13" t="s">
        <v>13</v>
      </c>
      <c r="H5" s="13" t="s">
        <v>14</v>
      </c>
      <c r="I5" s="13" t="s">
        <v>13</v>
      </c>
      <c r="J5" s="13" t="s">
        <v>14</v>
      </c>
      <c r="K5" s="13" t="s">
        <v>13</v>
      </c>
      <c r="L5" s="13" t="s">
        <v>14</v>
      </c>
      <c r="M5" s="13" t="s">
        <v>13</v>
      </c>
      <c r="N5" s="13" t="s">
        <v>14</v>
      </c>
      <c r="O5" s="13" t="s">
        <v>13</v>
      </c>
      <c r="P5" s="13" t="s">
        <v>14</v>
      </c>
      <c r="Q5" s="13" t="s">
        <v>13</v>
      </c>
      <c r="R5" s="13" t="s">
        <v>14</v>
      </c>
      <c r="S5" s="13" t="s">
        <v>13</v>
      </c>
      <c r="T5" s="13" t="s">
        <v>14</v>
      </c>
      <c r="U5" s="13" t="s">
        <v>13</v>
      </c>
      <c r="V5" s="13" t="s">
        <v>14</v>
      </c>
      <c r="W5" s="13" t="s">
        <v>13</v>
      </c>
      <c r="X5" s="13" t="s">
        <v>14</v>
      </c>
      <c r="Y5" s="4" t="s">
        <v>13</v>
      </c>
      <c r="Z5" s="4" t="s">
        <v>14</v>
      </c>
      <c r="AA5" s="4" t="s">
        <v>13</v>
      </c>
      <c r="AB5" s="4" t="s">
        <v>14</v>
      </c>
      <c r="AC5" s="4" t="s">
        <v>13</v>
      </c>
      <c r="AD5" s="4" t="s">
        <v>14</v>
      </c>
      <c r="AE5" s="4" t="s">
        <v>13</v>
      </c>
      <c r="AF5" s="4" t="s">
        <v>14</v>
      </c>
      <c r="AG5" s="4" t="s">
        <v>13</v>
      </c>
      <c r="AH5" s="4" t="s">
        <v>14</v>
      </c>
      <c r="AI5" s="112"/>
    </row>
    <row r="6" spans="1:78" ht="21.75" customHeight="1" x14ac:dyDescent="0.25">
      <c r="A6" s="10">
        <v>1</v>
      </c>
      <c r="B6" s="11" t="s">
        <v>45</v>
      </c>
      <c r="C6" s="78" t="s">
        <v>46</v>
      </c>
      <c r="D6" s="86">
        <v>38713</v>
      </c>
      <c r="E6" s="137">
        <v>46235.335393518515</v>
      </c>
      <c r="F6" s="137">
        <v>46235.941689814812</v>
      </c>
      <c r="G6" s="137">
        <v>46236.346990740742</v>
      </c>
      <c r="H6" s="137">
        <v>46236.939432870371</v>
      </c>
      <c r="I6" s="137">
        <v>46237.340520833335</v>
      </c>
      <c r="J6" s="137">
        <v>46237.937708333331</v>
      </c>
      <c r="K6" s="137">
        <v>46238.341111111113</v>
      </c>
      <c r="L6" s="137">
        <v>46238.945254629631</v>
      </c>
      <c r="M6" s="137">
        <v>46239.353298611109</v>
      </c>
      <c r="N6" s="137">
        <v>46239.932511574072</v>
      </c>
      <c r="O6" s="137">
        <v>46240.336284722223</v>
      </c>
      <c r="P6" s="137">
        <v>46240.93849537037</v>
      </c>
      <c r="Q6" s="137">
        <v>46241.562777777777</v>
      </c>
      <c r="R6" s="137">
        <v>1</v>
      </c>
      <c r="S6" s="137">
        <v>46242.349259259259</v>
      </c>
      <c r="T6" s="137">
        <v>46242.938287037039</v>
      </c>
      <c r="U6" s="137">
        <v>46243.344386574077</v>
      </c>
      <c r="V6" s="137">
        <v>46243.936354166668</v>
      </c>
      <c r="W6" s="137">
        <v>46244.341585648152</v>
      </c>
      <c r="X6" s="137">
        <v>46244.937928240739</v>
      </c>
      <c r="Y6" s="137">
        <v>46245.330937500003</v>
      </c>
      <c r="Z6" s="137">
        <v>46245.933981481481</v>
      </c>
      <c r="AA6" s="137">
        <v>46246.335312499999</v>
      </c>
      <c r="AB6" s="137">
        <v>46246.937974537039</v>
      </c>
      <c r="AC6" s="137">
        <v>46247.33693287037</v>
      </c>
      <c r="AD6" s="137">
        <v>46247.926319444443</v>
      </c>
      <c r="AE6" s="137">
        <v>46248.561932870369</v>
      </c>
      <c r="AF6" s="137">
        <v>1</v>
      </c>
      <c r="AG6" s="137">
        <v>46249.339953703704</v>
      </c>
      <c r="AH6" s="137">
        <v>46249.937847222223</v>
      </c>
      <c r="AI6" s="112"/>
    </row>
    <row r="7" spans="1:78" ht="18.75" x14ac:dyDescent="0.25">
      <c r="AI7" s="112"/>
    </row>
    <row r="10" spans="1:78" x14ac:dyDescent="0.25">
      <c r="E10" s="4"/>
      <c r="F10" s="205" t="s">
        <v>5</v>
      </c>
      <c r="G10" s="206"/>
      <c r="H10" s="205" t="s">
        <v>6</v>
      </c>
      <c r="I10" s="206"/>
      <c r="J10" s="205" t="s">
        <v>7</v>
      </c>
      <c r="K10" s="206"/>
      <c r="L10" s="205" t="s">
        <v>1</v>
      </c>
      <c r="M10" s="206"/>
      <c r="N10" s="205" t="s">
        <v>2</v>
      </c>
      <c r="O10" s="206"/>
      <c r="P10" s="205" t="s">
        <v>3</v>
      </c>
      <c r="Q10" s="206"/>
      <c r="R10" s="205" t="s">
        <v>4</v>
      </c>
      <c r="S10" s="206"/>
      <c r="T10" s="205" t="s">
        <v>5</v>
      </c>
      <c r="U10" s="206"/>
      <c r="V10" s="205" t="s">
        <v>6</v>
      </c>
      <c r="W10" s="206"/>
      <c r="X10" s="205" t="s">
        <v>7</v>
      </c>
      <c r="Y10" s="206"/>
      <c r="Z10" s="205" t="s">
        <v>1</v>
      </c>
      <c r="AA10" s="206"/>
      <c r="AB10" s="205" t="s">
        <v>2</v>
      </c>
      <c r="AC10" s="206"/>
      <c r="AD10" s="205" t="s">
        <v>3</v>
      </c>
      <c r="AE10" s="206"/>
      <c r="AF10" s="205" t="s">
        <v>4</v>
      </c>
      <c r="AG10" s="206"/>
      <c r="AH10" s="205" t="s">
        <v>5</v>
      </c>
      <c r="AI10" s="206"/>
      <c r="AJ10" s="205" t="s">
        <v>6</v>
      </c>
      <c r="AK10" s="205"/>
    </row>
    <row r="11" spans="1:78" x14ac:dyDescent="0.25">
      <c r="E11" s="104"/>
      <c r="F11" s="201">
        <v>46250</v>
      </c>
      <c r="G11" s="202"/>
      <c r="H11" s="201">
        <v>46251</v>
      </c>
      <c r="I11" s="202"/>
      <c r="J11" s="201">
        <v>46252</v>
      </c>
      <c r="K11" s="202"/>
      <c r="L11" s="201">
        <v>46253</v>
      </c>
      <c r="M11" s="202"/>
      <c r="N11" s="201">
        <v>46254</v>
      </c>
      <c r="O11" s="202"/>
      <c r="P11" s="201">
        <v>46255</v>
      </c>
      <c r="Q11" s="202"/>
      <c r="R11" s="201">
        <v>46256</v>
      </c>
      <c r="S11" s="202"/>
      <c r="T11" s="201">
        <v>46257</v>
      </c>
      <c r="U11" s="202"/>
      <c r="V11" s="201">
        <v>46258</v>
      </c>
      <c r="W11" s="202"/>
      <c r="X11" s="201">
        <v>46259</v>
      </c>
      <c r="Y11" s="202"/>
      <c r="Z11" s="201">
        <v>46260</v>
      </c>
      <c r="AA11" s="202"/>
      <c r="AB11" s="201">
        <v>46261</v>
      </c>
      <c r="AC11" s="202"/>
      <c r="AD11" s="201">
        <v>46262</v>
      </c>
      <c r="AE11" s="202"/>
      <c r="AF11" s="201">
        <v>46263</v>
      </c>
      <c r="AG11" s="202"/>
      <c r="AH11" s="201">
        <v>46264</v>
      </c>
      <c r="AI11" s="202"/>
      <c r="AJ11" s="201">
        <v>46265</v>
      </c>
      <c r="AK11" s="201"/>
    </row>
    <row r="12" spans="1:78" x14ac:dyDescent="0.25">
      <c r="E12" s="4"/>
      <c r="F12" s="4" t="s">
        <v>13</v>
      </c>
      <c r="G12" s="4" t="s">
        <v>14</v>
      </c>
      <c r="H12" s="4" t="s">
        <v>13</v>
      </c>
      <c r="I12" s="4" t="s">
        <v>14</v>
      </c>
      <c r="J12" s="4" t="s">
        <v>13</v>
      </c>
      <c r="K12" s="4" t="s">
        <v>14</v>
      </c>
      <c r="L12" s="4" t="s">
        <v>13</v>
      </c>
      <c r="M12" s="4" t="s">
        <v>14</v>
      </c>
      <c r="N12" s="4" t="s">
        <v>13</v>
      </c>
      <c r="O12" s="4" t="s">
        <v>14</v>
      </c>
      <c r="P12" s="13" t="s">
        <v>13</v>
      </c>
      <c r="Q12" s="13" t="s">
        <v>14</v>
      </c>
      <c r="R12" s="13" t="s">
        <v>13</v>
      </c>
      <c r="S12" s="13" t="s">
        <v>14</v>
      </c>
      <c r="T12" s="13" t="s">
        <v>13</v>
      </c>
      <c r="U12" s="13" t="s">
        <v>14</v>
      </c>
      <c r="V12" s="13" t="s">
        <v>13</v>
      </c>
      <c r="W12" s="13" t="s">
        <v>14</v>
      </c>
      <c r="X12" s="13" t="s">
        <v>13</v>
      </c>
      <c r="Y12" s="13" t="s">
        <v>14</v>
      </c>
      <c r="Z12" s="4" t="s">
        <v>13</v>
      </c>
      <c r="AA12" s="4" t="s">
        <v>14</v>
      </c>
      <c r="AB12" s="4" t="s">
        <v>13</v>
      </c>
      <c r="AC12" s="4" t="s">
        <v>14</v>
      </c>
      <c r="AD12" s="4" t="s">
        <v>13</v>
      </c>
      <c r="AE12" s="4" t="s">
        <v>14</v>
      </c>
      <c r="AF12" s="4" t="s">
        <v>13</v>
      </c>
      <c r="AG12" s="4" t="s">
        <v>14</v>
      </c>
      <c r="AH12" s="4" t="s">
        <v>13</v>
      </c>
      <c r="AI12" s="4" t="s">
        <v>14</v>
      </c>
      <c r="AJ12" s="4" t="s">
        <v>13</v>
      </c>
      <c r="AK12" s="4" t="s">
        <v>14</v>
      </c>
    </row>
    <row r="13" spans="1:78" x14ac:dyDescent="0.25">
      <c r="E13" s="45">
        <v>1</v>
      </c>
      <c r="F13" s="137">
        <v>46250.334953703707</v>
      </c>
      <c r="G13" s="137">
        <v>46262.924155092594</v>
      </c>
      <c r="H13" s="176" t="s">
        <v>171</v>
      </c>
      <c r="I13" s="176" t="s">
        <v>171</v>
      </c>
      <c r="J13" s="137">
        <v>46252.338020833333</v>
      </c>
      <c r="K13" s="137">
        <v>46252.930497685185</v>
      </c>
      <c r="L13" s="137">
        <v>46253.339108796295</v>
      </c>
      <c r="M13" s="137">
        <v>46253.938680555555</v>
      </c>
      <c r="N13" s="137">
        <v>46254.33017361111</v>
      </c>
      <c r="O13" s="137">
        <v>46254.939004629632</v>
      </c>
      <c r="P13" s="137">
        <v>46255.566516203704</v>
      </c>
      <c r="Q13" s="137">
        <v>46255.925416666665</v>
      </c>
      <c r="R13" s="137">
        <v>46256.336342592593</v>
      </c>
      <c r="S13" s="137">
        <v>46256.956574074073</v>
      </c>
      <c r="T13" s="137">
        <v>46257.343460648146</v>
      </c>
      <c r="U13" s="137">
        <v>46257.932037037041</v>
      </c>
      <c r="V13" s="137">
        <v>46258.350358796299</v>
      </c>
      <c r="W13" s="137">
        <v>46258.93855324074</v>
      </c>
      <c r="X13" s="137">
        <v>46259.346597222226</v>
      </c>
      <c r="Y13" s="137">
        <v>46259.937256944446</v>
      </c>
      <c r="Z13" s="137">
        <v>46260.3516087963</v>
      </c>
      <c r="AA13" s="137">
        <v>46260.936331018522</v>
      </c>
      <c r="AB13" s="137">
        <v>46261.349224537036</v>
      </c>
      <c r="AC13" s="137">
        <v>46261.997499999998</v>
      </c>
      <c r="AD13" s="137">
        <v>0</v>
      </c>
      <c r="AE13" s="137">
        <v>46262.924155092594</v>
      </c>
      <c r="AF13" s="137">
        <v>46263.346886574072</v>
      </c>
      <c r="AG13" s="137">
        <v>46263.940254629626</v>
      </c>
      <c r="AH13" s="137">
        <v>46264.350497685184</v>
      </c>
      <c r="AI13" s="137">
        <v>46264.709421296298</v>
      </c>
      <c r="AJ13" s="137">
        <v>46265.335775462961</v>
      </c>
      <c r="AK13" s="137">
        <v>46265.9452662037</v>
      </c>
      <c r="BY13" s="157"/>
      <c r="BZ13" s="16"/>
    </row>
    <row r="14" spans="1:78" x14ac:dyDescent="0.25">
      <c r="BN14" s="15"/>
    </row>
    <row r="15" spans="1:78" ht="15" customHeight="1" x14ac:dyDescent="0.25">
      <c r="AA15" s="74"/>
      <c r="AB15" s="58"/>
      <c r="BN15" s="15"/>
    </row>
    <row r="16" spans="1:78" ht="33.75" x14ac:dyDescent="0.25">
      <c r="C16" s="152" t="s">
        <v>249</v>
      </c>
      <c r="D16" s="251" t="s">
        <v>291</v>
      </c>
      <c r="E16" s="251"/>
      <c r="F16" s="251"/>
      <c r="G16" s="251"/>
      <c r="H16" s="251"/>
      <c r="I16" s="251"/>
      <c r="J16" s="251"/>
      <c r="K16" s="251"/>
      <c r="L16" s="251"/>
      <c r="M16" s="251"/>
      <c r="S16" s="184" t="s">
        <v>8</v>
      </c>
      <c r="T16" s="185" t="s">
        <v>9</v>
      </c>
      <c r="U16" s="150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BN16" s="15"/>
    </row>
    <row r="17" spans="3:69" x14ac:dyDescent="0.25">
      <c r="F17" s="248" t="s">
        <v>288</v>
      </c>
      <c r="G17" s="248"/>
      <c r="H17" s="248"/>
      <c r="I17" s="248"/>
      <c r="J17" s="248"/>
      <c r="K17" s="248"/>
      <c r="L17" s="248"/>
      <c r="M17" s="248"/>
      <c r="S17" s="187"/>
      <c r="T17" s="186"/>
      <c r="U17" s="62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BN17" s="15"/>
    </row>
    <row r="18" spans="3:69" ht="28.5" customHeight="1" x14ac:dyDescent="0.25">
      <c r="C18" s="154" t="s">
        <v>251</v>
      </c>
      <c r="D18" s="153">
        <v>340.03</v>
      </c>
      <c r="E18" s="153"/>
      <c r="F18" s="153" t="s">
        <v>292</v>
      </c>
      <c r="G18" s="153"/>
      <c r="H18" s="169"/>
      <c r="I18" s="169"/>
      <c r="J18" s="169"/>
      <c r="K18" s="169"/>
      <c r="L18" s="169"/>
      <c r="M18" s="169"/>
      <c r="S18" s="187"/>
      <c r="T18" s="149"/>
      <c r="U18" s="59"/>
      <c r="V18" s="92" t="s">
        <v>15</v>
      </c>
      <c r="W18" s="91" t="s">
        <v>16</v>
      </c>
      <c r="X18" s="91" t="s">
        <v>17</v>
      </c>
      <c r="Y18" s="89" t="s">
        <v>18</v>
      </c>
      <c r="Z18" s="91" t="s">
        <v>19</v>
      </c>
      <c r="AA18" s="91" t="s">
        <v>20</v>
      </c>
      <c r="AB18" s="75" t="s">
        <v>171</v>
      </c>
      <c r="AC18" s="60" t="s">
        <v>22</v>
      </c>
      <c r="AD18" s="77" t="s">
        <v>23</v>
      </c>
      <c r="AE18" s="77" t="s">
        <v>24</v>
      </c>
      <c r="AF18" s="77" t="s">
        <v>25</v>
      </c>
      <c r="AG18" s="249" t="s">
        <v>26</v>
      </c>
      <c r="AH18" s="249"/>
      <c r="AI18" s="249"/>
      <c r="AJ18" s="249"/>
      <c r="AK18" s="249"/>
      <c r="BN18" s="15"/>
      <c r="BQ18"/>
    </row>
    <row r="19" spans="3:69" x14ac:dyDescent="0.25">
      <c r="S19" s="99">
        <v>31</v>
      </c>
      <c r="T19" s="68">
        <v>5</v>
      </c>
      <c r="U19" s="1">
        <v>30</v>
      </c>
      <c r="V19" s="2">
        <f>COUNTIF(E6:BN6,"OFF")/2</f>
        <v>0</v>
      </c>
      <c r="W19" s="2">
        <f>COUNTIF(E6:BN6,"MC")/2</f>
        <v>0</v>
      </c>
      <c r="X19" s="2">
        <f>COUNTIF(E6:BN6,"EL")/2</f>
        <v>0</v>
      </c>
      <c r="Y19" s="2">
        <f>COUNTIF(E6:BN6,"AL")/2</f>
        <v>0</v>
      </c>
      <c r="Z19" s="2">
        <f>COUNTIF(E6:BN6,"SUS")/2</f>
        <v>0</v>
      </c>
      <c r="AA19" s="2">
        <f>COUNTIF(E6:BN6,"FL")/2</f>
        <v>0</v>
      </c>
      <c r="AB19" s="2">
        <v>1</v>
      </c>
      <c r="AC19" s="2">
        <f>COUNTIF(E6:BN6,"HD")/2</f>
        <v>0</v>
      </c>
      <c r="AD19" s="2">
        <f>COUNTIF(E6:BN6,"AB")/2</f>
        <v>0</v>
      </c>
      <c r="AE19" s="2">
        <f>COUNTIF(E6:BN6,"NL")/2</f>
        <v>0</v>
      </c>
      <c r="AF19" s="2">
        <f>COUNTIF(E6:BN6,"SP")/2</f>
        <v>0</v>
      </c>
      <c r="AG19" s="250" t="s">
        <v>289</v>
      </c>
      <c r="AH19" s="250"/>
      <c r="AI19" s="250"/>
      <c r="AJ19" s="250"/>
      <c r="AK19" s="250"/>
      <c r="AQ19" t="s">
        <v>64</v>
      </c>
      <c r="BN19" s="15"/>
      <c r="BQ19"/>
    </row>
    <row r="20" spans="3:69" x14ac:dyDescent="0.25">
      <c r="AA20" s="74"/>
      <c r="AB20" s="66"/>
    </row>
    <row r="21" spans="3:69" x14ac:dyDescent="0.25">
      <c r="S21" s="158" t="s">
        <v>71</v>
      </c>
      <c r="T21" s="159"/>
      <c r="U21" s="160"/>
      <c r="V21" s="161" t="s">
        <v>16</v>
      </c>
      <c r="W21" s="162"/>
      <c r="X21" s="163" t="s">
        <v>72</v>
      </c>
      <c r="Y21" s="159"/>
      <c r="Z21" s="164"/>
      <c r="AA21" s="159"/>
      <c r="AB21" s="165" t="s">
        <v>22</v>
      </c>
      <c r="AD21" s="74"/>
      <c r="AE21" s="66"/>
    </row>
    <row r="22" spans="3:69" x14ac:dyDescent="0.25">
      <c r="F22" s="169"/>
      <c r="G22" s="169"/>
      <c r="H22" s="169"/>
      <c r="I22" s="169"/>
      <c r="J22" s="169"/>
      <c r="K22" s="169"/>
      <c r="L22" s="169"/>
      <c r="M22" s="169"/>
      <c r="S22" s="158" t="s">
        <v>73</v>
      </c>
      <c r="T22" s="162"/>
      <c r="U22" s="162"/>
      <c r="V22" s="161" t="s">
        <v>17</v>
      </c>
      <c r="W22" s="164"/>
      <c r="X22" s="163" t="s">
        <v>74</v>
      </c>
      <c r="Y22" s="166"/>
      <c r="Z22" s="166"/>
      <c r="AA22" s="167"/>
      <c r="AB22" s="165" t="s">
        <v>23</v>
      </c>
      <c r="AD22" s="74"/>
      <c r="AE22" s="66"/>
    </row>
    <row r="23" spans="3:69" x14ac:dyDescent="0.25">
      <c r="F23" s="169"/>
      <c r="G23" s="169"/>
      <c r="H23" s="169"/>
      <c r="I23" s="169"/>
      <c r="J23" s="169"/>
      <c r="K23" s="169"/>
      <c r="L23" s="169"/>
      <c r="M23" s="169"/>
      <c r="S23" s="158" t="s">
        <v>75</v>
      </c>
      <c r="T23" s="162"/>
      <c r="U23" s="162"/>
      <c r="V23" s="161" t="s">
        <v>18</v>
      </c>
      <c r="W23" s="164"/>
      <c r="X23" s="158" t="s">
        <v>76</v>
      </c>
      <c r="Y23" s="168"/>
      <c r="Z23" s="168"/>
      <c r="AA23" s="167"/>
      <c r="AB23" s="165" t="s">
        <v>24</v>
      </c>
      <c r="AD23" s="74"/>
      <c r="AE23" s="66"/>
    </row>
    <row r="24" spans="3:69" x14ac:dyDescent="0.25">
      <c r="F24" s="169"/>
      <c r="G24" s="169"/>
      <c r="H24" s="169"/>
      <c r="I24" s="169"/>
      <c r="J24" s="169"/>
      <c r="K24" s="169"/>
      <c r="L24" s="169"/>
      <c r="M24" s="169"/>
      <c r="S24" s="158" t="s">
        <v>77</v>
      </c>
      <c r="T24" s="162"/>
      <c r="U24" s="162"/>
      <c r="V24" s="161" t="s">
        <v>19</v>
      </c>
      <c r="W24" s="164"/>
      <c r="X24" s="158" t="s">
        <v>78</v>
      </c>
      <c r="Y24" s="168"/>
      <c r="Z24" s="168"/>
      <c r="AA24" s="167"/>
      <c r="AB24" s="165" t="s">
        <v>25</v>
      </c>
      <c r="AD24" s="74"/>
      <c r="AE24" s="66"/>
    </row>
    <row r="25" spans="3:69" x14ac:dyDescent="0.25">
      <c r="F25" s="169"/>
      <c r="G25" s="169"/>
      <c r="H25" s="169"/>
      <c r="I25" s="169"/>
      <c r="J25" s="169"/>
      <c r="K25" s="169"/>
      <c r="L25" s="169"/>
      <c r="M25" s="169"/>
      <c r="S25" s="158" t="s">
        <v>79</v>
      </c>
      <c r="T25" s="162"/>
      <c r="U25" s="162"/>
      <c r="V25" s="161" t="s">
        <v>20</v>
      </c>
      <c r="W25" s="164"/>
      <c r="X25" s="164"/>
      <c r="Y25" s="164"/>
      <c r="Z25" s="164"/>
      <c r="AA25" s="164"/>
      <c r="AB25" s="164"/>
      <c r="AD25" s="74"/>
      <c r="AE25" s="66"/>
      <c r="AJ25" s="66"/>
    </row>
    <row r="26" spans="3:69" x14ac:dyDescent="0.25">
      <c r="F26" s="169"/>
      <c r="G26" s="169"/>
      <c r="H26" s="169"/>
      <c r="I26" s="169"/>
      <c r="J26" s="169"/>
      <c r="K26" s="169"/>
      <c r="L26" s="169"/>
      <c r="M26" s="169"/>
      <c r="S26" s="158"/>
      <c r="T26" s="162"/>
      <c r="U26" s="162"/>
      <c r="V26" s="161"/>
      <c r="W26" s="164"/>
      <c r="X26" s="164"/>
      <c r="Y26" s="164"/>
      <c r="Z26" s="164"/>
      <c r="AA26" s="164"/>
      <c r="AB26" s="164"/>
      <c r="AD26" s="74"/>
      <c r="AE26" s="66"/>
      <c r="AJ26" s="66"/>
    </row>
    <row r="27" spans="3:69" x14ac:dyDescent="0.25">
      <c r="F27" s="169"/>
      <c r="G27" s="169"/>
      <c r="H27" s="169"/>
      <c r="I27" s="169"/>
      <c r="J27" s="169"/>
      <c r="K27" s="169"/>
      <c r="L27" s="169"/>
      <c r="M27" s="169"/>
      <c r="S27" s="158"/>
      <c r="T27" s="162"/>
      <c r="U27" s="162"/>
      <c r="V27" s="161"/>
      <c r="W27" s="164"/>
      <c r="X27" s="164"/>
      <c r="Y27" s="164"/>
      <c r="Z27" s="164"/>
      <c r="AA27" s="164"/>
      <c r="AB27" s="164"/>
      <c r="AD27" s="74"/>
      <c r="AE27" s="66"/>
      <c r="AJ27" s="66"/>
    </row>
    <row r="28" spans="3:69" x14ac:dyDescent="0.25">
      <c r="F28" s="169"/>
      <c r="G28" s="169"/>
      <c r="H28" s="169"/>
      <c r="I28" s="169"/>
      <c r="J28" s="169"/>
      <c r="K28" s="169"/>
      <c r="L28" s="169"/>
      <c r="M28" s="169"/>
      <c r="S28" s="158"/>
      <c r="T28" s="162"/>
      <c r="U28" s="162"/>
      <c r="V28" s="161"/>
      <c r="W28" s="164"/>
      <c r="X28" s="164"/>
      <c r="Y28" s="164"/>
      <c r="Z28" s="164"/>
      <c r="AA28" s="164"/>
      <c r="AB28" s="164"/>
      <c r="AD28" s="74"/>
      <c r="AE28" s="66"/>
      <c r="AJ28" s="66"/>
    </row>
    <row r="29" spans="3:69" x14ac:dyDescent="0.25">
      <c r="F29" s="169"/>
      <c r="G29" s="169"/>
      <c r="H29" s="169"/>
      <c r="I29" s="169"/>
      <c r="J29" s="169"/>
      <c r="K29" s="169"/>
      <c r="L29" s="169"/>
      <c r="M29" s="169"/>
      <c r="S29" s="158"/>
      <c r="T29" s="162"/>
      <c r="U29" s="162"/>
      <c r="V29" s="161"/>
      <c r="W29" s="164"/>
      <c r="X29" s="164"/>
      <c r="Y29" s="164"/>
      <c r="Z29" s="164"/>
      <c r="AA29" s="164"/>
      <c r="AB29" s="164"/>
      <c r="AD29" s="74"/>
      <c r="AE29" s="66"/>
      <c r="AJ29" s="66"/>
    </row>
    <row r="30" spans="3:69" ht="15.75" x14ac:dyDescent="0.25">
      <c r="F30" s="169"/>
      <c r="G30" s="17" t="s">
        <v>62</v>
      </c>
      <c r="H30" s="18"/>
      <c r="I30" s="17"/>
      <c r="J30" s="19"/>
      <c r="M30" s="19"/>
      <c r="N30" s="20"/>
      <c r="O30" s="21"/>
      <c r="P30" s="21"/>
      <c r="Q30" s="22" t="s">
        <v>63</v>
      </c>
      <c r="R30" s="22"/>
      <c r="S30" s="20"/>
      <c r="T30" s="20"/>
      <c r="U30" s="20"/>
      <c r="V30" s="20"/>
      <c r="W30" s="20" t="s">
        <v>64</v>
      </c>
      <c r="X30" s="20"/>
      <c r="Y30" s="20"/>
      <c r="Z30" s="20"/>
      <c r="AA30" s="22" t="s">
        <v>65</v>
      </c>
      <c r="AB30" s="20"/>
      <c r="AJ30" s="66"/>
    </row>
    <row r="31" spans="3:69" ht="17.25" x14ac:dyDescent="0.25">
      <c r="F31" s="169"/>
      <c r="G31" s="19"/>
      <c r="H31" s="19"/>
      <c r="I31" s="19"/>
      <c r="J31" s="19"/>
      <c r="M31" s="19"/>
      <c r="N31" s="19"/>
      <c r="O31" s="24"/>
      <c r="P31" s="24"/>
      <c r="Q31" s="24"/>
      <c r="R31" s="19"/>
      <c r="S31" s="19"/>
      <c r="T31" s="19"/>
      <c r="U31" s="25"/>
      <c r="V31" s="25"/>
      <c r="W31" s="25"/>
      <c r="X31" s="25"/>
      <c r="Y31" s="25"/>
      <c r="Z31" s="25"/>
      <c r="AA31" s="26"/>
      <c r="AB31" s="26"/>
      <c r="AJ31" s="66"/>
    </row>
    <row r="32" spans="3:69" ht="17.25" x14ac:dyDescent="0.25">
      <c r="F32" s="169"/>
      <c r="G32" s="27"/>
      <c r="H32" s="19"/>
      <c r="I32" s="27"/>
      <c r="J32" s="19"/>
      <c r="M32" s="19"/>
      <c r="N32" s="27" t="s">
        <v>64</v>
      </c>
      <c r="O32" s="28"/>
      <c r="P32" s="28"/>
      <c r="Q32" s="24"/>
      <c r="R32" s="19"/>
      <c r="S32" s="27"/>
      <c r="T32" s="27"/>
      <c r="U32" s="20"/>
      <c r="V32" s="19"/>
      <c r="W32" s="19"/>
      <c r="X32" s="19"/>
      <c r="Y32" s="19"/>
      <c r="Z32" s="19"/>
      <c r="AA32" s="29"/>
      <c r="AB32" s="29"/>
      <c r="AJ32" s="66"/>
    </row>
    <row r="33" spans="6:81" ht="17.25" x14ac:dyDescent="0.25">
      <c r="G33" s="27"/>
      <c r="H33" s="19"/>
      <c r="I33" s="27"/>
      <c r="J33" s="19"/>
      <c r="M33" s="19"/>
      <c r="N33" s="27"/>
      <c r="O33" s="28"/>
      <c r="P33" s="28"/>
      <c r="Q33" s="24"/>
      <c r="R33" s="20"/>
      <c r="S33" s="27"/>
      <c r="T33" s="27"/>
      <c r="U33" s="20"/>
      <c r="V33" s="19"/>
      <c r="W33" s="19"/>
      <c r="X33" s="19"/>
      <c r="Y33" s="19"/>
      <c r="Z33" s="19"/>
      <c r="AA33" s="29"/>
      <c r="AB33" s="29"/>
      <c r="AJ33" s="66"/>
    </row>
    <row r="34" spans="6:81" ht="17.25" x14ac:dyDescent="0.25">
      <c r="G34" s="155"/>
      <c r="H34" s="156" t="s">
        <v>269</v>
      </c>
      <c r="I34" s="19"/>
      <c r="J34" s="19"/>
      <c r="M34" s="19"/>
      <c r="N34" s="27"/>
      <c r="O34" s="24"/>
      <c r="P34" s="28"/>
      <c r="Q34" s="18" t="s">
        <v>66</v>
      </c>
      <c r="R34" s="19"/>
      <c r="S34" s="27"/>
      <c r="T34" s="20"/>
      <c r="U34" s="19"/>
      <c r="V34" s="19"/>
      <c r="W34" s="19"/>
      <c r="X34" s="19"/>
      <c r="Y34" s="19"/>
      <c r="Z34" s="19"/>
      <c r="AA34" s="18" t="s">
        <v>67</v>
      </c>
      <c r="AB34" s="29"/>
    </row>
    <row r="35" spans="6:81" ht="17.25" x14ac:dyDescent="0.25">
      <c r="F35" s="16"/>
      <c r="G35" s="31" t="s">
        <v>68</v>
      </c>
      <c r="H35" s="30"/>
      <c r="I35" s="30"/>
      <c r="J35" s="19"/>
      <c r="M35" s="19"/>
      <c r="N35" s="18"/>
      <c r="O35" s="33"/>
      <c r="P35" s="33"/>
      <c r="Q35" s="18" t="s">
        <v>69</v>
      </c>
      <c r="R35" s="18"/>
      <c r="S35" s="18"/>
      <c r="T35" s="20"/>
      <c r="U35" s="18"/>
      <c r="V35" s="19"/>
      <c r="W35" s="19"/>
      <c r="X35" s="19"/>
      <c r="Y35" s="19"/>
      <c r="Z35" s="19"/>
      <c r="AA35" s="18" t="s">
        <v>70</v>
      </c>
      <c r="AB35" s="29"/>
    </row>
    <row r="36" spans="6:81" ht="15.75" x14ac:dyDescent="0.25">
      <c r="F36" s="23"/>
    </row>
    <row r="37" spans="6:81" ht="15.75" x14ac:dyDescent="0.25">
      <c r="F37" s="23"/>
      <c r="BT37" s="38"/>
      <c r="BU37" s="38"/>
      <c r="BV37" s="38"/>
      <c r="BW37" s="38"/>
      <c r="BX37" s="38"/>
      <c r="BY37" s="38"/>
      <c r="BZ37" s="38"/>
      <c r="CA37" s="38"/>
      <c r="CB37" s="38"/>
      <c r="CC37" s="38"/>
    </row>
    <row r="38" spans="6:81" ht="15.75" x14ac:dyDescent="0.25">
      <c r="F38" s="30"/>
    </row>
    <row r="39" spans="6:81" ht="15.75" x14ac:dyDescent="0.25">
      <c r="F39" s="31"/>
    </row>
    <row r="40" spans="6:81" ht="15.75" x14ac:dyDescent="0.25">
      <c r="F40" s="31"/>
    </row>
  </sheetData>
  <mergeCells count="68">
    <mergeCell ref="AC3:AD3"/>
    <mergeCell ref="AE3:AF3"/>
    <mergeCell ref="A2:AH2"/>
    <mergeCell ref="A3:C4"/>
    <mergeCell ref="E3:F3"/>
    <mergeCell ref="G3:H3"/>
    <mergeCell ref="I3:J3"/>
    <mergeCell ref="K3:L3"/>
    <mergeCell ref="M3:N3"/>
    <mergeCell ref="O3:P3"/>
    <mergeCell ref="Q3:R3"/>
    <mergeCell ref="S3:T3"/>
    <mergeCell ref="AE4:AF4"/>
    <mergeCell ref="AG4:AH4"/>
    <mergeCell ref="AG3:AH3"/>
    <mergeCell ref="E4:F4"/>
    <mergeCell ref="Y3:Z3"/>
    <mergeCell ref="AA3:AB3"/>
    <mergeCell ref="P10:Q10"/>
    <mergeCell ref="W4:X4"/>
    <mergeCell ref="Y4:Z4"/>
    <mergeCell ref="AA4:AB4"/>
    <mergeCell ref="Q4:R4"/>
    <mergeCell ref="S4:T4"/>
    <mergeCell ref="U4:V4"/>
    <mergeCell ref="U3:V3"/>
    <mergeCell ref="W3:X3"/>
    <mergeCell ref="O4:P4"/>
    <mergeCell ref="AC4:AD4"/>
    <mergeCell ref="F10:G10"/>
    <mergeCell ref="H10:I10"/>
    <mergeCell ref="J10:K10"/>
    <mergeCell ref="L10:M10"/>
    <mergeCell ref="N10:O10"/>
    <mergeCell ref="AD10:AE10"/>
    <mergeCell ref="G4:H4"/>
    <mergeCell ref="I4:J4"/>
    <mergeCell ref="K4:L4"/>
    <mergeCell ref="M4:N4"/>
    <mergeCell ref="AF10:AG10"/>
    <mergeCell ref="AH10:AI10"/>
    <mergeCell ref="AJ10:AK10"/>
    <mergeCell ref="F11:G11"/>
    <mergeCell ref="H11:I11"/>
    <mergeCell ref="J11:K11"/>
    <mergeCell ref="L11:M11"/>
    <mergeCell ref="N11:O11"/>
    <mergeCell ref="P11:Q11"/>
    <mergeCell ref="R10:S10"/>
    <mergeCell ref="T10:U10"/>
    <mergeCell ref="V10:W10"/>
    <mergeCell ref="X10:Y10"/>
    <mergeCell ref="Z10:AA10"/>
    <mergeCell ref="AB10:AC10"/>
    <mergeCell ref="AJ11:AK11"/>
    <mergeCell ref="F17:M17"/>
    <mergeCell ref="AD11:AE11"/>
    <mergeCell ref="R11:S11"/>
    <mergeCell ref="T11:U11"/>
    <mergeCell ref="V11:W11"/>
    <mergeCell ref="X11:Y11"/>
    <mergeCell ref="D16:M16"/>
    <mergeCell ref="AF11:AG11"/>
    <mergeCell ref="AH11:AI11"/>
    <mergeCell ref="AG18:AK18"/>
    <mergeCell ref="AG19:AK19"/>
    <mergeCell ref="Z11:AA11"/>
    <mergeCell ref="AB11:AC11"/>
  </mergeCells>
  <conditionalFormatting sqref="A5:AH5 A6 E12:AK12 S16:S19">
    <cfRule type="containsText" dxfId="217" priority="27" stopIfTrue="1" operator="containsText" text="AL">
      <formula>NOT(ISERROR(SEARCH("AL",A5)))</formula>
    </cfRule>
    <cfRule type="containsText" dxfId="216" priority="31" stopIfTrue="1" operator="containsText" text="SICK">
      <formula>NOT(ISERROR(SEARCH("SICK",A5)))</formula>
    </cfRule>
    <cfRule type="containsText" dxfId="215" priority="30" stopIfTrue="1" operator="containsText" text="FL">
      <formula>NOT(ISERROR(SEARCH("FL",A5)))</formula>
    </cfRule>
    <cfRule type="containsText" dxfId="214" priority="29" stopIfTrue="1" operator="containsText" text="AB">
      <formula>NOT(ISERROR(SEARCH("AB",A5)))</formula>
    </cfRule>
    <cfRule type="containsText" dxfId="213" priority="28" stopIfTrue="1" operator="containsText" text="EL">
      <formula>NOT(ISERROR(SEARCH("EL",A5)))</formula>
    </cfRule>
    <cfRule type="containsText" dxfId="212" priority="26" stopIfTrue="1" operator="containsText" text="SP">
      <formula>NOT(ISERROR(SEARCH("SP",A5)))</formula>
    </cfRule>
  </conditionalFormatting>
  <conditionalFormatting sqref="A1:BQ1 A2:AI2 A3:D4 AI3:AI7 E10:E11">
    <cfRule type="containsText" dxfId="211" priority="101" stopIfTrue="1" operator="containsText" text="SP">
      <formula>NOT(ISERROR(SEARCH("SP",A1)))</formula>
    </cfRule>
    <cfRule type="containsText" dxfId="210" priority="102" stopIfTrue="1" operator="containsText" text="AL">
      <formula>NOT(ISERROR(SEARCH("AL",A1)))</formula>
    </cfRule>
    <cfRule type="containsText" dxfId="209" priority="103" stopIfTrue="1" operator="containsText" text="EL">
      <formula>NOT(ISERROR(SEARCH("EL",A1)))</formula>
    </cfRule>
    <cfRule type="containsText" dxfId="208" priority="104" stopIfTrue="1" operator="containsText" text="AB">
      <formula>NOT(ISERROR(SEARCH("AB",A1)))</formula>
    </cfRule>
    <cfRule type="containsText" dxfId="207" priority="105" stopIfTrue="1" operator="containsText" text="FL">
      <formula>NOT(ISERROR(SEARCH("FL",A1)))</formula>
    </cfRule>
    <cfRule type="containsText" dxfId="206" priority="106" stopIfTrue="1" operator="containsText" text="SICK">
      <formula>NOT(ISERROR(SEARCH("SICK",A1)))</formula>
    </cfRule>
  </conditionalFormatting>
  <conditionalFormatting sqref="C6">
    <cfRule type="duplicateValues" dxfId="205" priority="2"/>
    <cfRule type="duplicateValues" dxfId="204" priority="3"/>
    <cfRule type="duplicateValues" dxfId="203" priority="4"/>
    <cfRule type="duplicateValues" dxfId="202" priority="1"/>
  </conditionalFormatting>
  <conditionalFormatting sqref="C34:C36">
    <cfRule type="duplicateValues" dxfId="201" priority="122"/>
  </conditionalFormatting>
  <conditionalFormatting sqref="C34:C41">
    <cfRule type="duplicateValues" dxfId="200" priority="121"/>
  </conditionalFormatting>
  <conditionalFormatting sqref="C34:C1048576 C1:C5 C7:C9">
    <cfRule type="duplicateValues" dxfId="199" priority="120"/>
  </conditionalFormatting>
  <conditionalFormatting sqref="C34:C1048576 C1:C5">
    <cfRule type="duplicateValues" dxfId="198" priority="123"/>
  </conditionalFormatting>
  <conditionalFormatting sqref="C34:D1048576 C1:D5 C7:D9">
    <cfRule type="duplicateValues" dxfId="197" priority="124"/>
  </conditionalFormatting>
  <conditionalFormatting sqref="D6">
    <cfRule type="timePeriod" dxfId="196" priority="25" timePeriod="nextWeek">
      <formula>AND(ROUNDDOWN(D6,0)-TODAY()&gt;(7-WEEKDAY(TODAY())),ROUNDDOWN(D6,0)-TODAY()&lt;(15-WEEKDAY(TODAY())))</formula>
    </cfRule>
    <cfRule type="timePeriod" priority="24" timePeriod="nextWeek">
      <formula>AND(ROUNDDOWN(D6,0)-TODAY()&gt;(7-WEEKDAY(TODAY())),ROUNDDOWN(D6,0)-TODAY()&lt;(15-WEEKDAY(TODAY())))</formula>
    </cfRule>
    <cfRule type="duplicateValues" dxfId="195" priority="32"/>
  </conditionalFormatting>
  <conditionalFormatting sqref="E13">
    <cfRule type="containsText" dxfId="194" priority="14" operator="containsText" text="EL">
      <formula>NOT(ISERROR(SEARCH("EL",E13)))</formula>
    </cfRule>
    <cfRule type="containsText" dxfId="193" priority="15" operator="containsText" text="SP">
      <formula>NOT(ISERROR(SEARCH("SP",E13)))</formula>
    </cfRule>
    <cfRule type="containsText" dxfId="192" priority="23" operator="containsText" text="AL">
      <formula>NOT(ISERROR(SEARCH("AL",E13)))</formula>
    </cfRule>
    <cfRule type="containsText" dxfId="191" priority="22" operator="containsText" text="OFF">
      <formula>NOT(ISERROR(SEARCH("OFF",E13)))</formula>
    </cfRule>
    <cfRule type="containsText" dxfId="190" priority="21" operator="containsText" text="Sick">
      <formula>NOT(ISERROR(SEARCH("Sick",E13)))</formula>
    </cfRule>
    <cfRule type="containsText" dxfId="189" priority="20" operator="containsText" text="AB">
      <formula>NOT(ISERROR(SEARCH("AB",E13)))</formula>
    </cfRule>
    <cfRule type="containsText" dxfId="188" priority="19" operator="containsText" text="MC">
      <formula>NOT(ISERROR(SEARCH("MC",E13)))</formula>
    </cfRule>
    <cfRule type="containsText" dxfId="187" priority="18" operator="containsText" text="FL">
      <formula>NOT(ISERROR(SEARCH("FL",E13)))</formula>
    </cfRule>
    <cfRule type="containsText" dxfId="186" priority="17" operator="containsText" text="SUS">
      <formula>NOT(ISERROR(SEARCH("SUS",E13)))</formula>
    </cfRule>
    <cfRule type="containsText" dxfId="185" priority="16" operator="containsText" text="NL">
      <formula>NOT(ISERROR(SEARCH("NL",E13)))</formula>
    </cfRule>
  </conditionalFormatting>
  <conditionalFormatting sqref="M30:AB33">
    <cfRule type="containsText" dxfId="184" priority="109" stopIfTrue="1" operator="containsText" text="SP">
      <formula>NOT(ISERROR(SEARCH("SP",M30)))</formula>
    </cfRule>
    <cfRule type="containsText" dxfId="183" priority="111" stopIfTrue="1" operator="containsText" text="SICK">
      <formula>NOT(ISERROR(SEARCH("SICK",M30)))</formula>
    </cfRule>
    <cfRule type="containsText" priority="110" stopIfTrue="1" operator="containsText" text="SP">
      <formula>NOT(ISERROR(SEARCH("SP",M30)))</formula>
    </cfRule>
    <cfRule type="containsText" dxfId="182" priority="107" stopIfTrue="1" operator="containsText" text="AB">
      <formula>NOT(ISERROR(SEARCH("AB",M30)))</formula>
    </cfRule>
    <cfRule type="containsText" dxfId="181" priority="108" stopIfTrue="1" operator="containsText" text="SICK">
      <formula>NOT(ISERROR(SEARCH("SICK",M30)))</formula>
    </cfRule>
  </conditionalFormatting>
  <conditionalFormatting sqref="T16">
    <cfRule type="cellIs" dxfId="180" priority="118" operator="equal">
      <formula>";"</formula>
    </cfRule>
  </conditionalFormatting>
  <conditionalFormatting sqref="T19">
    <cfRule type="cellIs" dxfId="179" priority="119" stopIfTrue="1" operator="equal">
      <formula>";"</formula>
    </cfRule>
  </conditionalFormatting>
  <conditionalFormatting sqref="V18">
    <cfRule type="containsText" dxfId="178" priority="89" operator="containsText" text="MC">
      <formula>NOT(ISERROR(SEARCH("MC",V18)))</formula>
    </cfRule>
    <cfRule type="containsText" dxfId="177" priority="87" operator="containsText" text="SUS">
      <formula>NOT(ISERROR(SEARCH("SUS",V18)))</formula>
    </cfRule>
    <cfRule type="containsText" dxfId="176" priority="88" operator="containsText" text="FL">
      <formula>NOT(ISERROR(SEARCH("FL",V18)))</formula>
    </cfRule>
    <cfRule type="containsText" dxfId="175" priority="93" operator="containsText" text="AL">
      <formula>NOT(ISERROR(SEARCH("AL",V18)))</formula>
    </cfRule>
    <cfRule type="containsText" dxfId="174" priority="92" operator="containsText" text="OFF">
      <formula>NOT(ISERROR(SEARCH("OFF",V18)))</formula>
    </cfRule>
    <cfRule type="containsText" dxfId="173" priority="91" operator="containsText" text="Sick">
      <formula>NOT(ISERROR(SEARCH("Sick",V18)))</formula>
    </cfRule>
    <cfRule type="containsText" dxfId="172" priority="90" operator="containsText" text="AB">
      <formula>NOT(ISERROR(SEARCH("AB",V18)))</formula>
    </cfRule>
  </conditionalFormatting>
  <conditionalFormatting sqref="V18:W18">
    <cfRule type="containsText" dxfId="171" priority="48" operator="containsText" text="AB">
      <formula>NOT(ISERROR(SEARCH("AB",V18)))</formula>
    </cfRule>
  </conditionalFormatting>
  <conditionalFormatting sqref="V18:AA18">
    <cfRule type="containsText" dxfId="170" priority="36" operator="containsText" text="EL">
      <formula>NOT(ISERROR(SEARCH("EL",V18)))</formula>
    </cfRule>
  </conditionalFormatting>
  <conditionalFormatting sqref="W18">
    <cfRule type="containsText" dxfId="169" priority="45" operator="containsText" text="SUS">
      <formula>NOT(ISERROR(SEARCH("SUS",W18)))</formula>
    </cfRule>
    <cfRule type="containsText" dxfId="168" priority="46" operator="containsText" text="FL">
      <formula>NOT(ISERROR(SEARCH("FL",W18)))</formula>
    </cfRule>
    <cfRule type="containsText" dxfId="167" priority="47" operator="containsText" text="MC">
      <formula>NOT(ISERROR(SEARCH("MC",W18)))</formula>
    </cfRule>
    <cfRule type="containsText" dxfId="166" priority="49" operator="containsText" text="Sick">
      <formula>NOT(ISERROR(SEARCH("Sick",W18)))</formula>
    </cfRule>
    <cfRule type="containsText" dxfId="165" priority="50" operator="containsText" text="OFF">
      <formula>NOT(ISERROR(SEARCH("OFF",W18)))</formula>
    </cfRule>
    <cfRule type="containsText" dxfId="164" priority="51" operator="containsText" text="AL">
      <formula>NOT(ISERROR(SEARCH("AL",W18)))</formula>
    </cfRule>
  </conditionalFormatting>
  <conditionalFormatting sqref="W18:X18">
    <cfRule type="containsText" dxfId="163" priority="41" operator="containsText" text="AB">
      <formula>NOT(ISERROR(SEARCH("AB",W18)))</formula>
    </cfRule>
  </conditionalFormatting>
  <conditionalFormatting sqref="X18">
    <cfRule type="containsText" dxfId="162" priority="37" operator="containsText" text="AB">
      <formula>NOT(ISERROR(SEARCH("AB",X18)))</formula>
    </cfRule>
    <cfRule type="containsText" dxfId="161" priority="38" operator="containsText" text="SUS">
      <formula>NOT(ISERROR(SEARCH("SUS",X18)))</formula>
    </cfRule>
    <cfRule type="containsText" dxfId="160" priority="39" operator="containsText" text="FL">
      <formula>NOT(ISERROR(SEARCH("FL",X18)))</formula>
    </cfRule>
    <cfRule type="containsText" dxfId="159" priority="40" operator="containsText" text="MC">
      <formula>NOT(ISERROR(SEARCH("MC",X18)))</formula>
    </cfRule>
    <cfRule type="containsText" dxfId="158" priority="42" operator="containsText" text="Sick">
      <formula>NOT(ISERROR(SEARCH("Sick",X18)))</formula>
    </cfRule>
    <cfRule type="containsText" dxfId="157" priority="43" operator="containsText" text="OFF">
      <formula>NOT(ISERROR(SEARCH("OFF",X18)))</formula>
    </cfRule>
    <cfRule type="containsText" dxfId="156" priority="44" operator="containsText" text="AL">
      <formula>NOT(ISERROR(SEARCH("AL",X18)))</formula>
    </cfRule>
  </conditionalFormatting>
  <conditionalFormatting sqref="Y18">
    <cfRule type="containsText" dxfId="155" priority="98" operator="containsText" text="Sick">
      <formula>NOT(ISERROR(SEARCH("Sick",Y18)))</formula>
    </cfRule>
    <cfRule type="containsText" dxfId="154" priority="99" operator="containsText" text="OFF">
      <formula>NOT(ISERROR(SEARCH("OFF",Y18)))</formula>
    </cfRule>
    <cfRule type="containsText" dxfId="153" priority="100" operator="containsText" text="AL">
      <formula>NOT(ISERROR(SEARCH("AL",Y18)))</formula>
    </cfRule>
    <cfRule type="containsText" dxfId="152" priority="96" operator="containsText" text="MC">
      <formula>NOT(ISERROR(SEARCH("MC",Y18)))</formula>
    </cfRule>
    <cfRule type="containsText" dxfId="151" priority="97" operator="containsText" text="AB">
      <formula>NOT(ISERROR(SEARCH("AB",Y18)))</formula>
    </cfRule>
    <cfRule type="containsText" dxfId="150" priority="94" operator="containsText" text="SUS">
      <formula>NOT(ISERROR(SEARCH("SUS",Y18)))</formula>
    </cfRule>
    <cfRule type="containsText" dxfId="149" priority="95" operator="containsText" text="FL">
      <formula>NOT(ISERROR(SEARCH("FL",Y18)))</formula>
    </cfRule>
  </conditionalFormatting>
  <conditionalFormatting sqref="Y18:AA18">
    <cfRule type="containsText" dxfId="148" priority="56" operator="containsText" text="AB">
      <formula>NOT(ISERROR(SEARCH("AB",Y18)))</formula>
    </cfRule>
  </conditionalFormatting>
  <conditionalFormatting sqref="Z18">
    <cfRule type="containsText" dxfId="147" priority="52" operator="containsText" text="AB">
      <formula>NOT(ISERROR(SEARCH("AB",Z18)))</formula>
    </cfRule>
    <cfRule type="containsText" dxfId="146" priority="53" operator="containsText" text="SUS">
      <formula>NOT(ISERROR(SEARCH("SUS",Z18)))</formula>
    </cfRule>
    <cfRule type="containsText" dxfId="145" priority="54" operator="containsText" text="FL">
      <formula>NOT(ISERROR(SEARCH("FL",Z18)))</formula>
    </cfRule>
    <cfRule type="containsText" dxfId="144" priority="55" operator="containsText" text="MC">
      <formula>NOT(ISERROR(SEARCH("MC",Z18)))</formula>
    </cfRule>
    <cfRule type="containsText" dxfId="143" priority="57" operator="containsText" text="Sick">
      <formula>NOT(ISERROR(SEARCH("Sick",Z18)))</formula>
    </cfRule>
    <cfRule type="containsText" dxfId="142" priority="58" operator="containsText" text="OFF">
      <formula>NOT(ISERROR(SEARCH("OFF",Z18)))</formula>
    </cfRule>
    <cfRule type="containsText" dxfId="141" priority="59" operator="containsText" text="AL">
      <formula>NOT(ISERROR(SEARCH("AL",Z18)))</formula>
    </cfRule>
  </conditionalFormatting>
  <conditionalFormatting sqref="AA18">
    <cfRule type="containsText" dxfId="140" priority="62" operator="containsText" text="MC">
      <formula>NOT(ISERROR(SEARCH("MC",AA18)))</formula>
    </cfRule>
    <cfRule type="containsText" dxfId="139" priority="61" operator="containsText" text="FL">
      <formula>NOT(ISERROR(SEARCH("FL",AA18)))</formula>
    </cfRule>
    <cfRule type="containsText" dxfId="138" priority="60" operator="containsText" text="SUS">
      <formula>NOT(ISERROR(SEARCH("SUS",AA18)))</formula>
    </cfRule>
    <cfRule type="containsText" dxfId="137" priority="66" operator="containsText" text="AL">
      <formula>NOT(ISERROR(SEARCH("AL",AA18)))</formula>
    </cfRule>
    <cfRule type="containsText" dxfId="136" priority="65" operator="containsText" text="OFF">
      <formula>NOT(ISERROR(SEARCH("OFF",AA18)))</formula>
    </cfRule>
    <cfRule type="containsText" dxfId="135" priority="64" operator="containsText" text="Sick">
      <formula>NOT(ISERROR(SEARCH("Sick",AA18)))</formula>
    </cfRule>
    <cfRule type="containsText" dxfId="134" priority="63" operator="containsText" text="AB">
      <formula>NOT(ISERROR(SEARCH("AB",AA18)))</formula>
    </cfRule>
  </conditionalFormatting>
  <conditionalFormatting sqref="AB18">
    <cfRule type="containsText" dxfId="133" priority="77" operator="containsText" text="SP">
      <formula>NOT(ISERROR(SEARCH("SP",AB18)))</formula>
    </cfRule>
    <cfRule type="containsText" dxfId="132" priority="78" operator="containsText" text="NL">
      <formula>NOT(ISERROR(SEARCH("NL",AB18)))</formula>
    </cfRule>
    <cfRule type="containsText" dxfId="131" priority="85" operator="containsText" text="SICK">
      <formula>NOT(ISERROR(SEARCH("SICK",AB18)))</formula>
    </cfRule>
    <cfRule type="containsText" dxfId="130" priority="79" operator="containsText" text="SUS">
      <formula>NOT(ISERROR(SEARCH("SUS",AB18)))</formula>
    </cfRule>
    <cfRule type="containsText" dxfId="129" priority="84" operator="containsText" text="AB">
      <formula>NOT(ISERROR(SEARCH("AB",AB18)))</formula>
    </cfRule>
    <cfRule type="containsText" dxfId="128" priority="83" operator="containsText" text="OFF">
      <formula>NOT(ISERROR(SEARCH("OFF",AB18)))</formula>
    </cfRule>
    <cfRule type="containsText" dxfId="127" priority="86" operator="containsText" text="AL">
      <formula>NOT(ISERROR(SEARCH("AL",AB18)))</formula>
    </cfRule>
    <cfRule type="containsText" dxfId="126" priority="81" operator="containsText" text="EL">
      <formula>NOT(ISERROR(SEARCH("EL",AB18)))</formula>
    </cfRule>
    <cfRule type="containsText" dxfId="125" priority="80" operator="containsText" text="FL">
      <formula>NOT(ISERROR(SEARCH("FL",AB18)))</formula>
    </cfRule>
    <cfRule type="containsText" dxfId="124" priority="82" operator="containsText" text="MC">
      <formula>NOT(ISERROR(SEARCH("MC",AB18)))</formula>
    </cfRule>
  </conditionalFormatting>
  <conditionalFormatting sqref="AB20 AE21:AE29 AJ25:AJ33">
    <cfRule type="containsText" dxfId="123" priority="112" stopIfTrue="1" operator="containsText" text="SICK">
      <formula>NOT(ISERROR(SEARCH("SICK",AB20)))</formula>
    </cfRule>
    <cfRule type="containsText" dxfId="122" priority="113" stopIfTrue="1" operator="containsText" text="SP">
      <formula>NOT(ISERROR(SEARCH("SP",AB20)))</formula>
    </cfRule>
    <cfRule type="containsText" priority="114" stopIfTrue="1" operator="containsText" text="SP">
      <formula>NOT(ISERROR(SEARCH("SP",AB20)))</formula>
    </cfRule>
    <cfRule type="containsText" dxfId="121" priority="116" stopIfTrue="1" operator="containsText" text="HD">
      <formula>NOT(ISERROR(SEARCH("HD",AB20)))</formula>
    </cfRule>
    <cfRule type="containsText" dxfId="120" priority="117" stopIfTrue="1" operator="containsText" text="AB">
      <formula>NOT(ISERROR(SEARCH("AB",AB20)))</formula>
    </cfRule>
    <cfRule type="containsText" dxfId="119" priority="115" stopIfTrue="1" operator="containsText" text="AB">
      <formula>NOT(ISERROR(SEARCH("AB",AB20)))</formula>
    </cfRule>
  </conditionalFormatting>
  <conditionalFormatting sqref="AD18:AF18">
    <cfRule type="containsText" dxfId="118" priority="74" operator="containsText" text="AB">
      <formula>NOT(ISERROR(SEARCH("AB",AD18)))</formula>
    </cfRule>
    <cfRule type="containsText" dxfId="117" priority="75" operator="containsText" text="SICK">
      <formula>NOT(ISERROR(SEARCH("SICK",AD18)))</formula>
    </cfRule>
    <cfRule type="containsText" dxfId="116" priority="76" operator="containsText" text="AL">
      <formula>NOT(ISERROR(SEARCH("AL",AD18)))</formula>
    </cfRule>
    <cfRule type="containsText" dxfId="115" priority="68" operator="containsText" text="NL">
      <formula>NOT(ISERROR(SEARCH("NL",AD18)))</formula>
    </cfRule>
    <cfRule type="containsText" dxfId="114" priority="69" operator="containsText" text="SUS">
      <formula>NOT(ISERROR(SEARCH("SUS",AD18)))</formula>
    </cfRule>
    <cfRule type="containsText" dxfId="113" priority="72" operator="containsText" text="MC">
      <formula>NOT(ISERROR(SEARCH("MC",AD18)))</formula>
    </cfRule>
    <cfRule type="containsText" dxfId="112" priority="73" operator="containsText" text="OFF">
      <formula>NOT(ISERROR(SEARCH("OFF",AD18)))</formula>
    </cfRule>
    <cfRule type="containsText" dxfId="111" priority="70" operator="containsText" text="FL">
      <formula>NOT(ISERROR(SEARCH("FL",AD18)))</formula>
    </cfRule>
    <cfRule type="containsText" dxfId="110" priority="71" operator="containsText" text="EL">
      <formula>NOT(ISERROR(SEARCH("EL",AD18)))</formula>
    </cfRule>
    <cfRule type="containsText" dxfId="109" priority="67" operator="containsText" text="SP">
      <formula>NOT(ISERROR(SEARCH("SP",AD18)))</formula>
    </cfRule>
  </conditionalFormatting>
  <pageMargins left="0.7" right="0.7" top="0.75" bottom="0.75" header="0.3" footer="0.3"/>
  <pageSetup paperSize="9" scale="41" fitToHeight="0" orientation="landscape" r:id="rId1"/>
  <ignoredErrors>
    <ignoredError sqref="V19:AF19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0976E-42A4-4EF1-B50D-359E5A608011}">
  <sheetPr>
    <pageSetUpPr fitToPage="1"/>
  </sheetPr>
  <dimension ref="A1:CC40"/>
  <sheetViews>
    <sheetView zoomScaleNormal="100" workbookViewId="0">
      <selection activeCell="M25" sqref="M25"/>
    </sheetView>
  </sheetViews>
  <sheetFormatPr defaultRowHeight="15" x14ac:dyDescent="0.25"/>
  <cols>
    <col min="1" max="1" width="5.140625" style="46" customWidth="1"/>
    <col min="2" max="2" width="12" style="15" customWidth="1"/>
    <col min="3" max="3" width="33.7109375" customWidth="1"/>
    <col min="4" max="4" width="10" hidden="1" customWidth="1"/>
    <col min="5" max="32" width="6.5703125" customWidth="1"/>
    <col min="33" max="34" width="6.28515625" customWidth="1"/>
    <col min="35" max="35" width="6.28515625" style="74" customWidth="1"/>
    <col min="36" max="36" width="6.28515625" style="58" customWidth="1"/>
    <col min="37" max="37" width="6.28515625" customWidth="1"/>
    <col min="38" max="38" width="19.140625" customWidth="1"/>
    <col min="39" max="68" width="6.5703125" customWidth="1"/>
    <col min="69" max="69" width="5.85546875" style="15" customWidth="1"/>
    <col min="70" max="77" width="5" customWidth="1"/>
    <col min="78" max="78" width="5.85546875" customWidth="1"/>
    <col min="79" max="82" width="5" customWidth="1"/>
  </cols>
  <sheetData>
    <row r="1" spans="1:78" ht="15.75" x14ac:dyDescent="0.25"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34"/>
      <c r="Y1" s="34"/>
    </row>
    <row r="2" spans="1:78" ht="25.5" customHeight="1" x14ac:dyDescent="0.25">
      <c r="A2" s="238" t="s">
        <v>293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  <c r="AA2" s="239"/>
      <c r="AB2" s="239"/>
      <c r="AC2" s="239"/>
      <c r="AD2" s="239"/>
      <c r="AE2" s="239"/>
      <c r="AF2" s="239"/>
      <c r="AG2" s="239"/>
      <c r="AH2" s="240"/>
      <c r="AI2" s="112"/>
    </row>
    <row r="3" spans="1:78" ht="22.5" customHeight="1" x14ac:dyDescent="0.25">
      <c r="A3" s="231" t="s">
        <v>170</v>
      </c>
      <c r="B3" s="232"/>
      <c r="C3" s="233"/>
      <c r="D3" s="85"/>
      <c r="E3" s="205" t="s">
        <v>4</v>
      </c>
      <c r="F3" s="205"/>
      <c r="G3" s="205" t="s">
        <v>5</v>
      </c>
      <c r="H3" s="205"/>
      <c r="I3" s="205" t="s">
        <v>6</v>
      </c>
      <c r="J3" s="205"/>
      <c r="K3" s="205" t="s">
        <v>7</v>
      </c>
      <c r="L3" s="205"/>
      <c r="M3" s="205" t="s">
        <v>1</v>
      </c>
      <c r="N3" s="205"/>
      <c r="O3" s="205" t="s">
        <v>2</v>
      </c>
      <c r="P3" s="205"/>
      <c r="Q3" s="205" t="s">
        <v>3</v>
      </c>
      <c r="R3" s="205"/>
      <c r="S3" s="205" t="s">
        <v>4</v>
      </c>
      <c r="T3" s="205"/>
      <c r="U3" s="205" t="s">
        <v>5</v>
      </c>
      <c r="V3" s="205"/>
      <c r="W3" s="205" t="s">
        <v>6</v>
      </c>
      <c r="X3" s="205"/>
      <c r="Y3" s="205" t="s">
        <v>7</v>
      </c>
      <c r="Z3" s="205"/>
      <c r="AA3" s="205" t="s">
        <v>1</v>
      </c>
      <c r="AB3" s="205"/>
      <c r="AC3" s="205" t="s">
        <v>2</v>
      </c>
      <c r="AD3" s="205"/>
      <c r="AE3" s="205" t="s">
        <v>3</v>
      </c>
      <c r="AF3" s="205"/>
      <c r="AG3" s="205" t="s">
        <v>4</v>
      </c>
      <c r="AH3" s="205"/>
      <c r="AI3" s="112"/>
    </row>
    <row r="4" spans="1:78" ht="22.5" customHeight="1" x14ac:dyDescent="0.25">
      <c r="A4" s="234"/>
      <c r="B4" s="235"/>
      <c r="C4" s="236"/>
      <c r="D4" s="85"/>
      <c r="E4" s="201">
        <v>46235</v>
      </c>
      <c r="F4" s="201"/>
      <c r="G4" s="201">
        <v>46236</v>
      </c>
      <c r="H4" s="201"/>
      <c r="I4" s="201">
        <v>46237</v>
      </c>
      <c r="J4" s="201"/>
      <c r="K4" s="201">
        <v>46238</v>
      </c>
      <c r="L4" s="201"/>
      <c r="M4" s="201">
        <v>46239</v>
      </c>
      <c r="N4" s="201"/>
      <c r="O4" s="201">
        <v>46240</v>
      </c>
      <c r="P4" s="201"/>
      <c r="Q4" s="201">
        <v>46241</v>
      </c>
      <c r="R4" s="201"/>
      <c r="S4" s="201">
        <v>46242</v>
      </c>
      <c r="T4" s="201"/>
      <c r="U4" s="201">
        <v>46243</v>
      </c>
      <c r="V4" s="201"/>
      <c r="W4" s="201">
        <v>46244</v>
      </c>
      <c r="X4" s="201"/>
      <c r="Y4" s="201">
        <v>46245</v>
      </c>
      <c r="Z4" s="201"/>
      <c r="AA4" s="201">
        <v>46246</v>
      </c>
      <c r="AB4" s="201"/>
      <c r="AC4" s="201">
        <v>46247</v>
      </c>
      <c r="AD4" s="201"/>
      <c r="AE4" s="201">
        <v>46248</v>
      </c>
      <c r="AF4" s="201"/>
      <c r="AG4" s="201">
        <v>46249</v>
      </c>
      <c r="AH4" s="201"/>
      <c r="AI4" s="112"/>
    </row>
    <row r="5" spans="1:78" ht="20.25" customHeight="1" x14ac:dyDescent="0.25">
      <c r="A5" s="4" t="s">
        <v>10</v>
      </c>
      <c r="B5" s="4" t="s">
        <v>11</v>
      </c>
      <c r="C5" s="4" t="s">
        <v>12</v>
      </c>
      <c r="D5" s="13"/>
      <c r="E5" s="13" t="s">
        <v>13</v>
      </c>
      <c r="F5" s="13" t="s">
        <v>14</v>
      </c>
      <c r="G5" s="13" t="s">
        <v>13</v>
      </c>
      <c r="H5" s="13" t="s">
        <v>14</v>
      </c>
      <c r="I5" s="13" t="s">
        <v>13</v>
      </c>
      <c r="J5" s="13" t="s">
        <v>14</v>
      </c>
      <c r="K5" s="13" t="s">
        <v>13</v>
      </c>
      <c r="L5" s="13" t="s">
        <v>14</v>
      </c>
      <c r="M5" s="13" t="s">
        <v>13</v>
      </c>
      <c r="N5" s="13" t="s">
        <v>14</v>
      </c>
      <c r="O5" s="13" t="s">
        <v>13</v>
      </c>
      <c r="P5" s="13" t="s">
        <v>14</v>
      </c>
      <c r="Q5" s="13" t="s">
        <v>13</v>
      </c>
      <c r="R5" s="13" t="s">
        <v>14</v>
      </c>
      <c r="S5" s="13" t="s">
        <v>13</v>
      </c>
      <c r="T5" s="13" t="s">
        <v>14</v>
      </c>
      <c r="U5" s="13" t="s">
        <v>13</v>
      </c>
      <c r="V5" s="13" t="s">
        <v>14</v>
      </c>
      <c r="W5" s="13" t="s">
        <v>13</v>
      </c>
      <c r="X5" s="13" t="s">
        <v>14</v>
      </c>
      <c r="Y5" s="4" t="s">
        <v>13</v>
      </c>
      <c r="Z5" s="4" t="s">
        <v>14</v>
      </c>
      <c r="AA5" s="4" t="s">
        <v>13</v>
      </c>
      <c r="AB5" s="4" t="s">
        <v>14</v>
      </c>
      <c r="AC5" s="4" t="s">
        <v>13</v>
      </c>
      <c r="AD5" s="4" t="s">
        <v>14</v>
      </c>
      <c r="AE5" s="4" t="s">
        <v>13</v>
      </c>
      <c r="AF5" s="4" t="s">
        <v>14</v>
      </c>
      <c r="AG5" s="4" t="s">
        <v>13</v>
      </c>
      <c r="AH5" s="4" t="s">
        <v>14</v>
      </c>
      <c r="AI5" s="112"/>
    </row>
    <row r="6" spans="1:78" ht="21.75" customHeight="1" x14ac:dyDescent="0.25">
      <c r="A6" s="10">
        <v>1</v>
      </c>
      <c r="B6" s="11" t="s">
        <v>31</v>
      </c>
      <c r="C6" s="78" t="s">
        <v>294</v>
      </c>
      <c r="D6" s="86">
        <v>38713</v>
      </c>
      <c r="E6" s="175" t="s">
        <v>17</v>
      </c>
      <c r="F6" s="175" t="s">
        <v>17</v>
      </c>
      <c r="G6" s="175" t="s">
        <v>17</v>
      </c>
      <c r="H6" s="175" t="s">
        <v>17</v>
      </c>
      <c r="I6" s="175" t="s">
        <v>17</v>
      </c>
      <c r="J6" s="175" t="s">
        <v>17</v>
      </c>
      <c r="K6" s="175" t="s">
        <v>17</v>
      </c>
      <c r="L6" s="175" t="s">
        <v>17</v>
      </c>
      <c r="M6" s="175" t="s">
        <v>17</v>
      </c>
      <c r="N6" s="175" t="s">
        <v>17</v>
      </c>
      <c r="O6" s="137">
        <v>46240.373935185184</v>
      </c>
      <c r="P6" s="137">
        <v>46240.765763888892</v>
      </c>
      <c r="Q6" s="137">
        <v>46241.583587962959</v>
      </c>
      <c r="R6" s="137">
        <v>46241.768738425926</v>
      </c>
      <c r="S6" s="137">
        <v>1</v>
      </c>
      <c r="T6" s="137">
        <v>46242.767083333332</v>
      </c>
      <c r="U6" s="137">
        <v>46243.373900462961</v>
      </c>
      <c r="V6" s="137">
        <v>46243.750925925924</v>
      </c>
      <c r="W6" s="137">
        <v>46244.373692129629</v>
      </c>
      <c r="X6" s="137">
        <v>46244.756666666668</v>
      </c>
      <c r="Y6" s="137">
        <v>46245.376192129632</v>
      </c>
      <c r="Z6" s="137">
        <v>46245.987870370373</v>
      </c>
      <c r="AA6" s="137">
        <v>46246.37023148148</v>
      </c>
      <c r="AB6" s="137">
        <v>46246.765914351854</v>
      </c>
      <c r="AC6" s="137">
        <v>46247.373680555553</v>
      </c>
      <c r="AD6" s="137">
        <v>46247.74287037037</v>
      </c>
      <c r="AE6" s="137">
        <v>46248.588576388887</v>
      </c>
      <c r="AF6" s="137">
        <v>46248.753055555557</v>
      </c>
      <c r="AG6" s="137">
        <v>46249.476817129631</v>
      </c>
      <c r="AH6" s="137">
        <v>46249.77983796296</v>
      </c>
      <c r="AI6" s="112"/>
    </row>
    <row r="7" spans="1:78" ht="18.75" x14ac:dyDescent="0.25">
      <c r="AI7" s="112"/>
    </row>
    <row r="10" spans="1:78" x14ac:dyDescent="0.25">
      <c r="E10" s="4"/>
      <c r="F10" s="205" t="s">
        <v>5</v>
      </c>
      <c r="G10" s="206"/>
      <c r="H10" s="205" t="s">
        <v>6</v>
      </c>
      <c r="I10" s="206"/>
      <c r="J10" s="205" t="s">
        <v>7</v>
      </c>
      <c r="K10" s="206"/>
      <c r="L10" s="205" t="s">
        <v>1</v>
      </c>
      <c r="M10" s="206"/>
      <c r="N10" s="205" t="s">
        <v>2</v>
      </c>
      <c r="O10" s="206"/>
      <c r="P10" s="205" t="s">
        <v>3</v>
      </c>
      <c r="Q10" s="206"/>
      <c r="R10" s="205" t="s">
        <v>4</v>
      </c>
      <c r="S10" s="206"/>
      <c r="T10" s="205" t="s">
        <v>5</v>
      </c>
      <c r="U10" s="206"/>
      <c r="V10" s="205" t="s">
        <v>6</v>
      </c>
      <c r="W10" s="206"/>
      <c r="X10" s="205" t="s">
        <v>7</v>
      </c>
      <c r="Y10" s="206"/>
      <c r="Z10" s="205" t="s">
        <v>1</v>
      </c>
      <c r="AA10" s="206"/>
      <c r="AB10" s="205" t="s">
        <v>2</v>
      </c>
      <c r="AC10" s="206"/>
      <c r="AD10" s="205" t="s">
        <v>3</v>
      </c>
      <c r="AE10" s="206"/>
      <c r="AF10" s="205" t="s">
        <v>4</v>
      </c>
      <c r="AG10" s="206"/>
      <c r="AH10" s="205" t="s">
        <v>5</v>
      </c>
      <c r="AI10" s="206"/>
      <c r="AJ10" s="205" t="s">
        <v>6</v>
      </c>
      <c r="AK10" s="205"/>
    </row>
    <row r="11" spans="1:78" x14ac:dyDescent="0.25">
      <c r="E11" s="104"/>
      <c r="F11" s="201">
        <v>46250</v>
      </c>
      <c r="G11" s="202"/>
      <c r="H11" s="201">
        <v>46251</v>
      </c>
      <c r="I11" s="202"/>
      <c r="J11" s="201">
        <v>46252</v>
      </c>
      <c r="K11" s="202"/>
      <c r="L11" s="201">
        <v>46253</v>
      </c>
      <c r="M11" s="202"/>
      <c r="N11" s="201">
        <v>46254</v>
      </c>
      <c r="O11" s="202"/>
      <c r="P11" s="201">
        <v>46255</v>
      </c>
      <c r="Q11" s="202"/>
      <c r="R11" s="201">
        <v>46256</v>
      </c>
      <c r="S11" s="202"/>
      <c r="T11" s="201">
        <v>46257</v>
      </c>
      <c r="U11" s="202"/>
      <c r="V11" s="201">
        <v>46258</v>
      </c>
      <c r="W11" s="202"/>
      <c r="X11" s="201">
        <v>46259</v>
      </c>
      <c r="Y11" s="202"/>
      <c r="Z11" s="201">
        <v>46260</v>
      </c>
      <c r="AA11" s="202"/>
      <c r="AB11" s="201">
        <v>46261</v>
      </c>
      <c r="AC11" s="202"/>
      <c r="AD11" s="201">
        <v>46262</v>
      </c>
      <c r="AE11" s="202"/>
      <c r="AF11" s="201">
        <v>46263</v>
      </c>
      <c r="AG11" s="202"/>
      <c r="AH11" s="201">
        <v>46264</v>
      </c>
      <c r="AI11" s="202"/>
      <c r="AJ11" s="201">
        <v>46265</v>
      </c>
      <c r="AK11" s="201"/>
    </row>
    <row r="12" spans="1:78" x14ac:dyDescent="0.25">
      <c r="E12" s="4"/>
      <c r="F12" s="4" t="s">
        <v>13</v>
      </c>
      <c r="G12" s="4" t="s">
        <v>14</v>
      </c>
      <c r="H12" s="4" t="s">
        <v>13</v>
      </c>
      <c r="I12" s="4" t="s">
        <v>14</v>
      </c>
      <c r="J12" s="4" t="s">
        <v>13</v>
      </c>
      <c r="K12" s="4" t="s">
        <v>14</v>
      </c>
      <c r="L12" s="4" t="s">
        <v>13</v>
      </c>
      <c r="M12" s="4" t="s">
        <v>14</v>
      </c>
      <c r="N12" s="4" t="s">
        <v>13</v>
      </c>
      <c r="O12" s="4" t="s">
        <v>14</v>
      </c>
      <c r="P12" s="13" t="s">
        <v>13</v>
      </c>
      <c r="Q12" s="13" t="s">
        <v>14</v>
      </c>
      <c r="R12" s="13" t="s">
        <v>13</v>
      </c>
      <c r="S12" s="13" t="s">
        <v>14</v>
      </c>
      <c r="T12" s="13" t="s">
        <v>13</v>
      </c>
      <c r="U12" s="13" t="s">
        <v>14</v>
      </c>
      <c r="V12" s="13" t="s">
        <v>13</v>
      </c>
      <c r="W12" s="13" t="s">
        <v>14</v>
      </c>
      <c r="X12" s="13" t="s">
        <v>13</v>
      </c>
      <c r="Y12" s="13" t="s">
        <v>14</v>
      </c>
      <c r="Z12" s="4" t="s">
        <v>13</v>
      </c>
      <c r="AA12" s="4" t="s">
        <v>14</v>
      </c>
      <c r="AB12" s="4" t="s">
        <v>13</v>
      </c>
      <c r="AC12" s="4" t="s">
        <v>14</v>
      </c>
      <c r="AD12" s="4" t="s">
        <v>13</v>
      </c>
      <c r="AE12" s="4" t="s">
        <v>14</v>
      </c>
      <c r="AF12" s="4" t="s">
        <v>13</v>
      </c>
      <c r="AG12" s="4" t="s">
        <v>14</v>
      </c>
      <c r="AH12" s="4" t="s">
        <v>13</v>
      </c>
      <c r="AI12" s="4" t="s">
        <v>14</v>
      </c>
      <c r="AJ12" s="4" t="s">
        <v>13</v>
      </c>
      <c r="AK12" s="4" t="s">
        <v>14</v>
      </c>
    </row>
    <row r="13" spans="1:78" x14ac:dyDescent="0.25">
      <c r="E13" s="45">
        <v>1</v>
      </c>
      <c r="F13" s="137">
        <v>46250.372974537036</v>
      </c>
      <c r="G13" s="137">
        <v>46250.755949074075</v>
      </c>
      <c r="H13" s="147">
        <v>46251.377025462964</v>
      </c>
      <c r="I13" s="137">
        <v>46251.759768518517</v>
      </c>
      <c r="J13" s="137">
        <v>46252.373217592591</v>
      </c>
      <c r="K13" s="137">
        <v>46252.770185185182</v>
      </c>
      <c r="L13" s="137">
        <v>46253.373252314814</v>
      </c>
      <c r="M13" s="137">
        <v>46253.77447916667</v>
      </c>
      <c r="N13" s="137">
        <v>46254.374907407408</v>
      </c>
      <c r="O13" s="137">
        <v>46254.748831018522</v>
      </c>
      <c r="P13" s="137">
        <v>46255.586064814815</v>
      </c>
      <c r="Q13" s="137">
        <v>46255.765173611115</v>
      </c>
      <c r="R13" s="137">
        <v>46256.416041666664</v>
      </c>
      <c r="S13" s="137">
        <v>46256.753055555557</v>
      </c>
      <c r="T13" s="137">
        <v>46257.374872685185</v>
      </c>
      <c r="U13" s="137">
        <v>46257.755856481483</v>
      </c>
      <c r="V13" s="137">
        <v>46258.352430555555</v>
      </c>
      <c r="W13" s="137">
        <v>46258.995844907404</v>
      </c>
      <c r="X13" s="137">
        <v>46259.377488425926</v>
      </c>
      <c r="Y13" s="137">
        <v>46259.760960648149</v>
      </c>
      <c r="Z13" s="137">
        <v>46260.377534722225</v>
      </c>
      <c r="AA13" s="137">
        <v>46260.752233796295</v>
      </c>
      <c r="AB13" s="137">
        <v>46261.373993055553</v>
      </c>
      <c r="AC13" s="137">
        <v>46261.751180555555</v>
      </c>
      <c r="AD13" s="137">
        <v>46262.603680555556</v>
      </c>
      <c r="AE13" s="137">
        <v>46262.751168981478</v>
      </c>
      <c r="AF13" s="137">
        <v>46263.496851851851</v>
      </c>
      <c r="AG13" s="137">
        <v>46263.757800925923</v>
      </c>
      <c r="AH13" s="137">
        <v>46264.373437499999</v>
      </c>
      <c r="AI13" s="137">
        <v>46264.959733796299</v>
      </c>
      <c r="AJ13" s="137">
        <v>46265.3746875</v>
      </c>
      <c r="AK13" s="137">
        <v>46265.97928240741</v>
      </c>
      <c r="BY13" s="157"/>
      <c r="BZ13" s="16"/>
    </row>
    <row r="14" spans="1:78" x14ac:dyDescent="0.25">
      <c r="BN14" s="15"/>
    </row>
    <row r="15" spans="1:78" ht="15" customHeight="1" x14ac:dyDescent="0.25">
      <c r="AA15" s="74"/>
      <c r="AB15" s="58"/>
      <c r="BN15" s="15"/>
    </row>
    <row r="16" spans="1:78" ht="33.75" x14ac:dyDescent="0.25">
      <c r="C16" s="152" t="s">
        <v>249</v>
      </c>
      <c r="D16" s="251" t="s">
        <v>295</v>
      </c>
      <c r="E16" s="251"/>
      <c r="F16" s="251"/>
      <c r="G16" s="251"/>
      <c r="H16" s="251"/>
      <c r="I16" s="251"/>
      <c r="J16" s="251"/>
      <c r="K16" s="251"/>
      <c r="L16" s="251"/>
      <c r="M16" s="251"/>
      <c r="S16" s="184" t="s">
        <v>8</v>
      </c>
      <c r="T16" s="185" t="s">
        <v>9</v>
      </c>
      <c r="U16" s="150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BN16" s="15"/>
    </row>
    <row r="17" spans="3:69" x14ac:dyDescent="0.25">
      <c r="F17" s="248" t="s">
        <v>296</v>
      </c>
      <c r="G17" s="248"/>
      <c r="H17" s="248"/>
      <c r="I17" s="248"/>
      <c r="J17" s="248"/>
      <c r="K17" s="248"/>
      <c r="L17" s="248"/>
      <c r="M17" s="248"/>
      <c r="S17" s="187"/>
      <c r="T17" s="186"/>
      <c r="U17" s="62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BN17" s="15"/>
    </row>
    <row r="18" spans="3:69" ht="28.5" customHeight="1" x14ac:dyDescent="0.25">
      <c r="C18" s="154"/>
      <c r="D18" s="153">
        <v>340.03</v>
      </c>
      <c r="E18" s="153"/>
      <c r="F18" s="153"/>
      <c r="G18" s="153"/>
      <c r="H18" s="169"/>
      <c r="I18" s="169"/>
      <c r="J18" s="169"/>
      <c r="K18" s="169"/>
      <c r="L18" s="169"/>
      <c r="M18" s="169"/>
      <c r="S18" s="187"/>
      <c r="T18" s="149"/>
      <c r="U18" s="59"/>
      <c r="V18" s="92" t="s">
        <v>15</v>
      </c>
      <c r="W18" s="91" t="s">
        <v>16</v>
      </c>
      <c r="X18" s="91" t="s">
        <v>17</v>
      </c>
      <c r="Y18" s="89" t="s">
        <v>18</v>
      </c>
      <c r="Z18" s="91" t="s">
        <v>19</v>
      </c>
      <c r="AA18" s="91" t="s">
        <v>20</v>
      </c>
      <c r="AB18" s="75" t="s">
        <v>171</v>
      </c>
      <c r="AC18" s="60" t="s">
        <v>22</v>
      </c>
      <c r="AD18" s="77" t="s">
        <v>23</v>
      </c>
      <c r="AE18" s="77" t="s">
        <v>24</v>
      </c>
      <c r="AF18" s="77" t="s">
        <v>25</v>
      </c>
      <c r="AG18" s="249" t="s">
        <v>26</v>
      </c>
      <c r="AH18" s="249"/>
      <c r="AI18" s="249"/>
      <c r="AJ18" s="249"/>
      <c r="AK18" s="249"/>
      <c r="BN18" s="15"/>
      <c r="BQ18"/>
    </row>
    <row r="19" spans="3:69" x14ac:dyDescent="0.25">
      <c r="S19" s="99">
        <v>26</v>
      </c>
      <c r="T19" s="68">
        <v>5</v>
      </c>
      <c r="U19" s="1">
        <v>26</v>
      </c>
      <c r="V19" s="2">
        <f>COUNTIF(E6:BN6,"OFF")/2</f>
        <v>0</v>
      </c>
      <c r="W19" s="2">
        <f>COUNTIF(E6:BN6,"MC")/2</f>
        <v>0</v>
      </c>
      <c r="X19" s="2">
        <f>COUNTIF(E6:BN6,"EL")/2</f>
        <v>5</v>
      </c>
      <c r="Y19" s="2">
        <f>COUNTIF(E6:BN6,"AL")/2</f>
        <v>0</v>
      </c>
      <c r="Z19" s="2">
        <f>COUNTIF(E6:BN6,"SUS")/2</f>
        <v>0</v>
      </c>
      <c r="AA19" s="2">
        <f>COUNTIF(E6:BN6,"FL")/2</f>
        <v>0</v>
      </c>
      <c r="AB19" s="2">
        <v>0</v>
      </c>
      <c r="AC19" s="2">
        <f>COUNTIF(E6:BN6,"HD")/2</f>
        <v>0</v>
      </c>
      <c r="AD19" s="2">
        <f>COUNTIF(E6:BN6,"AB")/2</f>
        <v>0</v>
      </c>
      <c r="AE19" s="2">
        <f>COUNTIF(E6:BN6,"NL")/2</f>
        <v>0</v>
      </c>
      <c r="AF19" s="2">
        <f>COUNTIF(E6:BN6,"SP")/2</f>
        <v>0</v>
      </c>
      <c r="AG19" s="250" t="s">
        <v>289</v>
      </c>
      <c r="AH19" s="250"/>
      <c r="AI19" s="250"/>
      <c r="AJ19" s="250"/>
      <c r="AK19" s="250"/>
      <c r="AQ19" t="s">
        <v>64</v>
      </c>
      <c r="BN19" s="15"/>
      <c r="BQ19"/>
    </row>
    <row r="20" spans="3:69" x14ac:dyDescent="0.25">
      <c r="AA20" s="74"/>
      <c r="AB20" s="66"/>
    </row>
    <row r="21" spans="3:69" x14ac:dyDescent="0.25">
      <c r="S21" s="158" t="s">
        <v>71</v>
      </c>
      <c r="T21" s="159"/>
      <c r="U21" s="160"/>
      <c r="V21" s="161" t="s">
        <v>16</v>
      </c>
      <c r="W21" s="162"/>
      <c r="X21" s="163" t="s">
        <v>72</v>
      </c>
      <c r="Y21" s="159"/>
      <c r="Z21" s="164"/>
      <c r="AA21" s="159"/>
      <c r="AB21" s="165" t="s">
        <v>22</v>
      </c>
      <c r="AD21" s="74"/>
      <c r="AE21" s="66"/>
    </row>
    <row r="22" spans="3:69" x14ac:dyDescent="0.25">
      <c r="F22" s="169"/>
      <c r="G22" s="169"/>
      <c r="H22" s="169"/>
      <c r="I22" s="169"/>
      <c r="J22" s="169"/>
      <c r="K22" s="169"/>
      <c r="L22" s="169"/>
      <c r="M22" s="169"/>
      <c r="S22" s="158" t="s">
        <v>73</v>
      </c>
      <c r="T22" s="162"/>
      <c r="U22" s="162"/>
      <c r="V22" s="161" t="s">
        <v>17</v>
      </c>
      <c r="W22" s="164"/>
      <c r="X22" s="163" t="s">
        <v>74</v>
      </c>
      <c r="Y22" s="166"/>
      <c r="Z22" s="166"/>
      <c r="AA22" s="167"/>
      <c r="AB22" s="165" t="s">
        <v>23</v>
      </c>
      <c r="AD22" s="74"/>
      <c r="AE22" s="66"/>
    </row>
    <row r="23" spans="3:69" x14ac:dyDescent="0.25">
      <c r="F23" s="169"/>
      <c r="G23" s="169"/>
      <c r="H23" s="169"/>
      <c r="I23" s="169"/>
      <c r="J23" s="169"/>
      <c r="K23" s="169"/>
      <c r="L23" s="169"/>
      <c r="M23" s="169"/>
      <c r="S23" s="158" t="s">
        <v>75</v>
      </c>
      <c r="T23" s="162"/>
      <c r="U23" s="162"/>
      <c r="V23" s="161" t="s">
        <v>18</v>
      </c>
      <c r="W23" s="164"/>
      <c r="X23" s="158" t="s">
        <v>76</v>
      </c>
      <c r="Y23" s="168"/>
      <c r="Z23" s="168"/>
      <c r="AA23" s="167"/>
      <c r="AB23" s="165" t="s">
        <v>24</v>
      </c>
      <c r="AD23" s="74"/>
      <c r="AE23" s="66"/>
    </row>
    <row r="24" spans="3:69" x14ac:dyDescent="0.25">
      <c r="F24" s="169"/>
      <c r="G24" s="169"/>
      <c r="H24" s="169"/>
      <c r="I24" s="169"/>
      <c r="J24" s="169"/>
      <c r="K24" s="169"/>
      <c r="L24" s="169"/>
      <c r="M24" s="169"/>
      <c r="S24" s="158" t="s">
        <v>77</v>
      </c>
      <c r="T24" s="162"/>
      <c r="U24" s="162"/>
      <c r="V24" s="161" t="s">
        <v>19</v>
      </c>
      <c r="W24" s="164"/>
      <c r="X24" s="158" t="s">
        <v>78</v>
      </c>
      <c r="Y24" s="168"/>
      <c r="Z24" s="168"/>
      <c r="AA24" s="167"/>
      <c r="AB24" s="165" t="s">
        <v>25</v>
      </c>
      <c r="AD24" s="74"/>
      <c r="AE24" s="66"/>
    </row>
    <row r="25" spans="3:69" x14ac:dyDescent="0.25">
      <c r="F25" s="169"/>
      <c r="G25" s="169"/>
      <c r="H25" s="169"/>
      <c r="I25" s="169"/>
      <c r="J25" s="169"/>
      <c r="K25" s="169"/>
      <c r="L25" s="169"/>
      <c r="M25" s="169"/>
      <c r="S25" s="158" t="s">
        <v>79</v>
      </c>
      <c r="T25" s="162"/>
      <c r="U25" s="162"/>
      <c r="V25" s="161" t="s">
        <v>20</v>
      </c>
      <c r="W25" s="164"/>
      <c r="X25" s="164"/>
      <c r="Y25" s="164"/>
      <c r="Z25" s="164"/>
      <c r="AA25" s="164"/>
      <c r="AB25" s="164"/>
      <c r="AD25" s="74"/>
      <c r="AE25" s="66"/>
      <c r="AJ25" s="66"/>
    </row>
    <row r="26" spans="3:69" x14ac:dyDescent="0.25">
      <c r="F26" s="169"/>
      <c r="G26" s="169"/>
      <c r="H26" s="169"/>
      <c r="I26" s="169"/>
      <c r="J26" s="169"/>
      <c r="K26" s="169"/>
      <c r="L26" s="169"/>
      <c r="M26" s="169"/>
      <c r="S26" s="158"/>
      <c r="T26" s="162"/>
      <c r="U26" s="162"/>
      <c r="V26" s="161"/>
      <c r="W26" s="164"/>
      <c r="X26" s="164"/>
      <c r="Y26" s="164"/>
      <c r="Z26" s="164"/>
      <c r="AA26" s="164"/>
      <c r="AB26" s="164"/>
      <c r="AD26" s="74"/>
      <c r="AE26" s="66"/>
      <c r="AJ26" s="66"/>
    </row>
    <row r="27" spans="3:69" x14ac:dyDescent="0.25">
      <c r="F27" s="169"/>
      <c r="G27" s="169"/>
      <c r="H27" s="169"/>
      <c r="I27" s="169"/>
      <c r="J27" s="169"/>
      <c r="K27" s="169"/>
      <c r="L27" s="169"/>
      <c r="M27" s="169"/>
      <c r="S27" s="158"/>
      <c r="T27" s="162"/>
      <c r="U27" s="162"/>
      <c r="V27" s="161"/>
      <c r="W27" s="164"/>
      <c r="X27" s="164"/>
      <c r="Y27" s="164"/>
      <c r="Z27" s="164"/>
      <c r="AA27" s="164"/>
      <c r="AB27" s="164"/>
      <c r="AD27" s="74"/>
      <c r="AE27" s="66"/>
      <c r="AJ27" s="66"/>
    </row>
    <row r="28" spans="3:69" x14ac:dyDescent="0.25">
      <c r="F28" s="169"/>
      <c r="G28" s="169"/>
      <c r="H28" s="169"/>
      <c r="I28" s="169"/>
      <c r="J28" s="169"/>
      <c r="K28" s="169"/>
      <c r="L28" s="169"/>
      <c r="M28" s="169"/>
      <c r="S28" s="158"/>
      <c r="T28" s="162"/>
      <c r="U28" s="162"/>
      <c r="V28" s="161"/>
      <c r="W28" s="164"/>
      <c r="X28" s="164"/>
      <c r="Y28" s="164"/>
      <c r="Z28" s="164"/>
      <c r="AA28" s="164"/>
      <c r="AB28" s="164"/>
      <c r="AD28" s="74"/>
      <c r="AE28" s="66"/>
      <c r="AJ28" s="66"/>
    </row>
    <row r="29" spans="3:69" x14ac:dyDescent="0.25">
      <c r="F29" s="169"/>
      <c r="G29" s="169"/>
      <c r="H29" s="169"/>
      <c r="I29" s="169"/>
      <c r="J29" s="169"/>
      <c r="K29" s="169"/>
      <c r="L29" s="169"/>
      <c r="M29" s="169"/>
      <c r="S29" s="158"/>
      <c r="T29" s="162"/>
      <c r="U29" s="162"/>
      <c r="V29" s="161"/>
      <c r="W29" s="164"/>
      <c r="X29" s="164"/>
      <c r="Y29" s="164"/>
      <c r="Z29" s="164"/>
      <c r="AA29" s="164"/>
      <c r="AB29" s="164"/>
      <c r="AD29" s="74"/>
      <c r="AE29" s="66"/>
      <c r="AJ29" s="66"/>
    </row>
    <row r="30" spans="3:69" ht="15.75" x14ac:dyDescent="0.25">
      <c r="F30" s="169"/>
      <c r="G30" s="17" t="s">
        <v>62</v>
      </c>
      <c r="H30" s="18"/>
      <c r="I30" s="17"/>
      <c r="J30" s="19"/>
      <c r="M30" s="19"/>
      <c r="N30" s="20"/>
      <c r="O30" s="21"/>
      <c r="P30" s="21"/>
      <c r="Q30" s="22" t="s">
        <v>63</v>
      </c>
      <c r="R30" s="22"/>
      <c r="S30" s="20"/>
      <c r="T30" s="20"/>
      <c r="U30" s="20"/>
      <c r="V30" s="20"/>
      <c r="W30" s="20" t="s">
        <v>64</v>
      </c>
      <c r="X30" s="20"/>
      <c r="Y30" s="20"/>
      <c r="Z30" s="20"/>
      <c r="AA30" s="22" t="s">
        <v>65</v>
      </c>
      <c r="AB30" s="20"/>
      <c r="AJ30" s="66"/>
    </row>
    <row r="31" spans="3:69" ht="17.25" x14ac:dyDescent="0.25">
      <c r="F31" s="169"/>
      <c r="G31" s="19"/>
      <c r="H31" s="19"/>
      <c r="I31" s="19"/>
      <c r="J31" s="19"/>
      <c r="M31" s="19"/>
      <c r="N31" s="19"/>
      <c r="O31" s="24"/>
      <c r="P31" s="24"/>
      <c r="Q31" s="24"/>
      <c r="R31" s="19"/>
      <c r="S31" s="19"/>
      <c r="T31" s="19"/>
      <c r="U31" s="25"/>
      <c r="V31" s="25"/>
      <c r="W31" s="25"/>
      <c r="X31" s="25"/>
      <c r="Y31" s="25"/>
      <c r="Z31" s="25"/>
      <c r="AA31" s="26"/>
      <c r="AB31" s="26"/>
      <c r="AJ31" s="66"/>
    </row>
    <row r="32" spans="3:69" ht="17.25" x14ac:dyDescent="0.25">
      <c r="F32" s="169"/>
      <c r="G32" s="27"/>
      <c r="H32" s="19"/>
      <c r="I32" s="27"/>
      <c r="J32" s="19"/>
      <c r="M32" s="19"/>
      <c r="N32" s="27" t="s">
        <v>64</v>
      </c>
      <c r="O32" s="28"/>
      <c r="P32" s="28"/>
      <c r="Q32" s="24"/>
      <c r="R32" s="19"/>
      <c r="S32" s="27"/>
      <c r="T32" s="27"/>
      <c r="U32" s="20"/>
      <c r="V32" s="19"/>
      <c r="W32" s="19"/>
      <c r="X32" s="19"/>
      <c r="Y32" s="19"/>
      <c r="Z32" s="19"/>
      <c r="AA32" s="29"/>
      <c r="AB32" s="29"/>
      <c r="AJ32" s="66"/>
    </row>
    <row r="33" spans="6:81" ht="17.25" x14ac:dyDescent="0.25">
      <c r="G33" s="27"/>
      <c r="H33" s="19"/>
      <c r="I33" s="27"/>
      <c r="J33" s="19"/>
      <c r="M33" s="19"/>
      <c r="N33" s="27"/>
      <c r="O33" s="28"/>
      <c r="P33" s="28"/>
      <c r="Q33" s="24"/>
      <c r="R33" s="20"/>
      <c r="S33" s="27"/>
      <c r="T33" s="27"/>
      <c r="U33" s="20"/>
      <c r="V33" s="19"/>
      <c r="W33" s="19"/>
      <c r="X33" s="19"/>
      <c r="Y33" s="19"/>
      <c r="Z33" s="19"/>
      <c r="AA33" s="29"/>
      <c r="AB33" s="29"/>
      <c r="AJ33" s="66"/>
    </row>
    <row r="34" spans="6:81" ht="17.25" x14ac:dyDescent="0.25">
      <c r="G34" s="155"/>
      <c r="H34" s="156" t="s">
        <v>269</v>
      </c>
      <c r="I34" s="19"/>
      <c r="J34" s="19"/>
      <c r="M34" s="19"/>
      <c r="N34" s="27"/>
      <c r="O34" s="24"/>
      <c r="P34" s="28"/>
      <c r="Q34" s="18" t="s">
        <v>66</v>
      </c>
      <c r="R34" s="19"/>
      <c r="S34" s="27"/>
      <c r="T34" s="20"/>
      <c r="U34" s="19"/>
      <c r="V34" s="19"/>
      <c r="W34" s="19"/>
      <c r="X34" s="19"/>
      <c r="Y34" s="19"/>
      <c r="Z34" s="19"/>
      <c r="AA34" s="18" t="s">
        <v>67</v>
      </c>
      <c r="AB34" s="29"/>
    </row>
    <row r="35" spans="6:81" ht="17.25" x14ac:dyDescent="0.25">
      <c r="F35" s="16"/>
      <c r="G35" s="31" t="s">
        <v>68</v>
      </c>
      <c r="H35" s="30"/>
      <c r="I35" s="30"/>
      <c r="J35" s="19"/>
      <c r="M35" s="19"/>
      <c r="N35" s="18"/>
      <c r="O35" s="33"/>
      <c r="P35" s="33"/>
      <c r="Q35" s="18" t="s">
        <v>69</v>
      </c>
      <c r="R35" s="18"/>
      <c r="S35" s="18"/>
      <c r="T35" s="20"/>
      <c r="U35" s="18"/>
      <c r="V35" s="19"/>
      <c r="W35" s="19"/>
      <c r="X35" s="19"/>
      <c r="Y35" s="19"/>
      <c r="Z35" s="19"/>
      <c r="AA35" s="18" t="s">
        <v>70</v>
      </c>
      <c r="AB35" s="29"/>
    </row>
    <row r="36" spans="6:81" ht="15.75" x14ac:dyDescent="0.25">
      <c r="F36" s="23"/>
    </row>
    <row r="37" spans="6:81" ht="15.75" x14ac:dyDescent="0.25">
      <c r="F37" s="23"/>
      <c r="BT37" s="38"/>
      <c r="BU37" s="38"/>
      <c r="BV37" s="38"/>
      <c r="BW37" s="38"/>
      <c r="BX37" s="38"/>
      <c r="BY37" s="38"/>
      <c r="BZ37" s="38"/>
      <c r="CA37" s="38"/>
      <c r="CB37" s="38"/>
      <c r="CC37" s="38"/>
    </row>
    <row r="38" spans="6:81" ht="15.75" x14ac:dyDescent="0.25">
      <c r="F38" s="30"/>
    </row>
    <row r="39" spans="6:81" ht="15.75" x14ac:dyDescent="0.25">
      <c r="F39" s="31"/>
    </row>
    <row r="40" spans="6:81" ht="15.75" x14ac:dyDescent="0.25">
      <c r="F40" s="31"/>
    </row>
  </sheetData>
  <mergeCells count="68">
    <mergeCell ref="AG18:AK18"/>
    <mergeCell ref="AG19:AK19"/>
    <mergeCell ref="AD11:AE11"/>
    <mergeCell ref="AF11:AG11"/>
    <mergeCell ref="AH11:AI11"/>
    <mergeCell ref="AJ11:AK11"/>
    <mergeCell ref="D16:M16"/>
    <mergeCell ref="F17:M17"/>
    <mergeCell ref="R11:S11"/>
    <mergeCell ref="T11:U11"/>
    <mergeCell ref="V11:W11"/>
    <mergeCell ref="X11:Y11"/>
    <mergeCell ref="Z11:AA11"/>
    <mergeCell ref="AB11:AC11"/>
    <mergeCell ref="AD10:AE10"/>
    <mergeCell ref="AF10:AG10"/>
    <mergeCell ref="AH10:AI10"/>
    <mergeCell ref="AJ10:AK10"/>
    <mergeCell ref="F11:G11"/>
    <mergeCell ref="H11:I11"/>
    <mergeCell ref="J11:K11"/>
    <mergeCell ref="L11:M11"/>
    <mergeCell ref="N11:O11"/>
    <mergeCell ref="P11:Q11"/>
    <mergeCell ref="R10:S10"/>
    <mergeCell ref="T10:U10"/>
    <mergeCell ref="V10:W10"/>
    <mergeCell ref="X10:Y10"/>
    <mergeCell ref="Z10:AA10"/>
    <mergeCell ref="AB10:AC10"/>
    <mergeCell ref="F10:G10"/>
    <mergeCell ref="H10:I10"/>
    <mergeCell ref="J10:K10"/>
    <mergeCell ref="L10:M10"/>
    <mergeCell ref="N10:O10"/>
    <mergeCell ref="P10:Q10"/>
    <mergeCell ref="W4:X4"/>
    <mergeCell ref="Y4:Z4"/>
    <mergeCell ref="AA4:AB4"/>
    <mergeCell ref="AC4:AD4"/>
    <mergeCell ref="AE4:AF4"/>
    <mergeCell ref="AG4:AH4"/>
    <mergeCell ref="W3:X3"/>
    <mergeCell ref="Y3:Z3"/>
    <mergeCell ref="AA3:AB3"/>
    <mergeCell ref="AC3:AD3"/>
    <mergeCell ref="AE3:AF3"/>
    <mergeCell ref="O4:P4"/>
    <mergeCell ref="Q4:R4"/>
    <mergeCell ref="S4:T4"/>
    <mergeCell ref="U4:V4"/>
    <mergeCell ref="U3:V3"/>
    <mergeCell ref="A2:AH2"/>
    <mergeCell ref="A3:C4"/>
    <mergeCell ref="E3:F3"/>
    <mergeCell ref="G3:H3"/>
    <mergeCell ref="I3:J3"/>
    <mergeCell ref="K3:L3"/>
    <mergeCell ref="M3:N3"/>
    <mergeCell ref="O3:P3"/>
    <mergeCell ref="Q3:R3"/>
    <mergeCell ref="S3:T3"/>
    <mergeCell ref="AG3:AH3"/>
    <mergeCell ref="E4:F4"/>
    <mergeCell ref="G4:H4"/>
    <mergeCell ref="I4:J4"/>
    <mergeCell ref="K4:L4"/>
    <mergeCell ref="M4:N4"/>
  </mergeCells>
  <conditionalFormatting sqref="A5:AH5 A6 E12:AK12 S16:S19">
    <cfRule type="containsText" dxfId="108" priority="18" stopIfTrue="1" operator="containsText" text="AL">
      <formula>NOT(ISERROR(SEARCH("AL",A5)))</formula>
    </cfRule>
    <cfRule type="containsText" dxfId="107" priority="22" stopIfTrue="1" operator="containsText" text="SICK">
      <formula>NOT(ISERROR(SEARCH("SICK",A5)))</formula>
    </cfRule>
    <cfRule type="containsText" dxfId="106" priority="21" stopIfTrue="1" operator="containsText" text="FL">
      <formula>NOT(ISERROR(SEARCH("FL",A5)))</formula>
    </cfRule>
    <cfRule type="containsText" dxfId="105" priority="20" stopIfTrue="1" operator="containsText" text="AB">
      <formula>NOT(ISERROR(SEARCH("AB",A5)))</formula>
    </cfRule>
    <cfRule type="containsText" dxfId="104" priority="19" stopIfTrue="1" operator="containsText" text="EL">
      <formula>NOT(ISERROR(SEARCH("EL",A5)))</formula>
    </cfRule>
    <cfRule type="containsText" dxfId="103" priority="17" stopIfTrue="1" operator="containsText" text="SP">
      <formula>NOT(ISERROR(SEARCH("SP",A5)))</formula>
    </cfRule>
  </conditionalFormatting>
  <conditionalFormatting sqref="A1:BQ1 A2:AI2 A3:D4 AI3:AI7 E10:E11">
    <cfRule type="containsText" dxfId="102" priority="89" stopIfTrue="1" operator="containsText" text="SP">
      <formula>NOT(ISERROR(SEARCH("SP",A1)))</formula>
    </cfRule>
    <cfRule type="containsText" dxfId="101" priority="90" stopIfTrue="1" operator="containsText" text="AL">
      <formula>NOT(ISERROR(SEARCH("AL",A1)))</formula>
    </cfRule>
    <cfRule type="containsText" dxfId="100" priority="91" stopIfTrue="1" operator="containsText" text="EL">
      <formula>NOT(ISERROR(SEARCH("EL",A1)))</formula>
    </cfRule>
    <cfRule type="containsText" dxfId="99" priority="92" stopIfTrue="1" operator="containsText" text="AB">
      <formula>NOT(ISERROR(SEARCH("AB",A1)))</formula>
    </cfRule>
    <cfRule type="containsText" dxfId="98" priority="93" stopIfTrue="1" operator="containsText" text="FL">
      <formula>NOT(ISERROR(SEARCH("FL",A1)))</formula>
    </cfRule>
    <cfRule type="containsText" dxfId="97" priority="94" stopIfTrue="1" operator="containsText" text="SICK">
      <formula>NOT(ISERROR(SEARCH("SICK",A1)))</formula>
    </cfRule>
  </conditionalFormatting>
  <conditionalFormatting sqref="C6">
    <cfRule type="duplicateValues" dxfId="96" priority="2"/>
    <cfRule type="duplicateValues" dxfId="95" priority="3"/>
    <cfRule type="duplicateValues" dxfId="94" priority="4"/>
    <cfRule type="duplicateValues" dxfId="93" priority="1"/>
  </conditionalFormatting>
  <conditionalFormatting sqref="C34:C36">
    <cfRule type="duplicateValues" dxfId="92" priority="110"/>
  </conditionalFormatting>
  <conditionalFormatting sqref="C34:C41">
    <cfRule type="duplicateValues" dxfId="91" priority="109"/>
  </conditionalFormatting>
  <conditionalFormatting sqref="C34:C1048576 C1:C5 C7:C9">
    <cfRule type="duplicateValues" dxfId="90" priority="108"/>
  </conditionalFormatting>
  <conditionalFormatting sqref="C34:C1048576 C1:C5">
    <cfRule type="duplicateValues" dxfId="89" priority="111"/>
  </conditionalFormatting>
  <conditionalFormatting sqref="C34:D1048576 C1:D5 C7:D9">
    <cfRule type="duplicateValues" dxfId="88" priority="112"/>
  </conditionalFormatting>
  <conditionalFormatting sqref="D6">
    <cfRule type="timePeriod" dxfId="87" priority="16" timePeriod="nextWeek">
      <formula>AND(ROUNDDOWN(D6,0)-TODAY()&gt;(7-WEEKDAY(TODAY())),ROUNDDOWN(D6,0)-TODAY()&lt;(15-WEEKDAY(TODAY())))</formula>
    </cfRule>
    <cfRule type="timePeriod" priority="15" timePeriod="nextWeek">
      <formula>AND(ROUNDDOWN(D6,0)-TODAY()&gt;(7-WEEKDAY(TODAY())),ROUNDDOWN(D6,0)-TODAY()&lt;(15-WEEKDAY(TODAY())))</formula>
    </cfRule>
    <cfRule type="duplicateValues" dxfId="86" priority="23"/>
  </conditionalFormatting>
  <conditionalFormatting sqref="E13">
    <cfRule type="containsText" dxfId="85" priority="5" operator="containsText" text="EL">
      <formula>NOT(ISERROR(SEARCH("EL",E13)))</formula>
    </cfRule>
    <cfRule type="containsText" dxfId="84" priority="6" operator="containsText" text="SP">
      <formula>NOT(ISERROR(SEARCH("SP",E13)))</formula>
    </cfRule>
    <cfRule type="containsText" dxfId="83" priority="14" operator="containsText" text="AL">
      <formula>NOT(ISERROR(SEARCH("AL",E13)))</formula>
    </cfRule>
    <cfRule type="containsText" dxfId="82" priority="13" operator="containsText" text="OFF">
      <formula>NOT(ISERROR(SEARCH("OFF",E13)))</formula>
    </cfRule>
    <cfRule type="containsText" dxfId="81" priority="12" operator="containsText" text="Sick">
      <formula>NOT(ISERROR(SEARCH("Sick",E13)))</formula>
    </cfRule>
    <cfRule type="containsText" dxfId="80" priority="11" operator="containsText" text="AB">
      <formula>NOT(ISERROR(SEARCH("AB",E13)))</formula>
    </cfRule>
    <cfRule type="containsText" dxfId="79" priority="10" operator="containsText" text="MC">
      <formula>NOT(ISERROR(SEARCH("MC",E13)))</formula>
    </cfRule>
    <cfRule type="containsText" dxfId="78" priority="9" operator="containsText" text="FL">
      <formula>NOT(ISERROR(SEARCH("FL",E13)))</formula>
    </cfRule>
    <cfRule type="containsText" dxfId="77" priority="8" operator="containsText" text="SUS">
      <formula>NOT(ISERROR(SEARCH("SUS",E13)))</formula>
    </cfRule>
    <cfRule type="containsText" dxfId="76" priority="7" operator="containsText" text="NL">
      <formula>NOT(ISERROR(SEARCH("NL",E13)))</formula>
    </cfRule>
  </conditionalFormatting>
  <conditionalFormatting sqref="M30:AB33">
    <cfRule type="containsText" dxfId="75" priority="97" stopIfTrue="1" operator="containsText" text="SP">
      <formula>NOT(ISERROR(SEARCH("SP",M30)))</formula>
    </cfRule>
    <cfRule type="containsText" dxfId="74" priority="99" stopIfTrue="1" operator="containsText" text="SICK">
      <formula>NOT(ISERROR(SEARCH("SICK",M30)))</formula>
    </cfRule>
    <cfRule type="containsText" priority="98" stopIfTrue="1" operator="containsText" text="SP">
      <formula>NOT(ISERROR(SEARCH("SP",M30)))</formula>
    </cfRule>
    <cfRule type="containsText" dxfId="73" priority="95" stopIfTrue="1" operator="containsText" text="AB">
      <formula>NOT(ISERROR(SEARCH("AB",M30)))</formula>
    </cfRule>
    <cfRule type="containsText" dxfId="72" priority="96" stopIfTrue="1" operator="containsText" text="SICK">
      <formula>NOT(ISERROR(SEARCH("SICK",M30)))</formula>
    </cfRule>
  </conditionalFormatting>
  <conditionalFormatting sqref="T16">
    <cfRule type="cellIs" dxfId="71" priority="106" operator="equal">
      <formula>";"</formula>
    </cfRule>
  </conditionalFormatting>
  <conditionalFormatting sqref="T19">
    <cfRule type="cellIs" dxfId="70" priority="107" stopIfTrue="1" operator="equal">
      <formula>";"</formula>
    </cfRule>
  </conditionalFormatting>
  <conditionalFormatting sqref="V18">
    <cfRule type="containsText" dxfId="69" priority="77" operator="containsText" text="MC">
      <formula>NOT(ISERROR(SEARCH("MC",V18)))</formula>
    </cfRule>
    <cfRule type="containsText" dxfId="68" priority="75" operator="containsText" text="SUS">
      <formula>NOT(ISERROR(SEARCH("SUS",V18)))</formula>
    </cfRule>
    <cfRule type="containsText" dxfId="67" priority="76" operator="containsText" text="FL">
      <formula>NOT(ISERROR(SEARCH("FL",V18)))</formula>
    </cfRule>
    <cfRule type="containsText" dxfId="66" priority="81" operator="containsText" text="AL">
      <formula>NOT(ISERROR(SEARCH("AL",V18)))</formula>
    </cfRule>
    <cfRule type="containsText" dxfId="65" priority="80" operator="containsText" text="OFF">
      <formula>NOT(ISERROR(SEARCH("OFF",V18)))</formula>
    </cfRule>
    <cfRule type="containsText" dxfId="64" priority="79" operator="containsText" text="Sick">
      <formula>NOT(ISERROR(SEARCH("Sick",V18)))</formula>
    </cfRule>
    <cfRule type="containsText" dxfId="63" priority="78" operator="containsText" text="AB">
      <formula>NOT(ISERROR(SEARCH("AB",V18)))</formula>
    </cfRule>
  </conditionalFormatting>
  <conditionalFormatting sqref="V18:W18">
    <cfRule type="containsText" dxfId="62" priority="36" operator="containsText" text="AB">
      <formula>NOT(ISERROR(SEARCH("AB",V18)))</formula>
    </cfRule>
  </conditionalFormatting>
  <conditionalFormatting sqref="V18:AA18">
    <cfRule type="containsText" dxfId="61" priority="24" operator="containsText" text="EL">
      <formula>NOT(ISERROR(SEARCH("EL",V18)))</formula>
    </cfRule>
  </conditionalFormatting>
  <conditionalFormatting sqref="W18">
    <cfRule type="containsText" dxfId="60" priority="33" operator="containsText" text="SUS">
      <formula>NOT(ISERROR(SEARCH("SUS",W18)))</formula>
    </cfRule>
    <cfRule type="containsText" dxfId="59" priority="34" operator="containsText" text="FL">
      <formula>NOT(ISERROR(SEARCH("FL",W18)))</formula>
    </cfRule>
    <cfRule type="containsText" dxfId="58" priority="35" operator="containsText" text="MC">
      <formula>NOT(ISERROR(SEARCH("MC",W18)))</formula>
    </cfRule>
    <cfRule type="containsText" dxfId="57" priority="37" operator="containsText" text="Sick">
      <formula>NOT(ISERROR(SEARCH("Sick",W18)))</formula>
    </cfRule>
    <cfRule type="containsText" dxfId="56" priority="38" operator="containsText" text="OFF">
      <formula>NOT(ISERROR(SEARCH("OFF",W18)))</formula>
    </cfRule>
    <cfRule type="containsText" dxfId="55" priority="39" operator="containsText" text="AL">
      <formula>NOT(ISERROR(SEARCH("AL",W18)))</formula>
    </cfRule>
  </conditionalFormatting>
  <conditionalFormatting sqref="W18:X18">
    <cfRule type="containsText" dxfId="54" priority="29" operator="containsText" text="AB">
      <formula>NOT(ISERROR(SEARCH("AB",W18)))</formula>
    </cfRule>
  </conditionalFormatting>
  <conditionalFormatting sqref="X18">
    <cfRule type="containsText" dxfId="53" priority="25" operator="containsText" text="AB">
      <formula>NOT(ISERROR(SEARCH("AB",X18)))</formula>
    </cfRule>
    <cfRule type="containsText" dxfId="52" priority="26" operator="containsText" text="SUS">
      <formula>NOT(ISERROR(SEARCH("SUS",X18)))</formula>
    </cfRule>
    <cfRule type="containsText" dxfId="51" priority="27" operator="containsText" text="FL">
      <formula>NOT(ISERROR(SEARCH("FL",X18)))</formula>
    </cfRule>
    <cfRule type="containsText" dxfId="50" priority="28" operator="containsText" text="MC">
      <formula>NOT(ISERROR(SEARCH("MC",X18)))</formula>
    </cfRule>
    <cfRule type="containsText" dxfId="49" priority="30" operator="containsText" text="Sick">
      <formula>NOT(ISERROR(SEARCH("Sick",X18)))</formula>
    </cfRule>
    <cfRule type="containsText" dxfId="48" priority="31" operator="containsText" text="OFF">
      <formula>NOT(ISERROR(SEARCH("OFF",X18)))</formula>
    </cfRule>
    <cfRule type="containsText" dxfId="47" priority="32" operator="containsText" text="AL">
      <formula>NOT(ISERROR(SEARCH("AL",X18)))</formula>
    </cfRule>
  </conditionalFormatting>
  <conditionalFormatting sqref="Y18">
    <cfRule type="containsText" dxfId="46" priority="86" operator="containsText" text="Sick">
      <formula>NOT(ISERROR(SEARCH("Sick",Y18)))</formula>
    </cfRule>
    <cfRule type="containsText" dxfId="45" priority="87" operator="containsText" text="OFF">
      <formula>NOT(ISERROR(SEARCH("OFF",Y18)))</formula>
    </cfRule>
    <cfRule type="containsText" dxfId="44" priority="88" operator="containsText" text="AL">
      <formula>NOT(ISERROR(SEARCH("AL",Y18)))</formula>
    </cfRule>
    <cfRule type="containsText" dxfId="43" priority="84" operator="containsText" text="MC">
      <formula>NOT(ISERROR(SEARCH("MC",Y18)))</formula>
    </cfRule>
    <cfRule type="containsText" dxfId="42" priority="85" operator="containsText" text="AB">
      <formula>NOT(ISERROR(SEARCH("AB",Y18)))</formula>
    </cfRule>
    <cfRule type="containsText" dxfId="41" priority="82" operator="containsText" text="SUS">
      <formula>NOT(ISERROR(SEARCH("SUS",Y18)))</formula>
    </cfRule>
    <cfRule type="containsText" dxfId="40" priority="83" operator="containsText" text="FL">
      <formula>NOT(ISERROR(SEARCH("FL",Y18)))</formula>
    </cfRule>
  </conditionalFormatting>
  <conditionalFormatting sqref="Y18:AA18">
    <cfRule type="containsText" dxfId="39" priority="44" operator="containsText" text="AB">
      <formula>NOT(ISERROR(SEARCH("AB",Y18)))</formula>
    </cfRule>
  </conditionalFormatting>
  <conditionalFormatting sqref="Z18">
    <cfRule type="containsText" dxfId="38" priority="40" operator="containsText" text="AB">
      <formula>NOT(ISERROR(SEARCH("AB",Z18)))</formula>
    </cfRule>
    <cfRule type="containsText" dxfId="37" priority="41" operator="containsText" text="SUS">
      <formula>NOT(ISERROR(SEARCH("SUS",Z18)))</formula>
    </cfRule>
    <cfRule type="containsText" dxfId="36" priority="42" operator="containsText" text="FL">
      <formula>NOT(ISERROR(SEARCH("FL",Z18)))</formula>
    </cfRule>
    <cfRule type="containsText" dxfId="35" priority="43" operator="containsText" text="MC">
      <formula>NOT(ISERROR(SEARCH("MC",Z18)))</formula>
    </cfRule>
    <cfRule type="containsText" dxfId="34" priority="45" operator="containsText" text="Sick">
      <formula>NOT(ISERROR(SEARCH("Sick",Z18)))</formula>
    </cfRule>
    <cfRule type="containsText" dxfId="33" priority="46" operator="containsText" text="OFF">
      <formula>NOT(ISERROR(SEARCH("OFF",Z18)))</formula>
    </cfRule>
    <cfRule type="containsText" dxfId="32" priority="47" operator="containsText" text="AL">
      <formula>NOT(ISERROR(SEARCH("AL",Z18)))</formula>
    </cfRule>
  </conditionalFormatting>
  <conditionalFormatting sqref="AA18">
    <cfRule type="containsText" dxfId="31" priority="50" operator="containsText" text="MC">
      <formula>NOT(ISERROR(SEARCH("MC",AA18)))</formula>
    </cfRule>
    <cfRule type="containsText" dxfId="30" priority="49" operator="containsText" text="FL">
      <formula>NOT(ISERROR(SEARCH("FL",AA18)))</formula>
    </cfRule>
    <cfRule type="containsText" dxfId="29" priority="48" operator="containsText" text="SUS">
      <formula>NOT(ISERROR(SEARCH("SUS",AA18)))</formula>
    </cfRule>
    <cfRule type="containsText" dxfId="28" priority="54" operator="containsText" text="AL">
      <formula>NOT(ISERROR(SEARCH("AL",AA18)))</formula>
    </cfRule>
    <cfRule type="containsText" dxfId="27" priority="53" operator="containsText" text="OFF">
      <formula>NOT(ISERROR(SEARCH("OFF",AA18)))</formula>
    </cfRule>
    <cfRule type="containsText" dxfId="26" priority="52" operator="containsText" text="Sick">
      <formula>NOT(ISERROR(SEARCH("Sick",AA18)))</formula>
    </cfRule>
    <cfRule type="containsText" dxfId="25" priority="51" operator="containsText" text="AB">
      <formula>NOT(ISERROR(SEARCH("AB",AA18)))</formula>
    </cfRule>
  </conditionalFormatting>
  <conditionalFormatting sqref="AB18">
    <cfRule type="containsText" dxfId="24" priority="65" operator="containsText" text="SP">
      <formula>NOT(ISERROR(SEARCH("SP",AB18)))</formula>
    </cfRule>
    <cfRule type="containsText" dxfId="23" priority="66" operator="containsText" text="NL">
      <formula>NOT(ISERROR(SEARCH("NL",AB18)))</formula>
    </cfRule>
    <cfRule type="containsText" dxfId="22" priority="73" operator="containsText" text="SICK">
      <formula>NOT(ISERROR(SEARCH("SICK",AB18)))</formula>
    </cfRule>
    <cfRule type="containsText" dxfId="21" priority="67" operator="containsText" text="SUS">
      <formula>NOT(ISERROR(SEARCH("SUS",AB18)))</formula>
    </cfRule>
    <cfRule type="containsText" dxfId="20" priority="72" operator="containsText" text="AB">
      <formula>NOT(ISERROR(SEARCH("AB",AB18)))</formula>
    </cfRule>
    <cfRule type="containsText" dxfId="19" priority="71" operator="containsText" text="OFF">
      <formula>NOT(ISERROR(SEARCH("OFF",AB18)))</formula>
    </cfRule>
    <cfRule type="containsText" dxfId="18" priority="74" operator="containsText" text="AL">
      <formula>NOT(ISERROR(SEARCH("AL",AB18)))</formula>
    </cfRule>
    <cfRule type="containsText" dxfId="17" priority="69" operator="containsText" text="EL">
      <formula>NOT(ISERROR(SEARCH("EL",AB18)))</formula>
    </cfRule>
    <cfRule type="containsText" dxfId="16" priority="68" operator="containsText" text="FL">
      <formula>NOT(ISERROR(SEARCH("FL",AB18)))</formula>
    </cfRule>
    <cfRule type="containsText" dxfId="15" priority="70" operator="containsText" text="MC">
      <formula>NOT(ISERROR(SEARCH("MC",AB18)))</formula>
    </cfRule>
  </conditionalFormatting>
  <conditionalFormatting sqref="AB20 AE21:AE29 AJ25:AJ33">
    <cfRule type="containsText" dxfId="14" priority="100" stopIfTrue="1" operator="containsText" text="SICK">
      <formula>NOT(ISERROR(SEARCH("SICK",AB20)))</formula>
    </cfRule>
    <cfRule type="containsText" dxfId="13" priority="101" stopIfTrue="1" operator="containsText" text="SP">
      <formula>NOT(ISERROR(SEARCH("SP",AB20)))</formula>
    </cfRule>
    <cfRule type="containsText" priority="102" stopIfTrue="1" operator="containsText" text="SP">
      <formula>NOT(ISERROR(SEARCH("SP",AB20)))</formula>
    </cfRule>
    <cfRule type="containsText" dxfId="12" priority="104" stopIfTrue="1" operator="containsText" text="HD">
      <formula>NOT(ISERROR(SEARCH("HD",AB20)))</formula>
    </cfRule>
    <cfRule type="containsText" dxfId="11" priority="105" stopIfTrue="1" operator="containsText" text="AB">
      <formula>NOT(ISERROR(SEARCH("AB",AB20)))</formula>
    </cfRule>
    <cfRule type="containsText" dxfId="10" priority="103" stopIfTrue="1" operator="containsText" text="AB">
      <formula>NOT(ISERROR(SEARCH("AB",AB20)))</formula>
    </cfRule>
  </conditionalFormatting>
  <conditionalFormatting sqref="AD18:AF18">
    <cfRule type="containsText" dxfId="9" priority="62" operator="containsText" text="AB">
      <formula>NOT(ISERROR(SEARCH("AB",AD18)))</formula>
    </cfRule>
    <cfRule type="containsText" dxfId="8" priority="63" operator="containsText" text="SICK">
      <formula>NOT(ISERROR(SEARCH("SICK",AD18)))</formula>
    </cfRule>
    <cfRule type="containsText" dxfId="7" priority="64" operator="containsText" text="AL">
      <formula>NOT(ISERROR(SEARCH("AL",AD18)))</formula>
    </cfRule>
    <cfRule type="containsText" dxfId="6" priority="56" operator="containsText" text="NL">
      <formula>NOT(ISERROR(SEARCH("NL",AD18)))</formula>
    </cfRule>
    <cfRule type="containsText" dxfId="5" priority="57" operator="containsText" text="SUS">
      <formula>NOT(ISERROR(SEARCH("SUS",AD18)))</formula>
    </cfRule>
    <cfRule type="containsText" dxfId="4" priority="60" operator="containsText" text="MC">
      <formula>NOT(ISERROR(SEARCH("MC",AD18)))</formula>
    </cfRule>
    <cfRule type="containsText" dxfId="3" priority="61" operator="containsText" text="OFF">
      <formula>NOT(ISERROR(SEARCH("OFF",AD18)))</formula>
    </cfRule>
    <cfRule type="containsText" dxfId="2" priority="58" operator="containsText" text="FL">
      <formula>NOT(ISERROR(SEARCH("FL",AD18)))</formula>
    </cfRule>
    <cfRule type="containsText" dxfId="1" priority="59" operator="containsText" text="EL">
      <formula>NOT(ISERROR(SEARCH("EL",AD18)))</formula>
    </cfRule>
    <cfRule type="containsText" dxfId="0" priority="55" operator="containsText" text="SP">
      <formula>NOT(ISERROR(SEARCH("SP",AD18)))</formula>
    </cfRule>
  </conditionalFormatting>
  <pageMargins left="0.7" right="0.7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</vt:lpstr>
      <vt:lpstr>Pradip Kumar</vt:lpstr>
      <vt:lpstr>Yabbuddin</vt:lpstr>
      <vt:lpstr>Rashid</vt:lpstr>
      <vt:lpstr>Mohihdheen</vt:lpstr>
      <vt:lpstr>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2026-09-06T04:28:16Z</cp:lastPrinted>
  <dcterms:created xsi:type="dcterms:W3CDTF">2025-11-02T11:29:49Z</dcterms:created>
  <dcterms:modified xsi:type="dcterms:W3CDTF">2026-10-30T09:53:18Z</dcterms:modified>
</cp:coreProperties>
</file>