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E:\Rettey\madihaa-hrm\past_leaves\"/>
    </mc:Choice>
  </mc:AlternateContent>
  <xr:revisionPtr revIDLastSave="0" documentId="8_{11D95A5D-4720-4D05-8655-3F6DA55C89ED}" xr6:coauthVersionLast="47" xr6:coauthVersionMax="47" xr10:uidLastSave="{00000000-0000-0000-0000-000000000000}"/>
  <bookViews>
    <workbookView xWindow="-120" yWindow="-120" windowWidth="29040" windowHeight="15840" tabRatio="613" xr2:uid="{00000000-000D-0000-FFFF-FFFF00000000}"/>
  </bookViews>
  <sheets>
    <sheet name="MASTER" sheetId="1" r:id="rId1"/>
  </sheets>
  <definedNames>
    <definedName name="_xlnm.Print_Area" localSheetId="0">MASTER!$A$1:$CD$37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C54" i="1" l="1"/>
  <c r="CB54" i="1"/>
  <c r="CA54" i="1"/>
  <c r="BZ54" i="1"/>
  <c r="BY54" i="1"/>
  <c r="BX54" i="1"/>
  <c r="BW54" i="1"/>
  <c r="BV54" i="1"/>
  <c r="BU54" i="1"/>
  <c r="BT54" i="1"/>
  <c r="BS54" i="1"/>
  <c r="BR54" i="1"/>
  <c r="BP54" i="1"/>
  <c r="CT53" i="1"/>
  <c r="CC53" i="1"/>
  <c r="CB53" i="1"/>
  <c r="CA53" i="1"/>
  <c r="BZ53" i="1"/>
  <c r="BY53" i="1"/>
  <c r="BX53" i="1"/>
  <c r="BW53" i="1"/>
  <c r="BV53" i="1"/>
  <c r="BU53" i="1"/>
  <c r="BT53" i="1"/>
  <c r="BS53" i="1"/>
  <c r="BR53" i="1"/>
  <c r="BP53" i="1"/>
  <c r="CT52" i="1"/>
  <c r="CT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P29" i="1"/>
  <c r="CT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P28" i="1"/>
  <c r="CT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P27" i="1"/>
  <c r="CT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P26" i="1"/>
  <c r="CT25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P25" i="1"/>
  <c r="CT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P24" i="1"/>
  <c r="CT23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P23" i="1"/>
  <c r="CT22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P22" i="1"/>
  <c r="CT21" i="1"/>
  <c r="CC21" i="1"/>
  <c r="CB21" i="1"/>
  <c r="CA21" i="1"/>
  <c r="BZ21" i="1"/>
  <c r="BY21" i="1"/>
  <c r="BX21" i="1"/>
  <c r="BW21" i="1"/>
  <c r="BV21" i="1"/>
  <c r="BU21" i="1"/>
  <c r="BT21" i="1"/>
  <c r="BS21" i="1"/>
  <c r="BR21" i="1"/>
  <c r="BP21" i="1"/>
  <c r="CT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P20" i="1"/>
  <c r="CT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P19" i="1"/>
  <c r="CT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P18" i="1"/>
  <c r="CT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P17" i="1"/>
  <c r="CT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P16" i="1"/>
  <c r="CT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P15" i="1"/>
  <c r="CT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P14" i="1"/>
  <c r="CT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P13" i="1"/>
  <c r="CT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P12" i="1"/>
  <c r="CT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P11" i="1"/>
  <c r="CT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P10" i="1"/>
  <c r="CT9" i="1"/>
  <c r="CC9" i="1"/>
  <c r="CB9" i="1"/>
  <c r="CA9" i="1"/>
  <c r="BZ9" i="1"/>
  <c r="BY9" i="1"/>
  <c r="BX9" i="1"/>
  <c r="BW9" i="1"/>
  <c r="BV9" i="1"/>
  <c r="BU9" i="1"/>
  <c r="BT9" i="1"/>
  <c r="BS9" i="1"/>
  <c r="BR9" i="1"/>
  <c r="BP9" i="1"/>
  <c r="CT8" i="1"/>
  <c r="CC8" i="1"/>
  <c r="CB8" i="1"/>
  <c r="CA8" i="1"/>
  <c r="BZ8" i="1"/>
  <c r="BY8" i="1"/>
  <c r="BX8" i="1"/>
  <c r="BW8" i="1"/>
  <c r="BV8" i="1"/>
  <c r="BU8" i="1"/>
  <c r="BT8" i="1"/>
  <c r="BS8" i="1"/>
  <c r="BR8" i="1"/>
  <c r="BP8" i="1"/>
  <c r="CT7" i="1"/>
  <c r="CC7" i="1"/>
  <c r="CB7" i="1"/>
  <c r="CA7" i="1"/>
  <c r="BZ7" i="1"/>
  <c r="BY7" i="1"/>
  <c r="BX7" i="1"/>
  <c r="BW7" i="1"/>
  <c r="BV7" i="1"/>
  <c r="BU7" i="1"/>
  <c r="BT7" i="1"/>
  <c r="BS7" i="1"/>
  <c r="BR7" i="1"/>
  <c r="BP7" i="1"/>
  <c r="CT6" i="1"/>
  <c r="CC6" i="1"/>
  <c r="CB6" i="1"/>
  <c r="CA6" i="1"/>
  <c r="BZ6" i="1"/>
  <c r="BY6" i="1"/>
  <c r="BX6" i="1"/>
  <c r="BW6" i="1"/>
  <c r="BV6" i="1"/>
  <c r="BU6" i="1"/>
  <c r="BT6" i="1"/>
  <c r="BS6" i="1"/>
  <c r="BR6" i="1"/>
  <c r="BP6" i="1"/>
  <c r="CT5" i="1"/>
  <c r="CC5" i="1"/>
  <c r="CB5" i="1"/>
  <c r="CA5" i="1"/>
  <c r="BZ5" i="1"/>
  <c r="BY5" i="1"/>
  <c r="BX5" i="1"/>
  <c r="BW5" i="1"/>
  <c r="BV5" i="1"/>
  <c r="BU5" i="1"/>
  <c r="BT5" i="1"/>
  <c r="BS5" i="1"/>
  <c r="BR5" i="1"/>
  <c r="BP5" i="1"/>
</calcChain>
</file>

<file path=xl/sharedStrings.xml><?xml version="1.0" encoding="utf-8"?>
<sst xmlns="http://schemas.openxmlformats.org/spreadsheetml/2006/main" count="593" uniqueCount="107">
  <si>
    <t>Attendance  - JANUARY 2026 -Male Local Staffs</t>
  </si>
  <si>
    <t>MALDIVIAN STAFFS</t>
  </si>
  <si>
    <t>Thu</t>
  </si>
  <si>
    <t>Fri</t>
  </si>
  <si>
    <t>Sat</t>
  </si>
  <si>
    <t>Sun</t>
  </si>
  <si>
    <t>Mon</t>
  </si>
  <si>
    <t>Tue</t>
  </si>
  <si>
    <t>Wed</t>
  </si>
  <si>
    <t>S No</t>
  </si>
  <si>
    <t>Present Days</t>
  </si>
  <si>
    <t>Fridays</t>
  </si>
  <si>
    <t>Pls don’t Remove below data</t>
  </si>
  <si>
    <t xml:space="preserve">Used Leave Totals (Running Year, up to end of this month - Nov 2025) </t>
  </si>
  <si>
    <t>User ID</t>
  </si>
  <si>
    <t>Name</t>
  </si>
  <si>
    <t>IN</t>
  </si>
  <si>
    <t>OUT</t>
  </si>
  <si>
    <t>OFF</t>
  </si>
  <si>
    <t>MC</t>
  </si>
  <si>
    <t>EL</t>
  </si>
  <si>
    <t>AL</t>
  </si>
  <si>
    <t>SUS</t>
  </si>
  <si>
    <t>FL</t>
  </si>
  <si>
    <t>S</t>
  </si>
  <si>
    <t>HD</t>
  </si>
  <si>
    <t>AB</t>
  </si>
  <si>
    <t>NL</t>
  </si>
  <si>
    <t>SP</t>
  </si>
  <si>
    <t>Remarks</t>
  </si>
  <si>
    <t>Total</t>
  </si>
  <si>
    <t>MD</t>
  </si>
  <si>
    <t>Ahmed Marzooq</t>
  </si>
  <si>
    <t>DMD</t>
  </si>
  <si>
    <t>Hussain Moosa</t>
  </si>
  <si>
    <t>MAD0001</t>
  </si>
  <si>
    <t>Mohamed Ali Didi</t>
  </si>
  <si>
    <t>MAD0339</t>
  </si>
  <si>
    <t>Mohamed Muaz</t>
  </si>
  <si>
    <t>MAD0653</t>
  </si>
  <si>
    <t>Aminath Shafana</t>
  </si>
  <si>
    <t>MAD0006</t>
  </si>
  <si>
    <t>Fathmath Hana</t>
  </si>
  <si>
    <t>MAD0257</t>
  </si>
  <si>
    <t>Hussain Mahir</t>
  </si>
  <si>
    <t>MAD0302</t>
  </si>
  <si>
    <t>Ibrahim Hussain</t>
  </si>
  <si>
    <t>MAD0248</t>
  </si>
  <si>
    <t>Abdulla Aboobakuru</t>
  </si>
  <si>
    <t>MAD0077</t>
  </si>
  <si>
    <t>Fathimath Hassan Zubair</t>
  </si>
  <si>
    <t>SICK</t>
  </si>
  <si>
    <t>MAD0393</t>
  </si>
  <si>
    <t>Mariyam Hameedha</t>
  </si>
  <si>
    <t>MAD0523</t>
  </si>
  <si>
    <t>Aishath Naeema</t>
  </si>
  <si>
    <t>MAD0449</t>
  </si>
  <si>
    <t>Hassan Sameer</t>
  </si>
  <si>
    <t>MAD0509</t>
  </si>
  <si>
    <t>Fathimath Abdulla</t>
  </si>
  <si>
    <t>MAD0536</t>
  </si>
  <si>
    <t>Nuzuhath Abbas</t>
  </si>
  <si>
    <t>MAD0581</t>
  </si>
  <si>
    <t>Abdul Rasheed Ismail</t>
  </si>
  <si>
    <t>MAD0625</t>
  </si>
  <si>
    <t>Aishath Nihaza</t>
  </si>
  <si>
    <t>MAD0631</t>
  </si>
  <si>
    <t>Zumna Ahmed</t>
  </si>
  <si>
    <t>MAD0645</t>
  </si>
  <si>
    <t>Hassan Azeem</t>
  </si>
  <si>
    <t>MAD0689</t>
  </si>
  <si>
    <t>Ahmed Rizny</t>
  </si>
  <si>
    <t>MAD0697</t>
  </si>
  <si>
    <t>Abdul Rahman Gasim</t>
  </si>
  <si>
    <t>MAD0729</t>
  </si>
  <si>
    <t>Seena Saeed</t>
  </si>
  <si>
    <t>MAD0730</t>
  </si>
  <si>
    <t>Shezaa Ahmed Quraish</t>
  </si>
  <si>
    <t>MAD0732</t>
  </si>
  <si>
    <t>Fathmath Nuha</t>
  </si>
  <si>
    <t>MAD0747</t>
  </si>
  <si>
    <t>Hussain Rifau</t>
  </si>
  <si>
    <t>JOINING ON 28TH JANUARY 2026</t>
  </si>
  <si>
    <t>Prepared</t>
  </si>
  <si>
    <t xml:space="preserve"> Checked by</t>
  </si>
  <si>
    <t>Approved by:</t>
  </si>
  <si>
    <t xml:space="preserve">Off Day                   </t>
  </si>
  <si>
    <t>Sick Leave</t>
  </si>
  <si>
    <t>Medical Certificate</t>
  </si>
  <si>
    <t>Half-Day</t>
  </si>
  <si>
    <t>Emergency Leave</t>
  </si>
  <si>
    <t>Absent</t>
  </si>
  <si>
    <t xml:space="preserve">Annual Leave                     </t>
  </si>
  <si>
    <t xml:space="preserve">No Pay Leave        </t>
  </si>
  <si>
    <t>MUNESWARI SANDRAPALLI</t>
  </si>
  <si>
    <t xml:space="preserve"> </t>
  </si>
  <si>
    <t xml:space="preserve">Moosa Ahmed </t>
  </si>
  <si>
    <t>Suspended</t>
  </si>
  <si>
    <t>Special Leave</t>
  </si>
  <si>
    <t>HR Executive</t>
  </si>
  <si>
    <t>Office Manager</t>
  </si>
  <si>
    <t>Chairman</t>
  </si>
  <si>
    <t>Family Leave</t>
  </si>
  <si>
    <t>MAD0725</t>
  </si>
  <si>
    <t>Adhham Hassan</t>
  </si>
  <si>
    <t>MAD0635</t>
  </si>
  <si>
    <t>Adam Naseer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</si>
</sst>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[$-409]dd\-mmm\-yy;@"/>
    <numFmt numFmtId="169" formatCode="h:mm;@"/>
  </numFmts>
  <fonts count="26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Segoe UI"/>
      <charset val="134"/>
    </font>
    <font>
      <b/>
      <sz val="11"/>
      <color theme="1"/>
      <name val="Segoe UI"/>
      <charset val="134"/>
    </font>
    <font>
      <b/>
      <sz val="11"/>
      <color theme="1"/>
      <name val="Segoe UI"/>
      <charset val="1"/>
    </font>
    <font>
      <b/>
      <sz val="10"/>
      <color theme="1"/>
      <name val="Segoe UI"/>
      <charset val="134"/>
    </font>
    <font>
      <b/>
      <sz val="9"/>
      <color theme="1"/>
      <name val="Segoe UI"/>
      <charset val="134"/>
    </font>
    <font>
      <b/>
      <u/>
      <sz val="14"/>
      <color rgb="FFFF0000"/>
      <name val="Calibri"/>
      <charset val="134"/>
      <scheme val="minor"/>
    </font>
    <font>
      <sz val="10"/>
      <color theme="1"/>
      <name val="Segoe UI"/>
      <charset val="1"/>
    </font>
    <font>
      <sz val="10"/>
      <color theme="1"/>
      <name val="Segoe UI"/>
      <charset val="134"/>
    </font>
    <font>
      <b/>
      <sz val="14"/>
      <color theme="1"/>
      <name val="Calibri"/>
      <charset val="134"/>
      <scheme val="minor"/>
    </font>
    <font>
      <b/>
      <sz val="12"/>
      <color theme="1"/>
      <name val="Segoe UI"/>
      <charset val="134"/>
    </font>
    <font>
      <b/>
      <sz val="11"/>
      <color theme="1"/>
      <name val="Arial"/>
      <charset val="134"/>
    </font>
    <font>
      <sz val="12"/>
      <color theme="1"/>
      <name val="Calibri"/>
      <charset val="1"/>
      <scheme val="minor"/>
    </font>
    <font>
      <sz val="12"/>
      <color theme="1"/>
      <name val="Segoe UI"/>
      <charset val="134"/>
    </font>
    <font>
      <sz val="11"/>
      <color theme="1"/>
      <name val="Arial"/>
      <charset val="134"/>
    </font>
    <font>
      <b/>
      <sz val="11"/>
      <color theme="1"/>
      <name val="Calibri"/>
      <charset val="134"/>
      <scheme val="minor"/>
    </font>
    <font>
      <sz val="12"/>
      <name val="Segoe UI"/>
      <charset val="134"/>
    </font>
    <font>
      <sz val="9.9"/>
      <color rgb="FF1E293B"/>
      <name val="Arial"/>
      <charset val="134"/>
    </font>
    <font>
      <b/>
      <sz val="12"/>
      <color theme="1"/>
      <name val="Calibri"/>
      <charset val="134"/>
      <scheme val="minor"/>
    </font>
    <font>
      <b/>
      <sz val="12"/>
      <color theme="1"/>
      <name val="Arial"/>
      <charset val="134"/>
    </font>
    <font>
      <b/>
      <u/>
      <sz val="12"/>
      <name val="Segoe UI"/>
      <charset val="134"/>
    </font>
    <font>
      <sz val="11"/>
      <color theme="1"/>
      <name val="Segoe UI"/>
      <charset val="134"/>
    </font>
    <font>
      <b/>
      <sz val="10"/>
      <color theme="1"/>
      <name val="Calibri"/>
      <charset val="134"/>
      <scheme val="minor"/>
    </font>
    <font>
      <b/>
      <sz val="12"/>
      <name val="Segoe UI"/>
      <charset val="134"/>
    </font>
    <font>
      <b/>
      <sz val="16"/>
      <color theme="1"/>
      <name val="Calibri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</fills>
  <borders count="2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9" fillId="0" borderId="19" xfId="0" applyNumberFormat="1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 wrapText="1"/>
    </xf>
    <xf numFmtId="0" fontId="3" fillId="7" borderId="19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1" fontId="5" fillId="5" borderId="9" xfId="0" applyNumberFormat="1" applyFont="1" applyFill="1" applyBorder="1" applyAlignment="1">
      <alignment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 wrapText="1"/>
    </xf>
    <xf numFmtId="0" fontId="5" fillId="8" borderId="21" xfId="0" applyFon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0" fillId="2" borderId="19" xfId="0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 wrapText="1"/>
    </xf>
    <xf numFmtId="0" fontId="1" fillId="2" borderId="0" xfId="0" applyFont="1" applyFill="1"/>
    <xf numFmtId="0" fontId="1" fillId="2" borderId="19" xfId="0" applyFont="1" applyFill="1" applyBorder="1" applyAlignment="1">
      <alignment horizontal="center" vertical="center"/>
    </xf>
    <xf numFmtId="1" fontId="11" fillId="10" borderId="12" xfId="0" applyNumberFormat="1" applyFont="1" applyFill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" fontId="14" fillId="0" borderId="19" xfId="0" applyNumberFormat="1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0" fontId="15" fillId="2" borderId="19" xfId="0" applyNumberFormat="1" applyFont="1" applyFill="1" applyBorder="1" applyAlignment="1">
      <alignment horizontal="center" vertical="center" wrapText="1"/>
    </xf>
    <xf numFmtId="20" fontId="12" fillId="9" borderId="19" xfId="0" applyNumberFormat="1" applyFont="1" applyFill="1" applyBorder="1" applyAlignment="1">
      <alignment horizontal="center" vertical="center" wrapText="1"/>
    </xf>
    <xf numFmtId="0" fontId="16" fillId="9" borderId="19" xfId="0" applyFont="1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49" fontId="17" fillId="0" borderId="19" xfId="0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left" vertical="center" wrapText="1"/>
    </xf>
    <xf numFmtId="0" fontId="18" fillId="2" borderId="19" xfId="0" applyFont="1" applyFill="1" applyBorder="1" applyAlignment="1">
      <alignment horizontal="center" vertical="center" wrapText="1"/>
    </xf>
    <xf numFmtId="20" fontId="18" fillId="2" borderId="19" xfId="0" applyNumberFormat="1" applyFont="1" applyFill="1" applyBorder="1" applyAlignment="1">
      <alignment horizontal="center" vertical="center" wrapText="1"/>
    </xf>
    <xf numFmtId="0" fontId="1" fillId="11" borderId="19" xfId="0" applyFont="1" applyFill="1" applyBorder="1" applyAlignment="1">
      <alignment horizontal="center" vertical="center"/>
    </xf>
    <xf numFmtId="20" fontId="1" fillId="2" borderId="19" xfId="0" applyNumberFormat="1" applyFont="1" applyFill="1" applyBorder="1" applyAlignment="1">
      <alignment horizontal="center" vertical="center" wrapText="1"/>
    </xf>
    <xf numFmtId="20" fontId="19" fillId="9" borderId="19" xfId="0" applyNumberFormat="1" applyFont="1" applyFill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20" fontId="1" fillId="2" borderId="0" xfId="0" applyNumberFormat="1" applyFont="1" applyFill="1" applyAlignment="1">
      <alignment horizontal="center" vertical="center" wrapText="1"/>
    </xf>
    <xf numFmtId="0" fontId="16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20" fontId="19" fillId="2" borderId="0" xfId="0" applyNumberFormat="1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 wrapText="1"/>
    </xf>
    <xf numFmtId="1" fontId="11" fillId="2" borderId="0" xfId="0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2" borderId="0" xfId="0" applyNumberFormat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169" fontId="1" fillId="0" borderId="0" xfId="0" applyNumberFormat="1" applyFont="1" applyAlignment="1">
      <alignment horizontal="center" vertical="center"/>
    </xf>
    <xf numFmtId="169" fontId="14" fillId="0" borderId="0" xfId="0" applyNumberFormat="1" applyFont="1" applyAlignment="1">
      <alignment horizontal="center" vertical="center"/>
    </xf>
    <xf numFmtId="20" fontId="17" fillId="0" borderId="0" xfId="0" applyNumberFormat="1" applyFont="1" applyAlignment="1">
      <alignment horizontal="center" vertical="center" wrapText="1"/>
    </xf>
    <xf numFmtId="0" fontId="22" fillId="12" borderId="0" xfId="0" applyFont="1" applyFill="1"/>
    <xf numFmtId="0" fontId="22" fillId="12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12" borderId="0" xfId="0" applyFont="1" applyFill="1" applyAlignment="1">
      <alignment vertical="center"/>
    </xf>
    <xf numFmtId="0" fontId="23" fillId="0" borderId="0" xfId="0" applyFont="1" applyAlignment="1">
      <alignment vertical="center"/>
    </xf>
    <xf numFmtId="49" fontId="22" fillId="12" borderId="0" xfId="0" applyNumberFormat="1" applyFont="1" applyFill="1" applyAlignment="1">
      <alignment vertical="center"/>
    </xf>
    <xf numFmtId="49" fontId="22" fillId="12" borderId="0" xfId="0" applyNumberFormat="1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169" fontId="14" fillId="0" borderId="0" xfId="0" applyNumberFormat="1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1" fillId="0" borderId="0" xfId="0" applyFont="1"/>
    <xf numFmtId="0" fontId="19" fillId="9" borderId="19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168" fontId="8" fillId="4" borderId="15" xfId="0" applyNumberFormat="1" applyFont="1" applyFill="1" applyBorder="1" applyAlignment="1">
      <alignment horizontal="center" vertical="center"/>
    </xf>
    <xf numFmtId="168" fontId="8" fillId="4" borderId="16" xfId="0" applyNumberFormat="1" applyFont="1" applyFill="1" applyBorder="1" applyAlignment="1">
      <alignment horizontal="center" vertical="center"/>
    </xf>
    <xf numFmtId="15" fontId="8" fillId="4" borderId="5" xfId="0" applyNumberFormat="1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20" fontId="20" fillId="2" borderId="10" xfId="0" applyNumberFormat="1" applyFont="1" applyFill="1" applyBorder="1" applyAlignment="1">
      <alignment horizontal="center" vertical="center" wrapText="1"/>
    </xf>
    <xf numFmtId="20" fontId="20" fillId="2" borderId="11" xfId="0" applyNumberFormat="1" applyFont="1" applyFill="1" applyBorder="1" applyAlignment="1">
      <alignment horizontal="center" vertical="center" wrapText="1"/>
    </xf>
    <xf numFmtId="20" fontId="20" fillId="2" borderId="12" xfId="0" applyNumberFormat="1" applyFont="1" applyFill="1" applyBorder="1" applyAlignment="1">
      <alignment horizontal="center" vertical="center" wrapText="1"/>
    </xf>
    <xf numFmtId="0" fontId="16" fillId="2" borderId="19" xfId="0" applyFont="1" applyFill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/>
    </xf>
    <xf numFmtId="0" fontId="25" fillId="2" borderId="11" xfId="0" applyFont="1" applyFill="1" applyBorder="1" applyAlignment="1">
      <alignment horizontal="center" vertical="center"/>
    </xf>
    <xf numFmtId="0" fontId="2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 textRotation="90" wrapText="1"/>
    </xf>
    <xf numFmtId="0" fontId="6" fillId="5" borderId="1" xfId="0" applyFont="1" applyFill="1" applyBorder="1" applyAlignment="1">
      <alignment horizontal="center" vertical="center" textRotation="90" wrapText="1"/>
    </xf>
    <xf numFmtId="0" fontId="6" fillId="5" borderId="9" xfId="0" applyFont="1" applyFill="1" applyBorder="1" applyAlignment="1">
      <alignment horizontal="center" vertical="center" textRotation="90" wrapText="1"/>
    </xf>
    <xf numFmtId="0" fontId="6" fillId="5" borderId="18" xfId="0" applyFont="1" applyFill="1" applyBorder="1" applyAlignment="1">
      <alignment horizontal="center" vertical="center" textRotation="90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</cellXfs>
  <cellStyles count="1">
    <cellStyle name="Normal" xfId="0" builtinId="0"/>
  </cellStyles>
  <dxfs count="1927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2" tint="-9.9917600024414813E-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7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2" tint="-9.9917600024414813E-2"/>
        </patternFill>
      </fill>
    </dxf>
    <dxf>
      <fill>
        <patternFill patternType="solid">
          <bgColor theme="7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2" tint="-9.9917600024414813E-2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7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2" tint="-9.9917600024414813E-2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2" tint="-9.9917600024414813E-2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7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2" tint="-9.9917600024414813E-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2" tint="-9.9917600024414813E-2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7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2" tint="-9.9917600024414813E-2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2" tint="-9.9917600024414813E-2"/>
        </patternFill>
      </fill>
    </dxf>
    <dxf>
      <fill>
        <patternFill patternType="solid">
          <bgColor theme="7" tint="0.39991454817346722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7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7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7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7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39991454817346722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2" tint="-9.9917600024414813E-2"/>
        </patternFill>
      </fill>
    </dxf>
    <dxf>
      <fill>
        <patternFill patternType="solid">
          <bgColor theme="7" tint="0.39991454817346722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2" tint="-9.9917600024414813E-2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2" tint="-9.9917600024414813E-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7" tint="0.39991454817346722"/>
        </patternFill>
      </fill>
    </dxf>
    <dxf>
      <fill>
        <patternFill patternType="solid">
          <bgColor theme="2" tint="-9.9917600024414813E-2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2" tint="-9.9917600024414813E-2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7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2" tint="-9.9917600024414813E-2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2" tint="-9.9917600024414813E-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2" tint="-9.9917600024414813E-2"/>
        </patternFill>
      </fill>
    </dxf>
    <dxf>
      <fill>
        <patternFill patternType="solid">
          <bgColor theme="7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7" tint="0.39991454817346722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7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39991454817346722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2" tint="-9.9917600024414813E-2"/>
        </patternFill>
      </fill>
    </dxf>
    <dxf>
      <fill>
        <patternFill patternType="solid">
          <bgColor theme="7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39991454817346722"/>
        </patternFill>
      </fill>
    </dxf>
    <dxf>
      <fill>
        <patternFill patternType="solid">
          <bgColor theme="2" tint="-9.9917600024414813E-2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7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2" tint="-9.9917600024414813E-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2" tint="-9.9917600024414813E-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2" tint="-9.9917600024414813E-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2" tint="-9.9917600024414813E-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2" tint="-9.9917600024414813E-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2" tint="-9.9917600024414813E-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2" tint="-9.9917600024414813E-2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2" tint="-9.9917600024414813E-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2" tint="-9.9917600024414813E-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2" tint="-9.9917600024414813E-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2" tint="-9.9917600024414813E-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2" tint="-9.9917600024414813E-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2" tint="-9.9917600024414813E-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2" tint="-9.9917600024414813E-2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2" tint="-9.9917600024414813E-2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7" tint="0.79995117038483843"/>
        </patternFill>
      </fill>
    </dxf>
    <dxf>
      <font>
        <b/>
        <i val="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-0.24994659260841701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4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strike val="0"/>
        <u val="none"/>
        <sz val="11"/>
        <color theme="1"/>
        <name val="Calibri"/>
        <family val="2"/>
        <scheme val="none"/>
      </font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CJ4:CT29" totalsRowShown="0">
  <autoFilter ref="CJ4:CT29" xr:uid="{00000000-0009-0000-0100-000001000000}"/>
  <tableColumns count="11">
    <tableColumn id="1" xr3:uid="{00000000-0010-0000-0000-000001000000}" name="MC" dataDxfId="1926"/>
    <tableColumn id="2" xr3:uid="{00000000-0010-0000-0000-000002000000}" name="EL" dataDxfId="1925"/>
    <tableColumn id="3" xr3:uid="{00000000-0010-0000-0000-000003000000}" name="AL" dataDxfId="1924"/>
    <tableColumn id="4" xr3:uid="{00000000-0010-0000-0000-000004000000}" name="SUS" dataDxfId="1923"/>
    <tableColumn id="5" xr3:uid="{00000000-0010-0000-0000-000005000000}" name="FL" dataDxfId="1922"/>
    <tableColumn id="6" xr3:uid="{00000000-0010-0000-0000-000006000000}" name="S" dataDxfId="1921"/>
    <tableColumn id="7" xr3:uid="{00000000-0010-0000-0000-000007000000}" name="HD" dataDxfId="1920"/>
    <tableColumn id="8" xr3:uid="{00000000-0010-0000-0000-000008000000}" name="AB" dataDxfId="1919"/>
    <tableColumn id="9" xr3:uid="{00000000-0010-0000-0000-000009000000}" name="NL" dataDxfId="1918"/>
    <tableColumn id="10" xr3:uid="{00000000-0010-0000-0000-00000A000000}" name="SP" dataDxfId="1917"/>
    <tableColumn id="11" xr3:uid="{00000000-0010-0000-0000-00000B000000}" name="Total" dataDxfId="1916">
      <calculatedColumnFormula>SUM(CJ5:CS5)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T54"/>
  <sheetViews>
    <sheetView tabSelected="1" zoomScale="85" zoomScaleNormal="85" workbookViewId="0">
      <pane xSplit="3" ySplit="4" topLeftCell="D5" activePane="bottomRight" state="frozen"/>
      <selection pane="topRight"/>
      <selection pane="bottomLeft"/>
      <selection pane="bottomRight" sqref="A1:AG1"/>
    </sheetView>
  </sheetViews>
  <sheetFormatPr defaultColWidth="9" defaultRowHeight="15.75"/>
  <cols>
    <col min="1" max="1" width="5.5703125" customWidth="1"/>
    <col min="2" max="2" width="13.85546875" customWidth="1"/>
    <col min="3" max="3" width="24.7109375" customWidth="1"/>
    <col min="4" max="33" width="7.42578125" customWidth="1"/>
    <col min="34" max="34" width="4.28515625" customWidth="1"/>
    <col min="35" max="35" width="5.5703125" customWidth="1"/>
    <col min="36" max="67" width="6.85546875" customWidth="1"/>
    <col min="68" max="69" width="5.140625" customWidth="1"/>
    <col min="70" max="81" width="5.28515625" customWidth="1"/>
    <col min="82" max="82" width="31.28515625" customWidth="1"/>
    <col min="88" max="97" width="9.140625" style="2"/>
    <col min="98" max="98" width="9.140625" style="3"/>
  </cols>
  <sheetData>
    <row r="1" spans="1:98" ht="30.75" customHeight="1">
      <c r="A1" s="81" t="s">
        <v>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2"/>
      <c r="AI1" s="83" t="s">
        <v>0</v>
      </c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1"/>
      <c r="BG1" s="81"/>
      <c r="BH1" s="81"/>
      <c r="BI1" s="81"/>
      <c r="BJ1" s="81"/>
      <c r="BK1" s="81"/>
      <c r="BL1" s="81"/>
      <c r="BM1" s="81"/>
      <c r="BN1" s="81"/>
      <c r="BO1" s="81"/>
      <c r="BP1" s="81"/>
      <c r="BQ1" s="81"/>
      <c r="BR1" s="81"/>
      <c r="BS1" s="81"/>
      <c r="BT1" s="81"/>
      <c r="BU1" s="81"/>
      <c r="BV1" s="81"/>
      <c r="BW1" s="81"/>
      <c r="BX1" s="81"/>
      <c r="BY1" s="81"/>
      <c r="BZ1" s="81"/>
      <c r="CA1" s="81"/>
      <c r="CB1" s="81"/>
      <c r="CC1" s="81"/>
      <c r="CD1" s="81"/>
    </row>
    <row r="2" spans="1:98" ht="21.75" customHeight="1">
      <c r="A2" s="108" t="s">
        <v>1</v>
      </c>
      <c r="B2" s="109"/>
      <c r="C2" s="109"/>
      <c r="D2" s="84" t="s">
        <v>2</v>
      </c>
      <c r="E2" s="85"/>
      <c r="F2" s="84" t="s">
        <v>3</v>
      </c>
      <c r="G2" s="85"/>
      <c r="H2" s="84" t="s">
        <v>4</v>
      </c>
      <c r="I2" s="85"/>
      <c r="J2" s="84" t="s">
        <v>5</v>
      </c>
      <c r="K2" s="85"/>
      <c r="L2" s="84" t="s">
        <v>6</v>
      </c>
      <c r="M2" s="85"/>
      <c r="N2" s="84" t="s">
        <v>7</v>
      </c>
      <c r="O2" s="85"/>
      <c r="P2" s="84" t="s">
        <v>8</v>
      </c>
      <c r="Q2" s="85"/>
      <c r="R2" s="84" t="s">
        <v>2</v>
      </c>
      <c r="S2" s="85"/>
      <c r="T2" s="84" t="s">
        <v>3</v>
      </c>
      <c r="U2" s="85"/>
      <c r="V2" s="84" t="s">
        <v>4</v>
      </c>
      <c r="W2" s="85"/>
      <c r="X2" s="84" t="s">
        <v>5</v>
      </c>
      <c r="Y2" s="85"/>
      <c r="Z2" s="84" t="s">
        <v>6</v>
      </c>
      <c r="AA2" s="85"/>
      <c r="AB2" s="84" t="s">
        <v>7</v>
      </c>
      <c r="AC2" s="85"/>
      <c r="AD2" s="84" t="s">
        <v>8</v>
      </c>
      <c r="AE2" s="85"/>
      <c r="AF2" s="84" t="s">
        <v>2</v>
      </c>
      <c r="AG2" s="85"/>
      <c r="AI2" s="102" t="s">
        <v>9</v>
      </c>
      <c r="AJ2" s="84" t="s">
        <v>3</v>
      </c>
      <c r="AK2" s="85"/>
      <c r="AL2" s="84" t="s">
        <v>4</v>
      </c>
      <c r="AM2" s="85"/>
      <c r="AN2" s="84" t="s">
        <v>5</v>
      </c>
      <c r="AO2" s="85"/>
      <c r="AP2" s="84" t="s">
        <v>6</v>
      </c>
      <c r="AQ2" s="85"/>
      <c r="AR2" s="84" t="s">
        <v>7</v>
      </c>
      <c r="AS2" s="85"/>
      <c r="AT2" s="84" t="s">
        <v>8</v>
      </c>
      <c r="AU2" s="85"/>
      <c r="AV2" s="84" t="s">
        <v>2</v>
      </c>
      <c r="AW2" s="85"/>
      <c r="AX2" s="84" t="s">
        <v>3</v>
      </c>
      <c r="AY2" s="85"/>
      <c r="AZ2" s="84" t="s">
        <v>4</v>
      </c>
      <c r="BA2" s="85"/>
      <c r="BB2" s="84" t="s">
        <v>5</v>
      </c>
      <c r="BC2" s="85"/>
      <c r="BD2" s="84" t="s">
        <v>6</v>
      </c>
      <c r="BE2" s="85"/>
      <c r="BF2" s="84" t="s">
        <v>7</v>
      </c>
      <c r="BG2" s="85"/>
      <c r="BH2" s="84" t="s">
        <v>8</v>
      </c>
      <c r="BI2" s="85"/>
      <c r="BJ2" s="84" t="s">
        <v>2</v>
      </c>
      <c r="BK2" s="85"/>
      <c r="BL2" s="84" t="s">
        <v>3</v>
      </c>
      <c r="BM2" s="85"/>
      <c r="BN2" s="84" t="s">
        <v>4</v>
      </c>
      <c r="BO2" s="85"/>
      <c r="BP2" s="104" t="s">
        <v>10</v>
      </c>
      <c r="BQ2" s="106" t="s">
        <v>11</v>
      </c>
      <c r="BR2" s="86"/>
      <c r="BS2" s="87"/>
      <c r="BT2" s="87"/>
      <c r="BU2" s="87"/>
      <c r="BV2" s="87"/>
      <c r="BW2" s="87"/>
      <c r="BX2" s="87"/>
      <c r="BY2" s="87"/>
      <c r="BZ2" s="87"/>
      <c r="CA2" s="87"/>
      <c r="CB2" s="87"/>
      <c r="CC2" s="87"/>
      <c r="CD2" s="88"/>
      <c r="CJ2" s="89" t="s">
        <v>12</v>
      </c>
      <c r="CK2" s="89"/>
      <c r="CL2" s="89"/>
      <c r="CM2" s="89"/>
      <c r="CN2" s="89"/>
      <c r="CO2" s="89"/>
      <c r="CP2" s="89"/>
      <c r="CQ2" s="89"/>
      <c r="CR2" s="89"/>
      <c r="CS2" s="89"/>
    </row>
    <row r="3" spans="1:98" ht="21.75" customHeight="1">
      <c r="A3" s="110"/>
      <c r="B3" s="111"/>
      <c r="C3" s="111"/>
      <c r="D3" s="90">
        <v>46023</v>
      </c>
      <c r="E3" s="91"/>
      <c r="F3" s="90">
        <v>46024</v>
      </c>
      <c r="G3" s="91"/>
      <c r="H3" s="90">
        <v>46025</v>
      </c>
      <c r="I3" s="91"/>
      <c r="J3" s="90">
        <v>46026</v>
      </c>
      <c r="K3" s="91"/>
      <c r="L3" s="90">
        <v>46027</v>
      </c>
      <c r="M3" s="91"/>
      <c r="N3" s="90">
        <v>46028</v>
      </c>
      <c r="O3" s="91"/>
      <c r="P3" s="90">
        <v>46029</v>
      </c>
      <c r="Q3" s="91"/>
      <c r="R3" s="90">
        <v>46030</v>
      </c>
      <c r="S3" s="91"/>
      <c r="T3" s="90">
        <v>46031</v>
      </c>
      <c r="U3" s="91"/>
      <c r="V3" s="90">
        <v>46032</v>
      </c>
      <c r="W3" s="91"/>
      <c r="X3" s="90">
        <v>46033</v>
      </c>
      <c r="Y3" s="91"/>
      <c r="Z3" s="90">
        <v>46034</v>
      </c>
      <c r="AA3" s="91"/>
      <c r="AB3" s="90">
        <v>46035</v>
      </c>
      <c r="AC3" s="91"/>
      <c r="AD3" s="90">
        <v>46036</v>
      </c>
      <c r="AE3" s="91"/>
      <c r="AF3" s="90">
        <v>46037</v>
      </c>
      <c r="AG3" s="91"/>
      <c r="AI3" s="103"/>
      <c r="AJ3" s="92">
        <v>46038</v>
      </c>
      <c r="AK3" s="93"/>
      <c r="AL3" s="92">
        <v>46039</v>
      </c>
      <c r="AM3" s="93"/>
      <c r="AN3" s="92">
        <v>46040</v>
      </c>
      <c r="AO3" s="93"/>
      <c r="AP3" s="92">
        <v>46041</v>
      </c>
      <c r="AQ3" s="93"/>
      <c r="AR3" s="92">
        <v>46042</v>
      </c>
      <c r="AS3" s="93"/>
      <c r="AT3" s="92">
        <v>46043</v>
      </c>
      <c r="AU3" s="93"/>
      <c r="AV3" s="92">
        <v>46044</v>
      </c>
      <c r="AW3" s="93"/>
      <c r="AX3" s="92">
        <v>46045</v>
      </c>
      <c r="AY3" s="93"/>
      <c r="AZ3" s="92">
        <v>46046</v>
      </c>
      <c r="BA3" s="93"/>
      <c r="BB3" s="92">
        <v>46047</v>
      </c>
      <c r="BC3" s="93"/>
      <c r="BD3" s="92">
        <v>46048</v>
      </c>
      <c r="BE3" s="93"/>
      <c r="BF3" s="92">
        <v>46049</v>
      </c>
      <c r="BG3" s="93"/>
      <c r="BH3" s="92">
        <v>46050</v>
      </c>
      <c r="BI3" s="93"/>
      <c r="BJ3" s="92">
        <v>46051</v>
      </c>
      <c r="BK3" s="93"/>
      <c r="BL3" s="92">
        <v>46052</v>
      </c>
      <c r="BM3" s="93"/>
      <c r="BN3" s="92">
        <v>46053</v>
      </c>
      <c r="BO3" s="93"/>
      <c r="BP3" s="105"/>
      <c r="BQ3" s="107"/>
      <c r="BR3" s="4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6"/>
      <c r="CJ3" s="94" t="s">
        <v>13</v>
      </c>
      <c r="CK3" s="94"/>
      <c r="CL3" s="94"/>
      <c r="CM3" s="94"/>
      <c r="CN3" s="94"/>
      <c r="CO3" s="94"/>
      <c r="CP3" s="94"/>
      <c r="CQ3" s="94"/>
      <c r="CR3" s="94"/>
      <c r="CS3" s="94"/>
    </row>
    <row r="4" spans="1:98" ht="25.5" customHeight="1">
      <c r="A4" s="7" t="s">
        <v>9</v>
      </c>
      <c r="B4" s="7" t="s">
        <v>14</v>
      </c>
      <c r="C4" s="8" t="s">
        <v>15</v>
      </c>
      <c r="D4" s="9" t="s">
        <v>16</v>
      </c>
      <c r="E4" s="10" t="s">
        <v>17</v>
      </c>
      <c r="F4" s="9" t="s">
        <v>16</v>
      </c>
      <c r="G4" s="10" t="s">
        <v>17</v>
      </c>
      <c r="H4" s="9" t="s">
        <v>16</v>
      </c>
      <c r="I4" s="10" t="s">
        <v>17</v>
      </c>
      <c r="J4" s="9" t="s">
        <v>16</v>
      </c>
      <c r="K4" s="10" t="s">
        <v>17</v>
      </c>
      <c r="L4" s="9" t="s">
        <v>16</v>
      </c>
      <c r="M4" s="10" t="s">
        <v>17</v>
      </c>
      <c r="N4" s="9" t="s">
        <v>16</v>
      </c>
      <c r="O4" s="10" t="s">
        <v>17</v>
      </c>
      <c r="P4" s="9" t="s">
        <v>16</v>
      </c>
      <c r="Q4" s="10" t="s">
        <v>17</v>
      </c>
      <c r="R4" s="9" t="s">
        <v>16</v>
      </c>
      <c r="S4" s="10" t="s">
        <v>17</v>
      </c>
      <c r="T4" s="9" t="s">
        <v>16</v>
      </c>
      <c r="U4" s="10" t="s">
        <v>17</v>
      </c>
      <c r="V4" s="9" t="s">
        <v>16</v>
      </c>
      <c r="W4" s="10" t="s">
        <v>17</v>
      </c>
      <c r="X4" s="9" t="s">
        <v>16</v>
      </c>
      <c r="Y4" s="10" t="s">
        <v>17</v>
      </c>
      <c r="Z4" s="9" t="s">
        <v>16</v>
      </c>
      <c r="AA4" s="10" t="s">
        <v>17</v>
      </c>
      <c r="AB4" s="9" t="s">
        <v>16</v>
      </c>
      <c r="AC4" s="10" t="s">
        <v>17</v>
      </c>
      <c r="AD4" s="11" t="s">
        <v>16</v>
      </c>
      <c r="AE4" s="12" t="s">
        <v>17</v>
      </c>
      <c r="AF4" s="11" t="s">
        <v>16</v>
      </c>
      <c r="AG4" s="13" t="s">
        <v>17</v>
      </c>
      <c r="AI4" s="103"/>
      <c r="AJ4" s="11" t="s">
        <v>16</v>
      </c>
      <c r="AK4" s="12" t="s">
        <v>17</v>
      </c>
      <c r="AL4" s="11" t="s">
        <v>16</v>
      </c>
      <c r="AM4" s="12" t="s">
        <v>17</v>
      </c>
      <c r="AN4" s="11" t="s">
        <v>16</v>
      </c>
      <c r="AO4" s="12" t="s">
        <v>17</v>
      </c>
      <c r="AP4" s="11" t="s">
        <v>16</v>
      </c>
      <c r="AQ4" s="12" t="s">
        <v>17</v>
      </c>
      <c r="AR4" s="11" t="s">
        <v>16</v>
      </c>
      <c r="AS4" s="12" t="s">
        <v>17</v>
      </c>
      <c r="AT4" s="11" t="s">
        <v>16</v>
      </c>
      <c r="AU4" s="12" t="s">
        <v>17</v>
      </c>
      <c r="AV4" s="11" t="s">
        <v>16</v>
      </c>
      <c r="AW4" s="12" t="s">
        <v>17</v>
      </c>
      <c r="AX4" s="11" t="s">
        <v>16</v>
      </c>
      <c r="AY4" s="12" t="s">
        <v>17</v>
      </c>
      <c r="AZ4" s="11" t="s">
        <v>16</v>
      </c>
      <c r="BA4" s="12" t="s">
        <v>17</v>
      </c>
      <c r="BB4" s="11" t="s">
        <v>16</v>
      </c>
      <c r="BC4" s="12" t="s">
        <v>17</v>
      </c>
      <c r="BD4" s="11" t="s">
        <v>16</v>
      </c>
      <c r="BE4" s="12" t="s">
        <v>17</v>
      </c>
      <c r="BF4" s="11" t="s">
        <v>16</v>
      </c>
      <c r="BG4" s="12" t="s">
        <v>17</v>
      </c>
      <c r="BH4" s="11" t="s">
        <v>16</v>
      </c>
      <c r="BI4" s="12" t="s">
        <v>17</v>
      </c>
      <c r="BJ4" s="11" t="s">
        <v>16</v>
      </c>
      <c r="BK4" s="12" t="s">
        <v>17</v>
      </c>
      <c r="BL4" s="11" t="s">
        <v>16</v>
      </c>
      <c r="BM4" s="12" t="s">
        <v>17</v>
      </c>
      <c r="BN4" s="11" t="s">
        <v>16</v>
      </c>
      <c r="BO4" s="12" t="s">
        <v>17</v>
      </c>
      <c r="BP4" s="105"/>
      <c r="BQ4" s="107"/>
      <c r="BR4" s="14"/>
      <c r="BS4" s="15" t="s">
        <v>18</v>
      </c>
      <c r="BT4" s="15" t="s">
        <v>19</v>
      </c>
      <c r="BU4" s="15" t="s">
        <v>20</v>
      </c>
      <c r="BV4" s="15" t="s">
        <v>21</v>
      </c>
      <c r="BW4" s="15" t="s">
        <v>22</v>
      </c>
      <c r="BX4" s="15" t="s">
        <v>23</v>
      </c>
      <c r="BY4" s="15" t="s">
        <v>24</v>
      </c>
      <c r="BZ4" s="15" t="s">
        <v>25</v>
      </c>
      <c r="CA4" s="15" t="s">
        <v>26</v>
      </c>
      <c r="CB4" s="15" t="s">
        <v>27</v>
      </c>
      <c r="CC4" s="15" t="s">
        <v>28</v>
      </c>
      <c r="CD4" s="16" t="s">
        <v>29</v>
      </c>
      <c r="CJ4" s="17" t="s">
        <v>19</v>
      </c>
      <c r="CK4" s="18" t="s">
        <v>20</v>
      </c>
      <c r="CL4" s="18" t="s">
        <v>21</v>
      </c>
      <c r="CM4" s="18" t="s">
        <v>22</v>
      </c>
      <c r="CN4" s="18" t="s">
        <v>23</v>
      </c>
      <c r="CO4" s="18" t="s">
        <v>24</v>
      </c>
      <c r="CP4" s="18" t="s">
        <v>25</v>
      </c>
      <c r="CQ4" s="18" t="s">
        <v>26</v>
      </c>
      <c r="CR4" s="18" t="s">
        <v>27</v>
      </c>
      <c r="CS4" s="18" t="s">
        <v>28</v>
      </c>
      <c r="CT4" s="19" t="s">
        <v>30</v>
      </c>
    </row>
    <row r="5" spans="1:98" ht="24.75" customHeight="1">
      <c r="A5" s="20">
        <v>1</v>
      </c>
      <c r="B5" s="21" t="s">
        <v>31</v>
      </c>
      <c r="C5" s="22" t="s">
        <v>32</v>
      </c>
      <c r="D5" s="23">
        <v>1</v>
      </c>
      <c r="E5" s="23">
        <v>1</v>
      </c>
      <c r="F5" s="24" t="s">
        <v>18</v>
      </c>
      <c r="G5" s="24" t="s">
        <v>18</v>
      </c>
      <c r="H5" s="23">
        <v>1</v>
      </c>
      <c r="I5" s="23">
        <v>1</v>
      </c>
      <c r="J5" s="23">
        <v>1</v>
      </c>
      <c r="K5" s="23">
        <v>1</v>
      </c>
      <c r="L5" s="23">
        <v>1</v>
      </c>
      <c r="M5" s="23">
        <v>1</v>
      </c>
      <c r="N5" s="23">
        <v>1</v>
      </c>
      <c r="O5" s="23">
        <v>1</v>
      </c>
      <c r="P5" s="23">
        <v>1</v>
      </c>
      <c r="Q5" s="23">
        <v>1</v>
      </c>
      <c r="R5" s="23">
        <v>1</v>
      </c>
      <c r="S5" s="23">
        <v>1</v>
      </c>
      <c r="T5" s="24" t="s">
        <v>18</v>
      </c>
      <c r="U5" s="24" t="s">
        <v>18</v>
      </c>
      <c r="V5" s="23">
        <v>1</v>
      </c>
      <c r="W5" s="23">
        <v>1</v>
      </c>
      <c r="X5" s="23">
        <v>1</v>
      </c>
      <c r="Y5" s="23">
        <v>1</v>
      </c>
      <c r="Z5" s="23">
        <v>1</v>
      </c>
      <c r="AA5" s="23">
        <v>1</v>
      </c>
      <c r="AB5" s="23">
        <v>1</v>
      </c>
      <c r="AC5" s="23">
        <v>1</v>
      </c>
      <c r="AD5" s="23">
        <v>1</v>
      </c>
      <c r="AE5" s="23">
        <v>1</v>
      </c>
      <c r="AF5" s="23">
        <v>1</v>
      </c>
      <c r="AG5" s="23">
        <v>1</v>
      </c>
      <c r="AH5" s="25"/>
      <c r="AI5" s="26">
        <v>1</v>
      </c>
      <c r="AJ5" s="24" t="s">
        <v>18</v>
      </c>
      <c r="AK5" s="24" t="s">
        <v>18</v>
      </c>
      <c r="AL5" s="23">
        <v>1</v>
      </c>
      <c r="AM5" s="23">
        <v>1</v>
      </c>
      <c r="AN5" s="23">
        <v>1</v>
      </c>
      <c r="AO5" s="23">
        <v>1</v>
      </c>
      <c r="AP5" s="23">
        <v>1</v>
      </c>
      <c r="AQ5" s="23">
        <v>1</v>
      </c>
      <c r="AR5" s="23">
        <v>1</v>
      </c>
      <c r="AS5" s="23">
        <v>1</v>
      </c>
      <c r="AT5" s="23">
        <v>1</v>
      </c>
      <c r="AU5" s="23">
        <v>1</v>
      </c>
      <c r="AV5" s="23">
        <v>1</v>
      </c>
      <c r="AW5" s="23">
        <v>1</v>
      </c>
      <c r="AX5" s="24" t="s">
        <v>18</v>
      </c>
      <c r="AY5" s="24" t="s">
        <v>18</v>
      </c>
      <c r="AZ5" s="23">
        <v>1</v>
      </c>
      <c r="BA5" s="23">
        <v>1</v>
      </c>
      <c r="BB5" s="23">
        <v>1</v>
      </c>
      <c r="BC5" s="23">
        <v>1</v>
      </c>
      <c r="BD5" s="23">
        <v>1</v>
      </c>
      <c r="BE5" s="23">
        <v>1</v>
      </c>
      <c r="BF5" s="23">
        <v>1</v>
      </c>
      <c r="BG5" s="23">
        <v>1</v>
      </c>
      <c r="BH5" s="23">
        <v>1</v>
      </c>
      <c r="BI5" s="23">
        <v>1</v>
      </c>
      <c r="BJ5" s="23">
        <v>1</v>
      </c>
      <c r="BK5" s="23">
        <v>1</v>
      </c>
      <c r="BL5" s="24" t="s">
        <v>18</v>
      </c>
      <c r="BM5" s="24" t="s">
        <v>18</v>
      </c>
      <c r="BN5" s="23">
        <v>1</v>
      </c>
      <c r="BO5" s="23">
        <v>1</v>
      </c>
      <c r="BP5" s="27">
        <f>BR5+BS5+BT5+BU5+BV5+BZ5+BX5+CC5+BY5</f>
        <v>31</v>
      </c>
      <c r="BQ5" s="28">
        <v>0</v>
      </c>
      <c r="BR5" s="29">
        <f>COUNT(D5:AG5)/2+COUNT(AJ5:BO5)/2</f>
        <v>26</v>
      </c>
      <c r="BS5" s="30">
        <f t="shared" ref="BS5" si="0">COUNTIF(D5:BO5,"OFF")/2</f>
        <v>5</v>
      </c>
      <c r="BT5" s="30">
        <f t="shared" ref="BT5" si="1">COUNTIF(D5:BO5,"MC")/2</f>
        <v>0</v>
      </c>
      <c r="BU5" s="30">
        <f t="shared" ref="BU5" si="2">COUNTIF(D5:BO5,"EL")/2</f>
        <v>0</v>
      </c>
      <c r="BV5" s="30">
        <f t="shared" ref="BV5" si="3">COUNTIF(D5:BO5,"AL")/2</f>
        <v>0</v>
      </c>
      <c r="BW5" s="30">
        <f t="shared" ref="BW5" si="4">COUNTIF(D5:BO5,"SUS")/2</f>
        <v>0</v>
      </c>
      <c r="BX5" s="30">
        <f t="shared" ref="BX5" si="5">COUNTIF(D5:BO5,"FL")/2</f>
        <v>0</v>
      </c>
      <c r="BY5" s="30">
        <f t="shared" ref="BY5" si="6">COUNTIF(D5:BO5,"SICK")/2</f>
        <v>0</v>
      </c>
      <c r="BZ5" s="30">
        <f t="shared" ref="BZ5" si="7">COUNTIF(D5:BO5,"HD")/2</f>
        <v>0</v>
      </c>
      <c r="CA5" s="30">
        <f t="shared" ref="CA5" si="8">COUNTIF(D5:BO5,"AB")/2</f>
        <v>0</v>
      </c>
      <c r="CB5" s="30">
        <f t="shared" ref="CB5" si="9">COUNTIF(D5:BO5,"NL")/2</f>
        <v>0</v>
      </c>
      <c r="CC5" s="30">
        <f t="shared" ref="CC5" si="10">COUNTIF(D5:BO5,"SP")/2</f>
        <v>0</v>
      </c>
      <c r="CD5" s="31"/>
      <c r="CJ5" s="32">
        <v>0</v>
      </c>
      <c r="CK5" s="20">
        <v>0</v>
      </c>
      <c r="CL5" s="20">
        <v>0</v>
      </c>
      <c r="CM5" s="20">
        <v>0</v>
      </c>
      <c r="CN5" s="20">
        <v>0</v>
      </c>
      <c r="CO5" s="20">
        <v>0</v>
      </c>
      <c r="CP5" s="20">
        <v>0</v>
      </c>
      <c r="CQ5" s="20">
        <v>0</v>
      </c>
      <c r="CR5" s="20">
        <v>0</v>
      </c>
      <c r="CS5" s="20">
        <v>0</v>
      </c>
      <c r="CT5" s="33">
        <f>SUM(CJ5:CS5)</f>
        <v>0</v>
      </c>
    </row>
    <row r="6" spans="1:98" ht="24.75" customHeight="1">
      <c r="A6" s="20">
        <v>2</v>
      </c>
      <c r="B6" s="21" t="s">
        <v>33</v>
      </c>
      <c r="C6" s="22" t="s">
        <v>34</v>
      </c>
      <c r="D6" s="23">
        <v>1</v>
      </c>
      <c r="E6" s="23">
        <v>1</v>
      </c>
      <c r="F6" s="24" t="s">
        <v>18</v>
      </c>
      <c r="G6" s="24" t="s">
        <v>18</v>
      </c>
      <c r="H6" s="23">
        <v>1</v>
      </c>
      <c r="I6" s="23">
        <v>1</v>
      </c>
      <c r="J6" s="23">
        <v>1</v>
      </c>
      <c r="K6" s="23">
        <v>1</v>
      </c>
      <c r="L6" s="23">
        <v>1</v>
      </c>
      <c r="M6" s="23">
        <v>1</v>
      </c>
      <c r="N6" s="23">
        <v>1</v>
      </c>
      <c r="O6" s="23">
        <v>1</v>
      </c>
      <c r="P6" s="23">
        <v>1</v>
      </c>
      <c r="Q6" s="23">
        <v>1</v>
      </c>
      <c r="R6" s="23">
        <v>1</v>
      </c>
      <c r="S6" s="23">
        <v>1</v>
      </c>
      <c r="T6" s="24" t="s">
        <v>18</v>
      </c>
      <c r="U6" s="24" t="s">
        <v>18</v>
      </c>
      <c r="V6" s="23">
        <v>1</v>
      </c>
      <c r="W6" s="23">
        <v>1</v>
      </c>
      <c r="X6" s="23">
        <v>1</v>
      </c>
      <c r="Y6" s="23">
        <v>1</v>
      </c>
      <c r="Z6" s="23">
        <v>1</v>
      </c>
      <c r="AA6" s="23">
        <v>1</v>
      </c>
      <c r="AB6" s="23">
        <v>1</v>
      </c>
      <c r="AC6" s="23">
        <v>1</v>
      </c>
      <c r="AD6" s="23">
        <v>1</v>
      </c>
      <c r="AE6" s="23">
        <v>1</v>
      </c>
      <c r="AF6" s="23">
        <v>1</v>
      </c>
      <c r="AG6" s="23">
        <v>1</v>
      </c>
      <c r="AH6" s="25"/>
      <c r="AI6" s="26">
        <v>2</v>
      </c>
      <c r="AJ6" s="24" t="s">
        <v>18</v>
      </c>
      <c r="AK6" s="24" t="s">
        <v>18</v>
      </c>
      <c r="AL6" s="23">
        <v>1</v>
      </c>
      <c r="AM6" s="23">
        <v>1</v>
      </c>
      <c r="AN6" s="23">
        <v>1</v>
      </c>
      <c r="AO6" s="23">
        <v>1</v>
      </c>
      <c r="AP6" s="23">
        <v>1</v>
      </c>
      <c r="AQ6" s="23">
        <v>1</v>
      </c>
      <c r="AR6" s="23">
        <v>1</v>
      </c>
      <c r="AS6" s="23">
        <v>1</v>
      </c>
      <c r="AT6" s="23">
        <v>1</v>
      </c>
      <c r="AU6" s="23">
        <v>1</v>
      </c>
      <c r="AV6" s="23">
        <v>1</v>
      </c>
      <c r="AW6" s="23">
        <v>1</v>
      </c>
      <c r="AX6" s="24" t="s">
        <v>18</v>
      </c>
      <c r="AY6" s="24" t="s">
        <v>18</v>
      </c>
      <c r="AZ6" s="23">
        <v>1</v>
      </c>
      <c r="BA6" s="23">
        <v>1</v>
      </c>
      <c r="BB6" s="23">
        <v>1</v>
      </c>
      <c r="BC6" s="23">
        <v>1</v>
      </c>
      <c r="BD6" s="23">
        <v>1</v>
      </c>
      <c r="BE6" s="23">
        <v>1</v>
      </c>
      <c r="BF6" s="23">
        <v>1</v>
      </c>
      <c r="BG6" s="23">
        <v>1</v>
      </c>
      <c r="BH6" s="23">
        <v>1</v>
      </c>
      <c r="BI6" s="23">
        <v>1</v>
      </c>
      <c r="BJ6" s="23">
        <v>1</v>
      </c>
      <c r="BK6" s="23">
        <v>1</v>
      </c>
      <c r="BL6" s="24" t="s">
        <v>18</v>
      </c>
      <c r="BM6" s="24" t="s">
        <v>18</v>
      </c>
      <c r="BN6" s="23">
        <v>1</v>
      </c>
      <c r="BO6" s="23">
        <v>1</v>
      </c>
      <c r="BP6" s="27">
        <f t="shared" ref="BP6:BP29" si="11">BR6+BS6+BT6+BU6+BV6+BZ6+BX6+CC6+BY6</f>
        <v>31</v>
      </c>
      <c r="BQ6" s="28">
        <v>0</v>
      </c>
      <c r="BR6" s="29">
        <f t="shared" ref="BR6:BR29" si="12">COUNT(D6:AG6)/2+COUNT(AJ6:BO6)/2</f>
        <v>26</v>
      </c>
      <c r="BS6" s="30">
        <f t="shared" ref="BS6:BS29" si="13">COUNTIF(D6:BO6,"OFF")/2</f>
        <v>5</v>
      </c>
      <c r="BT6" s="30">
        <f t="shared" ref="BT6:BT29" si="14">COUNTIF(D6:BO6,"MC")/2</f>
        <v>0</v>
      </c>
      <c r="BU6" s="30">
        <f t="shared" ref="BU6:BU29" si="15">COUNTIF(D6:BO6,"EL")/2</f>
        <v>0</v>
      </c>
      <c r="BV6" s="30">
        <f t="shared" ref="BV6:BV29" si="16">COUNTIF(D6:BO6,"AL")/2</f>
        <v>0</v>
      </c>
      <c r="BW6" s="30">
        <f t="shared" ref="BW6:BW29" si="17">COUNTIF(D6:BO6,"SUS")/2</f>
        <v>0</v>
      </c>
      <c r="BX6" s="30">
        <f t="shared" ref="BX6:BX29" si="18">COUNTIF(D6:BO6,"FL")/2</f>
        <v>0</v>
      </c>
      <c r="BY6" s="30">
        <f t="shared" ref="BY6:BY29" si="19">COUNTIF(D6:BO6,"SICK")/2</f>
        <v>0</v>
      </c>
      <c r="BZ6" s="30">
        <f t="shared" ref="BZ6:BZ29" si="20">COUNTIF(D6:BO6,"HD")/2</f>
        <v>0</v>
      </c>
      <c r="CA6" s="30">
        <f t="shared" ref="CA6:CA29" si="21">COUNTIF(D6:BO6,"AB")/2</f>
        <v>0</v>
      </c>
      <c r="CB6" s="30">
        <f t="shared" ref="CB6:CB29" si="22">COUNTIF(D6:BO6,"NL")/2</f>
        <v>0</v>
      </c>
      <c r="CC6" s="30">
        <f t="shared" ref="CC6:CC29" si="23">COUNTIF(D6:BO6,"SP")/2</f>
        <v>0</v>
      </c>
      <c r="CD6" s="31"/>
      <c r="CJ6" s="32">
        <v>0</v>
      </c>
      <c r="CK6" s="20">
        <v>0</v>
      </c>
      <c r="CL6" s="20">
        <v>0</v>
      </c>
      <c r="CM6" s="20">
        <v>0</v>
      </c>
      <c r="CN6" s="20">
        <v>0</v>
      </c>
      <c r="CO6" s="20">
        <v>0</v>
      </c>
      <c r="CP6" s="20">
        <v>0</v>
      </c>
      <c r="CQ6" s="20">
        <v>0</v>
      </c>
      <c r="CR6" s="20">
        <v>0</v>
      </c>
      <c r="CS6" s="20">
        <v>0</v>
      </c>
      <c r="CT6" s="33">
        <f t="shared" ref="CT6:CT27" si="24">SUM(CJ6:CS6)</f>
        <v>0</v>
      </c>
    </row>
    <row r="7" spans="1:98" ht="24.75" customHeight="1">
      <c r="A7" s="20">
        <v>3</v>
      </c>
      <c r="B7" s="30" t="s">
        <v>35</v>
      </c>
      <c r="C7" s="22" t="s">
        <v>36</v>
      </c>
      <c r="D7" s="34">
        <v>0.32083333333333303</v>
      </c>
      <c r="E7" s="23">
        <v>1</v>
      </c>
      <c r="F7" s="35">
        <v>0.55625000000000002</v>
      </c>
      <c r="G7" s="36">
        <v>1</v>
      </c>
      <c r="H7" s="34">
        <v>0.31597222222222199</v>
      </c>
      <c r="I7" s="23">
        <v>1</v>
      </c>
      <c r="J7" s="34">
        <v>0.31597222222222199</v>
      </c>
      <c r="K7" s="23">
        <v>1</v>
      </c>
      <c r="L7" s="34">
        <v>0.31736111111111098</v>
      </c>
      <c r="M7" s="34">
        <v>0.71875</v>
      </c>
      <c r="N7" s="34">
        <v>0.327777777777778</v>
      </c>
      <c r="O7" s="34">
        <v>0.70208333333333295</v>
      </c>
      <c r="P7" s="34">
        <v>0.31736111111111098</v>
      </c>
      <c r="Q7" s="23">
        <v>1</v>
      </c>
      <c r="R7" s="34">
        <v>0.32291666666666702</v>
      </c>
      <c r="S7" s="34">
        <v>0.70277777777777795</v>
      </c>
      <c r="T7" s="35">
        <v>0.38194444444444398</v>
      </c>
      <c r="U7" s="36">
        <v>1</v>
      </c>
      <c r="V7" s="34">
        <v>0.31597222222222199</v>
      </c>
      <c r="W7" s="23">
        <v>1</v>
      </c>
      <c r="X7" s="34">
        <v>0.31736111111111098</v>
      </c>
      <c r="Y7" s="23">
        <v>1</v>
      </c>
      <c r="Z7" s="34">
        <v>0.32083333333333303</v>
      </c>
      <c r="AA7" s="23">
        <v>1</v>
      </c>
      <c r="AB7" s="34">
        <v>0.31805555555555598</v>
      </c>
      <c r="AC7" s="23">
        <v>1</v>
      </c>
      <c r="AD7" s="34">
        <v>0.31736111111111098</v>
      </c>
      <c r="AE7" s="23">
        <v>1</v>
      </c>
      <c r="AF7" s="34">
        <v>0.32083333333333303</v>
      </c>
      <c r="AG7" s="23">
        <v>1</v>
      </c>
      <c r="AH7" s="25"/>
      <c r="AI7" s="26">
        <v>3</v>
      </c>
      <c r="AJ7" s="35">
        <v>0.55625000000000002</v>
      </c>
      <c r="AK7" s="36">
        <v>1</v>
      </c>
      <c r="AL7" s="34">
        <v>0.30277777777777798</v>
      </c>
      <c r="AM7" s="23">
        <v>1</v>
      </c>
      <c r="AN7" s="34">
        <v>0.32361111111111102</v>
      </c>
      <c r="AO7" s="23">
        <v>1</v>
      </c>
      <c r="AP7" s="34">
        <v>0.32013888888888897</v>
      </c>
      <c r="AQ7" s="23">
        <v>1</v>
      </c>
      <c r="AR7" s="34">
        <v>0.32361111111111102</v>
      </c>
      <c r="AS7" s="23">
        <v>1</v>
      </c>
      <c r="AT7" s="34">
        <v>0.313194444444444</v>
      </c>
      <c r="AU7" s="23">
        <v>1</v>
      </c>
      <c r="AV7" s="34">
        <v>0.31805555555555598</v>
      </c>
      <c r="AW7" s="23">
        <v>1</v>
      </c>
      <c r="AX7" s="35">
        <v>0.55902777777777801</v>
      </c>
      <c r="AY7" s="36">
        <v>1</v>
      </c>
      <c r="AZ7" s="34">
        <v>0.31736111111111098</v>
      </c>
      <c r="BA7" s="23">
        <v>1</v>
      </c>
      <c r="BB7" s="34">
        <v>0.31666666666666698</v>
      </c>
      <c r="BC7" s="23">
        <v>1</v>
      </c>
      <c r="BD7" s="34">
        <v>0.31944444444444398</v>
      </c>
      <c r="BE7" s="23">
        <v>1</v>
      </c>
      <c r="BF7" s="34">
        <v>0.32222222222222202</v>
      </c>
      <c r="BG7" s="23">
        <v>1</v>
      </c>
      <c r="BH7" s="34">
        <v>0.311805555555556</v>
      </c>
      <c r="BI7" s="23">
        <v>1</v>
      </c>
      <c r="BJ7" s="34">
        <v>0.30138888888888898</v>
      </c>
      <c r="BK7" s="23">
        <v>1</v>
      </c>
      <c r="BL7" s="35">
        <v>0.55833333333333302</v>
      </c>
      <c r="BM7" s="36">
        <v>1</v>
      </c>
      <c r="BN7" s="34">
        <v>0.31736111111111098</v>
      </c>
      <c r="BO7" s="23">
        <v>1</v>
      </c>
      <c r="BP7" s="27">
        <f t="shared" si="11"/>
        <v>31</v>
      </c>
      <c r="BQ7" s="28">
        <v>5</v>
      </c>
      <c r="BR7" s="29">
        <f t="shared" si="12"/>
        <v>31</v>
      </c>
      <c r="BS7" s="30">
        <f t="shared" si="13"/>
        <v>0</v>
      </c>
      <c r="BT7" s="30">
        <f t="shared" si="14"/>
        <v>0</v>
      </c>
      <c r="BU7" s="30">
        <f t="shared" si="15"/>
        <v>0</v>
      </c>
      <c r="BV7" s="30">
        <f t="shared" si="16"/>
        <v>0</v>
      </c>
      <c r="BW7" s="30">
        <f t="shared" si="17"/>
        <v>0</v>
      </c>
      <c r="BX7" s="30">
        <f t="shared" si="18"/>
        <v>0</v>
      </c>
      <c r="BY7" s="30">
        <f t="shared" si="19"/>
        <v>0</v>
      </c>
      <c r="BZ7" s="30">
        <f t="shared" si="20"/>
        <v>0</v>
      </c>
      <c r="CA7" s="30">
        <f t="shared" si="21"/>
        <v>0</v>
      </c>
      <c r="CB7" s="30">
        <f t="shared" si="22"/>
        <v>0</v>
      </c>
      <c r="CC7" s="30">
        <f t="shared" si="23"/>
        <v>0</v>
      </c>
      <c r="CD7" s="31"/>
      <c r="CJ7" s="32">
        <v>0</v>
      </c>
      <c r="CK7" s="20">
        <v>0</v>
      </c>
      <c r="CL7" s="20">
        <v>13</v>
      </c>
      <c r="CM7" s="20">
        <v>0</v>
      </c>
      <c r="CN7" s="20">
        <v>0</v>
      </c>
      <c r="CO7" s="20">
        <v>0</v>
      </c>
      <c r="CP7" s="20">
        <v>0</v>
      </c>
      <c r="CQ7" s="20">
        <v>0</v>
      </c>
      <c r="CR7" s="20">
        <v>0</v>
      </c>
      <c r="CS7" s="20">
        <v>0</v>
      </c>
      <c r="CT7" s="37">
        <f t="shared" ref="CT7" si="25">SUM(CJ7:CS7)</f>
        <v>13</v>
      </c>
    </row>
    <row r="8" spans="1:98" ht="24.75" customHeight="1">
      <c r="A8" s="20">
        <v>4</v>
      </c>
      <c r="B8" s="30" t="s">
        <v>37</v>
      </c>
      <c r="C8" s="22" t="s">
        <v>38</v>
      </c>
      <c r="D8" s="23">
        <v>1</v>
      </c>
      <c r="E8" s="23">
        <v>1</v>
      </c>
      <c r="F8" s="24" t="s">
        <v>18</v>
      </c>
      <c r="G8" s="24" t="s">
        <v>18</v>
      </c>
      <c r="H8" s="23">
        <v>1</v>
      </c>
      <c r="I8" s="23">
        <v>1</v>
      </c>
      <c r="J8" s="23">
        <v>1</v>
      </c>
      <c r="K8" s="23">
        <v>1</v>
      </c>
      <c r="L8" s="23">
        <v>1</v>
      </c>
      <c r="M8" s="23">
        <v>1</v>
      </c>
      <c r="N8" s="23">
        <v>1</v>
      </c>
      <c r="O8" s="23">
        <v>1</v>
      </c>
      <c r="P8" s="23">
        <v>1</v>
      </c>
      <c r="Q8" s="23">
        <v>1</v>
      </c>
      <c r="R8" s="23">
        <v>1</v>
      </c>
      <c r="S8" s="23">
        <v>1</v>
      </c>
      <c r="T8" s="24" t="s">
        <v>18</v>
      </c>
      <c r="U8" s="24" t="s">
        <v>18</v>
      </c>
      <c r="V8" s="23">
        <v>1</v>
      </c>
      <c r="W8" s="23">
        <v>1</v>
      </c>
      <c r="X8" s="23">
        <v>1</v>
      </c>
      <c r="Y8" s="23">
        <v>1</v>
      </c>
      <c r="Z8" s="23">
        <v>1</v>
      </c>
      <c r="AA8" s="23">
        <v>1</v>
      </c>
      <c r="AB8" s="23">
        <v>1</v>
      </c>
      <c r="AC8" s="23">
        <v>1</v>
      </c>
      <c r="AD8" s="23">
        <v>1</v>
      </c>
      <c r="AE8" s="23">
        <v>1</v>
      </c>
      <c r="AF8" s="23">
        <v>1</v>
      </c>
      <c r="AG8" s="23">
        <v>1</v>
      </c>
      <c r="AH8" s="25"/>
      <c r="AI8" s="26">
        <v>4</v>
      </c>
      <c r="AJ8" s="24" t="s">
        <v>18</v>
      </c>
      <c r="AK8" s="24" t="s">
        <v>18</v>
      </c>
      <c r="AL8" s="23">
        <v>1</v>
      </c>
      <c r="AM8" s="23">
        <v>1</v>
      </c>
      <c r="AN8" s="23">
        <v>1</v>
      </c>
      <c r="AO8" s="23">
        <v>1</v>
      </c>
      <c r="AP8" s="23">
        <v>1</v>
      </c>
      <c r="AQ8" s="23">
        <v>1</v>
      </c>
      <c r="AR8" s="23">
        <v>1</v>
      </c>
      <c r="AS8" s="23">
        <v>1</v>
      </c>
      <c r="AT8" s="23">
        <v>1</v>
      </c>
      <c r="AU8" s="23">
        <v>1</v>
      </c>
      <c r="AV8" s="23">
        <v>1</v>
      </c>
      <c r="AW8" s="23">
        <v>1</v>
      </c>
      <c r="AX8" s="24" t="s">
        <v>18</v>
      </c>
      <c r="AY8" s="24" t="s">
        <v>18</v>
      </c>
      <c r="AZ8" s="23">
        <v>1</v>
      </c>
      <c r="BA8" s="23">
        <v>1</v>
      </c>
      <c r="BB8" s="23">
        <v>1</v>
      </c>
      <c r="BC8" s="23">
        <v>1</v>
      </c>
      <c r="BD8" s="23">
        <v>1</v>
      </c>
      <c r="BE8" s="23">
        <v>1</v>
      </c>
      <c r="BF8" s="23">
        <v>1</v>
      </c>
      <c r="BG8" s="23">
        <v>1</v>
      </c>
      <c r="BH8" s="23">
        <v>1</v>
      </c>
      <c r="BI8" s="23">
        <v>1</v>
      </c>
      <c r="BJ8" s="23">
        <v>1</v>
      </c>
      <c r="BK8" s="23">
        <v>1</v>
      </c>
      <c r="BL8" s="24" t="s">
        <v>18</v>
      </c>
      <c r="BM8" s="24" t="s">
        <v>18</v>
      </c>
      <c r="BN8" s="23">
        <v>1</v>
      </c>
      <c r="BO8" s="23">
        <v>1</v>
      </c>
      <c r="BP8" s="27">
        <f t="shared" si="11"/>
        <v>31</v>
      </c>
      <c r="BQ8" s="28">
        <v>0</v>
      </c>
      <c r="BR8" s="29">
        <f t="shared" si="12"/>
        <v>26</v>
      </c>
      <c r="BS8" s="30">
        <f t="shared" si="13"/>
        <v>5</v>
      </c>
      <c r="BT8" s="30">
        <f t="shared" si="14"/>
        <v>0</v>
      </c>
      <c r="BU8" s="30">
        <f t="shared" si="15"/>
        <v>0</v>
      </c>
      <c r="BV8" s="30">
        <f t="shared" si="16"/>
        <v>0</v>
      </c>
      <c r="BW8" s="30">
        <f t="shared" si="17"/>
        <v>0</v>
      </c>
      <c r="BX8" s="30">
        <f t="shared" si="18"/>
        <v>0</v>
      </c>
      <c r="BY8" s="30">
        <f t="shared" si="19"/>
        <v>0</v>
      </c>
      <c r="BZ8" s="30">
        <f t="shared" si="20"/>
        <v>0</v>
      </c>
      <c r="CA8" s="30">
        <f t="shared" si="21"/>
        <v>0</v>
      </c>
      <c r="CB8" s="30">
        <f t="shared" si="22"/>
        <v>0</v>
      </c>
      <c r="CC8" s="30">
        <f t="shared" si="23"/>
        <v>0</v>
      </c>
      <c r="CD8" s="31"/>
      <c r="CJ8" s="32">
        <v>0</v>
      </c>
      <c r="CK8" s="20">
        <v>0</v>
      </c>
      <c r="CL8" s="20">
        <v>33</v>
      </c>
      <c r="CM8" s="20">
        <v>0</v>
      </c>
      <c r="CN8" s="20">
        <v>0</v>
      </c>
      <c r="CO8" s="20">
        <v>0</v>
      </c>
      <c r="CP8" s="20">
        <v>0</v>
      </c>
      <c r="CQ8" s="20">
        <v>0</v>
      </c>
      <c r="CR8" s="20">
        <v>0</v>
      </c>
      <c r="CS8" s="20">
        <v>0</v>
      </c>
      <c r="CT8" s="37">
        <f t="shared" si="24"/>
        <v>33</v>
      </c>
    </row>
    <row r="9" spans="1:98" ht="24.75" customHeight="1">
      <c r="A9" s="20">
        <v>5</v>
      </c>
      <c r="B9" s="38" t="s">
        <v>39</v>
      </c>
      <c r="C9" s="39" t="s">
        <v>40</v>
      </c>
      <c r="D9" s="23">
        <v>1</v>
      </c>
      <c r="E9" s="23">
        <v>1</v>
      </c>
      <c r="F9" s="24" t="s">
        <v>18</v>
      </c>
      <c r="G9" s="24" t="s">
        <v>18</v>
      </c>
      <c r="H9" s="23">
        <v>1</v>
      </c>
      <c r="I9" s="23">
        <v>1</v>
      </c>
      <c r="J9" s="23">
        <v>1</v>
      </c>
      <c r="K9" s="23">
        <v>1</v>
      </c>
      <c r="L9" s="23">
        <v>1</v>
      </c>
      <c r="M9" s="23">
        <v>1</v>
      </c>
      <c r="N9" s="23">
        <v>1</v>
      </c>
      <c r="O9" s="23">
        <v>1</v>
      </c>
      <c r="P9" s="23">
        <v>1</v>
      </c>
      <c r="Q9" s="23">
        <v>1</v>
      </c>
      <c r="R9" s="23">
        <v>1</v>
      </c>
      <c r="S9" s="23">
        <v>1</v>
      </c>
      <c r="T9" s="24" t="s">
        <v>18</v>
      </c>
      <c r="U9" s="24" t="s">
        <v>18</v>
      </c>
      <c r="V9" s="23">
        <v>1</v>
      </c>
      <c r="W9" s="23">
        <v>1</v>
      </c>
      <c r="X9" s="23">
        <v>1</v>
      </c>
      <c r="Y9" s="23">
        <v>1</v>
      </c>
      <c r="Z9" s="23">
        <v>1</v>
      </c>
      <c r="AA9" s="23">
        <v>1</v>
      </c>
      <c r="AB9" s="23">
        <v>1</v>
      </c>
      <c r="AC9" s="23">
        <v>1</v>
      </c>
      <c r="AD9" s="23">
        <v>1</v>
      </c>
      <c r="AE9" s="23">
        <v>1</v>
      </c>
      <c r="AF9" s="23">
        <v>1</v>
      </c>
      <c r="AG9" s="23">
        <v>1</v>
      </c>
      <c r="AH9" s="25"/>
      <c r="AI9" s="26">
        <v>5</v>
      </c>
      <c r="AJ9" s="24" t="s">
        <v>18</v>
      </c>
      <c r="AK9" s="24" t="s">
        <v>18</v>
      </c>
      <c r="AL9" s="23">
        <v>1</v>
      </c>
      <c r="AM9" s="23">
        <v>1</v>
      </c>
      <c r="AN9" s="23">
        <v>1</v>
      </c>
      <c r="AO9" s="23">
        <v>1</v>
      </c>
      <c r="AP9" s="23">
        <v>1</v>
      </c>
      <c r="AQ9" s="23">
        <v>1</v>
      </c>
      <c r="AR9" s="23">
        <v>1</v>
      </c>
      <c r="AS9" s="23">
        <v>1</v>
      </c>
      <c r="AT9" s="23">
        <v>1</v>
      </c>
      <c r="AU9" s="23">
        <v>1</v>
      </c>
      <c r="AV9" s="23">
        <v>1</v>
      </c>
      <c r="AW9" s="23">
        <v>1</v>
      </c>
      <c r="AX9" s="24" t="s">
        <v>18</v>
      </c>
      <c r="AY9" s="24" t="s">
        <v>18</v>
      </c>
      <c r="AZ9" s="23">
        <v>1</v>
      </c>
      <c r="BA9" s="23">
        <v>1</v>
      </c>
      <c r="BB9" s="23">
        <v>1</v>
      </c>
      <c r="BC9" s="23">
        <v>1</v>
      </c>
      <c r="BD9" s="23">
        <v>1</v>
      </c>
      <c r="BE9" s="23">
        <v>1</v>
      </c>
      <c r="BF9" s="23">
        <v>1</v>
      </c>
      <c r="BG9" s="23">
        <v>1</v>
      </c>
      <c r="BH9" s="23">
        <v>1</v>
      </c>
      <c r="BI9" s="23">
        <v>1</v>
      </c>
      <c r="BJ9" s="23">
        <v>1</v>
      </c>
      <c r="BK9" s="23">
        <v>1</v>
      </c>
      <c r="BL9" s="24" t="s">
        <v>18</v>
      </c>
      <c r="BM9" s="24" t="s">
        <v>18</v>
      </c>
      <c r="BN9" s="23">
        <v>1</v>
      </c>
      <c r="BO9" s="23">
        <v>1</v>
      </c>
      <c r="BP9" s="27">
        <f t="shared" si="11"/>
        <v>31</v>
      </c>
      <c r="BQ9" s="28">
        <v>0</v>
      </c>
      <c r="BR9" s="29">
        <f t="shared" si="12"/>
        <v>26</v>
      </c>
      <c r="BS9" s="30">
        <f t="shared" si="13"/>
        <v>5</v>
      </c>
      <c r="BT9" s="30">
        <f t="shared" si="14"/>
        <v>0</v>
      </c>
      <c r="BU9" s="30">
        <f t="shared" si="15"/>
        <v>0</v>
      </c>
      <c r="BV9" s="30">
        <f t="shared" si="16"/>
        <v>0</v>
      </c>
      <c r="BW9" s="30">
        <f t="shared" si="17"/>
        <v>0</v>
      </c>
      <c r="BX9" s="30">
        <f t="shared" si="18"/>
        <v>0</v>
      </c>
      <c r="BY9" s="30">
        <f t="shared" si="19"/>
        <v>0</v>
      </c>
      <c r="BZ9" s="30">
        <f t="shared" si="20"/>
        <v>0</v>
      </c>
      <c r="CA9" s="30">
        <f t="shared" si="21"/>
        <v>0</v>
      </c>
      <c r="CB9" s="30">
        <f t="shared" si="22"/>
        <v>0</v>
      </c>
      <c r="CC9" s="30">
        <f t="shared" si="23"/>
        <v>0</v>
      </c>
      <c r="CD9" s="31"/>
      <c r="CJ9" s="32">
        <v>0</v>
      </c>
      <c r="CK9" s="20">
        <v>0</v>
      </c>
      <c r="CL9" s="20">
        <v>0</v>
      </c>
      <c r="CM9" s="20">
        <v>0</v>
      </c>
      <c r="CN9" s="20">
        <v>0</v>
      </c>
      <c r="CO9" s="20">
        <v>0</v>
      </c>
      <c r="CP9" s="20">
        <v>0</v>
      </c>
      <c r="CQ9" s="20">
        <v>0</v>
      </c>
      <c r="CR9" s="20">
        <v>0</v>
      </c>
      <c r="CS9" s="20">
        <v>0</v>
      </c>
      <c r="CT9" s="37">
        <f t="shared" si="24"/>
        <v>0</v>
      </c>
    </row>
    <row r="10" spans="1:98" ht="24.75" customHeight="1">
      <c r="A10" s="20">
        <v>6</v>
      </c>
      <c r="B10" s="30" t="s">
        <v>41</v>
      </c>
      <c r="C10" s="22" t="s">
        <v>42</v>
      </c>
      <c r="D10" s="34">
        <v>0.452083333333333</v>
      </c>
      <c r="E10" s="34">
        <v>0.76805555555555605</v>
      </c>
      <c r="F10" s="35">
        <v>0.41805555555555601</v>
      </c>
      <c r="G10" s="35">
        <v>0.59930555555555598</v>
      </c>
      <c r="H10" s="34">
        <v>0.46875</v>
      </c>
      <c r="I10" s="34">
        <v>0.74861111111111101</v>
      </c>
      <c r="J10" s="34">
        <v>0.38680555555555601</v>
      </c>
      <c r="K10" s="34">
        <v>0.77638888888888902</v>
      </c>
      <c r="L10" s="34">
        <v>0.40208333333333302</v>
      </c>
      <c r="M10" s="34">
        <v>0.71875</v>
      </c>
      <c r="N10" s="34">
        <v>0.41805555555555601</v>
      </c>
      <c r="O10" s="34">
        <v>0.76388888888888895</v>
      </c>
      <c r="P10" s="34">
        <v>0.40277777777777801</v>
      </c>
      <c r="Q10" s="34">
        <v>0.73055555555555596</v>
      </c>
      <c r="R10" s="34">
        <v>0.39930555555555602</v>
      </c>
      <c r="S10" s="34">
        <v>0.71388888888888902</v>
      </c>
      <c r="T10" s="35">
        <v>0.40208333333333302</v>
      </c>
      <c r="U10" s="35">
        <v>0.64166666666666705</v>
      </c>
      <c r="V10" s="34">
        <v>0.47291666666666698</v>
      </c>
      <c r="W10" s="34">
        <v>0.77430555555555503</v>
      </c>
      <c r="X10" s="34">
        <v>0.41041666666666698</v>
      </c>
      <c r="Y10" s="34">
        <v>0.75555555555555598</v>
      </c>
      <c r="Z10" s="34">
        <v>0.42708333333333298</v>
      </c>
      <c r="AA10" s="34">
        <v>0.74097222222222203</v>
      </c>
      <c r="AB10" s="34">
        <v>0.436805555555556</v>
      </c>
      <c r="AC10" s="34">
        <v>0.75624999999999998</v>
      </c>
      <c r="AD10" s="34">
        <v>0.41458333333333303</v>
      </c>
      <c r="AE10" s="34">
        <v>0.74236111111111103</v>
      </c>
      <c r="AF10" s="34">
        <v>0.41111111111111098</v>
      </c>
      <c r="AG10" s="34">
        <v>0.73611111111111105</v>
      </c>
      <c r="AH10" s="25"/>
      <c r="AI10" s="26">
        <v>6</v>
      </c>
      <c r="AJ10" s="24" t="s">
        <v>18</v>
      </c>
      <c r="AK10" s="24" t="s">
        <v>18</v>
      </c>
      <c r="AL10" s="34">
        <v>0.45138888888888901</v>
      </c>
      <c r="AM10" s="34">
        <v>0.77916666666666701</v>
      </c>
      <c r="AN10" s="34">
        <v>0.38888888888888901</v>
      </c>
      <c r="AO10" s="34">
        <v>0.74166666666666703</v>
      </c>
      <c r="AP10" s="34">
        <v>0.39652777777777798</v>
      </c>
      <c r="AQ10" s="34">
        <v>0.75277777777777799</v>
      </c>
      <c r="AR10" s="34">
        <v>0.40069444444444402</v>
      </c>
      <c r="AS10" s="34">
        <v>0.78749999999999998</v>
      </c>
      <c r="AT10" s="34">
        <v>0.41597222222222202</v>
      </c>
      <c r="AU10" s="34">
        <v>0.8</v>
      </c>
      <c r="AV10" s="34">
        <v>0.40347222222222201</v>
      </c>
      <c r="AW10" s="34">
        <v>0.82499999999999996</v>
      </c>
      <c r="AX10" s="35">
        <v>0.41736111111111102</v>
      </c>
      <c r="AY10" s="35">
        <v>0.64513888888888904</v>
      </c>
      <c r="AZ10" s="34">
        <v>0.41458333333333303</v>
      </c>
      <c r="BA10" s="34">
        <v>0.70486111111111105</v>
      </c>
      <c r="BB10" s="34">
        <v>0.40277777777777801</v>
      </c>
      <c r="BC10" s="34">
        <v>0.83750000000000002</v>
      </c>
      <c r="BD10" s="34">
        <v>0.41319444444444398</v>
      </c>
      <c r="BE10" s="34">
        <v>0.749305555555556</v>
      </c>
      <c r="BF10" s="34">
        <v>0.40625</v>
      </c>
      <c r="BG10" s="34">
        <v>0.75624999999999998</v>
      </c>
      <c r="BH10" s="34">
        <v>0.4</v>
      </c>
      <c r="BI10" s="34">
        <v>0.75208333333333299</v>
      </c>
      <c r="BJ10" s="34">
        <v>0.40069444444444402</v>
      </c>
      <c r="BK10" s="34">
        <v>0.77083333333333304</v>
      </c>
      <c r="BL10" s="35">
        <v>0.39722222222222198</v>
      </c>
      <c r="BM10" s="35">
        <v>0.63819444444444395</v>
      </c>
      <c r="BN10" s="34">
        <v>0.4</v>
      </c>
      <c r="BO10" s="34">
        <v>0.70416666666666705</v>
      </c>
      <c r="BP10" s="27">
        <f t="shared" si="11"/>
        <v>31</v>
      </c>
      <c r="BQ10" s="28">
        <v>4</v>
      </c>
      <c r="BR10" s="29">
        <f t="shared" si="12"/>
        <v>30</v>
      </c>
      <c r="BS10" s="30">
        <f t="shared" si="13"/>
        <v>1</v>
      </c>
      <c r="BT10" s="30">
        <f t="shared" si="14"/>
        <v>0</v>
      </c>
      <c r="BU10" s="30">
        <f t="shared" si="15"/>
        <v>0</v>
      </c>
      <c r="BV10" s="30">
        <f t="shared" si="16"/>
        <v>0</v>
      </c>
      <c r="BW10" s="30">
        <f t="shared" si="17"/>
        <v>0</v>
      </c>
      <c r="BX10" s="30">
        <f t="shared" si="18"/>
        <v>0</v>
      </c>
      <c r="BY10" s="30">
        <f t="shared" si="19"/>
        <v>0</v>
      </c>
      <c r="BZ10" s="30">
        <f t="shared" si="20"/>
        <v>0</v>
      </c>
      <c r="CA10" s="30">
        <f t="shared" si="21"/>
        <v>0</v>
      </c>
      <c r="CB10" s="30">
        <f t="shared" si="22"/>
        <v>0</v>
      </c>
      <c r="CC10" s="30">
        <f t="shared" si="23"/>
        <v>0</v>
      </c>
      <c r="CD10" s="31"/>
      <c r="CJ10" s="32">
        <v>0</v>
      </c>
      <c r="CK10" s="20">
        <v>0</v>
      </c>
      <c r="CL10" s="20">
        <v>18</v>
      </c>
      <c r="CM10" s="20">
        <v>0</v>
      </c>
      <c r="CN10" s="20">
        <v>0</v>
      </c>
      <c r="CO10" s="20">
        <v>8</v>
      </c>
      <c r="CP10" s="20">
        <v>0</v>
      </c>
      <c r="CQ10" s="20">
        <v>0</v>
      </c>
      <c r="CR10" s="20">
        <v>0</v>
      </c>
      <c r="CS10" s="20">
        <v>6</v>
      </c>
      <c r="CT10" s="37">
        <f t="shared" si="24"/>
        <v>32</v>
      </c>
    </row>
    <row r="11" spans="1:98" ht="24.75" customHeight="1">
      <c r="A11" s="20">
        <v>7</v>
      </c>
      <c r="B11" s="30" t="s">
        <v>43</v>
      </c>
      <c r="C11" s="22" t="s">
        <v>44</v>
      </c>
      <c r="D11" s="34">
        <v>0.25694444444444398</v>
      </c>
      <c r="E11" s="23">
        <v>1</v>
      </c>
      <c r="F11" s="35">
        <v>0.58611111111111103</v>
      </c>
      <c r="G11" s="36">
        <v>1</v>
      </c>
      <c r="H11" s="34">
        <v>0.38819444444444401</v>
      </c>
      <c r="I11" s="23">
        <v>1</v>
      </c>
      <c r="J11" s="34">
        <v>0.39374999999999999</v>
      </c>
      <c r="K11" s="34">
        <v>6.2500000000000003E-3</v>
      </c>
      <c r="L11" s="34">
        <v>0.50972222222222197</v>
      </c>
      <c r="M11" s="23">
        <v>1</v>
      </c>
      <c r="N11" s="34">
        <v>0.41180555555555598</v>
      </c>
      <c r="O11" s="23">
        <v>1</v>
      </c>
      <c r="P11" s="34">
        <v>0.41458333333333303</v>
      </c>
      <c r="Q11" s="34">
        <v>3.4722222222222199E-3</v>
      </c>
      <c r="R11" s="34">
        <v>0.41249999999999998</v>
      </c>
      <c r="S11" s="34">
        <v>5.5555555555555601E-3</v>
      </c>
      <c r="T11" s="35">
        <v>0.58402777777777803</v>
      </c>
      <c r="U11" s="36">
        <v>1</v>
      </c>
      <c r="V11" s="34">
        <v>0.39861111111111103</v>
      </c>
      <c r="W11" s="34">
        <v>3.54166666666667E-2</v>
      </c>
      <c r="X11" s="34">
        <v>0.40486111111111101</v>
      </c>
      <c r="Y11" s="34">
        <v>0.98611111111111105</v>
      </c>
      <c r="Z11" s="34">
        <v>0.39444444444444399</v>
      </c>
      <c r="AA11" s="34">
        <v>0.99097222222222203</v>
      </c>
      <c r="AB11" s="34">
        <v>0.405555555555556</v>
      </c>
      <c r="AC11" s="23">
        <v>1</v>
      </c>
      <c r="AD11" s="34">
        <v>0.38888888888888901</v>
      </c>
      <c r="AE11" s="34">
        <v>0.57986111111111105</v>
      </c>
      <c r="AF11" s="34">
        <v>0.37777777777777799</v>
      </c>
      <c r="AG11" s="40">
        <v>1</v>
      </c>
      <c r="AH11" s="25"/>
      <c r="AI11" s="26">
        <v>7</v>
      </c>
      <c r="AJ11" s="35">
        <v>0.59583333333333299</v>
      </c>
      <c r="AK11" s="35">
        <v>8.8888888888888906E-2</v>
      </c>
      <c r="AL11" s="34" t="s">
        <v>21</v>
      </c>
      <c r="AM11" s="34" t="s">
        <v>21</v>
      </c>
      <c r="AN11" s="34" t="s">
        <v>21</v>
      </c>
      <c r="AO11" s="34" t="s">
        <v>21</v>
      </c>
      <c r="AP11" s="34" t="s">
        <v>21</v>
      </c>
      <c r="AQ11" s="34" t="s">
        <v>21</v>
      </c>
      <c r="AR11" s="34" t="s">
        <v>21</v>
      </c>
      <c r="AS11" s="34" t="s">
        <v>21</v>
      </c>
      <c r="AT11" s="34" t="s">
        <v>21</v>
      </c>
      <c r="AU11" s="34" t="s">
        <v>21</v>
      </c>
      <c r="AV11" s="34" t="s">
        <v>21</v>
      </c>
      <c r="AW11" s="34" t="s">
        <v>21</v>
      </c>
      <c r="AX11" s="35" t="s">
        <v>21</v>
      </c>
      <c r="AY11" s="35" t="s">
        <v>21</v>
      </c>
      <c r="AZ11" s="34" t="s">
        <v>21</v>
      </c>
      <c r="BA11" s="34" t="s">
        <v>21</v>
      </c>
      <c r="BB11" s="34" t="s">
        <v>21</v>
      </c>
      <c r="BC11" s="34" t="s">
        <v>21</v>
      </c>
      <c r="BD11" s="34" t="s">
        <v>21</v>
      </c>
      <c r="BE11" s="34" t="s">
        <v>21</v>
      </c>
      <c r="BF11" s="34" t="s">
        <v>21</v>
      </c>
      <c r="BG11" s="34" t="s">
        <v>21</v>
      </c>
      <c r="BH11" s="34" t="s">
        <v>21</v>
      </c>
      <c r="BI11" s="34" t="s">
        <v>21</v>
      </c>
      <c r="BJ11" s="34">
        <v>0.38333333333333303</v>
      </c>
      <c r="BK11" s="23">
        <v>1</v>
      </c>
      <c r="BL11" s="35">
        <v>0.6</v>
      </c>
      <c r="BM11" s="36">
        <v>1</v>
      </c>
      <c r="BN11" s="34">
        <v>0.39513888888888898</v>
      </c>
      <c r="BO11" s="34">
        <v>0.63680555555555596</v>
      </c>
      <c r="BP11" s="27">
        <f t="shared" si="11"/>
        <v>31</v>
      </c>
      <c r="BQ11" s="28">
        <v>4</v>
      </c>
      <c r="BR11" s="29">
        <f t="shared" si="12"/>
        <v>19</v>
      </c>
      <c r="BS11" s="30">
        <f t="shared" si="13"/>
        <v>0</v>
      </c>
      <c r="BT11" s="30">
        <f t="shared" si="14"/>
        <v>0</v>
      </c>
      <c r="BU11" s="30">
        <f t="shared" si="15"/>
        <v>0</v>
      </c>
      <c r="BV11" s="30">
        <f t="shared" si="16"/>
        <v>12</v>
      </c>
      <c r="BW11" s="30">
        <f t="shared" si="17"/>
        <v>0</v>
      </c>
      <c r="BX11" s="30">
        <f t="shared" si="18"/>
        <v>0</v>
      </c>
      <c r="BY11" s="30">
        <f t="shared" si="19"/>
        <v>0</v>
      </c>
      <c r="BZ11" s="30">
        <f t="shared" si="20"/>
        <v>0</v>
      </c>
      <c r="CA11" s="30">
        <f t="shared" si="21"/>
        <v>0</v>
      </c>
      <c r="CB11" s="30">
        <f t="shared" si="22"/>
        <v>0</v>
      </c>
      <c r="CC11" s="30">
        <f t="shared" si="23"/>
        <v>0</v>
      </c>
      <c r="CD11" s="31"/>
      <c r="CJ11" s="32">
        <v>0</v>
      </c>
      <c r="CK11" s="20">
        <v>0</v>
      </c>
      <c r="CL11" s="20">
        <v>27</v>
      </c>
      <c r="CM11" s="20">
        <v>0</v>
      </c>
      <c r="CN11" s="20">
        <v>0</v>
      </c>
      <c r="CO11" s="20">
        <v>5</v>
      </c>
      <c r="CP11" s="20">
        <v>0</v>
      </c>
      <c r="CQ11" s="20">
        <v>0</v>
      </c>
      <c r="CR11" s="20">
        <v>0</v>
      </c>
      <c r="CS11" s="20">
        <v>0</v>
      </c>
      <c r="CT11" s="37">
        <f t="shared" si="24"/>
        <v>32</v>
      </c>
    </row>
    <row r="12" spans="1:98" ht="24.75" customHeight="1">
      <c r="A12" s="20">
        <v>8</v>
      </c>
      <c r="B12" s="30" t="s">
        <v>45</v>
      </c>
      <c r="C12" s="22" t="s">
        <v>46</v>
      </c>
      <c r="D12" s="41">
        <v>0.22916666666666699</v>
      </c>
      <c r="E12" s="40">
        <v>1</v>
      </c>
      <c r="F12" s="24" t="s">
        <v>18</v>
      </c>
      <c r="G12" s="24" t="s">
        <v>18</v>
      </c>
      <c r="H12" s="41">
        <v>0.22847222222222199</v>
      </c>
      <c r="I12" s="40">
        <v>1</v>
      </c>
      <c r="J12" s="41">
        <v>0.227777777777778</v>
      </c>
      <c r="K12" s="40">
        <v>1</v>
      </c>
      <c r="L12" s="41">
        <v>0.22986111111111099</v>
      </c>
      <c r="M12" s="40">
        <v>1</v>
      </c>
      <c r="N12" s="41">
        <v>0.22916666666666699</v>
      </c>
      <c r="O12" s="40">
        <v>1</v>
      </c>
      <c r="P12" s="41">
        <v>0.23055555555555601</v>
      </c>
      <c r="Q12" s="40">
        <v>1</v>
      </c>
      <c r="R12" s="41">
        <v>0.23958333333333301</v>
      </c>
      <c r="S12" s="40">
        <v>1</v>
      </c>
      <c r="T12" s="24" t="s">
        <v>18</v>
      </c>
      <c r="U12" s="24" t="s">
        <v>18</v>
      </c>
      <c r="V12" s="41">
        <v>0.24027777777777801</v>
      </c>
      <c r="W12" s="40">
        <v>1</v>
      </c>
      <c r="X12" s="41">
        <v>0.23263888888888901</v>
      </c>
      <c r="Y12" s="40">
        <v>1</v>
      </c>
      <c r="Z12" s="41">
        <v>0.23680555555555599</v>
      </c>
      <c r="AA12" s="40">
        <v>1</v>
      </c>
      <c r="AB12" s="41">
        <v>0.23819444444444399</v>
      </c>
      <c r="AC12" s="40">
        <v>1</v>
      </c>
      <c r="AD12" s="41">
        <v>0.23263888888888901</v>
      </c>
      <c r="AE12" s="40">
        <v>1</v>
      </c>
      <c r="AF12" s="40">
        <v>1</v>
      </c>
      <c r="AG12" s="40">
        <v>1</v>
      </c>
      <c r="AH12" s="25"/>
      <c r="AI12" s="26">
        <v>8</v>
      </c>
      <c r="AJ12" s="24" t="s">
        <v>18</v>
      </c>
      <c r="AK12" s="24" t="s">
        <v>18</v>
      </c>
      <c r="AL12" s="34">
        <v>0.22986111111111099</v>
      </c>
      <c r="AM12" s="23">
        <v>1</v>
      </c>
      <c r="AN12" s="34">
        <v>0.234722222222222</v>
      </c>
      <c r="AO12" s="23">
        <v>1</v>
      </c>
      <c r="AP12" s="34">
        <v>0.234027777777778</v>
      </c>
      <c r="AQ12" s="23">
        <v>1</v>
      </c>
      <c r="AR12" s="34">
        <v>0.234027777777778</v>
      </c>
      <c r="AS12" s="23">
        <v>1</v>
      </c>
      <c r="AT12" s="23">
        <v>1</v>
      </c>
      <c r="AU12" s="23">
        <v>1</v>
      </c>
      <c r="AV12" s="23">
        <v>1</v>
      </c>
      <c r="AW12" s="23">
        <v>1</v>
      </c>
      <c r="AX12" s="24" t="s">
        <v>18</v>
      </c>
      <c r="AY12" s="24" t="s">
        <v>18</v>
      </c>
      <c r="AZ12" s="34">
        <v>0.23888888888888901</v>
      </c>
      <c r="BA12" s="23">
        <v>1</v>
      </c>
      <c r="BB12" s="34">
        <v>0.27083333333333298</v>
      </c>
      <c r="BC12" s="23">
        <v>1</v>
      </c>
      <c r="BD12" s="34">
        <v>0.24444444444444399</v>
      </c>
      <c r="BE12" s="23">
        <v>1</v>
      </c>
      <c r="BF12" s="34">
        <v>0.235416666666667</v>
      </c>
      <c r="BG12" s="23">
        <v>1</v>
      </c>
      <c r="BH12" s="34">
        <v>0.24583333333333299</v>
      </c>
      <c r="BI12" s="23">
        <v>1</v>
      </c>
      <c r="BJ12" s="34">
        <v>0.23819444444444399</v>
      </c>
      <c r="BK12" s="23">
        <v>1</v>
      </c>
      <c r="BL12" s="35">
        <v>0.23958333333333301</v>
      </c>
      <c r="BM12" s="36">
        <v>1</v>
      </c>
      <c r="BN12" s="34">
        <v>0.24791666666666701</v>
      </c>
      <c r="BO12" s="34">
        <v>1</v>
      </c>
      <c r="BP12" s="27">
        <f t="shared" si="11"/>
        <v>31</v>
      </c>
      <c r="BQ12" s="28">
        <v>0</v>
      </c>
      <c r="BR12" s="29">
        <f t="shared" si="12"/>
        <v>27</v>
      </c>
      <c r="BS12" s="30">
        <f t="shared" si="13"/>
        <v>4</v>
      </c>
      <c r="BT12" s="30">
        <f t="shared" si="14"/>
        <v>0</v>
      </c>
      <c r="BU12" s="30">
        <f t="shared" si="15"/>
        <v>0</v>
      </c>
      <c r="BV12" s="30">
        <f t="shared" si="16"/>
        <v>0</v>
      </c>
      <c r="BW12" s="30">
        <f t="shared" si="17"/>
        <v>0</v>
      </c>
      <c r="BX12" s="30">
        <f t="shared" si="18"/>
        <v>0</v>
      </c>
      <c r="BY12" s="30">
        <f t="shared" si="19"/>
        <v>0</v>
      </c>
      <c r="BZ12" s="30">
        <f t="shared" si="20"/>
        <v>0</v>
      </c>
      <c r="CA12" s="30">
        <f t="shared" si="21"/>
        <v>0</v>
      </c>
      <c r="CB12" s="30">
        <f t="shared" si="22"/>
        <v>0</v>
      </c>
      <c r="CC12" s="30">
        <f t="shared" si="23"/>
        <v>0</v>
      </c>
      <c r="CD12" s="31"/>
      <c r="CJ12" s="32">
        <v>0</v>
      </c>
      <c r="CK12" s="20">
        <v>0</v>
      </c>
      <c r="CL12" s="20">
        <v>17</v>
      </c>
      <c r="CM12" s="20">
        <v>0</v>
      </c>
      <c r="CN12" s="20">
        <v>0</v>
      </c>
      <c r="CO12" s="20">
        <v>0</v>
      </c>
      <c r="CP12" s="20">
        <v>0</v>
      </c>
      <c r="CQ12" s="20">
        <v>0</v>
      </c>
      <c r="CR12" s="20">
        <v>0</v>
      </c>
      <c r="CS12" s="20">
        <v>0</v>
      </c>
      <c r="CT12" s="37">
        <f t="shared" si="24"/>
        <v>17</v>
      </c>
    </row>
    <row r="13" spans="1:98" ht="24.75" customHeight="1">
      <c r="A13" s="20">
        <v>9</v>
      </c>
      <c r="B13" s="30" t="s">
        <v>47</v>
      </c>
      <c r="C13" s="22" t="s">
        <v>48</v>
      </c>
      <c r="D13" s="34">
        <v>0.34513888888888899</v>
      </c>
      <c r="E13" s="23">
        <v>1</v>
      </c>
      <c r="F13" s="24" t="s">
        <v>18</v>
      </c>
      <c r="G13" s="24" t="s">
        <v>18</v>
      </c>
      <c r="H13" s="34">
        <v>0.34097222222222201</v>
      </c>
      <c r="I13" s="34">
        <v>0.97777777777777797</v>
      </c>
      <c r="J13" s="34">
        <v>0.34375</v>
      </c>
      <c r="K13" s="34">
        <v>0.97083333333333299</v>
      </c>
      <c r="L13" s="34">
        <v>0.34375</v>
      </c>
      <c r="M13" s="23">
        <v>1</v>
      </c>
      <c r="N13" s="34">
        <v>0.34722222222222199</v>
      </c>
      <c r="O13" s="34">
        <v>0.96180555555555503</v>
      </c>
      <c r="P13" s="34">
        <v>0.344444444444444</v>
      </c>
      <c r="Q13" s="34">
        <v>0.95902777777777803</v>
      </c>
      <c r="R13" s="34">
        <v>0.34375</v>
      </c>
      <c r="S13" s="34">
        <v>0.97638888888888897</v>
      </c>
      <c r="T13" s="35">
        <v>0.57152777777777797</v>
      </c>
      <c r="U13" s="35">
        <v>0.95486111111111105</v>
      </c>
      <c r="V13" s="34">
        <v>0.34236111111111101</v>
      </c>
      <c r="W13" s="34">
        <v>0.99513888888888902</v>
      </c>
      <c r="X13" s="34">
        <v>0.34166666666666701</v>
      </c>
      <c r="Y13" s="23">
        <v>1</v>
      </c>
      <c r="Z13" s="34">
        <v>0.343055555555556</v>
      </c>
      <c r="AA13" s="34">
        <v>0.96597222222222201</v>
      </c>
      <c r="AB13" s="34">
        <v>0.34236111111111101</v>
      </c>
      <c r="AC13" s="23">
        <v>1</v>
      </c>
      <c r="AD13" s="34">
        <v>0.34236111111111101</v>
      </c>
      <c r="AE13" s="34">
        <v>0.95416666666666705</v>
      </c>
      <c r="AF13" s="34">
        <v>0.36597222222222198</v>
      </c>
      <c r="AG13" s="34">
        <v>0.97986111111111096</v>
      </c>
      <c r="AH13" s="25"/>
      <c r="AI13" s="26">
        <v>9</v>
      </c>
      <c r="AJ13" s="24" t="s">
        <v>18</v>
      </c>
      <c r="AK13" s="24" t="s">
        <v>18</v>
      </c>
      <c r="AL13" s="34">
        <v>0.35</v>
      </c>
      <c r="AM13" s="34">
        <v>0.968055555555556</v>
      </c>
      <c r="AN13" s="34">
        <v>0.34513888888888899</v>
      </c>
      <c r="AO13" s="34">
        <v>0.96041666666666703</v>
      </c>
      <c r="AP13" s="34">
        <v>0.34236111111111101</v>
      </c>
      <c r="AQ13" s="34">
        <v>0.96875</v>
      </c>
      <c r="AR13" s="34">
        <v>0.344444444444444</v>
      </c>
      <c r="AS13" s="34">
        <v>0.96111111111111103</v>
      </c>
      <c r="AT13" s="34">
        <v>0.344444444444444</v>
      </c>
      <c r="AU13" s="34">
        <v>0.96319444444444402</v>
      </c>
      <c r="AV13" s="34">
        <v>0.33958333333333302</v>
      </c>
      <c r="AW13" s="34">
        <v>0.97916666666666696</v>
      </c>
      <c r="AX13" s="35">
        <v>0.57708333333333295</v>
      </c>
      <c r="AY13" s="35">
        <v>0.95347222222222205</v>
      </c>
      <c r="AZ13" s="34">
        <v>0.343055555555556</v>
      </c>
      <c r="BA13" s="34">
        <v>0.96736111111111101</v>
      </c>
      <c r="BB13" s="34">
        <v>0.344444444444444</v>
      </c>
      <c r="BC13" s="34">
        <v>0.95833333333333304</v>
      </c>
      <c r="BD13" s="34">
        <v>0.34513888888888899</v>
      </c>
      <c r="BE13" s="34">
        <v>0.95347222222222205</v>
      </c>
      <c r="BF13" s="34">
        <v>0.34375</v>
      </c>
      <c r="BG13" s="23">
        <v>1</v>
      </c>
      <c r="BH13" s="34">
        <v>0.343055555555556</v>
      </c>
      <c r="BI13" s="34">
        <v>0.95069444444444395</v>
      </c>
      <c r="BJ13" s="34">
        <v>0.34236111111111101</v>
      </c>
      <c r="BK13" s="34">
        <v>0.97777777777777797</v>
      </c>
      <c r="BL13" s="24" t="s">
        <v>18</v>
      </c>
      <c r="BM13" s="24" t="s">
        <v>18</v>
      </c>
      <c r="BN13" s="34">
        <v>0.34027777777777801</v>
      </c>
      <c r="BO13" s="34">
        <v>0.97152777777777799</v>
      </c>
      <c r="BP13" s="27">
        <f t="shared" si="11"/>
        <v>31</v>
      </c>
      <c r="BQ13" s="28">
        <v>2</v>
      </c>
      <c r="BR13" s="29">
        <f t="shared" si="12"/>
        <v>28</v>
      </c>
      <c r="BS13" s="30">
        <f t="shared" si="13"/>
        <v>3</v>
      </c>
      <c r="BT13" s="30">
        <f t="shared" si="14"/>
        <v>0</v>
      </c>
      <c r="BU13" s="30">
        <f t="shared" si="15"/>
        <v>0</v>
      </c>
      <c r="BV13" s="30">
        <f t="shared" si="16"/>
        <v>0</v>
      </c>
      <c r="BW13" s="30">
        <f t="shared" si="17"/>
        <v>0</v>
      </c>
      <c r="BX13" s="30">
        <f t="shared" si="18"/>
        <v>0</v>
      </c>
      <c r="BY13" s="30">
        <f t="shared" si="19"/>
        <v>0</v>
      </c>
      <c r="BZ13" s="30">
        <f t="shared" si="20"/>
        <v>0</v>
      </c>
      <c r="CA13" s="30">
        <f t="shared" si="21"/>
        <v>0</v>
      </c>
      <c r="CB13" s="30">
        <f t="shared" si="22"/>
        <v>0</v>
      </c>
      <c r="CC13" s="30">
        <f t="shared" si="23"/>
        <v>0</v>
      </c>
      <c r="CD13" s="31"/>
      <c r="CJ13" s="32">
        <v>0</v>
      </c>
      <c r="CK13" s="20">
        <v>0</v>
      </c>
      <c r="CL13" s="20">
        <v>20</v>
      </c>
      <c r="CM13" s="20">
        <v>0</v>
      </c>
      <c r="CN13" s="20">
        <v>0</v>
      </c>
      <c r="CO13" s="20">
        <v>2</v>
      </c>
      <c r="CP13" s="20">
        <v>0</v>
      </c>
      <c r="CQ13" s="20">
        <v>0</v>
      </c>
      <c r="CR13" s="20">
        <v>0</v>
      </c>
      <c r="CS13" s="20">
        <v>0</v>
      </c>
      <c r="CT13" s="37">
        <f t="shared" si="24"/>
        <v>22</v>
      </c>
    </row>
    <row r="14" spans="1:98" ht="24.75" customHeight="1">
      <c r="A14" s="20">
        <v>10</v>
      </c>
      <c r="B14" s="30" t="s">
        <v>49</v>
      </c>
      <c r="C14" s="22" t="s">
        <v>50</v>
      </c>
      <c r="D14" s="34">
        <v>0.64930555555555602</v>
      </c>
      <c r="E14" s="34">
        <v>0.95</v>
      </c>
      <c r="F14" s="35">
        <v>0.58263888888888904</v>
      </c>
      <c r="G14" s="35">
        <v>0.9375</v>
      </c>
      <c r="H14" s="34">
        <v>0.35486111111111102</v>
      </c>
      <c r="I14" s="34">
        <v>0.64652777777777803</v>
      </c>
      <c r="J14" s="34">
        <v>0.358333333333333</v>
      </c>
      <c r="K14" s="34">
        <v>0.64652777777777803</v>
      </c>
      <c r="L14" s="34">
        <v>0.35486111111111102</v>
      </c>
      <c r="M14" s="34">
        <v>0.54930555555555605</v>
      </c>
      <c r="N14" s="34">
        <v>0.35486111111111102</v>
      </c>
      <c r="O14" s="34">
        <v>0.65</v>
      </c>
      <c r="P14" s="34">
        <v>0.35486111111111102</v>
      </c>
      <c r="Q14" s="34">
        <v>0.64652777777777803</v>
      </c>
      <c r="R14" s="34">
        <v>0.35347222222222202</v>
      </c>
      <c r="S14" s="34">
        <v>0.64583333333333304</v>
      </c>
      <c r="T14" s="24" t="s">
        <v>18</v>
      </c>
      <c r="U14" s="24" t="s">
        <v>18</v>
      </c>
      <c r="V14" s="34">
        <v>0.64375000000000004</v>
      </c>
      <c r="W14" s="34">
        <v>0.94930555555555596</v>
      </c>
      <c r="X14" s="34">
        <v>0.64861111111111103</v>
      </c>
      <c r="Y14" s="34">
        <v>0.92777777777777803</v>
      </c>
      <c r="Z14" s="34" t="s">
        <v>51</v>
      </c>
      <c r="AA14" s="34" t="s">
        <v>51</v>
      </c>
      <c r="AB14" s="34">
        <v>0.64513888888888904</v>
      </c>
      <c r="AC14" s="34">
        <v>0.93055555555555503</v>
      </c>
      <c r="AD14" s="34">
        <v>0.35486111111111102</v>
      </c>
      <c r="AE14" s="34">
        <v>0.50208333333333299</v>
      </c>
      <c r="AF14" s="34">
        <v>0.64236111111111105</v>
      </c>
      <c r="AG14" s="34">
        <v>0.94861111111111096</v>
      </c>
      <c r="AH14" s="25"/>
      <c r="AI14" s="26">
        <v>10</v>
      </c>
      <c r="AJ14" s="35">
        <v>0.58333333333333304</v>
      </c>
      <c r="AK14" s="35">
        <v>0.92777777777777803</v>
      </c>
      <c r="AL14" s="34">
        <v>0.35416666666666702</v>
      </c>
      <c r="AM14" s="34">
        <v>0.64861111111111103</v>
      </c>
      <c r="AN14" s="34">
        <v>0.35347222222222202</v>
      </c>
      <c r="AO14" s="34">
        <v>0.55208333333333304</v>
      </c>
      <c r="AP14" s="34">
        <v>0.35555555555555601</v>
      </c>
      <c r="AQ14" s="34">
        <v>0.64861111111111103</v>
      </c>
      <c r="AR14" s="34">
        <v>0.35625000000000001</v>
      </c>
      <c r="AS14" s="34">
        <v>0.64652777777777803</v>
      </c>
      <c r="AT14" s="34">
        <v>0.35486111111111102</v>
      </c>
      <c r="AU14" s="34">
        <v>0.64583333333333304</v>
      </c>
      <c r="AV14" s="34">
        <v>0.35347222222222202</v>
      </c>
      <c r="AW14" s="34">
        <v>0.64652777777777803</v>
      </c>
      <c r="AX14" s="24" t="s">
        <v>18</v>
      </c>
      <c r="AY14" s="24" t="s">
        <v>18</v>
      </c>
      <c r="AZ14" s="34">
        <v>0.64305555555555605</v>
      </c>
      <c r="BA14" s="34">
        <v>0.94791666666666696</v>
      </c>
      <c r="BB14" s="34">
        <v>0.64375000000000004</v>
      </c>
      <c r="BC14" s="34">
        <v>0.93263888888888902</v>
      </c>
      <c r="BD14" s="34">
        <v>0.64722222222222203</v>
      </c>
      <c r="BE14" s="34">
        <v>0.93125000000000002</v>
      </c>
      <c r="BF14" s="34">
        <v>0.64583333333333304</v>
      </c>
      <c r="BG14" s="34">
        <v>0.93263888888888902</v>
      </c>
      <c r="BH14" s="34" t="s">
        <v>51</v>
      </c>
      <c r="BI14" s="34" t="s">
        <v>51</v>
      </c>
      <c r="BJ14" s="34">
        <v>0.64583333333333304</v>
      </c>
      <c r="BK14" s="34">
        <v>0.95486111111111105</v>
      </c>
      <c r="BL14" s="35">
        <v>0.58125000000000004</v>
      </c>
      <c r="BM14" s="35">
        <v>0.92847222222222203</v>
      </c>
      <c r="BN14" s="34">
        <v>0.35416666666666702</v>
      </c>
      <c r="BO14" s="34">
        <v>0.64791666666666703</v>
      </c>
      <c r="BP14" s="27">
        <f t="shared" si="11"/>
        <v>31</v>
      </c>
      <c r="BQ14" s="28">
        <v>3</v>
      </c>
      <c r="BR14" s="29">
        <f t="shared" si="12"/>
        <v>27</v>
      </c>
      <c r="BS14" s="30">
        <f t="shared" si="13"/>
        <v>2</v>
      </c>
      <c r="BT14" s="30">
        <f t="shared" si="14"/>
        <v>0</v>
      </c>
      <c r="BU14" s="30">
        <f t="shared" si="15"/>
        <v>0</v>
      </c>
      <c r="BV14" s="30">
        <f t="shared" si="16"/>
        <v>0</v>
      </c>
      <c r="BW14" s="30">
        <f t="shared" si="17"/>
        <v>0</v>
      </c>
      <c r="BX14" s="30">
        <f t="shared" si="18"/>
        <v>0</v>
      </c>
      <c r="BY14" s="30">
        <f t="shared" si="19"/>
        <v>2</v>
      </c>
      <c r="BZ14" s="30">
        <f t="shared" si="20"/>
        <v>0</v>
      </c>
      <c r="CA14" s="30">
        <f t="shared" si="21"/>
        <v>0</v>
      </c>
      <c r="CB14" s="30">
        <f t="shared" si="22"/>
        <v>0</v>
      </c>
      <c r="CC14" s="30">
        <f t="shared" si="23"/>
        <v>0</v>
      </c>
      <c r="CD14" s="31"/>
      <c r="CJ14" s="32">
        <v>2</v>
      </c>
      <c r="CK14" s="20">
        <v>1</v>
      </c>
      <c r="CL14" s="42">
        <v>30</v>
      </c>
      <c r="CM14" s="20">
        <v>0</v>
      </c>
      <c r="CN14" s="20">
        <v>0</v>
      </c>
      <c r="CO14" s="20">
        <v>6</v>
      </c>
      <c r="CP14" s="20">
        <v>0</v>
      </c>
      <c r="CQ14" s="20">
        <v>0</v>
      </c>
      <c r="CR14" s="20">
        <v>30</v>
      </c>
      <c r="CS14" s="20">
        <v>0</v>
      </c>
      <c r="CT14" s="37">
        <f t="shared" si="24"/>
        <v>69</v>
      </c>
    </row>
    <row r="15" spans="1:98" ht="24.75" customHeight="1">
      <c r="A15" s="20">
        <v>11</v>
      </c>
      <c r="B15" s="30" t="s">
        <v>52</v>
      </c>
      <c r="C15" s="22" t="s">
        <v>53</v>
      </c>
      <c r="D15" s="34">
        <v>0.35277777777777802</v>
      </c>
      <c r="E15" s="34">
        <v>0.999305555555556</v>
      </c>
      <c r="F15" s="35">
        <v>0.58263888888888904</v>
      </c>
      <c r="G15" s="35">
        <v>0.968055555555556</v>
      </c>
      <c r="H15" s="34" t="s">
        <v>21</v>
      </c>
      <c r="I15" s="34" t="s">
        <v>21</v>
      </c>
      <c r="J15" s="34" t="s">
        <v>21</v>
      </c>
      <c r="K15" s="34" t="s">
        <v>21</v>
      </c>
      <c r="L15" s="34" t="s">
        <v>21</v>
      </c>
      <c r="M15" s="34" t="s">
        <v>21</v>
      </c>
      <c r="N15" s="34" t="s">
        <v>21</v>
      </c>
      <c r="O15" s="34" t="s">
        <v>21</v>
      </c>
      <c r="P15" s="34" t="s">
        <v>21</v>
      </c>
      <c r="Q15" s="34" t="s">
        <v>21</v>
      </c>
      <c r="R15" s="34" t="s">
        <v>21</v>
      </c>
      <c r="S15" s="34" t="s">
        <v>21</v>
      </c>
      <c r="T15" s="35" t="s">
        <v>21</v>
      </c>
      <c r="U15" s="35" t="s">
        <v>21</v>
      </c>
      <c r="V15" s="34" t="s">
        <v>21</v>
      </c>
      <c r="W15" s="34" t="s">
        <v>21</v>
      </c>
      <c r="X15" s="34" t="s">
        <v>21</v>
      </c>
      <c r="Y15" s="34" t="s">
        <v>21</v>
      </c>
      <c r="Z15" s="34" t="s">
        <v>21</v>
      </c>
      <c r="AA15" s="34" t="s">
        <v>21</v>
      </c>
      <c r="AB15" s="34" t="s">
        <v>21</v>
      </c>
      <c r="AC15" s="34" t="s">
        <v>21</v>
      </c>
      <c r="AD15" s="34" t="s">
        <v>21</v>
      </c>
      <c r="AE15" s="34" t="s">
        <v>21</v>
      </c>
      <c r="AF15" s="34" t="s">
        <v>21</v>
      </c>
      <c r="AG15" s="34" t="s">
        <v>21</v>
      </c>
      <c r="AH15" s="25"/>
      <c r="AI15" s="26">
        <v>11</v>
      </c>
      <c r="AJ15" s="35" t="s">
        <v>21</v>
      </c>
      <c r="AK15" s="35" t="s">
        <v>21</v>
      </c>
      <c r="AL15" s="34" t="s">
        <v>21</v>
      </c>
      <c r="AM15" s="34" t="s">
        <v>21</v>
      </c>
      <c r="AN15" s="34" t="s">
        <v>21</v>
      </c>
      <c r="AO15" s="34" t="s">
        <v>21</v>
      </c>
      <c r="AP15" s="34" t="s">
        <v>21</v>
      </c>
      <c r="AQ15" s="34" t="s">
        <v>21</v>
      </c>
      <c r="AR15" s="34" t="s">
        <v>21</v>
      </c>
      <c r="AS15" s="34" t="s">
        <v>21</v>
      </c>
      <c r="AT15" s="34">
        <v>0.35138888888888897</v>
      </c>
      <c r="AU15" s="34">
        <v>0.96666666666666701</v>
      </c>
      <c r="AV15" s="34">
        <v>0.35347222222222202</v>
      </c>
      <c r="AW15" s="34">
        <v>0.98680555555555605</v>
      </c>
      <c r="AX15" s="35">
        <v>0.58333333333333304</v>
      </c>
      <c r="AY15" s="35">
        <v>0.94652777777777797</v>
      </c>
      <c r="AZ15" s="34">
        <v>0.34652777777777799</v>
      </c>
      <c r="BA15" s="34">
        <v>0.97777777777777797</v>
      </c>
      <c r="BB15" s="34">
        <v>0.73888888888888904</v>
      </c>
      <c r="BC15" s="34">
        <v>0.96111111111111103</v>
      </c>
      <c r="BD15" s="34">
        <v>0.35486111111111102</v>
      </c>
      <c r="BE15" s="34">
        <v>0.96319444444444402</v>
      </c>
      <c r="BF15" s="34">
        <v>0.35277777777777802</v>
      </c>
      <c r="BG15" s="34">
        <v>0.96250000000000002</v>
      </c>
      <c r="BH15" s="34">
        <v>0.35277777777777802</v>
      </c>
      <c r="BI15" s="34">
        <v>0.96111111111111103</v>
      </c>
      <c r="BJ15" s="34">
        <v>0.35277777777777802</v>
      </c>
      <c r="BK15" s="34">
        <v>0.98472222222222205</v>
      </c>
      <c r="BL15" s="24" t="s">
        <v>18</v>
      </c>
      <c r="BM15" s="24" t="s">
        <v>18</v>
      </c>
      <c r="BN15" s="34">
        <v>0.35347222222222202</v>
      </c>
      <c r="BO15" s="34">
        <v>0.98055555555555596</v>
      </c>
      <c r="BP15" s="27">
        <f t="shared" si="11"/>
        <v>31</v>
      </c>
      <c r="BQ15" s="28">
        <v>2</v>
      </c>
      <c r="BR15" s="29">
        <f t="shared" si="12"/>
        <v>12</v>
      </c>
      <c r="BS15" s="30">
        <f t="shared" si="13"/>
        <v>1</v>
      </c>
      <c r="BT15" s="30">
        <f t="shared" si="14"/>
        <v>0</v>
      </c>
      <c r="BU15" s="30">
        <f t="shared" si="15"/>
        <v>0</v>
      </c>
      <c r="BV15" s="30">
        <f t="shared" si="16"/>
        <v>18</v>
      </c>
      <c r="BW15" s="30">
        <f t="shared" si="17"/>
        <v>0</v>
      </c>
      <c r="BX15" s="30">
        <f t="shared" si="18"/>
        <v>0</v>
      </c>
      <c r="BY15" s="30">
        <f t="shared" si="19"/>
        <v>0</v>
      </c>
      <c r="BZ15" s="30">
        <f t="shared" si="20"/>
        <v>0</v>
      </c>
      <c r="CA15" s="30">
        <f t="shared" si="21"/>
        <v>0</v>
      </c>
      <c r="CB15" s="30">
        <f t="shared" si="22"/>
        <v>0</v>
      </c>
      <c r="CC15" s="30">
        <f t="shared" si="23"/>
        <v>0</v>
      </c>
      <c r="CD15" s="31"/>
      <c r="CJ15" s="32">
        <v>0</v>
      </c>
      <c r="CK15" s="20">
        <v>0</v>
      </c>
      <c r="CL15" s="20">
        <v>0</v>
      </c>
      <c r="CM15" s="20">
        <v>0</v>
      </c>
      <c r="CN15" s="20">
        <v>0</v>
      </c>
      <c r="CO15" s="20">
        <v>0</v>
      </c>
      <c r="CP15" s="20">
        <v>0</v>
      </c>
      <c r="CQ15" s="20">
        <v>0</v>
      </c>
      <c r="CR15" s="20">
        <v>0</v>
      </c>
      <c r="CS15" s="20">
        <v>0</v>
      </c>
      <c r="CT15" s="37">
        <f t="shared" si="24"/>
        <v>0</v>
      </c>
    </row>
    <row r="16" spans="1:98" ht="24.75" customHeight="1">
      <c r="A16" s="20">
        <v>12</v>
      </c>
      <c r="B16" s="30" t="s">
        <v>54</v>
      </c>
      <c r="C16" s="22" t="s">
        <v>55</v>
      </c>
      <c r="D16" s="34">
        <v>0.35277777777777802</v>
      </c>
      <c r="E16" s="23">
        <v>1</v>
      </c>
      <c r="F16" s="35">
        <v>0.58055555555555605</v>
      </c>
      <c r="G16" s="35">
        <v>0.93055555555555503</v>
      </c>
      <c r="H16" s="34">
        <v>0.34930555555555598</v>
      </c>
      <c r="I16" s="34">
        <v>0.66458333333333297</v>
      </c>
      <c r="J16" s="34">
        <v>0.93194444444444402</v>
      </c>
      <c r="K16" s="23">
        <v>1</v>
      </c>
      <c r="L16" s="34">
        <v>0.62847222222222199</v>
      </c>
      <c r="M16" s="34">
        <v>0.93125000000000002</v>
      </c>
      <c r="N16" s="34">
        <v>0.64097222222222205</v>
      </c>
      <c r="O16" s="34">
        <v>0.93194444444444402</v>
      </c>
      <c r="P16" s="34">
        <v>0.64097222222222205</v>
      </c>
      <c r="Q16" s="34">
        <v>0.92986111111111103</v>
      </c>
      <c r="R16" s="34">
        <v>0.63402777777777797</v>
      </c>
      <c r="S16" s="34">
        <v>0.95763888888888904</v>
      </c>
      <c r="T16" s="24" t="s">
        <v>18</v>
      </c>
      <c r="U16" s="24" t="s">
        <v>18</v>
      </c>
      <c r="V16" s="34">
        <v>0.22500000000000001</v>
      </c>
      <c r="W16" s="34">
        <v>0.94791666666666696</v>
      </c>
      <c r="X16" s="34">
        <v>0.64236111111111105</v>
      </c>
      <c r="Y16" s="34">
        <v>0.92777777777777803</v>
      </c>
      <c r="Z16" s="34">
        <v>0.64375000000000004</v>
      </c>
      <c r="AA16" s="34">
        <v>0.92708333333333304</v>
      </c>
      <c r="AB16" s="34">
        <v>0.64652777777777803</v>
      </c>
      <c r="AC16" s="34">
        <v>0.92986111111111103</v>
      </c>
      <c r="AD16" s="34">
        <v>0.64305555555555605</v>
      </c>
      <c r="AE16" s="34">
        <v>0.92986111111111103</v>
      </c>
      <c r="AF16" s="34">
        <v>0.63888888888888895</v>
      </c>
      <c r="AG16" s="34">
        <v>0.94791666666666696</v>
      </c>
      <c r="AH16" s="25"/>
      <c r="AI16" s="26">
        <v>12</v>
      </c>
      <c r="AJ16" s="35">
        <v>0.57986111111111105</v>
      </c>
      <c r="AK16" s="35">
        <v>0.93402777777777801</v>
      </c>
      <c r="AL16" s="34">
        <v>0.34861111111111098</v>
      </c>
      <c r="AM16" s="34">
        <v>0.55486111111111103</v>
      </c>
      <c r="AN16" s="34">
        <v>0.63055555555555598</v>
      </c>
      <c r="AO16" s="34">
        <v>0.92847222222222203</v>
      </c>
      <c r="AP16" s="34" t="s">
        <v>51</v>
      </c>
      <c r="AQ16" s="34" t="s">
        <v>51</v>
      </c>
      <c r="AR16" s="23">
        <v>1</v>
      </c>
      <c r="AS16" s="23">
        <v>1</v>
      </c>
      <c r="AT16" s="34">
        <v>0.62708333333333299</v>
      </c>
      <c r="AU16" s="34">
        <v>0.92916666666666703</v>
      </c>
      <c r="AV16" s="34">
        <v>0.63333333333333297</v>
      </c>
      <c r="AW16" s="34">
        <v>0.95416666666666705</v>
      </c>
      <c r="AX16" s="24" t="s">
        <v>18</v>
      </c>
      <c r="AY16" s="24" t="s">
        <v>18</v>
      </c>
      <c r="AZ16" s="34">
        <v>0.63124999999999998</v>
      </c>
      <c r="BA16" s="23">
        <v>1</v>
      </c>
      <c r="BB16" s="34">
        <v>0.64236111111111105</v>
      </c>
      <c r="BC16" s="34">
        <v>0.92500000000000004</v>
      </c>
      <c r="BD16" s="34">
        <v>0.63819444444444395</v>
      </c>
      <c r="BE16" s="34">
        <v>0.92847222222222203</v>
      </c>
      <c r="BF16" s="34">
        <v>0.62847222222222199</v>
      </c>
      <c r="BG16" s="34">
        <v>0.93125000000000002</v>
      </c>
      <c r="BH16" s="34">
        <v>0.63124999999999998</v>
      </c>
      <c r="BI16" s="34">
        <v>0.92916666666666703</v>
      </c>
      <c r="BJ16" s="34">
        <v>0.63263888888888897</v>
      </c>
      <c r="BK16" s="34">
        <v>0.95625000000000004</v>
      </c>
      <c r="BL16" s="35">
        <v>0.58402777777777803</v>
      </c>
      <c r="BM16" s="35">
        <v>0.93541666666666701</v>
      </c>
      <c r="BN16" s="34">
        <v>0.63958333333333295</v>
      </c>
      <c r="BO16" s="34">
        <v>0.94652777777777797</v>
      </c>
      <c r="BP16" s="27">
        <f t="shared" si="11"/>
        <v>31</v>
      </c>
      <c r="BQ16" s="28">
        <v>3</v>
      </c>
      <c r="BR16" s="29">
        <f t="shared" si="12"/>
        <v>28</v>
      </c>
      <c r="BS16" s="30">
        <f t="shared" si="13"/>
        <v>2</v>
      </c>
      <c r="BT16" s="30">
        <f t="shared" si="14"/>
        <v>0</v>
      </c>
      <c r="BU16" s="30">
        <f t="shared" si="15"/>
        <v>0</v>
      </c>
      <c r="BV16" s="30">
        <f t="shared" si="16"/>
        <v>0</v>
      </c>
      <c r="BW16" s="30">
        <f t="shared" si="17"/>
        <v>0</v>
      </c>
      <c r="BX16" s="30">
        <f t="shared" si="18"/>
        <v>0</v>
      </c>
      <c r="BY16" s="30">
        <f t="shared" si="19"/>
        <v>1</v>
      </c>
      <c r="BZ16" s="30">
        <f t="shared" si="20"/>
        <v>0</v>
      </c>
      <c r="CA16" s="30">
        <f t="shared" si="21"/>
        <v>0</v>
      </c>
      <c r="CB16" s="30">
        <f t="shared" si="22"/>
        <v>0</v>
      </c>
      <c r="CC16" s="30">
        <f t="shared" si="23"/>
        <v>0</v>
      </c>
      <c r="CD16" s="31"/>
      <c r="CJ16" s="32">
        <v>0</v>
      </c>
      <c r="CK16" s="20">
        <v>0</v>
      </c>
      <c r="CL16" s="20">
        <v>0</v>
      </c>
      <c r="CM16" s="20">
        <v>0</v>
      </c>
      <c r="CN16" s="20">
        <v>0</v>
      </c>
      <c r="CO16" s="20">
        <v>2</v>
      </c>
      <c r="CP16" s="20">
        <v>0</v>
      </c>
      <c r="CQ16" s="20">
        <v>0</v>
      </c>
      <c r="CR16" s="20">
        <v>0</v>
      </c>
      <c r="CS16" s="20">
        <v>0</v>
      </c>
      <c r="CT16" s="37">
        <f t="shared" si="24"/>
        <v>2</v>
      </c>
    </row>
    <row r="17" spans="1:98" ht="24.75" customHeight="1">
      <c r="A17" s="20">
        <v>13</v>
      </c>
      <c r="B17" s="30" t="s">
        <v>56</v>
      </c>
      <c r="C17" s="22" t="s">
        <v>57</v>
      </c>
      <c r="D17" s="34">
        <v>0.54583333333333295</v>
      </c>
      <c r="E17" s="23">
        <v>1</v>
      </c>
      <c r="F17" s="35">
        <v>0.59791666666666698</v>
      </c>
      <c r="G17" s="36">
        <v>1</v>
      </c>
      <c r="H17" s="34">
        <v>0.35416666666666702</v>
      </c>
      <c r="I17" s="23">
        <v>1</v>
      </c>
      <c r="J17" s="34">
        <v>0.35138888888888897</v>
      </c>
      <c r="K17" s="23">
        <v>1</v>
      </c>
      <c r="L17" s="34">
        <v>0.38680555555555601</v>
      </c>
      <c r="M17" s="23">
        <v>1</v>
      </c>
      <c r="N17" s="34">
        <v>0.36111111111111099</v>
      </c>
      <c r="O17" s="23">
        <v>1</v>
      </c>
      <c r="P17" s="34">
        <v>0.33958333333333302</v>
      </c>
      <c r="Q17" s="23">
        <v>1</v>
      </c>
      <c r="R17" s="34">
        <v>0.35625000000000001</v>
      </c>
      <c r="S17" s="23">
        <v>1</v>
      </c>
      <c r="T17" s="24" t="s">
        <v>18</v>
      </c>
      <c r="U17" s="24" t="s">
        <v>18</v>
      </c>
      <c r="V17" s="34">
        <v>0.359027777777778</v>
      </c>
      <c r="W17" s="23">
        <v>1</v>
      </c>
      <c r="X17" s="34">
        <v>0.34583333333333299</v>
      </c>
      <c r="Y17" s="23">
        <v>1</v>
      </c>
      <c r="Z17" s="34">
        <v>0.36249999999999999</v>
      </c>
      <c r="AA17" s="23">
        <v>1</v>
      </c>
      <c r="AB17" s="34">
        <v>0.36111111111111099</v>
      </c>
      <c r="AC17" s="23">
        <v>1</v>
      </c>
      <c r="AD17" s="34">
        <v>0.358333333333333</v>
      </c>
      <c r="AE17" s="23">
        <v>1</v>
      </c>
      <c r="AF17" s="34">
        <v>0.37083333333333302</v>
      </c>
      <c r="AG17" s="40">
        <v>1</v>
      </c>
      <c r="AH17" s="25"/>
      <c r="AI17" s="26">
        <v>13</v>
      </c>
      <c r="AJ17" s="35">
        <v>0.593055555555556</v>
      </c>
      <c r="AK17" s="36">
        <v>1</v>
      </c>
      <c r="AL17" s="34">
        <v>0.37152777777777801</v>
      </c>
      <c r="AM17" s="23">
        <v>1</v>
      </c>
      <c r="AN17" s="34">
        <v>0.344444444444444</v>
      </c>
      <c r="AO17" s="23">
        <v>1</v>
      </c>
      <c r="AP17" s="34">
        <v>0.35</v>
      </c>
      <c r="AQ17" s="23">
        <v>1</v>
      </c>
      <c r="AR17" s="34">
        <v>0.34861111111111098</v>
      </c>
      <c r="AS17" s="23">
        <v>1</v>
      </c>
      <c r="AT17" s="34">
        <v>0.35069444444444398</v>
      </c>
      <c r="AU17" s="23">
        <v>1</v>
      </c>
      <c r="AV17" s="34">
        <v>0.34861111111111098</v>
      </c>
      <c r="AW17" s="23">
        <v>1</v>
      </c>
      <c r="AX17" s="24" t="s">
        <v>18</v>
      </c>
      <c r="AY17" s="24" t="s">
        <v>18</v>
      </c>
      <c r="AZ17" s="34">
        <v>0.35</v>
      </c>
      <c r="BA17" s="23">
        <v>1</v>
      </c>
      <c r="BB17" s="34">
        <v>0.34791666666666698</v>
      </c>
      <c r="BC17" s="23">
        <v>1</v>
      </c>
      <c r="BD17" s="34">
        <v>0.35138888888888897</v>
      </c>
      <c r="BE17" s="23">
        <v>1</v>
      </c>
      <c r="BF17" s="34">
        <v>0.35555555555555601</v>
      </c>
      <c r="BG17" s="23">
        <v>1</v>
      </c>
      <c r="BH17" s="34">
        <v>0.35277777777777802</v>
      </c>
      <c r="BI17" s="23">
        <v>1</v>
      </c>
      <c r="BJ17" s="34">
        <v>0.35</v>
      </c>
      <c r="BK17" s="23">
        <v>1</v>
      </c>
      <c r="BL17" s="35">
        <v>0.58611111111111103</v>
      </c>
      <c r="BM17" s="36">
        <v>1</v>
      </c>
      <c r="BN17" s="34">
        <v>0.34027777777777801</v>
      </c>
      <c r="BO17" s="23">
        <v>1</v>
      </c>
      <c r="BP17" s="27">
        <f t="shared" si="11"/>
        <v>31</v>
      </c>
      <c r="BQ17" s="28">
        <v>3</v>
      </c>
      <c r="BR17" s="29">
        <f t="shared" si="12"/>
        <v>29</v>
      </c>
      <c r="BS17" s="30">
        <f t="shared" si="13"/>
        <v>2</v>
      </c>
      <c r="BT17" s="30">
        <f t="shared" si="14"/>
        <v>0</v>
      </c>
      <c r="BU17" s="30">
        <f t="shared" si="15"/>
        <v>0</v>
      </c>
      <c r="BV17" s="30">
        <f t="shared" si="16"/>
        <v>0</v>
      </c>
      <c r="BW17" s="30">
        <f t="shared" si="17"/>
        <v>0</v>
      </c>
      <c r="BX17" s="30">
        <f t="shared" si="18"/>
        <v>0</v>
      </c>
      <c r="BY17" s="30">
        <f t="shared" si="19"/>
        <v>0</v>
      </c>
      <c r="BZ17" s="30">
        <f t="shared" si="20"/>
        <v>0</v>
      </c>
      <c r="CA17" s="30">
        <f t="shared" si="21"/>
        <v>0</v>
      </c>
      <c r="CB17" s="30">
        <f t="shared" si="22"/>
        <v>0</v>
      </c>
      <c r="CC17" s="30">
        <f t="shared" si="23"/>
        <v>0</v>
      </c>
      <c r="CD17" s="31"/>
      <c r="CJ17" s="32">
        <v>0</v>
      </c>
      <c r="CK17" s="20">
        <v>0</v>
      </c>
      <c r="CL17" s="20">
        <v>0</v>
      </c>
      <c r="CM17" s="20">
        <v>0</v>
      </c>
      <c r="CN17" s="20">
        <v>0</v>
      </c>
      <c r="CO17" s="20">
        <v>0</v>
      </c>
      <c r="CP17" s="20">
        <v>0</v>
      </c>
      <c r="CQ17" s="20">
        <v>0</v>
      </c>
      <c r="CR17" s="20">
        <v>0</v>
      </c>
      <c r="CS17" s="20">
        <v>0</v>
      </c>
      <c r="CT17" s="37">
        <f t="shared" si="24"/>
        <v>0</v>
      </c>
    </row>
    <row r="18" spans="1:98" ht="24.75" customHeight="1">
      <c r="A18" s="20">
        <v>14</v>
      </c>
      <c r="B18" s="30" t="s">
        <v>58</v>
      </c>
      <c r="C18" s="22" t="s">
        <v>59</v>
      </c>
      <c r="D18" s="34" t="s">
        <v>21</v>
      </c>
      <c r="E18" s="34" t="s">
        <v>21</v>
      </c>
      <c r="F18" s="35" t="s">
        <v>21</v>
      </c>
      <c r="G18" s="35" t="s">
        <v>21</v>
      </c>
      <c r="H18" s="34" t="s">
        <v>21</v>
      </c>
      <c r="I18" s="34" t="s">
        <v>21</v>
      </c>
      <c r="J18" s="34" t="s">
        <v>21</v>
      </c>
      <c r="K18" s="34" t="s">
        <v>21</v>
      </c>
      <c r="L18" s="34" t="s">
        <v>21</v>
      </c>
      <c r="M18" s="34" t="s">
        <v>21</v>
      </c>
      <c r="N18" s="34" t="s">
        <v>21</v>
      </c>
      <c r="O18" s="34" t="s">
        <v>21</v>
      </c>
      <c r="P18" s="34" t="s">
        <v>21</v>
      </c>
      <c r="Q18" s="34" t="s">
        <v>21</v>
      </c>
      <c r="R18" s="34" t="s">
        <v>21</v>
      </c>
      <c r="S18" s="34" t="s">
        <v>21</v>
      </c>
      <c r="T18" s="35" t="s">
        <v>21</v>
      </c>
      <c r="U18" s="35" t="s">
        <v>21</v>
      </c>
      <c r="V18" s="34" t="s">
        <v>21</v>
      </c>
      <c r="W18" s="34" t="s">
        <v>21</v>
      </c>
      <c r="X18" s="34" t="s">
        <v>21</v>
      </c>
      <c r="Y18" s="34" t="s">
        <v>21</v>
      </c>
      <c r="Z18" s="34" t="s">
        <v>21</v>
      </c>
      <c r="AA18" s="34" t="s">
        <v>21</v>
      </c>
      <c r="AB18" s="34" t="s">
        <v>21</v>
      </c>
      <c r="AC18" s="34" t="s">
        <v>21</v>
      </c>
      <c r="AD18" s="34" t="s">
        <v>21</v>
      </c>
      <c r="AE18" s="34" t="s">
        <v>21</v>
      </c>
      <c r="AF18" s="34" t="s">
        <v>21</v>
      </c>
      <c r="AG18" s="34" t="s">
        <v>21</v>
      </c>
      <c r="AH18" s="25"/>
      <c r="AI18" s="26">
        <v>14</v>
      </c>
      <c r="AJ18" s="35" t="s">
        <v>21</v>
      </c>
      <c r="AK18" s="35" t="s">
        <v>21</v>
      </c>
      <c r="AL18" s="34" t="s">
        <v>21</v>
      </c>
      <c r="AM18" s="34" t="s">
        <v>21</v>
      </c>
      <c r="AN18" s="34" t="s">
        <v>21</v>
      </c>
      <c r="AO18" s="34" t="s">
        <v>21</v>
      </c>
      <c r="AP18" s="34" t="s">
        <v>21</v>
      </c>
      <c r="AQ18" s="34" t="s">
        <v>21</v>
      </c>
      <c r="AR18" s="34" t="s">
        <v>21</v>
      </c>
      <c r="AS18" s="34" t="s">
        <v>21</v>
      </c>
      <c r="AT18" s="43" t="s">
        <v>27</v>
      </c>
      <c r="AU18" s="43" t="s">
        <v>27</v>
      </c>
      <c r="AV18" s="43" t="s">
        <v>27</v>
      </c>
      <c r="AW18" s="43" t="s">
        <v>27</v>
      </c>
      <c r="AX18" s="44" t="s">
        <v>27</v>
      </c>
      <c r="AY18" s="44" t="s">
        <v>27</v>
      </c>
      <c r="AZ18" s="43" t="s">
        <v>27</v>
      </c>
      <c r="BA18" s="43" t="s">
        <v>27</v>
      </c>
      <c r="BB18" s="43" t="s">
        <v>27</v>
      </c>
      <c r="BC18" s="43" t="s">
        <v>27</v>
      </c>
      <c r="BD18" s="43" t="s">
        <v>27</v>
      </c>
      <c r="BE18" s="43" t="s">
        <v>27</v>
      </c>
      <c r="BF18" s="43" t="s">
        <v>27</v>
      </c>
      <c r="BG18" s="43" t="s">
        <v>27</v>
      </c>
      <c r="BH18" s="43" t="s">
        <v>27</v>
      </c>
      <c r="BI18" s="43" t="s">
        <v>27</v>
      </c>
      <c r="BJ18" s="43" t="s">
        <v>27</v>
      </c>
      <c r="BK18" s="43" t="s">
        <v>27</v>
      </c>
      <c r="BL18" s="43" t="s">
        <v>27</v>
      </c>
      <c r="BM18" s="43" t="s">
        <v>27</v>
      </c>
      <c r="BN18" s="43" t="s">
        <v>27</v>
      </c>
      <c r="BO18" s="43" t="s">
        <v>27</v>
      </c>
      <c r="BP18" s="27">
        <f t="shared" si="11"/>
        <v>20</v>
      </c>
      <c r="BQ18" s="28">
        <v>0</v>
      </c>
      <c r="BR18" s="29">
        <f t="shared" si="12"/>
        <v>0</v>
      </c>
      <c r="BS18" s="30">
        <f t="shared" si="13"/>
        <v>0</v>
      </c>
      <c r="BT18" s="30">
        <f t="shared" si="14"/>
        <v>0</v>
      </c>
      <c r="BU18" s="30">
        <f t="shared" si="15"/>
        <v>0</v>
      </c>
      <c r="BV18" s="30">
        <f t="shared" si="16"/>
        <v>20</v>
      </c>
      <c r="BW18" s="30">
        <f t="shared" si="17"/>
        <v>0</v>
      </c>
      <c r="BX18" s="30">
        <f t="shared" si="18"/>
        <v>0</v>
      </c>
      <c r="BY18" s="30">
        <f t="shared" si="19"/>
        <v>0</v>
      </c>
      <c r="BZ18" s="30">
        <f t="shared" si="20"/>
        <v>0</v>
      </c>
      <c r="CA18" s="30">
        <f t="shared" si="21"/>
        <v>0</v>
      </c>
      <c r="CB18" s="30">
        <f t="shared" si="22"/>
        <v>11</v>
      </c>
      <c r="CC18" s="30">
        <f t="shared" si="23"/>
        <v>0</v>
      </c>
      <c r="CD18" s="31"/>
      <c r="CJ18" s="32">
        <v>0</v>
      </c>
      <c r="CK18" s="20">
        <v>0</v>
      </c>
      <c r="CL18" s="20">
        <v>26</v>
      </c>
      <c r="CM18" s="20">
        <v>0</v>
      </c>
      <c r="CN18" s="20">
        <v>0</v>
      </c>
      <c r="CO18" s="20">
        <v>13</v>
      </c>
      <c r="CP18" s="20">
        <v>0</v>
      </c>
      <c r="CQ18" s="20">
        <v>14</v>
      </c>
      <c r="CR18" s="20">
        <v>11</v>
      </c>
      <c r="CS18" s="20">
        <v>0</v>
      </c>
      <c r="CT18" s="37">
        <f t="shared" si="24"/>
        <v>64</v>
      </c>
    </row>
    <row r="19" spans="1:98" ht="24.75" customHeight="1">
      <c r="A19" s="20">
        <v>15</v>
      </c>
      <c r="B19" s="30" t="s">
        <v>60</v>
      </c>
      <c r="C19" s="22" t="s">
        <v>61</v>
      </c>
      <c r="D19" s="34">
        <v>0.35416666666666702</v>
      </c>
      <c r="E19" s="34">
        <v>0.65625</v>
      </c>
      <c r="F19" s="35">
        <v>0.59583333333333299</v>
      </c>
      <c r="G19" s="35">
        <v>0.96180555555555503</v>
      </c>
      <c r="H19" s="34">
        <v>0.35486111111111102</v>
      </c>
      <c r="I19" s="34">
        <v>0.65486111111111101</v>
      </c>
      <c r="J19" s="34" t="s">
        <v>21</v>
      </c>
      <c r="K19" s="34" t="s">
        <v>21</v>
      </c>
      <c r="L19" s="34" t="s">
        <v>21</v>
      </c>
      <c r="M19" s="34" t="s">
        <v>21</v>
      </c>
      <c r="N19" s="34" t="s">
        <v>21</v>
      </c>
      <c r="O19" s="34" t="s">
        <v>21</v>
      </c>
      <c r="P19" s="34" t="s">
        <v>21</v>
      </c>
      <c r="Q19" s="34" t="s">
        <v>21</v>
      </c>
      <c r="R19" s="34" t="s">
        <v>21</v>
      </c>
      <c r="S19" s="34" t="s">
        <v>21</v>
      </c>
      <c r="T19" s="35" t="s">
        <v>21</v>
      </c>
      <c r="U19" s="35" t="s">
        <v>21</v>
      </c>
      <c r="V19" s="34" t="s">
        <v>21</v>
      </c>
      <c r="W19" s="34" t="s">
        <v>21</v>
      </c>
      <c r="X19" s="34" t="s">
        <v>21</v>
      </c>
      <c r="Y19" s="34" t="s">
        <v>21</v>
      </c>
      <c r="Z19" s="34" t="s">
        <v>21</v>
      </c>
      <c r="AA19" s="34" t="s">
        <v>21</v>
      </c>
      <c r="AB19" s="34" t="s">
        <v>21</v>
      </c>
      <c r="AC19" s="34" t="s">
        <v>21</v>
      </c>
      <c r="AD19" s="34" t="s">
        <v>21</v>
      </c>
      <c r="AE19" s="34" t="s">
        <v>21</v>
      </c>
      <c r="AF19" s="34" t="s">
        <v>21</v>
      </c>
      <c r="AG19" s="34" t="s">
        <v>21</v>
      </c>
      <c r="AH19" s="25"/>
      <c r="AI19" s="26">
        <v>15</v>
      </c>
      <c r="AJ19" s="35" t="s">
        <v>21</v>
      </c>
      <c r="AK19" s="35" t="s">
        <v>21</v>
      </c>
      <c r="AL19" s="34" t="s">
        <v>21</v>
      </c>
      <c r="AM19" s="34" t="s">
        <v>21</v>
      </c>
      <c r="AN19" s="34" t="s">
        <v>21</v>
      </c>
      <c r="AO19" s="34" t="s">
        <v>21</v>
      </c>
      <c r="AP19" s="34" t="s">
        <v>21</v>
      </c>
      <c r="AQ19" s="34" t="s">
        <v>21</v>
      </c>
      <c r="AR19" s="34" t="s">
        <v>21</v>
      </c>
      <c r="AS19" s="34" t="s">
        <v>21</v>
      </c>
      <c r="AT19" s="34" t="s">
        <v>21</v>
      </c>
      <c r="AU19" s="34" t="s">
        <v>21</v>
      </c>
      <c r="AV19" s="34" t="s">
        <v>21</v>
      </c>
      <c r="AW19" s="34" t="s">
        <v>21</v>
      </c>
      <c r="AX19" s="35">
        <v>0.58402777777777803</v>
      </c>
      <c r="AY19" s="35">
        <v>0.95069444444444395</v>
      </c>
      <c r="AZ19" s="34">
        <v>0.64513888888888904</v>
      </c>
      <c r="BA19" s="34">
        <v>0.96388888888888902</v>
      </c>
      <c r="BB19" s="34">
        <v>0.64652777777777803</v>
      </c>
      <c r="BC19" s="34">
        <v>0.95208333333333295</v>
      </c>
      <c r="BD19" s="34">
        <v>0.64375000000000004</v>
      </c>
      <c r="BE19" s="34">
        <v>0.95</v>
      </c>
      <c r="BF19" s="34">
        <v>0.64513888888888904</v>
      </c>
      <c r="BG19" s="23">
        <v>1</v>
      </c>
      <c r="BH19" s="34">
        <v>0.64375000000000004</v>
      </c>
      <c r="BI19" s="34">
        <v>0.94652777777777797</v>
      </c>
      <c r="BJ19" s="34">
        <v>0.64791666666666703</v>
      </c>
      <c r="BK19" s="34">
        <v>0.97499999999999998</v>
      </c>
      <c r="BL19" s="24" t="s">
        <v>18</v>
      </c>
      <c r="BM19" s="24" t="s">
        <v>18</v>
      </c>
      <c r="BN19" s="34">
        <v>0.69166666666666698</v>
      </c>
      <c r="BO19" s="34">
        <v>0.96666666666666701</v>
      </c>
      <c r="BP19" s="27">
        <f t="shared" si="11"/>
        <v>31</v>
      </c>
      <c r="BQ19" s="28">
        <v>2</v>
      </c>
      <c r="BR19" s="29">
        <f t="shared" si="12"/>
        <v>11</v>
      </c>
      <c r="BS19" s="30">
        <f t="shared" si="13"/>
        <v>1</v>
      </c>
      <c r="BT19" s="30">
        <f t="shared" si="14"/>
        <v>0</v>
      </c>
      <c r="BU19" s="30">
        <f t="shared" si="15"/>
        <v>0</v>
      </c>
      <c r="BV19" s="30">
        <f t="shared" si="16"/>
        <v>19</v>
      </c>
      <c r="BW19" s="30">
        <f t="shared" si="17"/>
        <v>0</v>
      </c>
      <c r="BX19" s="30">
        <f t="shared" si="18"/>
        <v>0</v>
      </c>
      <c r="BY19" s="30">
        <f t="shared" si="19"/>
        <v>0</v>
      </c>
      <c r="BZ19" s="30">
        <f t="shared" si="20"/>
        <v>0</v>
      </c>
      <c r="CA19" s="30">
        <f t="shared" si="21"/>
        <v>0</v>
      </c>
      <c r="CB19" s="30">
        <f t="shared" si="22"/>
        <v>0</v>
      </c>
      <c r="CC19" s="30">
        <f t="shared" si="23"/>
        <v>0</v>
      </c>
      <c r="CD19" s="31"/>
      <c r="CJ19" s="32">
        <v>3</v>
      </c>
      <c r="CK19" s="20">
        <v>0</v>
      </c>
      <c r="CL19" s="20">
        <v>19</v>
      </c>
      <c r="CM19" s="20">
        <v>0</v>
      </c>
      <c r="CN19" s="20">
        <v>4</v>
      </c>
      <c r="CO19" s="20">
        <v>4</v>
      </c>
      <c r="CP19" s="20">
        <v>0</v>
      </c>
      <c r="CQ19" s="20">
        <v>4</v>
      </c>
      <c r="CR19" s="20">
        <v>0</v>
      </c>
      <c r="CS19" s="20">
        <v>0</v>
      </c>
      <c r="CT19" s="37">
        <f t="shared" si="24"/>
        <v>34</v>
      </c>
    </row>
    <row r="20" spans="1:98" ht="24.75" customHeight="1">
      <c r="A20" s="20">
        <v>16</v>
      </c>
      <c r="B20" s="30" t="s">
        <v>62</v>
      </c>
      <c r="C20" s="22" t="s">
        <v>63</v>
      </c>
      <c r="D20" s="23">
        <v>1</v>
      </c>
      <c r="E20" s="23">
        <v>1</v>
      </c>
      <c r="F20" s="24" t="s">
        <v>18</v>
      </c>
      <c r="G20" s="24" t="s">
        <v>18</v>
      </c>
      <c r="H20" s="23">
        <v>1</v>
      </c>
      <c r="I20" s="23">
        <v>1</v>
      </c>
      <c r="J20" s="23">
        <v>1</v>
      </c>
      <c r="K20" s="23">
        <v>1</v>
      </c>
      <c r="L20" s="23">
        <v>1</v>
      </c>
      <c r="M20" s="23">
        <v>1</v>
      </c>
      <c r="N20" s="23">
        <v>1</v>
      </c>
      <c r="O20" s="23">
        <v>1</v>
      </c>
      <c r="P20" s="23">
        <v>1</v>
      </c>
      <c r="Q20" s="23">
        <v>1</v>
      </c>
      <c r="R20" s="23">
        <v>1</v>
      </c>
      <c r="S20" s="23">
        <v>1</v>
      </c>
      <c r="T20" s="24" t="s">
        <v>18</v>
      </c>
      <c r="U20" s="24" t="s">
        <v>18</v>
      </c>
      <c r="V20" s="23">
        <v>1</v>
      </c>
      <c r="W20" s="23">
        <v>1</v>
      </c>
      <c r="X20" s="23">
        <v>1</v>
      </c>
      <c r="Y20" s="23">
        <v>1</v>
      </c>
      <c r="Z20" s="23">
        <v>1</v>
      </c>
      <c r="AA20" s="23">
        <v>1</v>
      </c>
      <c r="AB20" s="23">
        <v>1</v>
      </c>
      <c r="AC20" s="23">
        <v>1</v>
      </c>
      <c r="AD20" s="23">
        <v>1</v>
      </c>
      <c r="AE20" s="23">
        <v>1</v>
      </c>
      <c r="AF20" s="40">
        <v>1</v>
      </c>
      <c r="AG20" s="40">
        <v>1</v>
      </c>
      <c r="AH20" s="25"/>
      <c r="AI20" s="26">
        <v>16</v>
      </c>
      <c r="AJ20" s="24" t="s">
        <v>18</v>
      </c>
      <c r="AK20" s="24" t="s">
        <v>18</v>
      </c>
      <c r="AL20" s="23">
        <v>1</v>
      </c>
      <c r="AM20" s="23">
        <v>1</v>
      </c>
      <c r="AN20" s="23">
        <v>1</v>
      </c>
      <c r="AO20" s="23">
        <v>1</v>
      </c>
      <c r="AP20" s="23">
        <v>1</v>
      </c>
      <c r="AQ20" s="23">
        <v>1</v>
      </c>
      <c r="AR20" s="23">
        <v>1</v>
      </c>
      <c r="AS20" s="23">
        <v>1</v>
      </c>
      <c r="AT20" s="23">
        <v>1</v>
      </c>
      <c r="AU20" s="23">
        <v>1</v>
      </c>
      <c r="AV20" s="23">
        <v>1</v>
      </c>
      <c r="AW20" s="23">
        <v>1</v>
      </c>
      <c r="AX20" s="24" t="s">
        <v>18</v>
      </c>
      <c r="AY20" s="24" t="s">
        <v>18</v>
      </c>
      <c r="AZ20" s="23">
        <v>1</v>
      </c>
      <c r="BA20" s="23">
        <v>1</v>
      </c>
      <c r="BB20" s="23">
        <v>1</v>
      </c>
      <c r="BC20" s="23">
        <v>1</v>
      </c>
      <c r="BD20" s="23">
        <v>1</v>
      </c>
      <c r="BE20" s="23">
        <v>1</v>
      </c>
      <c r="BF20" s="23">
        <v>1</v>
      </c>
      <c r="BG20" s="23">
        <v>1</v>
      </c>
      <c r="BH20" s="23">
        <v>1</v>
      </c>
      <c r="BI20" s="23">
        <v>1</v>
      </c>
      <c r="BJ20" s="23">
        <v>1</v>
      </c>
      <c r="BK20" s="23">
        <v>1</v>
      </c>
      <c r="BL20" s="35" t="s">
        <v>18</v>
      </c>
      <c r="BM20" s="35" t="s">
        <v>18</v>
      </c>
      <c r="BN20" s="23">
        <v>1</v>
      </c>
      <c r="BO20" s="23">
        <v>1</v>
      </c>
      <c r="BP20" s="27">
        <f t="shared" si="11"/>
        <v>31</v>
      </c>
      <c r="BQ20" s="28">
        <v>0</v>
      </c>
      <c r="BR20" s="29">
        <f t="shared" si="12"/>
        <v>26</v>
      </c>
      <c r="BS20" s="30">
        <f t="shared" si="13"/>
        <v>5</v>
      </c>
      <c r="BT20" s="30">
        <f t="shared" si="14"/>
        <v>0</v>
      </c>
      <c r="BU20" s="30">
        <f t="shared" si="15"/>
        <v>0</v>
      </c>
      <c r="BV20" s="30">
        <f t="shared" si="16"/>
        <v>0</v>
      </c>
      <c r="BW20" s="30">
        <f t="shared" si="17"/>
        <v>0</v>
      </c>
      <c r="BX20" s="30">
        <f t="shared" si="18"/>
        <v>0</v>
      </c>
      <c r="BY20" s="30">
        <f t="shared" si="19"/>
        <v>0</v>
      </c>
      <c r="BZ20" s="30">
        <f t="shared" si="20"/>
        <v>0</v>
      </c>
      <c r="CA20" s="30">
        <f t="shared" si="21"/>
        <v>0</v>
      </c>
      <c r="CB20" s="30">
        <f t="shared" si="22"/>
        <v>0</v>
      </c>
      <c r="CC20" s="30">
        <f t="shared" si="23"/>
        <v>0</v>
      </c>
      <c r="CD20" s="31"/>
      <c r="CJ20" s="32">
        <v>0</v>
      </c>
      <c r="CK20" s="20">
        <v>0</v>
      </c>
      <c r="CL20" s="20">
        <v>0</v>
      </c>
      <c r="CM20" s="20">
        <v>0</v>
      </c>
      <c r="CN20" s="20">
        <v>0</v>
      </c>
      <c r="CO20" s="20">
        <v>0</v>
      </c>
      <c r="CP20" s="20">
        <v>0</v>
      </c>
      <c r="CQ20" s="20">
        <v>0</v>
      </c>
      <c r="CR20" s="20">
        <v>0</v>
      </c>
      <c r="CS20" s="20">
        <v>0</v>
      </c>
      <c r="CT20" s="37">
        <f t="shared" si="24"/>
        <v>0</v>
      </c>
    </row>
    <row r="21" spans="1:98" ht="24.75" customHeight="1">
      <c r="A21" s="20">
        <v>17</v>
      </c>
      <c r="B21" s="30" t="s">
        <v>64</v>
      </c>
      <c r="C21" s="22" t="s">
        <v>65</v>
      </c>
      <c r="D21" s="34">
        <v>0.64652777777777803</v>
      </c>
      <c r="E21" s="23">
        <v>1</v>
      </c>
      <c r="F21" s="24" t="s">
        <v>18</v>
      </c>
      <c r="G21" s="24" t="s">
        <v>18</v>
      </c>
      <c r="H21" s="34">
        <v>0.64513888888888904</v>
      </c>
      <c r="I21" s="34">
        <v>0.95</v>
      </c>
      <c r="J21" s="34">
        <v>0.35347222222222202</v>
      </c>
      <c r="K21" s="34">
        <v>0.66527777777777797</v>
      </c>
      <c r="L21" s="34">
        <v>0.35416666666666702</v>
      </c>
      <c r="M21" s="34">
        <v>0.65</v>
      </c>
      <c r="N21" s="34">
        <v>0.66180555555555598</v>
      </c>
      <c r="O21" s="23">
        <v>1</v>
      </c>
      <c r="P21" s="34">
        <v>0.35555555555555601</v>
      </c>
      <c r="Q21" s="23">
        <v>1</v>
      </c>
      <c r="R21" s="34">
        <v>0.35416666666666702</v>
      </c>
      <c r="S21" s="23">
        <v>1</v>
      </c>
      <c r="T21" s="35">
        <v>0.58125000000000004</v>
      </c>
      <c r="U21" s="36">
        <v>1</v>
      </c>
      <c r="V21" s="34">
        <v>0.35625000000000001</v>
      </c>
      <c r="W21" s="34">
        <v>0.65902777777777799</v>
      </c>
      <c r="X21" s="34">
        <v>0.35277777777777802</v>
      </c>
      <c r="Y21" s="34">
        <v>0.65208333333333302</v>
      </c>
      <c r="Z21" s="34">
        <v>0.35347222222222202</v>
      </c>
      <c r="AA21" s="34">
        <v>0.655555555555556</v>
      </c>
      <c r="AB21" s="34">
        <v>0.35347222222222202</v>
      </c>
      <c r="AC21" s="23">
        <v>1</v>
      </c>
      <c r="AD21" s="34">
        <v>0.35347222222222202</v>
      </c>
      <c r="AE21" s="23">
        <v>1</v>
      </c>
      <c r="AF21" s="34">
        <v>0.35347222222222202</v>
      </c>
      <c r="AG21" s="34">
        <v>0.65138888888888902</v>
      </c>
      <c r="AH21" s="25"/>
      <c r="AI21" s="26">
        <v>17</v>
      </c>
      <c r="AJ21" s="24" t="s">
        <v>18</v>
      </c>
      <c r="AK21" s="24" t="s">
        <v>18</v>
      </c>
      <c r="AL21" s="34">
        <v>0.64444444444444404</v>
      </c>
      <c r="AM21" s="34">
        <v>0.95</v>
      </c>
      <c r="AN21" s="34">
        <v>0.35277777777777802</v>
      </c>
      <c r="AO21" s="34">
        <v>0.66874999999999996</v>
      </c>
      <c r="AP21" s="34">
        <v>0.35277777777777802</v>
      </c>
      <c r="AQ21" s="34">
        <v>0.656944444444444</v>
      </c>
      <c r="AR21" s="34">
        <v>0.35416666666666702</v>
      </c>
      <c r="AS21" s="34">
        <v>0.93333333333333302</v>
      </c>
      <c r="AT21" s="34">
        <v>0.35</v>
      </c>
      <c r="AU21" s="34">
        <v>0.656944444444444</v>
      </c>
      <c r="AV21" s="34">
        <v>0.35347222222222202</v>
      </c>
      <c r="AW21" s="34">
        <v>0.65277777777777801</v>
      </c>
      <c r="AX21" s="35">
        <v>0.58333333333333304</v>
      </c>
      <c r="AY21" s="35">
        <v>0.93472222222222201</v>
      </c>
      <c r="AZ21" s="34">
        <v>0.35277777777777802</v>
      </c>
      <c r="BA21" s="23">
        <v>1</v>
      </c>
      <c r="BB21" s="34">
        <v>0.35416666666666702</v>
      </c>
      <c r="BC21" s="34">
        <v>0.656944444444444</v>
      </c>
      <c r="BD21" s="34">
        <v>0.35277777777777802</v>
      </c>
      <c r="BE21" s="34">
        <v>0.655555555555556</v>
      </c>
      <c r="BF21" s="34">
        <v>0.35347222222222202</v>
      </c>
      <c r="BG21" s="34">
        <v>0.65486111111111101</v>
      </c>
      <c r="BH21" s="34">
        <v>0.35347222222222202</v>
      </c>
      <c r="BI21" s="34">
        <v>0.66458333333333297</v>
      </c>
      <c r="BJ21" s="34">
        <v>0.35277777777777802</v>
      </c>
      <c r="BK21" s="34">
        <v>0.66041666666666698</v>
      </c>
      <c r="BL21" s="24" t="s">
        <v>18</v>
      </c>
      <c r="BM21" s="24" t="s">
        <v>18</v>
      </c>
      <c r="BN21" s="34">
        <v>0.35347222222222202</v>
      </c>
      <c r="BO21" s="34">
        <v>0.67152777777777795</v>
      </c>
      <c r="BP21" s="27">
        <f t="shared" si="11"/>
        <v>31</v>
      </c>
      <c r="BQ21" s="28">
        <v>2</v>
      </c>
      <c r="BR21" s="29">
        <f t="shared" si="12"/>
        <v>28</v>
      </c>
      <c r="BS21" s="30">
        <f t="shared" si="13"/>
        <v>3</v>
      </c>
      <c r="BT21" s="30">
        <f t="shared" si="14"/>
        <v>0</v>
      </c>
      <c r="BU21" s="30">
        <f t="shared" si="15"/>
        <v>0</v>
      </c>
      <c r="BV21" s="30">
        <f t="shared" si="16"/>
        <v>0</v>
      </c>
      <c r="BW21" s="30">
        <f t="shared" si="17"/>
        <v>0</v>
      </c>
      <c r="BX21" s="30">
        <f t="shared" si="18"/>
        <v>0</v>
      </c>
      <c r="BY21" s="30">
        <f t="shared" si="19"/>
        <v>0</v>
      </c>
      <c r="BZ21" s="30">
        <f t="shared" si="20"/>
        <v>0</v>
      </c>
      <c r="CA21" s="30">
        <f t="shared" si="21"/>
        <v>0</v>
      </c>
      <c r="CB21" s="30">
        <f t="shared" si="22"/>
        <v>0</v>
      </c>
      <c r="CC21" s="30">
        <f t="shared" si="23"/>
        <v>0</v>
      </c>
      <c r="CD21" s="31"/>
      <c r="CJ21" s="32">
        <v>0</v>
      </c>
      <c r="CK21" s="20">
        <v>10</v>
      </c>
      <c r="CL21" s="20">
        <v>6</v>
      </c>
      <c r="CM21" s="20">
        <v>0</v>
      </c>
      <c r="CN21" s="20">
        <v>0</v>
      </c>
      <c r="CO21" s="20">
        <v>2</v>
      </c>
      <c r="CP21" s="20">
        <v>0</v>
      </c>
      <c r="CQ21" s="20">
        <v>0</v>
      </c>
      <c r="CR21" s="20">
        <v>0</v>
      </c>
      <c r="CS21" s="20">
        <v>0</v>
      </c>
      <c r="CT21" s="37">
        <f t="shared" si="24"/>
        <v>18</v>
      </c>
    </row>
    <row r="22" spans="1:98" ht="24.75" customHeight="1">
      <c r="A22" s="20">
        <v>18</v>
      </c>
      <c r="B22" s="30" t="s">
        <v>66</v>
      </c>
      <c r="C22" s="22" t="s">
        <v>67</v>
      </c>
      <c r="D22" s="34">
        <v>0.35694444444444401</v>
      </c>
      <c r="E22" s="34">
        <v>0.64930555555555602</v>
      </c>
      <c r="F22" s="24" t="s">
        <v>18</v>
      </c>
      <c r="G22" s="24" t="s">
        <v>18</v>
      </c>
      <c r="H22" s="34">
        <v>0.64375000000000004</v>
      </c>
      <c r="I22" s="34">
        <v>0.94583333333333297</v>
      </c>
      <c r="J22" s="34">
        <v>0.64513888888888904</v>
      </c>
      <c r="K22" s="34">
        <v>0.92916666666666703</v>
      </c>
      <c r="L22" s="34" t="s">
        <v>51</v>
      </c>
      <c r="M22" s="34" t="s">
        <v>51</v>
      </c>
      <c r="N22" s="34" t="s">
        <v>26</v>
      </c>
      <c r="O22" s="34" t="s">
        <v>26</v>
      </c>
      <c r="P22" s="34">
        <v>0.64583333333333304</v>
      </c>
      <c r="Q22" s="34">
        <v>0.92986111111111103</v>
      </c>
      <c r="R22" s="34">
        <v>0.64305555555555605</v>
      </c>
      <c r="S22" s="34">
        <v>0.95625000000000004</v>
      </c>
      <c r="T22" s="35">
        <v>0.58472222222222203</v>
      </c>
      <c r="U22" s="35">
        <v>0.93333333333333302</v>
      </c>
      <c r="V22" s="34">
        <v>0.35486111111111102</v>
      </c>
      <c r="W22" s="34">
        <v>0.64652777777777803</v>
      </c>
      <c r="X22" s="34">
        <v>0.35486111111111102</v>
      </c>
      <c r="Y22" s="34">
        <v>0.64791666666666703</v>
      </c>
      <c r="Z22" s="34">
        <v>0.35416666666666702</v>
      </c>
      <c r="AA22" s="34">
        <v>0.64652777777777803</v>
      </c>
      <c r="AB22" s="34">
        <v>0.35416666666666702</v>
      </c>
      <c r="AC22" s="34">
        <v>0.64583333333333304</v>
      </c>
      <c r="AD22" s="34">
        <v>0.64375000000000004</v>
      </c>
      <c r="AE22" s="34">
        <v>0.92708333333333304</v>
      </c>
      <c r="AF22" s="34">
        <v>0.35486111111111102</v>
      </c>
      <c r="AG22" s="34">
        <v>0.64722222222222203</v>
      </c>
      <c r="AH22" s="25"/>
      <c r="AI22" s="26">
        <v>18</v>
      </c>
      <c r="AJ22" s="24" t="s">
        <v>18</v>
      </c>
      <c r="AK22" s="24" t="s">
        <v>18</v>
      </c>
      <c r="AL22" s="34">
        <v>0.64583333333333304</v>
      </c>
      <c r="AM22" s="34">
        <v>0.94861111111111096</v>
      </c>
      <c r="AN22" s="34">
        <v>0.64861111111111103</v>
      </c>
      <c r="AO22" s="34">
        <v>0.92569444444444404</v>
      </c>
      <c r="AP22" s="34" t="s">
        <v>26</v>
      </c>
      <c r="AQ22" s="34" t="s">
        <v>26</v>
      </c>
      <c r="AR22" s="34">
        <v>0.64444444444444404</v>
      </c>
      <c r="AS22" s="34">
        <v>0.92847222222222203</v>
      </c>
      <c r="AT22" s="34">
        <v>0.64444444444444404</v>
      </c>
      <c r="AU22" s="34">
        <v>0.92777777777777803</v>
      </c>
      <c r="AV22" s="34">
        <v>0.64583333333333304</v>
      </c>
      <c r="AW22" s="34">
        <v>0.94513888888888897</v>
      </c>
      <c r="AX22" s="35">
        <v>0.58680555555555602</v>
      </c>
      <c r="AY22" s="35">
        <v>0.93263888888888902</v>
      </c>
      <c r="AZ22" s="34">
        <v>0.35416666666666702</v>
      </c>
      <c r="BA22" s="34">
        <v>0.64722222222222203</v>
      </c>
      <c r="BB22" s="34">
        <v>0.35208333333333303</v>
      </c>
      <c r="BC22" s="34">
        <v>0.64583333333333304</v>
      </c>
      <c r="BD22" s="34">
        <v>0.35486111111111102</v>
      </c>
      <c r="BE22" s="34">
        <v>0.64583333333333304</v>
      </c>
      <c r="BF22" s="34" t="s">
        <v>51</v>
      </c>
      <c r="BG22" s="34" t="s">
        <v>51</v>
      </c>
      <c r="BH22" s="34">
        <v>0.35347222222222202</v>
      </c>
      <c r="BI22" s="34">
        <v>0.64652777777777803</v>
      </c>
      <c r="BJ22" s="34">
        <v>0.35416666666666702</v>
      </c>
      <c r="BK22" s="34">
        <v>0.64722222222222203</v>
      </c>
      <c r="BL22" s="24" t="s">
        <v>18</v>
      </c>
      <c r="BM22" s="24" t="s">
        <v>18</v>
      </c>
      <c r="BN22" s="34">
        <v>0.64375000000000004</v>
      </c>
      <c r="BO22" s="34">
        <v>0.94930555555555596</v>
      </c>
      <c r="BP22" s="27">
        <f t="shared" si="11"/>
        <v>29</v>
      </c>
      <c r="BQ22" s="28">
        <v>2</v>
      </c>
      <c r="BR22" s="29">
        <f t="shared" si="12"/>
        <v>24</v>
      </c>
      <c r="BS22" s="30">
        <f t="shared" si="13"/>
        <v>3</v>
      </c>
      <c r="BT22" s="30">
        <f t="shared" si="14"/>
        <v>0</v>
      </c>
      <c r="BU22" s="30">
        <f t="shared" si="15"/>
        <v>0</v>
      </c>
      <c r="BV22" s="30">
        <f t="shared" si="16"/>
        <v>0</v>
      </c>
      <c r="BW22" s="30">
        <f t="shared" si="17"/>
        <v>0</v>
      </c>
      <c r="BX22" s="30">
        <f t="shared" si="18"/>
        <v>0</v>
      </c>
      <c r="BY22" s="30">
        <f t="shared" si="19"/>
        <v>2</v>
      </c>
      <c r="BZ22" s="30">
        <f t="shared" si="20"/>
        <v>0</v>
      </c>
      <c r="CA22" s="30">
        <f t="shared" si="21"/>
        <v>2</v>
      </c>
      <c r="CB22" s="30">
        <f t="shared" si="22"/>
        <v>0</v>
      </c>
      <c r="CC22" s="30">
        <f t="shared" si="23"/>
        <v>0</v>
      </c>
      <c r="CD22" s="31"/>
      <c r="CJ22" s="32">
        <v>0</v>
      </c>
      <c r="CK22" s="20">
        <v>0</v>
      </c>
      <c r="CL22" s="20">
        <v>0</v>
      </c>
      <c r="CM22" s="20">
        <v>0</v>
      </c>
      <c r="CN22" s="20">
        <v>0</v>
      </c>
      <c r="CO22" s="20">
        <v>10</v>
      </c>
      <c r="CP22" s="20">
        <v>0</v>
      </c>
      <c r="CQ22" s="20">
        <v>3</v>
      </c>
      <c r="CR22" s="20">
        <v>0</v>
      </c>
      <c r="CS22" s="20">
        <v>0</v>
      </c>
      <c r="CT22" s="37">
        <f t="shared" si="24"/>
        <v>13</v>
      </c>
    </row>
    <row r="23" spans="1:98" ht="24.75" customHeight="1">
      <c r="A23" s="20">
        <v>19</v>
      </c>
      <c r="B23" s="45" t="s">
        <v>68</v>
      </c>
      <c r="C23" s="22" t="s">
        <v>69</v>
      </c>
      <c r="D23" s="34">
        <v>0.40138888888888902</v>
      </c>
      <c r="E23" s="34">
        <v>0.76527777777777795</v>
      </c>
      <c r="F23" s="24" t="s">
        <v>18</v>
      </c>
      <c r="G23" s="24" t="s">
        <v>18</v>
      </c>
      <c r="H23" s="34">
        <v>0.374305555555556</v>
      </c>
      <c r="I23" s="34">
        <v>0.94027777777777799</v>
      </c>
      <c r="J23" s="34">
        <v>0.41319444444444398</v>
      </c>
      <c r="K23" s="34">
        <v>0.90486111111111101</v>
      </c>
      <c r="L23" s="34">
        <v>0.36944444444444402</v>
      </c>
      <c r="M23" s="34">
        <v>0.88263888888888897</v>
      </c>
      <c r="N23" s="34">
        <v>0.37083333333333302</v>
      </c>
      <c r="O23" s="34">
        <v>0.92847222222222203</v>
      </c>
      <c r="P23" s="34">
        <v>0.39444444444444399</v>
      </c>
      <c r="Q23" s="23">
        <v>1</v>
      </c>
      <c r="R23" s="34" t="s">
        <v>51</v>
      </c>
      <c r="S23" s="34" t="s">
        <v>51</v>
      </c>
      <c r="T23" s="24" t="s">
        <v>18</v>
      </c>
      <c r="U23" s="24" t="s">
        <v>18</v>
      </c>
      <c r="V23" s="34">
        <v>0.42430555555555599</v>
      </c>
      <c r="W23" s="34">
        <v>0.93958333333333299</v>
      </c>
      <c r="X23" s="34">
        <v>0.37986111111111098</v>
      </c>
      <c r="Y23" s="34">
        <v>0.90833333333333299</v>
      </c>
      <c r="Z23" s="34">
        <v>0.37847222222222199</v>
      </c>
      <c r="AA23" s="23">
        <v>1</v>
      </c>
      <c r="AB23" s="34">
        <v>0.375694444444444</v>
      </c>
      <c r="AC23" s="34">
        <v>0.90208333333333302</v>
      </c>
      <c r="AD23" s="34">
        <v>0.38333333333333303</v>
      </c>
      <c r="AE23" s="34">
        <v>0.93541666666666701</v>
      </c>
      <c r="AF23" s="34">
        <v>0.391666666666667</v>
      </c>
      <c r="AG23" s="34">
        <v>0.89791666666666703</v>
      </c>
      <c r="AH23" s="25"/>
      <c r="AI23" s="26">
        <v>19</v>
      </c>
      <c r="AJ23" s="35">
        <v>0.59375</v>
      </c>
      <c r="AK23" s="35">
        <v>0.86736111111111103</v>
      </c>
      <c r="AL23" s="34">
        <v>0.485416666666667</v>
      </c>
      <c r="AM23" s="34">
        <v>0.97638888888888897</v>
      </c>
      <c r="AN23" s="34">
        <v>0.42986111111111103</v>
      </c>
      <c r="AO23" s="23">
        <v>1</v>
      </c>
      <c r="AP23" s="34">
        <v>0.38194444444444398</v>
      </c>
      <c r="AQ23" s="34">
        <v>0.91180555555555598</v>
      </c>
      <c r="AR23" s="34">
        <v>0.37222222222222201</v>
      </c>
      <c r="AS23" s="34">
        <v>0.86319444444444404</v>
      </c>
      <c r="AT23" s="34">
        <v>0.38263888888888897</v>
      </c>
      <c r="AU23" s="34">
        <v>0.89305555555555605</v>
      </c>
      <c r="AV23" s="34">
        <v>0.36805555555555602</v>
      </c>
      <c r="AW23" s="23">
        <v>1</v>
      </c>
      <c r="AX23" s="24" t="s">
        <v>18</v>
      </c>
      <c r="AY23" s="24" t="s">
        <v>18</v>
      </c>
      <c r="AZ23" s="34">
        <v>0.38541666666666702</v>
      </c>
      <c r="BA23" s="23">
        <v>1</v>
      </c>
      <c r="BB23" s="34">
        <v>0.36805555555555602</v>
      </c>
      <c r="BC23" s="34">
        <v>0.906944444444444</v>
      </c>
      <c r="BD23" s="34">
        <v>0.37291666666666701</v>
      </c>
      <c r="BE23" s="23">
        <v>1</v>
      </c>
      <c r="BF23" s="34">
        <v>0.37847222222222199</v>
      </c>
      <c r="BG23" s="23">
        <v>1</v>
      </c>
      <c r="BH23" s="34">
        <v>0.37638888888888899</v>
      </c>
      <c r="BI23" s="23">
        <v>1</v>
      </c>
      <c r="BJ23" s="34">
        <v>0.38263888888888897</v>
      </c>
      <c r="BK23" s="23">
        <v>1</v>
      </c>
      <c r="BL23" s="35">
        <v>0.57708333333333295</v>
      </c>
      <c r="BM23" s="36">
        <v>1</v>
      </c>
      <c r="BN23" s="34">
        <v>0.37638888888888899</v>
      </c>
      <c r="BO23" s="23">
        <v>1</v>
      </c>
      <c r="BP23" s="27">
        <f t="shared" si="11"/>
        <v>31</v>
      </c>
      <c r="BQ23" s="28">
        <v>2</v>
      </c>
      <c r="BR23" s="29">
        <f t="shared" si="12"/>
        <v>27</v>
      </c>
      <c r="BS23" s="30">
        <f t="shared" si="13"/>
        <v>3</v>
      </c>
      <c r="BT23" s="30">
        <f t="shared" si="14"/>
        <v>0</v>
      </c>
      <c r="BU23" s="30">
        <f t="shared" si="15"/>
        <v>0</v>
      </c>
      <c r="BV23" s="30">
        <f t="shared" si="16"/>
        <v>0</v>
      </c>
      <c r="BW23" s="30">
        <f t="shared" si="17"/>
        <v>0</v>
      </c>
      <c r="BX23" s="30">
        <f t="shared" si="18"/>
        <v>0</v>
      </c>
      <c r="BY23" s="30">
        <f t="shared" si="19"/>
        <v>1</v>
      </c>
      <c r="BZ23" s="30">
        <f t="shared" si="20"/>
        <v>0</v>
      </c>
      <c r="CA23" s="30">
        <f t="shared" si="21"/>
        <v>0</v>
      </c>
      <c r="CB23" s="30">
        <f t="shared" si="22"/>
        <v>0</v>
      </c>
      <c r="CC23" s="30">
        <f t="shared" si="23"/>
        <v>0</v>
      </c>
      <c r="CD23" s="31"/>
      <c r="CJ23" s="32">
        <v>0</v>
      </c>
      <c r="CK23" s="20">
        <v>0</v>
      </c>
      <c r="CL23" s="20">
        <v>30</v>
      </c>
      <c r="CM23" s="20">
        <v>0</v>
      </c>
      <c r="CN23" s="20">
        <v>0</v>
      </c>
      <c r="CO23" s="20">
        <v>2</v>
      </c>
      <c r="CP23" s="20">
        <v>0</v>
      </c>
      <c r="CQ23" s="20">
        <v>0</v>
      </c>
      <c r="CR23" s="20">
        <v>0</v>
      </c>
      <c r="CS23" s="20">
        <v>0</v>
      </c>
      <c r="CT23" s="37">
        <f t="shared" si="24"/>
        <v>32</v>
      </c>
    </row>
    <row r="24" spans="1:98" ht="24.75" customHeight="1">
      <c r="A24" s="20">
        <v>20</v>
      </c>
      <c r="B24" s="45" t="s">
        <v>70</v>
      </c>
      <c r="C24" s="22" t="s">
        <v>71</v>
      </c>
      <c r="D24" s="34">
        <v>0.33402777777777798</v>
      </c>
      <c r="E24" s="23">
        <v>1</v>
      </c>
      <c r="F24" s="24" t="s">
        <v>18</v>
      </c>
      <c r="G24" s="24" t="s">
        <v>18</v>
      </c>
      <c r="H24" s="34">
        <v>0.36111111111111099</v>
      </c>
      <c r="I24" s="34">
        <v>0.90625</v>
      </c>
      <c r="J24" s="34">
        <v>0.34861111111111098</v>
      </c>
      <c r="K24" s="34">
        <v>0.93263888888888902</v>
      </c>
      <c r="L24" s="34">
        <v>0.36944444444444402</v>
      </c>
      <c r="M24" s="34">
        <v>1.7361111111111101E-2</v>
      </c>
      <c r="N24" s="34">
        <v>0.35416666666666702</v>
      </c>
      <c r="O24" s="34">
        <v>0.969444444444444</v>
      </c>
      <c r="P24" s="34">
        <v>0.36180555555555599</v>
      </c>
      <c r="Q24" s="34">
        <v>0.80138888888888904</v>
      </c>
      <c r="R24" s="34">
        <v>0.31805555555555598</v>
      </c>
      <c r="S24" s="34">
        <v>0.91874999999999996</v>
      </c>
      <c r="T24" s="24" t="s">
        <v>18</v>
      </c>
      <c r="U24" s="24" t="s">
        <v>18</v>
      </c>
      <c r="V24" s="34">
        <v>0.35763888888888901</v>
      </c>
      <c r="W24" s="23">
        <v>1</v>
      </c>
      <c r="X24" s="34">
        <v>0.38333333333333303</v>
      </c>
      <c r="Y24" s="23">
        <v>1</v>
      </c>
      <c r="Z24" s="34">
        <v>0.374305555555556</v>
      </c>
      <c r="AA24" s="34">
        <v>0.88263888888888897</v>
      </c>
      <c r="AB24" s="34">
        <v>0.34166666666666701</v>
      </c>
      <c r="AC24" s="34">
        <v>0.81944444444444497</v>
      </c>
      <c r="AD24" s="34">
        <v>0.38194444444444398</v>
      </c>
      <c r="AE24" s="23">
        <v>1</v>
      </c>
      <c r="AF24" s="34">
        <v>0.375694444444444</v>
      </c>
      <c r="AG24" s="40">
        <v>1</v>
      </c>
      <c r="AH24" s="25"/>
      <c r="AI24" s="26">
        <v>20</v>
      </c>
      <c r="AJ24" s="24" t="s">
        <v>18</v>
      </c>
      <c r="AK24" s="24" t="s">
        <v>18</v>
      </c>
      <c r="AL24" s="34">
        <v>0.360416666666667</v>
      </c>
      <c r="AM24" s="23">
        <v>1</v>
      </c>
      <c r="AN24" s="34">
        <v>0.35</v>
      </c>
      <c r="AO24" s="23">
        <v>1</v>
      </c>
      <c r="AP24" s="34">
        <v>0.34722222222222199</v>
      </c>
      <c r="AQ24" s="34">
        <v>0.34791666666666698</v>
      </c>
      <c r="AR24" s="34">
        <v>0.34166666666666701</v>
      </c>
      <c r="AS24" s="23">
        <v>1</v>
      </c>
      <c r="AT24" s="34">
        <v>0.35</v>
      </c>
      <c r="AU24" s="23">
        <v>1</v>
      </c>
      <c r="AV24" s="34">
        <v>0.35416666666666702</v>
      </c>
      <c r="AW24" s="23">
        <v>1</v>
      </c>
      <c r="AX24" s="24" t="s">
        <v>18</v>
      </c>
      <c r="AY24" s="24" t="s">
        <v>18</v>
      </c>
      <c r="AZ24" s="34">
        <v>0.36666666666666697</v>
      </c>
      <c r="BA24" s="23">
        <v>1</v>
      </c>
      <c r="BB24" s="34">
        <v>0.38750000000000001</v>
      </c>
      <c r="BC24" s="34">
        <v>0.89305555555555605</v>
      </c>
      <c r="BD24" s="34">
        <v>0.37777777777777799</v>
      </c>
      <c r="BE24" s="23">
        <v>1</v>
      </c>
      <c r="BF24" s="34">
        <v>0.36944444444444402</v>
      </c>
      <c r="BG24" s="23">
        <v>1</v>
      </c>
      <c r="BH24" s="23">
        <v>1</v>
      </c>
      <c r="BI24" s="23">
        <v>1</v>
      </c>
      <c r="BJ24" s="34">
        <v>0.38402777777777802</v>
      </c>
      <c r="BK24" s="34">
        <v>0.98958333333333304</v>
      </c>
      <c r="BL24" s="24" t="s">
        <v>18</v>
      </c>
      <c r="BM24" s="24" t="s">
        <v>18</v>
      </c>
      <c r="BN24" s="34">
        <v>0.374305555555556</v>
      </c>
      <c r="BO24" s="23">
        <v>1</v>
      </c>
      <c r="BP24" s="27">
        <f t="shared" si="11"/>
        <v>31</v>
      </c>
      <c r="BQ24" s="28">
        <v>0</v>
      </c>
      <c r="BR24" s="29">
        <f t="shared" si="12"/>
        <v>26</v>
      </c>
      <c r="BS24" s="30">
        <f t="shared" si="13"/>
        <v>5</v>
      </c>
      <c r="BT24" s="30">
        <f t="shared" si="14"/>
        <v>0</v>
      </c>
      <c r="BU24" s="30">
        <f t="shared" si="15"/>
        <v>0</v>
      </c>
      <c r="BV24" s="30">
        <f t="shared" si="16"/>
        <v>0</v>
      </c>
      <c r="BW24" s="30">
        <f t="shared" si="17"/>
        <v>0</v>
      </c>
      <c r="BX24" s="30">
        <f t="shared" si="18"/>
        <v>0</v>
      </c>
      <c r="BY24" s="30">
        <f t="shared" si="19"/>
        <v>0</v>
      </c>
      <c r="BZ24" s="30">
        <f t="shared" si="20"/>
        <v>0</v>
      </c>
      <c r="CA24" s="30">
        <f t="shared" si="21"/>
        <v>0</v>
      </c>
      <c r="CB24" s="30">
        <f t="shared" si="22"/>
        <v>0</v>
      </c>
      <c r="CC24" s="30">
        <f t="shared" si="23"/>
        <v>0</v>
      </c>
      <c r="CD24" s="31"/>
      <c r="CJ24" s="32">
        <v>0</v>
      </c>
      <c r="CK24" s="20">
        <v>0</v>
      </c>
      <c r="CL24" s="20">
        <v>0</v>
      </c>
      <c r="CM24" s="20">
        <v>0</v>
      </c>
      <c r="CN24" s="20">
        <v>0</v>
      </c>
      <c r="CO24" s="20">
        <v>0</v>
      </c>
      <c r="CP24" s="20">
        <v>0</v>
      </c>
      <c r="CQ24" s="20">
        <v>0</v>
      </c>
      <c r="CR24" s="20">
        <v>0</v>
      </c>
      <c r="CS24" s="20">
        <v>0</v>
      </c>
      <c r="CT24" s="37">
        <f t="shared" si="24"/>
        <v>0</v>
      </c>
    </row>
    <row r="25" spans="1:98" ht="24.75" customHeight="1">
      <c r="A25" s="20">
        <v>21</v>
      </c>
      <c r="B25" s="45" t="s">
        <v>72</v>
      </c>
      <c r="C25" s="22" t="s">
        <v>73</v>
      </c>
      <c r="D25" s="23">
        <v>1</v>
      </c>
      <c r="E25" s="23">
        <v>1</v>
      </c>
      <c r="F25" s="35">
        <v>0.41805555555555601</v>
      </c>
      <c r="G25" s="35">
        <v>0.99722222222222201</v>
      </c>
      <c r="H25" s="34">
        <v>0.38611111111111102</v>
      </c>
      <c r="I25" s="34">
        <v>4.1666666666666701E-3</v>
      </c>
      <c r="J25" s="23">
        <v>1</v>
      </c>
      <c r="K25" s="23">
        <v>1</v>
      </c>
      <c r="L25" s="34">
        <v>0.36597222222222198</v>
      </c>
      <c r="M25" s="23">
        <v>1</v>
      </c>
      <c r="N25" s="34">
        <v>0.37222222222222201</v>
      </c>
      <c r="O25" s="23">
        <v>1</v>
      </c>
      <c r="P25" s="34">
        <v>0.41944444444444401</v>
      </c>
      <c r="Q25" s="34">
        <v>1.18055555555556E-2</v>
      </c>
      <c r="R25" s="34">
        <v>0.390972222222222</v>
      </c>
      <c r="S25" s="34">
        <v>5.5555555555555601E-3</v>
      </c>
      <c r="T25" s="35" t="s">
        <v>23</v>
      </c>
      <c r="U25" s="35" t="s">
        <v>23</v>
      </c>
      <c r="V25" s="34" t="s">
        <v>23</v>
      </c>
      <c r="W25" s="34" t="s">
        <v>23</v>
      </c>
      <c r="X25" s="34" t="s">
        <v>23</v>
      </c>
      <c r="Y25" s="34" t="s">
        <v>23</v>
      </c>
      <c r="Z25" s="34" t="s">
        <v>23</v>
      </c>
      <c r="AA25" s="34" t="s">
        <v>23</v>
      </c>
      <c r="AB25" s="34" t="s">
        <v>23</v>
      </c>
      <c r="AC25" s="34" t="s">
        <v>23</v>
      </c>
      <c r="AD25" s="34" t="s">
        <v>23</v>
      </c>
      <c r="AE25" s="34" t="s">
        <v>23</v>
      </c>
      <c r="AF25" s="34" t="s">
        <v>23</v>
      </c>
      <c r="AG25" s="34" t="s">
        <v>23</v>
      </c>
      <c r="AH25" s="25"/>
      <c r="AI25" s="26">
        <v>21</v>
      </c>
      <c r="AJ25" s="35">
        <v>0.59375</v>
      </c>
      <c r="AK25" s="36">
        <v>1</v>
      </c>
      <c r="AL25" s="34">
        <v>0.30486111111111103</v>
      </c>
      <c r="AM25" s="34">
        <v>1.18055555555556E-2</v>
      </c>
      <c r="AN25" s="34">
        <v>0.37291666666666701</v>
      </c>
      <c r="AO25" s="34">
        <v>2.29166666666667E-2</v>
      </c>
      <c r="AP25" s="34">
        <v>0.38194444444444398</v>
      </c>
      <c r="AQ25" s="34">
        <v>0.99861111111111101</v>
      </c>
      <c r="AR25" s="34">
        <v>0.38055555555555598</v>
      </c>
      <c r="AS25" s="23">
        <v>1</v>
      </c>
      <c r="AT25" s="34">
        <v>0.37013888888888902</v>
      </c>
      <c r="AU25" s="34">
        <v>0.98958333333333304</v>
      </c>
      <c r="AV25" s="34">
        <v>0.35555555555555601</v>
      </c>
      <c r="AW25" s="34">
        <v>1.2500000000000001E-2</v>
      </c>
      <c r="AX25" s="35">
        <v>0.97916666666666696</v>
      </c>
      <c r="AY25" s="36">
        <v>1</v>
      </c>
      <c r="AZ25" s="34">
        <v>0.36180555555555599</v>
      </c>
      <c r="BA25" s="23">
        <v>1</v>
      </c>
      <c r="BB25" s="34">
        <v>0.38263888888888897</v>
      </c>
      <c r="BC25" s="23">
        <v>1</v>
      </c>
      <c r="BD25" s="34">
        <v>0.38750000000000001</v>
      </c>
      <c r="BE25" s="34">
        <v>1.7361111111111101E-2</v>
      </c>
      <c r="BF25" s="34">
        <v>0.37291666666666701</v>
      </c>
      <c r="BG25" s="23">
        <v>1</v>
      </c>
      <c r="BH25" s="34">
        <v>0.37361111111111101</v>
      </c>
      <c r="BI25" s="23">
        <v>1</v>
      </c>
      <c r="BJ25" s="34">
        <v>0.37986111111111098</v>
      </c>
      <c r="BK25" s="23">
        <v>1</v>
      </c>
      <c r="BL25" s="35">
        <v>0.60555555555555596</v>
      </c>
      <c r="BM25" s="36">
        <v>1</v>
      </c>
      <c r="BN25" s="34">
        <v>0.37638888888888899</v>
      </c>
      <c r="BO25" s="23">
        <v>1</v>
      </c>
      <c r="BP25" s="27">
        <f t="shared" si="11"/>
        <v>31</v>
      </c>
      <c r="BQ25" s="28">
        <v>4</v>
      </c>
      <c r="BR25" s="29">
        <f t="shared" si="12"/>
        <v>24</v>
      </c>
      <c r="BS25" s="30">
        <f t="shared" si="13"/>
        <v>0</v>
      </c>
      <c r="BT25" s="30">
        <f t="shared" si="14"/>
        <v>0</v>
      </c>
      <c r="BU25" s="30">
        <f t="shared" si="15"/>
        <v>0</v>
      </c>
      <c r="BV25" s="30">
        <f t="shared" si="16"/>
        <v>0</v>
      </c>
      <c r="BW25" s="30">
        <f t="shared" si="17"/>
        <v>0</v>
      </c>
      <c r="BX25" s="30">
        <f t="shared" si="18"/>
        <v>7</v>
      </c>
      <c r="BY25" s="30">
        <f t="shared" si="19"/>
        <v>0</v>
      </c>
      <c r="BZ25" s="30">
        <f t="shared" si="20"/>
        <v>0</v>
      </c>
      <c r="CA25" s="30">
        <f t="shared" si="21"/>
        <v>0</v>
      </c>
      <c r="CB25" s="30">
        <f t="shared" si="22"/>
        <v>0</v>
      </c>
      <c r="CC25" s="30">
        <f t="shared" si="23"/>
        <v>0</v>
      </c>
      <c r="CD25" s="31"/>
      <c r="CJ25" s="32">
        <v>0</v>
      </c>
      <c r="CK25" s="20">
        <v>0</v>
      </c>
      <c r="CL25" s="20">
        <v>0</v>
      </c>
      <c r="CM25" s="20">
        <v>0</v>
      </c>
      <c r="CN25" s="20">
        <v>7</v>
      </c>
      <c r="CO25" s="20">
        <v>1</v>
      </c>
      <c r="CP25" s="20">
        <v>0</v>
      </c>
      <c r="CQ25" s="20">
        <v>0</v>
      </c>
      <c r="CR25" s="20">
        <v>0</v>
      </c>
      <c r="CS25" s="20">
        <v>0</v>
      </c>
      <c r="CT25" s="37">
        <f t="shared" si="24"/>
        <v>8</v>
      </c>
    </row>
    <row r="26" spans="1:98" ht="24.75" customHeight="1">
      <c r="A26" s="20">
        <v>22</v>
      </c>
      <c r="B26" s="45" t="s">
        <v>74</v>
      </c>
      <c r="C26" s="22" t="s">
        <v>75</v>
      </c>
      <c r="D26" s="34">
        <v>0.390277777777778</v>
      </c>
      <c r="E26" s="34">
        <v>3.125E-2</v>
      </c>
      <c r="F26" s="35">
        <v>0.78333333333333299</v>
      </c>
      <c r="G26" s="35">
        <v>0.97777777777777797</v>
      </c>
      <c r="H26" s="34">
        <v>0.38263888888888897</v>
      </c>
      <c r="I26" s="23">
        <v>1</v>
      </c>
      <c r="J26" s="34">
        <v>0.88333333333333297</v>
      </c>
      <c r="K26" s="23">
        <v>1</v>
      </c>
      <c r="L26" s="34">
        <v>0.37222222222222201</v>
      </c>
      <c r="M26" s="34">
        <v>0.82847222222222205</v>
      </c>
      <c r="N26" s="34">
        <v>0.38124999999999998</v>
      </c>
      <c r="O26" s="23">
        <v>1</v>
      </c>
      <c r="P26" s="34">
        <v>0.38124999999999998</v>
      </c>
      <c r="Q26" s="34">
        <v>9.7222222222222206E-3</v>
      </c>
      <c r="R26" s="34">
        <v>0.39305555555555599</v>
      </c>
      <c r="S26" s="34">
        <v>0.58263888888888904</v>
      </c>
      <c r="T26" s="24" t="s">
        <v>18</v>
      </c>
      <c r="U26" s="24" t="s">
        <v>18</v>
      </c>
      <c r="V26" s="23">
        <v>1</v>
      </c>
      <c r="W26" s="23">
        <v>1</v>
      </c>
      <c r="X26" s="34">
        <v>0.37986111111111098</v>
      </c>
      <c r="Y26" s="34">
        <v>0.71736111111111101</v>
      </c>
      <c r="Z26" s="34">
        <v>0.38402777777777802</v>
      </c>
      <c r="AA26" s="34">
        <v>0.71458333333333302</v>
      </c>
      <c r="AB26" s="34">
        <v>0.38263888888888897</v>
      </c>
      <c r="AC26" s="34">
        <v>0.95</v>
      </c>
      <c r="AD26" s="34">
        <v>0.38611111111111102</v>
      </c>
      <c r="AE26" s="34">
        <v>0.94861111111111096</v>
      </c>
      <c r="AF26" s="34">
        <v>0.37777777777777799</v>
      </c>
      <c r="AG26" s="34">
        <v>0.96111111111111103</v>
      </c>
      <c r="AH26" s="25"/>
      <c r="AI26" s="26">
        <v>22</v>
      </c>
      <c r="AJ26" s="35">
        <v>0.87777777777777799</v>
      </c>
      <c r="AK26" s="35">
        <v>3.9583333333333297E-2</v>
      </c>
      <c r="AL26" s="34">
        <v>0.484027777777778</v>
      </c>
      <c r="AM26" s="34">
        <v>0.97638888888888897</v>
      </c>
      <c r="AN26" s="34">
        <v>0.37847222222222199</v>
      </c>
      <c r="AO26" s="34">
        <v>0.96250000000000002</v>
      </c>
      <c r="AP26" s="34">
        <v>0.92569444444444404</v>
      </c>
      <c r="AQ26" s="23">
        <v>1</v>
      </c>
      <c r="AR26" s="34">
        <v>0.38819444444444401</v>
      </c>
      <c r="AS26" s="23">
        <v>1</v>
      </c>
      <c r="AT26" s="34">
        <v>0.38055555555555598</v>
      </c>
      <c r="AU26" s="34">
        <v>0.92222222222222205</v>
      </c>
      <c r="AV26" s="34">
        <v>0.38402777777777802</v>
      </c>
      <c r="AW26" s="34">
        <v>0.98263888888888895</v>
      </c>
      <c r="AX26" s="35">
        <v>0.85416666666666696</v>
      </c>
      <c r="AY26" s="36">
        <v>1</v>
      </c>
      <c r="AZ26" s="34">
        <v>0.94583333333333297</v>
      </c>
      <c r="BA26" s="23">
        <v>1</v>
      </c>
      <c r="BB26" s="34">
        <v>0.38819444444444401</v>
      </c>
      <c r="BC26" s="34">
        <v>0.77222222222222203</v>
      </c>
      <c r="BD26" s="34">
        <v>0.39305555555555599</v>
      </c>
      <c r="BE26" s="23">
        <v>1</v>
      </c>
      <c r="BF26" s="34">
        <v>0.38541666666666702</v>
      </c>
      <c r="BG26" s="23">
        <v>1</v>
      </c>
      <c r="BH26" s="34">
        <v>0.39791666666666697</v>
      </c>
      <c r="BI26" s="23">
        <v>1</v>
      </c>
      <c r="BJ26" s="34">
        <v>0.38611111111111102</v>
      </c>
      <c r="BK26" s="23">
        <v>1</v>
      </c>
      <c r="BL26" s="24" t="s">
        <v>18</v>
      </c>
      <c r="BM26" s="24" t="s">
        <v>18</v>
      </c>
      <c r="BN26" s="34">
        <v>0.84027777777777801</v>
      </c>
      <c r="BO26" s="23">
        <v>1</v>
      </c>
      <c r="BP26" s="27">
        <f t="shared" si="11"/>
        <v>31</v>
      </c>
      <c r="BQ26" s="28">
        <v>3</v>
      </c>
      <c r="BR26" s="29">
        <f t="shared" si="12"/>
        <v>29</v>
      </c>
      <c r="BS26" s="30">
        <f t="shared" si="13"/>
        <v>2</v>
      </c>
      <c r="BT26" s="30">
        <f t="shared" si="14"/>
        <v>0</v>
      </c>
      <c r="BU26" s="30">
        <f t="shared" si="15"/>
        <v>0</v>
      </c>
      <c r="BV26" s="30">
        <f t="shared" si="16"/>
        <v>0</v>
      </c>
      <c r="BW26" s="30">
        <f t="shared" si="17"/>
        <v>0</v>
      </c>
      <c r="BX26" s="30">
        <f t="shared" si="18"/>
        <v>0</v>
      </c>
      <c r="BY26" s="30">
        <f t="shared" si="19"/>
        <v>0</v>
      </c>
      <c r="BZ26" s="30">
        <f t="shared" si="20"/>
        <v>0</v>
      </c>
      <c r="CA26" s="30">
        <f t="shared" si="21"/>
        <v>0</v>
      </c>
      <c r="CB26" s="30">
        <f t="shared" si="22"/>
        <v>0</v>
      </c>
      <c r="CC26" s="30">
        <f t="shared" si="23"/>
        <v>0</v>
      </c>
      <c r="CD26" s="31"/>
      <c r="CJ26" s="32">
        <v>0</v>
      </c>
      <c r="CK26" s="20">
        <v>0</v>
      </c>
      <c r="CL26" s="20">
        <v>0</v>
      </c>
      <c r="CM26" s="20">
        <v>0</v>
      </c>
      <c r="CN26" s="20">
        <v>0</v>
      </c>
      <c r="CO26" s="20">
        <v>0</v>
      </c>
      <c r="CP26" s="20">
        <v>0</v>
      </c>
      <c r="CQ26" s="20">
        <v>0</v>
      </c>
      <c r="CR26" s="20">
        <v>0</v>
      </c>
      <c r="CS26" s="20">
        <v>0</v>
      </c>
      <c r="CT26" s="37">
        <f t="shared" si="24"/>
        <v>0</v>
      </c>
    </row>
    <row r="27" spans="1:98" ht="24.75" customHeight="1">
      <c r="A27" s="20">
        <v>23</v>
      </c>
      <c r="B27" s="45" t="s">
        <v>76</v>
      </c>
      <c r="C27" s="22" t="s">
        <v>77</v>
      </c>
      <c r="D27" s="34">
        <v>0.375694444444444</v>
      </c>
      <c r="E27" s="23">
        <v>1</v>
      </c>
      <c r="F27" s="24" t="s">
        <v>18</v>
      </c>
      <c r="G27" s="24" t="s">
        <v>18</v>
      </c>
      <c r="H27" s="34">
        <v>0.37986111111111098</v>
      </c>
      <c r="I27" s="34">
        <v>0.73124999999999996</v>
      </c>
      <c r="J27" s="34">
        <v>0.375694444444444</v>
      </c>
      <c r="K27" s="34">
        <v>0.71388888888888902</v>
      </c>
      <c r="L27" s="34">
        <v>0.37916666666666698</v>
      </c>
      <c r="M27" s="34">
        <v>0.72361111111111098</v>
      </c>
      <c r="N27" s="34">
        <v>0.37777777777777799</v>
      </c>
      <c r="O27" s="23">
        <v>1</v>
      </c>
      <c r="P27" s="34">
        <v>0.37847222222222199</v>
      </c>
      <c r="Q27" s="34">
        <v>0.72013888888888899</v>
      </c>
      <c r="R27" s="34">
        <v>0.375694444444444</v>
      </c>
      <c r="S27" s="34">
        <v>0.72499999999999998</v>
      </c>
      <c r="T27" s="24" t="s">
        <v>18</v>
      </c>
      <c r="U27" s="24" t="s">
        <v>18</v>
      </c>
      <c r="V27" s="34">
        <v>0.374305555555556</v>
      </c>
      <c r="W27" s="34">
        <v>0.94583333333333297</v>
      </c>
      <c r="X27" s="34">
        <v>0.37708333333333299</v>
      </c>
      <c r="Y27" s="34">
        <v>0.71597222222222201</v>
      </c>
      <c r="Z27" s="34">
        <v>0.38055555555555598</v>
      </c>
      <c r="AA27" s="34">
        <v>0.71458333333333302</v>
      </c>
      <c r="AB27" s="34">
        <v>0.37777777777777799</v>
      </c>
      <c r="AC27" s="34">
        <v>0.71041666666666703</v>
      </c>
      <c r="AD27" s="34">
        <v>0.37638888888888899</v>
      </c>
      <c r="AE27" s="34">
        <v>0.94861111111111096</v>
      </c>
      <c r="AF27" s="34">
        <v>0.37708333333333299</v>
      </c>
      <c r="AG27" s="34">
        <v>0.780555555555556</v>
      </c>
      <c r="AH27" s="25"/>
      <c r="AI27" s="26">
        <v>23</v>
      </c>
      <c r="AJ27" s="24" t="s">
        <v>18</v>
      </c>
      <c r="AK27" s="24" t="s">
        <v>18</v>
      </c>
      <c r="AL27" s="34">
        <v>0.374305555555556</v>
      </c>
      <c r="AM27" s="34">
        <v>0.71041666666666703</v>
      </c>
      <c r="AN27" s="34">
        <v>0.37916666666666698</v>
      </c>
      <c r="AO27" s="34">
        <v>0.73263888888888895</v>
      </c>
      <c r="AP27" s="34">
        <v>0.375694444444444</v>
      </c>
      <c r="AQ27" s="34">
        <v>0.71180555555555503</v>
      </c>
      <c r="AR27" s="34">
        <v>0.375694444444444</v>
      </c>
      <c r="AS27" s="34">
        <v>0.70972222222222203</v>
      </c>
      <c r="AT27" s="34">
        <v>0.37638888888888899</v>
      </c>
      <c r="AU27" s="34">
        <v>0.78958333333333297</v>
      </c>
      <c r="AV27" s="34">
        <v>0.37847222222222199</v>
      </c>
      <c r="AW27" s="34">
        <v>0.71388888888888902</v>
      </c>
      <c r="AX27" s="24" t="s">
        <v>18</v>
      </c>
      <c r="AY27" s="24" t="s">
        <v>18</v>
      </c>
      <c r="AZ27" s="34">
        <v>0.375694444444444</v>
      </c>
      <c r="BA27" s="34">
        <v>0.72777777777777797</v>
      </c>
      <c r="BB27" s="34">
        <v>0.375</v>
      </c>
      <c r="BC27" s="34">
        <v>0.719444444444444</v>
      </c>
      <c r="BD27" s="34">
        <v>0.37708333333333299</v>
      </c>
      <c r="BE27" s="23">
        <v>1</v>
      </c>
      <c r="BF27" s="34">
        <v>0.38124999999999998</v>
      </c>
      <c r="BG27" s="34">
        <v>0.72083333333333299</v>
      </c>
      <c r="BH27" s="34">
        <v>0.37847222222222199</v>
      </c>
      <c r="BI27" s="34">
        <v>0.73958333333333304</v>
      </c>
      <c r="BJ27" s="34">
        <v>0.375694444444444</v>
      </c>
      <c r="BK27" s="34">
        <v>0.72986111111111096</v>
      </c>
      <c r="BL27" s="24" t="s">
        <v>18</v>
      </c>
      <c r="BM27" s="24" t="s">
        <v>18</v>
      </c>
      <c r="BN27" s="23">
        <v>1</v>
      </c>
      <c r="BO27" s="23">
        <v>1</v>
      </c>
      <c r="BP27" s="27">
        <f t="shared" si="11"/>
        <v>31</v>
      </c>
      <c r="BQ27" s="28">
        <v>0</v>
      </c>
      <c r="BR27" s="29">
        <f t="shared" si="12"/>
        <v>26</v>
      </c>
      <c r="BS27" s="30">
        <f t="shared" si="13"/>
        <v>5</v>
      </c>
      <c r="BT27" s="30">
        <f t="shared" si="14"/>
        <v>0</v>
      </c>
      <c r="BU27" s="30">
        <f t="shared" si="15"/>
        <v>0</v>
      </c>
      <c r="BV27" s="30">
        <f t="shared" si="16"/>
        <v>0</v>
      </c>
      <c r="BW27" s="30">
        <f t="shared" si="17"/>
        <v>0</v>
      </c>
      <c r="BX27" s="30">
        <f t="shared" si="18"/>
        <v>0</v>
      </c>
      <c r="BY27" s="30">
        <f t="shared" si="19"/>
        <v>0</v>
      </c>
      <c r="BZ27" s="30">
        <f t="shared" si="20"/>
        <v>0</v>
      </c>
      <c r="CA27" s="30">
        <f t="shared" si="21"/>
        <v>0</v>
      </c>
      <c r="CB27" s="30">
        <f t="shared" si="22"/>
        <v>0</v>
      </c>
      <c r="CC27" s="30">
        <f t="shared" si="23"/>
        <v>0</v>
      </c>
      <c r="CD27" s="31"/>
      <c r="CJ27" s="46">
        <v>0</v>
      </c>
      <c r="CK27" s="47">
        <v>0</v>
      </c>
      <c r="CL27" s="47">
        <v>0</v>
      </c>
      <c r="CM27" s="47">
        <v>0</v>
      </c>
      <c r="CN27" s="47">
        <v>0</v>
      </c>
      <c r="CO27" s="47">
        <v>0</v>
      </c>
      <c r="CP27" s="47">
        <v>0</v>
      </c>
      <c r="CQ27" s="47">
        <v>0</v>
      </c>
      <c r="CR27" s="47">
        <v>0</v>
      </c>
      <c r="CS27" s="47">
        <v>0</v>
      </c>
      <c r="CT27" s="48">
        <f t="shared" si="24"/>
        <v>0</v>
      </c>
    </row>
    <row r="28" spans="1:98" s="1" customFormat="1" ht="27.75" customHeight="1">
      <c r="A28" s="20">
        <v>24</v>
      </c>
      <c r="B28" s="45" t="s">
        <v>78</v>
      </c>
      <c r="C28" s="22" t="s">
        <v>79</v>
      </c>
      <c r="D28" s="34">
        <v>0.35208333333333303</v>
      </c>
      <c r="E28" s="34">
        <v>0.65763888888888899</v>
      </c>
      <c r="F28" s="24" t="s">
        <v>18</v>
      </c>
      <c r="G28" s="24" t="s">
        <v>18</v>
      </c>
      <c r="H28" s="34">
        <v>0.35347222222222202</v>
      </c>
      <c r="I28" s="34">
        <v>0.64930555555555602</v>
      </c>
      <c r="J28" s="34">
        <v>0.35694444444444401</v>
      </c>
      <c r="K28" s="34">
        <v>0.64583333333333304</v>
      </c>
      <c r="L28" s="34">
        <v>0.35625000000000001</v>
      </c>
      <c r="M28" s="34">
        <v>0.64583333333333304</v>
      </c>
      <c r="N28" s="34">
        <v>0.35555555555555601</v>
      </c>
      <c r="O28" s="34">
        <v>0.66597222222222197</v>
      </c>
      <c r="P28" s="34">
        <v>0.35486111111111102</v>
      </c>
      <c r="Q28" s="34">
        <v>0.66597222222222197</v>
      </c>
      <c r="R28" s="34">
        <v>0.39583333333333298</v>
      </c>
      <c r="S28" s="34">
        <v>0.65486111111111101</v>
      </c>
      <c r="T28" s="35">
        <v>0.57986111111111105</v>
      </c>
      <c r="U28" s="35">
        <v>0.95208333333333295</v>
      </c>
      <c r="V28" s="34">
        <v>0.35486111111111102</v>
      </c>
      <c r="W28" s="34">
        <v>0.65763888888888899</v>
      </c>
      <c r="X28" s="34">
        <v>0.35277777777777802</v>
      </c>
      <c r="Y28" s="34">
        <v>0.64722222222222203</v>
      </c>
      <c r="Z28" s="34">
        <v>0.35486111111111102</v>
      </c>
      <c r="AA28" s="34">
        <v>0.64652777777777803</v>
      </c>
      <c r="AB28" s="34">
        <v>0.35486111111111102</v>
      </c>
      <c r="AC28" s="34">
        <v>0.64652777777777803</v>
      </c>
      <c r="AD28" s="34">
        <v>0.35486111111111102</v>
      </c>
      <c r="AE28" s="34">
        <v>0.65</v>
      </c>
      <c r="AF28" s="34">
        <v>0.35486111111111102</v>
      </c>
      <c r="AG28" s="34">
        <v>0.65</v>
      </c>
      <c r="AH28" s="25"/>
      <c r="AI28" s="26">
        <v>24</v>
      </c>
      <c r="AJ28" s="24" t="s">
        <v>18</v>
      </c>
      <c r="AK28" s="24" t="s">
        <v>18</v>
      </c>
      <c r="AL28" s="34">
        <v>0.35625000000000001</v>
      </c>
      <c r="AM28" s="34">
        <v>0.65972222222222199</v>
      </c>
      <c r="AN28" s="34">
        <v>0.35486111111111102</v>
      </c>
      <c r="AO28" s="34">
        <v>0.656944444444444</v>
      </c>
      <c r="AP28" s="34">
        <v>0.35416666666666702</v>
      </c>
      <c r="AQ28" s="34">
        <v>0.65486111111111101</v>
      </c>
      <c r="AR28" s="34">
        <v>0.35555555555555601</v>
      </c>
      <c r="AS28" s="34">
        <v>0.65347222222222201</v>
      </c>
      <c r="AT28" s="34">
        <v>0.35555555555555601</v>
      </c>
      <c r="AU28" s="34">
        <v>0.66111111111111098</v>
      </c>
      <c r="AV28" s="34">
        <v>0.35625000000000001</v>
      </c>
      <c r="AW28" s="34">
        <v>0.66249999999999998</v>
      </c>
      <c r="AX28" s="35">
        <v>0.58055555555555605</v>
      </c>
      <c r="AY28" s="35">
        <v>0.95625000000000004</v>
      </c>
      <c r="AZ28" s="34">
        <v>0.35555555555555601</v>
      </c>
      <c r="BA28" s="34">
        <v>0.65902777777777799</v>
      </c>
      <c r="BB28" s="34">
        <v>0.35555555555555601</v>
      </c>
      <c r="BC28" s="34">
        <v>0.655555555555556</v>
      </c>
      <c r="BD28" s="34">
        <v>0.35486111111111102</v>
      </c>
      <c r="BE28" s="34">
        <v>0.66111111111111098</v>
      </c>
      <c r="BF28" s="34">
        <v>0.35416666666666702</v>
      </c>
      <c r="BG28" s="34">
        <v>0.67638888888888904</v>
      </c>
      <c r="BH28" s="34">
        <v>0.35416666666666702</v>
      </c>
      <c r="BI28" s="34">
        <v>0.65277777777777801</v>
      </c>
      <c r="BJ28" s="34">
        <v>0.35625000000000001</v>
      </c>
      <c r="BK28" s="34">
        <v>0.65416666666666701</v>
      </c>
      <c r="BL28" s="24" t="s">
        <v>18</v>
      </c>
      <c r="BM28" s="24" t="s">
        <v>18</v>
      </c>
      <c r="BN28" s="34">
        <v>0.35208333333333303</v>
      </c>
      <c r="BO28" s="34">
        <v>0.64652777777777803</v>
      </c>
      <c r="BP28" s="27">
        <f t="shared" si="11"/>
        <v>31</v>
      </c>
      <c r="BQ28" s="28">
        <v>2</v>
      </c>
      <c r="BR28" s="29">
        <f t="shared" si="12"/>
        <v>28</v>
      </c>
      <c r="BS28" s="30">
        <f t="shared" si="13"/>
        <v>3</v>
      </c>
      <c r="BT28" s="30">
        <f t="shared" si="14"/>
        <v>0</v>
      </c>
      <c r="BU28" s="30">
        <f t="shared" si="15"/>
        <v>0</v>
      </c>
      <c r="BV28" s="30">
        <f t="shared" si="16"/>
        <v>0</v>
      </c>
      <c r="BW28" s="30">
        <f t="shared" si="17"/>
        <v>0</v>
      </c>
      <c r="BX28" s="30">
        <f t="shared" si="18"/>
        <v>0</v>
      </c>
      <c r="BY28" s="30">
        <f t="shared" si="19"/>
        <v>0</v>
      </c>
      <c r="BZ28" s="30">
        <f t="shared" si="20"/>
        <v>0</v>
      </c>
      <c r="CA28" s="30">
        <f t="shared" si="21"/>
        <v>0</v>
      </c>
      <c r="CB28" s="30">
        <f t="shared" si="22"/>
        <v>0</v>
      </c>
      <c r="CC28" s="30">
        <f t="shared" si="23"/>
        <v>0</v>
      </c>
      <c r="CD28" s="31"/>
      <c r="CJ28" s="46">
        <v>0</v>
      </c>
      <c r="CK28" s="47">
        <v>0</v>
      </c>
      <c r="CL28" s="47">
        <v>0</v>
      </c>
      <c r="CM28" s="47">
        <v>0</v>
      </c>
      <c r="CN28" s="47">
        <v>0</v>
      </c>
      <c r="CO28" s="47">
        <v>1</v>
      </c>
      <c r="CP28" s="47">
        <v>0</v>
      </c>
      <c r="CQ28" s="47">
        <v>1</v>
      </c>
      <c r="CR28" s="47">
        <v>0</v>
      </c>
      <c r="CS28" s="47">
        <v>0</v>
      </c>
      <c r="CT28" s="48">
        <f t="shared" ref="CT28:CT29" si="26">SUM(CJ28:CS28)</f>
        <v>2</v>
      </c>
    </row>
    <row r="29" spans="1:98" ht="24.75" customHeight="1">
      <c r="A29" s="20">
        <v>25</v>
      </c>
      <c r="B29" s="45" t="s">
        <v>80</v>
      </c>
      <c r="C29" s="22" t="s">
        <v>81</v>
      </c>
      <c r="D29" s="95" t="s">
        <v>82</v>
      </c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7"/>
      <c r="AH29" s="25"/>
      <c r="AI29" s="26">
        <v>25</v>
      </c>
      <c r="AJ29" s="95" t="s">
        <v>82</v>
      </c>
      <c r="AK29" s="96"/>
      <c r="AL29" s="96"/>
      <c r="AM29" s="96"/>
      <c r="AN29" s="96"/>
      <c r="AO29" s="96"/>
      <c r="AP29" s="96"/>
      <c r="AQ29" s="96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96"/>
      <c r="BE29" s="96"/>
      <c r="BF29" s="96"/>
      <c r="BG29" s="96"/>
      <c r="BH29" s="34">
        <v>0.34861111111111098</v>
      </c>
      <c r="BI29" s="34">
        <v>8.3333333333333297E-3</v>
      </c>
      <c r="BJ29" s="34">
        <v>0.35486111111111102</v>
      </c>
      <c r="BK29" s="34">
        <v>0.99583333333333302</v>
      </c>
      <c r="BL29" s="35">
        <v>0.57986111111111105</v>
      </c>
      <c r="BM29" s="36">
        <v>1</v>
      </c>
      <c r="BN29" s="34">
        <v>0.35138888888888897</v>
      </c>
      <c r="BO29" s="23">
        <v>1</v>
      </c>
      <c r="BP29" s="27">
        <f t="shared" si="11"/>
        <v>4</v>
      </c>
      <c r="BQ29" s="28">
        <v>1</v>
      </c>
      <c r="BR29" s="29">
        <f t="shared" si="12"/>
        <v>4</v>
      </c>
      <c r="BS29" s="30">
        <f t="shared" si="13"/>
        <v>0</v>
      </c>
      <c r="BT29" s="30">
        <f t="shared" si="14"/>
        <v>0</v>
      </c>
      <c r="BU29" s="30">
        <f t="shared" si="15"/>
        <v>0</v>
      </c>
      <c r="BV29" s="30">
        <f t="shared" si="16"/>
        <v>0</v>
      </c>
      <c r="BW29" s="30">
        <f t="shared" si="17"/>
        <v>0</v>
      </c>
      <c r="BX29" s="30">
        <f t="shared" si="18"/>
        <v>0</v>
      </c>
      <c r="BY29" s="30">
        <f t="shared" si="19"/>
        <v>0</v>
      </c>
      <c r="BZ29" s="30">
        <f t="shared" si="20"/>
        <v>0</v>
      </c>
      <c r="CA29" s="30">
        <f t="shared" si="21"/>
        <v>0</v>
      </c>
      <c r="CB29" s="30">
        <f t="shared" si="22"/>
        <v>0</v>
      </c>
      <c r="CC29" s="30">
        <f t="shared" si="23"/>
        <v>0</v>
      </c>
      <c r="CD29" s="31"/>
      <c r="CJ29" s="32">
        <v>0</v>
      </c>
      <c r="CK29" s="20">
        <v>0</v>
      </c>
      <c r="CL29" s="20">
        <v>0</v>
      </c>
      <c r="CM29" s="20">
        <v>0</v>
      </c>
      <c r="CN29" s="20">
        <v>0</v>
      </c>
      <c r="CO29" s="20">
        <v>0</v>
      </c>
      <c r="CP29" s="20">
        <v>0</v>
      </c>
      <c r="CQ29" s="20">
        <v>0</v>
      </c>
      <c r="CR29" s="20">
        <v>0</v>
      </c>
      <c r="CS29" s="20">
        <v>0</v>
      </c>
      <c r="CT29" s="48">
        <f t="shared" si="26"/>
        <v>0</v>
      </c>
    </row>
    <row r="30" spans="1:98">
      <c r="CJ30" s="49"/>
      <c r="CK30" s="49"/>
      <c r="CL30" s="49"/>
      <c r="CM30" s="49"/>
      <c r="CN30" s="49"/>
      <c r="CO30" s="49"/>
      <c r="CP30" s="49"/>
      <c r="CQ30" s="49"/>
      <c r="CR30" s="49"/>
      <c r="CS30" s="49"/>
      <c r="CT30" s="50"/>
    </row>
    <row r="31" spans="1:98" s="1" customFormat="1" ht="27.75" customHeight="1">
      <c r="A31" s="49"/>
      <c r="B31" s="51"/>
      <c r="C31" s="52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49"/>
      <c r="AA31" s="49"/>
      <c r="AB31" s="53"/>
      <c r="AC31" s="53"/>
      <c r="AD31" s="54"/>
      <c r="AE31" s="54"/>
      <c r="AF31" s="54"/>
      <c r="AG31" s="54"/>
      <c r="AH31" s="25"/>
      <c r="AI31" s="49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3"/>
      <c r="BA31" s="53"/>
      <c r="BB31" s="53"/>
      <c r="BC31" s="53"/>
      <c r="BD31" s="53"/>
      <c r="BE31" s="53"/>
      <c r="BF31" s="53"/>
      <c r="BG31" s="53"/>
      <c r="BH31" s="56"/>
      <c r="BI31" s="56"/>
      <c r="BJ31" s="53"/>
      <c r="BK31" s="53"/>
      <c r="BL31" s="53"/>
      <c r="BM31" s="53"/>
      <c r="BN31" s="53"/>
      <c r="BO31" s="57"/>
      <c r="BP31" s="58"/>
      <c r="BQ31" s="59"/>
      <c r="BR31" s="60"/>
      <c r="BS31" s="61"/>
      <c r="BT31" s="61"/>
      <c r="BU31" s="61"/>
      <c r="BV31" s="61"/>
      <c r="BW31" s="61"/>
      <c r="BX31" s="61"/>
      <c r="BY31" s="61"/>
      <c r="BZ31" s="61"/>
      <c r="CA31" s="61"/>
      <c r="CB31" s="61"/>
      <c r="CC31" s="61"/>
      <c r="CD31" s="6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3"/>
    </row>
    <row r="32" spans="1:98" ht="17.25">
      <c r="E32" s="2"/>
      <c r="F32" s="2"/>
      <c r="G32" s="63" t="s">
        <v>83</v>
      </c>
      <c r="H32" s="63"/>
      <c r="I32" s="63"/>
      <c r="J32" s="2"/>
      <c r="K32" s="2"/>
      <c r="L32" s="64"/>
      <c r="P32" s="65"/>
      <c r="Q32" s="63" t="s">
        <v>84</v>
      </c>
      <c r="R32" s="2"/>
      <c r="S32" s="2"/>
      <c r="W32" s="66"/>
      <c r="X32" s="2"/>
      <c r="Y32" s="2"/>
      <c r="Z32" s="63" t="s">
        <v>85</v>
      </c>
      <c r="AA32" s="66"/>
      <c r="AB32" s="66"/>
      <c r="AC32" s="2"/>
      <c r="AD32" s="2"/>
      <c r="AE32" s="2"/>
      <c r="AF32" s="2"/>
      <c r="AQ32" s="2"/>
      <c r="AR32" s="2"/>
      <c r="BR32" s="67" t="s">
        <v>86</v>
      </c>
      <c r="BS32" s="68"/>
      <c r="BT32" s="69"/>
      <c r="BU32" s="69"/>
      <c r="BV32" s="70" t="s">
        <v>18</v>
      </c>
      <c r="BW32" s="3"/>
      <c r="BX32" s="71" t="s">
        <v>87</v>
      </c>
      <c r="BY32" s="68"/>
      <c r="BZ32" s="68"/>
      <c r="CA32" s="2"/>
      <c r="CB32" s="72" t="s">
        <v>24</v>
      </c>
    </row>
    <row r="33" spans="5:80" ht="17.25">
      <c r="E33" s="2"/>
      <c r="F33" s="2"/>
      <c r="G33" s="2"/>
      <c r="H33" s="2"/>
      <c r="I33" s="2"/>
      <c r="J33" s="2"/>
      <c r="K33" s="2"/>
      <c r="L33" s="2"/>
      <c r="P33" s="2"/>
      <c r="Q33" s="2"/>
      <c r="R33" s="2"/>
      <c r="S33" s="2"/>
      <c r="W33" s="66"/>
      <c r="X33" s="2"/>
      <c r="Y33" s="2"/>
      <c r="Z33" s="2"/>
      <c r="AA33" s="2"/>
      <c r="AB33" s="66"/>
      <c r="AC33" s="2"/>
      <c r="AD33" s="2"/>
      <c r="AE33" s="2"/>
      <c r="AF33" s="2"/>
      <c r="AQ33" s="2"/>
      <c r="AR33" s="2"/>
      <c r="BR33" s="67" t="s">
        <v>88</v>
      </c>
      <c r="BS33" s="68"/>
      <c r="BT33" s="69"/>
      <c r="BU33" s="69"/>
      <c r="BV33" s="70" t="s">
        <v>19</v>
      </c>
      <c r="BW33" s="3"/>
      <c r="BX33" s="73" t="s">
        <v>89</v>
      </c>
      <c r="BY33" s="74"/>
      <c r="BZ33" s="74"/>
      <c r="CA33" s="2"/>
      <c r="CB33" s="72" t="s">
        <v>25</v>
      </c>
    </row>
    <row r="34" spans="5:80" ht="17.25">
      <c r="E34" s="2"/>
      <c r="F34" s="2"/>
      <c r="G34" s="2"/>
      <c r="H34" s="2"/>
      <c r="I34" s="2"/>
      <c r="J34" s="2"/>
      <c r="K34" s="2"/>
      <c r="L34" s="2"/>
      <c r="P34" s="2"/>
      <c r="Q34" s="2"/>
      <c r="R34" s="2"/>
      <c r="S34" s="2"/>
      <c r="W34" s="66"/>
      <c r="X34" s="2"/>
      <c r="Y34" s="2"/>
      <c r="Z34" s="2"/>
      <c r="AA34" s="2"/>
      <c r="AB34" s="66"/>
      <c r="AC34" s="2"/>
      <c r="AD34" s="2"/>
      <c r="AE34" s="2"/>
      <c r="AF34" s="2"/>
      <c r="AQ34" s="2"/>
      <c r="AR34" s="2"/>
      <c r="BR34" s="67" t="s">
        <v>90</v>
      </c>
      <c r="BS34" s="68"/>
      <c r="BT34" s="69"/>
      <c r="BU34" s="69"/>
      <c r="BV34" s="70" t="s">
        <v>20</v>
      </c>
      <c r="BW34" s="3"/>
      <c r="BX34" s="73" t="s">
        <v>91</v>
      </c>
      <c r="BY34" s="74"/>
      <c r="BZ34" s="74"/>
      <c r="CA34" s="2"/>
      <c r="CB34" s="72" t="s">
        <v>26</v>
      </c>
    </row>
    <row r="35" spans="5:80" ht="17.25">
      <c r="E35" s="2"/>
      <c r="F35" s="2"/>
      <c r="G35" s="75"/>
      <c r="H35" s="76"/>
      <c r="I35" s="75"/>
      <c r="J35" s="2"/>
      <c r="K35" s="2"/>
      <c r="L35" s="77"/>
      <c r="P35" s="65"/>
      <c r="Q35" s="2"/>
      <c r="R35" s="76"/>
      <c r="S35" s="2"/>
      <c r="W35" s="2"/>
      <c r="X35" s="2"/>
      <c r="Y35" s="76"/>
      <c r="Z35" s="2"/>
      <c r="AA35" s="76"/>
      <c r="AB35" s="2"/>
      <c r="AC35" s="2"/>
      <c r="AD35" s="2"/>
      <c r="AE35" s="2"/>
      <c r="AF35" s="2"/>
      <c r="AQ35" s="2"/>
      <c r="AR35" s="2"/>
      <c r="BR35" s="67" t="s">
        <v>92</v>
      </c>
      <c r="BS35" s="68"/>
      <c r="BT35" s="69"/>
      <c r="BU35" s="69"/>
      <c r="BV35" s="70" t="s">
        <v>21</v>
      </c>
      <c r="BW35" s="3"/>
      <c r="BX35" s="71" t="s">
        <v>93</v>
      </c>
      <c r="BY35" s="68"/>
      <c r="BZ35" s="68"/>
      <c r="CA35" s="2"/>
      <c r="CB35" s="72" t="s">
        <v>27</v>
      </c>
    </row>
    <row r="36" spans="5:80" ht="17.25">
      <c r="E36" s="2"/>
      <c r="F36" s="2"/>
      <c r="G36" s="78" t="s">
        <v>94</v>
      </c>
      <c r="H36" s="78"/>
      <c r="I36" s="76"/>
      <c r="J36" s="2"/>
      <c r="K36" s="2"/>
      <c r="L36" s="65"/>
      <c r="P36" s="65"/>
      <c r="Q36" s="78" t="s">
        <v>44</v>
      </c>
      <c r="R36" s="75"/>
      <c r="S36" s="2"/>
      <c r="W36" s="2"/>
      <c r="X36" s="2" t="s">
        <v>95</v>
      </c>
      <c r="Y36" s="75"/>
      <c r="Z36" s="78" t="s">
        <v>96</v>
      </c>
      <c r="AA36" s="75"/>
      <c r="AB36" s="2"/>
      <c r="AC36" s="2"/>
      <c r="AD36" s="2"/>
      <c r="AE36" s="2"/>
      <c r="AF36" s="2"/>
      <c r="AQ36" s="2"/>
      <c r="AR36" s="2"/>
      <c r="BR36" s="67" t="s">
        <v>97</v>
      </c>
      <c r="BS36" s="68"/>
      <c r="BT36" s="69"/>
      <c r="BU36" s="69"/>
      <c r="BV36" s="70" t="s">
        <v>22</v>
      </c>
      <c r="BW36" s="3"/>
      <c r="BX36" s="71" t="s">
        <v>98</v>
      </c>
      <c r="BY36" s="68"/>
      <c r="BZ36" s="68"/>
      <c r="CA36" s="2"/>
      <c r="CB36" s="72" t="s">
        <v>28</v>
      </c>
    </row>
    <row r="37" spans="5:80" ht="17.25">
      <c r="E37" s="2"/>
      <c r="F37" s="2"/>
      <c r="G37" s="78" t="s">
        <v>99</v>
      </c>
      <c r="H37" s="78"/>
      <c r="I37" s="78"/>
      <c r="J37" s="2"/>
      <c r="K37" s="2"/>
      <c r="L37" s="77"/>
      <c r="P37" s="65"/>
      <c r="Q37" s="78" t="s">
        <v>100</v>
      </c>
      <c r="R37" s="78"/>
      <c r="S37" s="2"/>
      <c r="W37" s="2"/>
      <c r="X37" s="2"/>
      <c r="Y37" s="76"/>
      <c r="Z37" s="78" t="s">
        <v>101</v>
      </c>
      <c r="AA37" s="78"/>
      <c r="AB37" s="2"/>
      <c r="AC37" s="2"/>
      <c r="AD37" s="2"/>
      <c r="AE37" s="2"/>
      <c r="AF37" s="2"/>
      <c r="AQ37" s="2"/>
      <c r="AR37" s="2"/>
      <c r="BR37" s="67" t="s">
        <v>102</v>
      </c>
      <c r="BS37" s="68"/>
      <c r="BT37" s="69"/>
      <c r="BU37" s="69"/>
      <c r="BV37" s="70" t="s">
        <v>23</v>
      </c>
      <c r="BW37" s="3"/>
      <c r="BX37" s="3"/>
      <c r="BY37" s="3"/>
      <c r="BZ37" s="3"/>
      <c r="CA37" s="3"/>
      <c r="CB37" s="3"/>
    </row>
    <row r="38" spans="5:80" ht="17.25">
      <c r="E38" s="76"/>
      <c r="F38" s="75"/>
      <c r="G38" s="76"/>
      <c r="H38" s="76"/>
      <c r="I38" s="76"/>
      <c r="J38" s="76"/>
      <c r="K38" s="77"/>
      <c r="L38" s="77"/>
      <c r="P38" s="65"/>
      <c r="Q38" s="2"/>
      <c r="R38" s="2"/>
      <c r="S38" s="76"/>
      <c r="W38" s="2"/>
      <c r="X38" s="3"/>
      <c r="Y38" s="76"/>
      <c r="Z38" s="2"/>
      <c r="AA38" s="2"/>
      <c r="AB38" s="2"/>
      <c r="AC38" s="3"/>
      <c r="AD38" s="3"/>
      <c r="AE38" s="3"/>
      <c r="AF38" s="3"/>
      <c r="AG38" s="3"/>
      <c r="AH38" s="3"/>
      <c r="AI38" s="2"/>
      <c r="AJ38" s="78"/>
      <c r="AK38" s="78"/>
      <c r="AL38" s="2"/>
      <c r="AM38" s="2"/>
      <c r="AN38" s="2"/>
      <c r="AO38" s="2"/>
      <c r="AP38" s="2"/>
      <c r="AQ38" s="2"/>
      <c r="AR38" s="2"/>
    </row>
    <row r="39" spans="5:80">
      <c r="E39" s="2"/>
      <c r="F39" s="2"/>
      <c r="G39" s="2"/>
      <c r="H39" s="2"/>
      <c r="I39" s="2"/>
      <c r="J39" s="2"/>
      <c r="K39" s="2"/>
      <c r="L39" s="2"/>
      <c r="P39" s="2"/>
      <c r="Q39" s="2"/>
      <c r="R39" s="2"/>
      <c r="S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</row>
    <row r="40" spans="5:80"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</row>
    <row r="43" spans="5:80" ht="21.75" customHeight="1"/>
    <row r="52" spans="1:98">
      <c r="CJ52" s="32">
        <v>0</v>
      </c>
      <c r="CK52" s="20">
        <v>0</v>
      </c>
      <c r="CL52" s="20">
        <v>0</v>
      </c>
      <c r="CM52" s="20">
        <v>0</v>
      </c>
      <c r="CN52" s="20">
        <v>0</v>
      </c>
      <c r="CO52" s="20">
        <v>1</v>
      </c>
      <c r="CP52" s="20">
        <v>0</v>
      </c>
      <c r="CQ52" s="20">
        <v>1</v>
      </c>
      <c r="CR52" s="20">
        <v>0</v>
      </c>
      <c r="CS52" s="20">
        <v>0</v>
      </c>
      <c r="CT52" s="37">
        <f>SUM(CJ52:CS52)</f>
        <v>2</v>
      </c>
    </row>
    <row r="53" spans="1:98" ht="24.75" customHeight="1">
      <c r="A53" s="20">
        <v>23</v>
      </c>
      <c r="B53" s="45" t="s">
        <v>103</v>
      </c>
      <c r="C53" s="22" t="s">
        <v>104</v>
      </c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43"/>
      <c r="S53" s="26"/>
      <c r="T53" s="43"/>
      <c r="U53" s="43"/>
      <c r="V53" s="43"/>
      <c r="W53" s="43"/>
      <c r="X53" s="43"/>
      <c r="Y53" s="43"/>
      <c r="Z53" s="43"/>
      <c r="AA53" s="43"/>
      <c r="AB53" s="99"/>
      <c r="AC53" s="100"/>
      <c r="AD53" s="100"/>
      <c r="AE53" s="100"/>
      <c r="AF53" s="100"/>
      <c r="AG53" s="101"/>
      <c r="AH53" s="79"/>
      <c r="AI53" s="20">
        <v>23</v>
      </c>
      <c r="AJ53" s="99"/>
      <c r="AK53" s="100"/>
      <c r="AL53" s="100"/>
      <c r="AM53" s="100"/>
      <c r="AN53" s="100"/>
      <c r="AO53" s="100"/>
      <c r="AP53" s="100"/>
      <c r="AQ53" s="100"/>
      <c r="AR53" s="100"/>
      <c r="AS53" s="100"/>
      <c r="AT53" s="100"/>
      <c r="AU53" s="100"/>
      <c r="AV53" s="100"/>
      <c r="AW53" s="100"/>
      <c r="AX53" s="100"/>
      <c r="AY53" s="100"/>
      <c r="AZ53" s="100"/>
      <c r="BA53" s="100"/>
      <c r="BB53" s="100"/>
      <c r="BC53" s="100"/>
      <c r="BD53" s="100"/>
      <c r="BE53" s="100"/>
      <c r="BF53" s="100"/>
      <c r="BG53" s="100"/>
      <c r="BH53" s="100"/>
      <c r="BI53" s="100"/>
      <c r="BJ53" s="100"/>
      <c r="BK53" s="100"/>
      <c r="BL53" s="100"/>
      <c r="BM53" s="100"/>
      <c r="BN53" s="100"/>
      <c r="BO53" s="101"/>
      <c r="BP53" s="27">
        <f>BR53+BS53+BT53+BU53+BV53+BZ53+BX53+BY53+CC53</f>
        <v>0</v>
      </c>
      <c r="BQ53" s="28">
        <v>0</v>
      </c>
      <c r="BR53" s="29">
        <f>COUNT(B53:AG53)/2+COUNT(AJ53:BO53)/2</f>
        <v>0</v>
      </c>
      <c r="BS53" s="30">
        <f>COUNTIF(D53:BO53,"OFF")/2</f>
        <v>0</v>
      </c>
      <c r="BT53" s="30">
        <f>COUNTIF(D53:BO53,"MC")/2</f>
        <v>0</v>
      </c>
      <c r="BU53" s="30">
        <f>COUNTIF(D53:BO53,"EL")/2</f>
        <v>0</v>
      </c>
      <c r="BV53" s="30">
        <f>COUNTIF(D53:BO53,"AL")/2</f>
        <v>0</v>
      </c>
      <c r="BW53" s="30">
        <f>COUNTIF(D53:BO53,"SUS")/2</f>
        <v>0</v>
      </c>
      <c r="BX53" s="30">
        <f>COUNTIF(D53:BO53,"FL")/2</f>
        <v>0</v>
      </c>
      <c r="BY53" s="30">
        <f>COUNTIF(D53:BO53,"SICK")/2</f>
        <v>0</v>
      </c>
      <c r="BZ53" s="30">
        <f>COUNTIF(D53:BO53,"HD")/2</f>
        <v>0</v>
      </c>
      <c r="CA53" s="30">
        <f>COUNTIF(D53:BO53,"AB")/2</f>
        <v>0</v>
      </c>
      <c r="CB53" s="30">
        <f>COUNTIF(D53:BO53,"NL")/2</f>
        <v>0</v>
      </c>
      <c r="CC53" s="30">
        <f>COUNTIF(D53:BO53,"SP")/2</f>
        <v>0</v>
      </c>
      <c r="CD53" s="31"/>
      <c r="CJ53" s="32">
        <v>0</v>
      </c>
      <c r="CK53" s="20">
        <v>0</v>
      </c>
      <c r="CL53" s="20">
        <v>30</v>
      </c>
      <c r="CM53" s="20">
        <v>0</v>
      </c>
      <c r="CN53" s="20">
        <v>0</v>
      </c>
      <c r="CO53" s="20">
        <v>0</v>
      </c>
      <c r="CP53" s="20">
        <v>0</v>
      </c>
      <c r="CQ53" s="20">
        <v>0</v>
      </c>
      <c r="CR53" s="20">
        <v>0</v>
      </c>
      <c r="CS53" s="20">
        <v>0</v>
      </c>
      <c r="CT53" s="37">
        <f>SUM(CJ53:CS53)</f>
        <v>30</v>
      </c>
    </row>
    <row r="54" spans="1:98" ht="24.75" customHeight="1">
      <c r="A54" s="20">
        <v>19</v>
      </c>
      <c r="B54" s="30" t="s">
        <v>105</v>
      </c>
      <c r="C54" s="22" t="s">
        <v>106</v>
      </c>
      <c r="D54" s="26" t="s">
        <v>21</v>
      </c>
      <c r="E54" s="26" t="s">
        <v>21</v>
      </c>
      <c r="F54" s="26" t="s">
        <v>21</v>
      </c>
      <c r="G54" s="26" t="s">
        <v>21</v>
      </c>
      <c r="H54" s="26" t="s">
        <v>21</v>
      </c>
      <c r="I54" s="26" t="s">
        <v>21</v>
      </c>
      <c r="J54" s="26" t="s">
        <v>21</v>
      </c>
      <c r="K54" s="26" t="s">
        <v>21</v>
      </c>
      <c r="L54" s="26" t="s">
        <v>21</v>
      </c>
      <c r="M54" s="26" t="s">
        <v>21</v>
      </c>
      <c r="N54" s="26" t="s">
        <v>21</v>
      </c>
      <c r="O54" s="26" t="s">
        <v>21</v>
      </c>
      <c r="P54" s="26" t="s">
        <v>21</v>
      </c>
      <c r="Q54" s="26" t="s">
        <v>21</v>
      </c>
      <c r="R54" s="26" t="s">
        <v>21</v>
      </c>
      <c r="S54" s="26" t="s">
        <v>21</v>
      </c>
      <c r="T54" s="26" t="s">
        <v>21</v>
      </c>
      <c r="U54" s="26" t="s">
        <v>21</v>
      </c>
      <c r="V54" s="26" t="s">
        <v>21</v>
      </c>
      <c r="W54" s="26" t="s">
        <v>21</v>
      </c>
      <c r="X54" s="43" t="s">
        <v>21</v>
      </c>
      <c r="Y54" s="43" t="s">
        <v>21</v>
      </c>
      <c r="Z54" s="44" t="s">
        <v>21</v>
      </c>
      <c r="AA54" s="44" t="s">
        <v>21</v>
      </c>
      <c r="AB54" s="43" t="s">
        <v>21</v>
      </c>
      <c r="AC54" s="43" t="s">
        <v>21</v>
      </c>
      <c r="AD54" s="43" t="s">
        <v>21</v>
      </c>
      <c r="AE54" s="43" t="s">
        <v>21</v>
      </c>
      <c r="AF54" s="43" t="s">
        <v>21</v>
      </c>
      <c r="AG54" s="43" t="s">
        <v>21</v>
      </c>
      <c r="AH54" s="79"/>
      <c r="AI54" s="20">
        <v>19</v>
      </c>
      <c r="AJ54" s="43" t="s">
        <v>21</v>
      </c>
      <c r="AK54" s="43" t="s">
        <v>21</v>
      </c>
      <c r="AL54" s="43" t="s">
        <v>21</v>
      </c>
      <c r="AM54" s="43" t="s">
        <v>21</v>
      </c>
      <c r="AN54" s="43" t="s">
        <v>21</v>
      </c>
      <c r="AO54" s="43" t="s">
        <v>21</v>
      </c>
      <c r="AP54" s="44" t="s">
        <v>21</v>
      </c>
      <c r="AQ54" s="44" t="s">
        <v>21</v>
      </c>
      <c r="AR54" s="26" t="s">
        <v>21</v>
      </c>
      <c r="AS54" s="26" t="s">
        <v>21</v>
      </c>
      <c r="AT54" s="26" t="s">
        <v>21</v>
      </c>
      <c r="AU54" s="26" t="s">
        <v>21</v>
      </c>
      <c r="AV54" s="26" t="s">
        <v>21</v>
      </c>
      <c r="AW54" s="26" t="s">
        <v>21</v>
      </c>
      <c r="AX54" s="26" t="s">
        <v>21</v>
      </c>
      <c r="AY54" s="26" t="s">
        <v>21</v>
      </c>
      <c r="AZ54" s="26" t="s">
        <v>21</v>
      </c>
      <c r="BA54" s="26" t="s">
        <v>21</v>
      </c>
      <c r="BB54" s="26" t="s">
        <v>21</v>
      </c>
      <c r="BC54" s="26" t="s">
        <v>21</v>
      </c>
      <c r="BD54" s="80" t="s">
        <v>21</v>
      </c>
      <c r="BE54" s="80" t="s">
        <v>21</v>
      </c>
      <c r="BF54" s="26" t="s">
        <v>21</v>
      </c>
      <c r="BG54" s="26" t="s">
        <v>21</v>
      </c>
      <c r="BH54" s="26" t="s">
        <v>21</v>
      </c>
      <c r="BI54" s="26" t="s">
        <v>21</v>
      </c>
      <c r="BJ54" s="26" t="s">
        <v>21</v>
      </c>
      <c r="BK54" s="26" t="s">
        <v>21</v>
      </c>
      <c r="BL54" s="26"/>
      <c r="BM54" s="26"/>
      <c r="BN54" s="26"/>
      <c r="BO54" s="26"/>
      <c r="BP54" s="27">
        <f>BR54+BS54+BT54+BU54+BZ54+BX54+CC54</f>
        <v>0</v>
      </c>
      <c r="BQ54" s="28">
        <v>0</v>
      </c>
      <c r="BR54" s="29">
        <f>COUNT(D54:AG54)/2+COUNT(AJ54:BO54)/2</f>
        <v>0</v>
      </c>
      <c r="BS54" s="30">
        <f>COUNTIF(D54:BO54,"OFF")/2</f>
        <v>0</v>
      </c>
      <c r="BT54" s="30">
        <f>COUNTIF(D54:BO54,"MC")/2</f>
        <v>0</v>
      </c>
      <c r="BU54" s="30">
        <f>COUNTIF(D54:BO54,"EL")/2</f>
        <v>0</v>
      </c>
      <c r="BV54" s="30">
        <f>COUNTIF(D54:BO54,"AL")/2</f>
        <v>29</v>
      </c>
      <c r="BW54" s="30">
        <f>COUNTIF(D54:BO54,"SUS")/2</f>
        <v>0</v>
      </c>
      <c r="BX54" s="30">
        <f>COUNTIF(D54:BO54,"FL")/2</f>
        <v>0</v>
      </c>
      <c r="BY54" s="30">
        <f>COUNTIF(D54:BO54,"SICK")/2</f>
        <v>0</v>
      </c>
      <c r="BZ54" s="30">
        <f>COUNTIF(D54:BO54,"HD")/2</f>
        <v>0</v>
      </c>
      <c r="CA54" s="30">
        <f>COUNTIF(D54:BO54,"AB")/2</f>
        <v>0</v>
      </c>
      <c r="CB54" s="30">
        <f>COUNTIF(D54:BO54,"NL")/2</f>
        <v>0</v>
      </c>
      <c r="CC54" s="30">
        <f>COUNTIF(D54:BO54,"SP")/2</f>
        <v>0</v>
      </c>
      <c r="CD54" s="31"/>
    </row>
  </sheetData>
  <mergeCells count="76">
    <mergeCell ref="A2:C3"/>
    <mergeCell ref="D29:AG29"/>
    <mergeCell ref="AJ29:BG29"/>
    <mergeCell ref="D53:Q53"/>
    <mergeCell ref="AB53:AG53"/>
    <mergeCell ref="AJ53:BO53"/>
    <mergeCell ref="BH3:BI3"/>
    <mergeCell ref="BJ3:BK3"/>
    <mergeCell ref="BL3:BM3"/>
    <mergeCell ref="BN3:BO3"/>
    <mergeCell ref="CJ3:CS3"/>
    <mergeCell ref="BP2:BP4"/>
    <mergeCell ref="BQ2:BQ4"/>
    <mergeCell ref="AX3:AY3"/>
    <mergeCell ref="AZ3:BA3"/>
    <mergeCell ref="BB3:BC3"/>
    <mergeCell ref="BD3:BE3"/>
    <mergeCell ref="BF3:BG3"/>
    <mergeCell ref="AN3:AO3"/>
    <mergeCell ref="AP3:AQ3"/>
    <mergeCell ref="AR3:AS3"/>
    <mergeCell ref="AT3:AU3"/>
    <mergeCell ref="AV3:AW3"/>
    <mergeCell ref="AB3:AC3"/>
    <mergeCell ref="AD3:AE3"/>
    <mergeCell ref="AF3:AG3"/>
    <mergeCell ref="AJ3:AK3"/>
    <mergeCell ref="AL3:AM3"/>
    <mergeCell ref="AI2:AI4"/>
    <mergeCell ref="BL2:BM2"/>
    <mergeCell ref="BN2:BO2"/>
    <mergeCell ref="BR2:CD2"/>
    <mergeCell ref="CJ2:CS2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BB2:BC2"/>
    <mergeCell ref="BD2:BE2"/>
    <mergeCell ref="BF2:BG2"/>
    <mergeCell ref="BH2:BI2"/>
    <mergeCell ref="BJ2:BK2"/>
    <mergeCell ref="AR2:AS2"/>
    <mergeCell ref="AT2:AU2"/>
    <mergeCell ref="AV2:AW2"/>
    <mergeCell ref="AX2:AY2"/>
    <mergeCell ref="AZ2:BA2"/>
    <mergeCell ref="AF2:AG2"/>
    <mergeCell ref="AJ2:AK2"/>
    <mergeCell ref="AL2:AM2"/>
    <mergeCell ref="AN2:AO2"/>
    <mergeCell ref="AP2:AQ2"/>
    <mergeCell ref="A1:AG1"/>
    <mergeCell ref="AI1:CD1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</mergeCells>
  <conditionalFormatting sqref="B2:B4">
    <cfRule type="duplicateValues" dxfId="1915" priority="6438"/>
  </conditionalFormatting>
  <conditionalFormatting sqref="B5">
    <cfRule type="duplicateValues" dxfId="1914" priority="6420"/>
  </conditionalFormatting>
  <conditionalFormatting sqref="B6:B7">
    <cfRule type="duplicateValues" dxfId="1913" priority="6426"/>
  </conditionalFormatting>
  <conditionalFormatting sqref="B8">
    <cfRule type="duplicateValues" dxfId="1912" priority="6425"/>
  </conditionalFormatting>
  <conditionalFormatting sqref="B10:B18">
    <cfRule type="duplicateValues" dxfId="1911" priority="6424"/>
  </conditionalFormatting>
  <conditionalFormatting sqref="B19">
    <cfRule type="duplicateValues" dxfId="1910" priority="6423"/>
  </conditionalFormatting>
  <conditionalFormatting sqref="B19:B20">
    <cfRule type="duplicateValues" dxfId="1909" priority="6422"/>
  </conditionalFormatting>
  <conditionalFormatting sqref="B20">
    <cfRule type="duplicateValues" dxfId="1908" priority="6427"/>
  </conditionalFormatting>
  <conditionalFormatting sqref="B21">
    <cfRule type="duplicateValues" dxfId="1907" priority="6428"/>
  </conditionalFormatting>
  <conditionalFormatting sqref="B21:B22">
    <cfRule type="duplicateValues" dxfId="1906" priority="6421"/>
  </conditionalFormatting>
  <conditionalFormatting sqref="B5:C7">
    <cfRule type="containsText" dxfId="1905" priority="6419" operator="containsText" text="AB">
      <formula>NOT(ISERROR(SEARCH("AB",B5)))</formula>
    </cfRule>
  </conditionalFormatting>
  <conditionalFormatting sqref="B8:C8 B10:B22 C31 C53:C54">
    <cfRule type="containsText" dxfId="1904" priority="6418" operator="containsText" text="ABST">
      <formula>NOT(ISERROR(SEARCH("ABST",B8)))</formula>
    </cfRule>
  </conditionalFormatting>
  <conditionalFormatting sqref="C10:C29">
    <cfRule type="containsText" dxfId="1903" priority="1427" operator="containsText" text="ABST">
      <formula>NOT(ISERROR(SEARCH("ABST",C10)))</formula>
    </cfRule>
  </conditionalFormatting>
  <conditionalFormatting sqref="C29">
    <cfRule type="duplicateValues" dxfId="1902" priority="1428"/>
  </conditionalFormatting>
  <conditionalFormatting sqref="C31 C5:C28">
    <cfRule type="duplicateValues" dxfId="1901" priority="6439"/>
  </conditionalFormatting>
  <conditionalFormatting sqref="D8:D9">
    <cfRule type="containsText" dxfId="1900" priority="4277" operator="containsText" text="NL">
      <formula>NOT(ISERROR(SEARCH("NL",D8)))</formula>
    </cfRule>
    <cfRule type="containsText" dxfId="1899" priority="4275" operator="containsText" text="AL">
      <formula>NOT(ISERROR(SEARCH("AL",D8)))</formula>
    </cfRule>
    <cfRule type="containsText" dxfId="1898" priority="4276" operator="containsText" text="SICK">
      <formula>NOT(ISERROR(SEARCH("SICK",D8)))</formula>
    </cfRule>
  </conditionalFormatting>
  <conditionalFormatting sqref="D5:E6 E7:E9 V25:AE25 X54:AG54 AJ54:AQ54 AJ20:AK21 AJ12:AK13 AJ27:AK28 P24:U28">
    <cfRule type="containsText" dxfId="1897" priority="5616" operator="containsText" text="SICK">
      <formula>NOT(ISERROR(SEARCH("SICK",D5)))</formula>
    </cfRule>
  </conditionalFormatting>
  <conditionalFormatting sqref="D5:E6 E7:E9 AJ12:AK13 AJ20:AK21 V25:AE25 AJ27:AK28 D54:AG54 AJ54:AQ54">
    <cfRule type="containsText" dxfId="1896" priority="5617" operator="containsText" text="NL">
      <formula>NOT(ISERROR(SEARCH("NL",D5)))</formula>
    </cfRule>
  </conditionalFormatting>
  <conditionalFormatting sqref="D5:E6 H5:AH6 Q7 E7:E9 D8:D9 P9:AH9 AJ12:AK13 AJ20:AK21 AJ27:AK28 D54:W54 AH54">
    <cfRule type="containsText" dxfId="1895" priority="6213" stopIfTrue="1" operator="containsText" text="SP">
      <formula>NOT(ISERROR(SEARCH("SP",D5)))</formula>
    </cfRule>
    <cfRule type="containsText" dxfId="1894" priority="6214" stopIfTrue="1" operator="containsText" text="SICK">
      <formula>NOT(ISERROR(SEARCH("SICK",D5)))</formula>
    </cfRule>
  </conditionalFormatting>
  <conditionalFormatting sqref="D20:E20">
    <cfRule type="containsText" dxfId="1893" priority="4046" operator="containsText" text="SICK">
      <formula>NOT(ISERROR(SEARCH("SICK",D20)))</formula>
    </cfRule>
    <cfRule type="containsText" dxfId="1892" priority="4044" operator="containsText" text="AB">
      <formula>NOT(ISERROR(SEARCH("AB",D20)))</formula>
    </cfRule>
    <cfRule type="containsText" dxfId="1891" priority="4045" operator="containsText" text="AL">
      <formula>NOT(ISERROR(SEARCH("AL",D20)))</formula>
    </cfRule>
    <cfRule type="containsText" dxfId="1890" priority="4047" operator="containsText" text="NL">
      <formula>NOT(ISERROR(SEARCH("NL",D20)))</formula>
    </cfRule>
    <cfRule type="containsText" dxfId="1889" priority="4048" stopIfTrue="1" operator="containsText" text="AL">
      <formula>NOT(ISERROR(SEARCH("AL",D20)))</formula>
    </cfRule>
    <cfRule type="containsText" dxfId="1888" priority="4049" stopIfTrue="1" operator="containsText" text="SP">
      <formula>NOT(ISERROR(SEARCH("SP",D20)))</formula>
    </cfRule>
    <cfRule type="containsText" dxfId="1887" priority="4050" stopIfTrue="1" operator="containsText" text="SICK">
      <formula>NOT(ISERROR(SEARCH("SICK",D20)))</formula>
    </cfRule>
  </conditionalFormatting>
  <conditionalFormatting sqref="D7:U7 AH7:AH29 AJ8:AY9 BL8:BM9 AJ10:AK10 AX12:AY12 AJ12:AK13 AT18:BO18 AJ20:AY20 AJ21:AK21">
    <cfRule type="containsText" dxfId="1886" priority="4021" operator="containsText" text="SICK">
      <formula>NOT(ISERROR(SEARCH("SICK",D7)))</formula>
    </cfRule>
    <cfRule type="containsText" dxfId="1885" priority="4019" stopIfTrue="1" operator="containsText" text="AB">
      <formula>NOT(ISERROR(SEARCH("AB",D7)))</formula>
    </cfRule>
  </conditionalFormatting>
  <conditionalFormatting sqref="D10:U11">
    <cfRule type="containsText" dxfId="1884" priority="3941" operator="containsText" text="AL">
      <formula>NOT(ISERROR(SEARCH("AL",D10)))</formula>
    </cfRule>
    <cfRule type="containsText" dxfId="1883" priority="3942" operator="containsText" text="AB">
      <formula>NOT(ISERROR(SEARCH("AB",D10)))</formula>
    </cfRule>
    <cfRule type="containsText" dxfId="1882" priority="3943" operator="containsText" text="SICK">
      <formula>NOT(ISERROR(SEARCH("SICK",D10)))</formula>
    </cfRule>
    <cfRule type="containsText" priority="3940" operator="containsText" text="FL">
      <formula>NOT(ISERROR(SEARCH("FL",D10)))</formula>
    </cfRule>
  </conditionalFormatting>
  <conditionalFormatting sqref="D13:U14">
    <cfRule type="containsText" dxfId="1881" priority="4008" operator="containsText" text="AL">
      <formula>NOT(ISERROR(SEARCH("AL",D13)))</formula>
    </cfRule>
    <cfRule type="containsText" priority="4007" operator="containsText" text="FL">
      <formula>NOT(ISERROR(SEARCH("FL",D13)))</formula>
    </cfRule>
    <cfRule type="containsText" dxfId="1880" priority="4010" operator="containsText" text="SICK">
      <formula>NOT(ISERROR(SEARCH("SICK",D13)))</formula>
    </cfRule>
    <cfRule type="containsText" dxfId="1879" priority="4009" operator="containsText" text="AB">
      <formula>NOT(ISERROR(SEARCH("AB",D13)))</formula>
    </cfRule>
  </conditionalFormatting>
  <conditionalFormatting sqref="D7:X7">
    <cfRule type="containsText" dxfId="1878" priority="3693" operator="containsText" text="FL">
      <formula>NOT(ISERROR(SEARCH("FL",D7)))</formula>
    </cfRule>
    <cfRule type="containsText" priority="3694" operator="containsText" text="FL">
      <formula>NOT(ISERROR(SEARCH("FL",D7)))</formula>
    </cfRule>
    <cfRule type="containsText" dxfId="1877" priority="3695" operator="containsText" text="AL">
      <formula>NOT(ISERROR(SEARCH("AL",D7)))</formula>
    </cfRule>
  </conditionalFormatting>
  <conditionalFormatting sqref="D10:AE11 AJ8:AY9 AJ10:AK10 AX12:AY12 AJ20:AY20 BL8:BM9 AH7:AH29 AJ12:AK13 AT18:BO18 AJ21:AK21">
    <cfRule type="containsText" dxfId="1876" priority="3247" stopIfTrue="1" operator="containsText" text="FL">
      <formula>NOT(ISERROR(SEARCH("FL",D7)))</formula>
    </cfRule>
  </conditionalFormatting>
  <conditionalFormatting sqref="D18:AE20 Q21 AJ12:AK13 D21:O28 AH7 D8:AH9 AJ8:AY9 BL8:BM9 AJ10:AK10 AH10:AH29 AX12:AY12 AT18:BO18 AJ20:AY20 AJ21:AK21 D5:AY6 AI7:AI29 D15:AE15 D16:O17 D29">
    <cfRule type="containsText" priority="4058" operator="containsText" text="FL">
      <formula>NOT(ISERROR(SEARCH("FL",D5)))</formula>
    </cfRule>
  </conditionalFormatting>
  <conditionalFormatting sqref="D18:AE20 Q21 AJ12:AK13 D21:O28 AH7 D8:AH9 AJ8:AY9 BL8:BM9 AJ10:AK10 AH10:AH29 AX12:AY12 AT18:BO18 AJ20:AY20 AJ21:AK21 V25:AE25 D5:AY6 AI7:AI29 D15:AE15 D16:O17 D29">
    <cfRule type="containsText" dxfId="1875" priority="4059" operator="containsText" text="AL">
      <formula>NOT(ISERROR(SEARCH("AL",D5)))</formula>
    </cfRule>
  </conditionalFormatting>
  <conditionalFormatting sqref="D4:AG4">
    <cfRule type="containsText" dxfId="1874" priority="6437" operator="containsText" text="S">
      <formula>NOT(ISERROR(SEARCH("S",D4)))</formula>
    </cfRule>
    <cfRule type="containsText" dxfId="1873" priority="6436" operator="containsText" text="HD">
      <formula>NOT(ISERROR(SEARCH("HD",D4)))</formula>
    </cfRule>
    <cfRule type="dataBar" priority="64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{AEE34FB7-5EF4-4870-8A13-15A6B55C4408}</x14:id>
        </ext>
      </extLst>
    </cfRule>
    <cfRule type="expression" priority="6433">
      <formula>AND(ISNUMBER($Y2),ISNUMBER($Z2))</formula>
    </cfRule>
    <cfRule type="cellIs" dxfId="1872" priority="6431" operator="equal">
      <formula>"OFF"</formula>
    </cfRule>
    <cfRule type="cellIs" dxfId="1871" priority="6430" operator="equal">
      <formula>"AB"</formula>
    </cfRule>
    <cfRule type="cellIs" dxfId="1870" priority="6429" operator="equal">
      <formula>"Sick"</formula>
    </cfRule>
    <cfRule type="containsText" dxfId="1869" priority="6435" operator="containsText" text="AB">
      <formula>NOT(ISERROR(SEARCH("AB",D4)))</formula>
    </cfRule>
  </conditionalFormatting>
  <conditionalFormatting sqref="D5:AY6 D8:AG9 D13:U14 D16:U17 D18:AE20 D21:U24 D26:U28 AI7:AI29 D15:AE15 D25:AE25 D29">
    <cfRule type="containsText" dxfId="1868" priority="3932" operator="containsText" text="FL">
      <formula>NOT(ISERROR(SEARCH("FL",D5)))</formula>
    </cfRule>
  </conditionalFormatting>
  <conditionalFormatting sqref="D5:AY6 AI7:AI29 D8:AG9 D15:AE15 D16:O17 D18:AE20 Q21 D21:O28 V25:AE25 D29">
    <cfRule type="containsText" dxfId="1867" priority="4061" operator="containsText" text="SICK">
      <formula>NOT(ISERROR(SEARCH("SICK",D5)))</formula>
    </cfRule>
    <cfRule type="containsText" dxfId="1866" priority="4060" operator="containsText" text="AB">
      <formula>NOT(ISERROR(SEARCH("AB",D5)))</formula>
    </cfRule>
  </conditionalFormatting>
  <conditionalFormatting sqref="E11">
    <cfRule type="containsText" dxfId="1865" priority="4242" operator="containsText" text="SICK">
      <formula>NOT(ISERROR(SEARCH("SICK",E11)))</formula>
    </cfRule>
    <cfRule type="containsText" dxfId="1864" priority="4240" operator="containsText" text="AB">
      <formula>NOT(ISERROR(SEARCH("AB",E11)))</formula>
    </cfRule>
    <cfRule type="containsText" dxfId="1863" priority="4243" operator="containsText" text="NL">
      <formula>NOT(ISERROR(SEARCH("NL",E11)))</formula>
    </cfRule>
    <cfRule type="containsText" dxfId="1862" priority="4245" stopIfTrue="1" operator="containsText" text="SP">
      <formula>NOT(ISERROR(SEARCH("SP",E11)))</formula>
    </cfRule>
    <cfRule type="containsText" dxfId="1861" priority="4246" stopIfTrue="1" operator="containsText" text="SICK">
      <formula>NOT(ISERROR(SEARCH("SICK",E11)))</formula>
    </cfRule>
    <cfRule type="containsText" dxfId="1860" priority="4244" stopIfTrue="1" operator="containsText" text="AL">
      <formula>NOT(ISERROR(SEARCH("AL",E11)))</formula>
    </cfRule>
    <cfRule type="containsText" dxfId="1859" priority="4241" operator="containsText" text="AL">
      <formula>NOT(ISERROR(SEARCH("AL",E11)))</formula>
    </cfRule>
  </conditionalFormatting>
  <conditionalFormatting sqref="E13">
    <cfRule type="containsText" dxfId="1858" priority="4208" operator="containsText" text="NL">
      <formula>NOT(ISERROR(SEARCH("NL",E13)))</formula>
    </cfRule>
    <cfRule type="containsText" dxfId="1857" priority="4206" operator="containsText" text="AL">
      <formula>NOT(ISERROR(SEARCH("AL",E13)))</formula>
    </cfRule>
    <cfRule type="containsText" dxfId="1856" priority="4211" stopIfTrue="1" operator="containsText" text="SICK">
      <formula>NOT(ISERROR(SEARCH("SICK",E13)))</formula>
    </cfRule>
    <cfRule type="containsText" dxfId="1855" priority="4207" operator="containsText" text="SICK">
      <formula>NOT(ISERROR(SEARCH("SICK",E13)))</formula>
    </cfRule>
    <cfRule type="containsText" dxfId="1854" priority="4210" stopIfTrue="1" operator="containsText" text="SP">
      <formula>NOT(ISERROR(SEARCH("SP",E13)))</formula>
    </cfRule>
    <cfRule type="containsText" dxfId="1853" priority="4209" stopIfTrue="1" operator="containsText" text="AL">
      <formula>NOT(ISERROR(SEARCH("AL",E13)))</formula>
    </cfRule>
  </conditionalFormatting>
  <conditionalFormatting sqref="E16:E17">
    <cfRule type="containsText" dxfId="1852" priority="4192" operator="containsText" text="AL">
      <formula>NOT(ISERROR(SEARCH("AL",E16)))</formula>
    </cfRule>
    <cfRule type="containsText" dxfId="1851" priority="4191" operator="containsText" text="AB">
      <formula>NOT(ISERROR(SEARCH("AB",E16)))</formula>
    </cfRule>
    <cfRule type="containsText" dxfId="1850" priority="4196" stopIfTrue="1" operator="containsText" text="SP">
      <formula>NOT(ISERROR(SEARCH("SP",E16)))</formula>
    </cfRule>
    <cfRule type="containsText" dxfId="1849" priority="4197" stopIfTrue="1" operator="containsText" text="SICK">
      <formula>NOT(ISERROR(SEARCH("SICK",E16)))</formula>
    </cfRule>
    <cfRule type="containsText" dxfId="1848" priority="4195" stopIfTrue="1" operator="containsText" text="AL">
      <formula>NOT(ISERROR(SEARCH("AL",E16)))</formula>
    </cfRule>
    <cfRule type="containsText" dxfId="1847" priority="4194" operator="containsText" text="NL">
      <formula>NOT(ISERROR(SEARCH("NL",E16)))</formula>
    </cfRule>
    <cfRule type="containsText" dxfId="1846" priority="4193" operator="containsText" text="SICK">
      <formula>NOT(ISERROR(SEARCH("SICK",E16)))</formula>
    </cfRule>
  </conditionalFormatting>
  <conditionalFormatting sqref="E21">
    <cfRule type="containsText" dxfId="1845" priority="4081" stopIfTrue="1" operator="containsText" text="AL">
      <formula>NOT(ISERROR(SEARCH("AL",E21)))</formula>
    </cfRule>
    <cfRule type="containsText" dxfId="1844" priority="4080" operator="containsText" text="NL">
      <formula>NOT(ISERROR(SEARCH("NL",E21)))</formula>
    </cfRule>
    <cfRule type="containsText" dxfId="1843" priority="4079" operator="containsText" text="SICK">
      <formula>NOT(ISERROR(SEARCH("SICK",E21)))</formula>
    </cfRule>
    <cfRule type="containsText" dxfId="1842" priority="4078" operator="containsText" text="AL">
      <formula>NOT(ISERROR(SEARCH("AL",E21)))</formula>
    </cfRule>
    <cfRule type="containsText" dxfId="1841" priority="4077" operator="containsText" text="AB">
      <formula>NOT(ISERROR(SEARCH("AB",E21)))</formula>
    </cfRule>
    <cfRule type="containsText" dxfId="1840" priority="4083" stopIfTrue="1" operator="containsText" text="SICK">
      <formula>NOT(ISERROR(SEARCH("SICK",E21)))</formula>
    </cfRule>
    <cfRule type="containsText" dxfId="1839" priority="4082" stopIfTrue="1" operator="containsText" text="SP">
      <formula>NOT(ISERROR(SEARCH("SP",E21)))</formula>
    </cfRule>
  </conditionalFormatting>
  <conditionalFormatting sqref="E24:E25">
    <cfRule type="containsText" dxfId="1838" priority="4076" stopIfTrue="1" operator="containsText" text="SICK">
      <formula>NOT(ISERROR(SEARCH("SICK",E24)))</formula>
    </cfRule>
    <cfRule type="containsText" dxfId="1837" priority="4075" stopIfTrue="1" operator="containsText" text="SP">
      <formula>NOT(ISERROR(SEARCH("SP",E24)))</formula>
    </cfRule>
    <cfRule type="containsText" dxfId="1836" priority="4070" operator="containsText" text="AB">
      <formula>NOT(ISERROR(SEARCH("AB",E24)))</formula>
    </cfRule>
    <cfRule type="containsText" dxfId="1835" priority="4071" operator="containsText" text="AL">
      <formula>NOT(ISERROR(SEARCH("AL",E24)))</formula>
    </cfRule>
    <cfRule type="containsText" dxfId="1834" priority="4072" operator="containsText" text="SICK">
      <formula>NOT(ISERROR(SEARCH("SICK",E24)))</formula>
    </cfRule>
    <cfRule type="containsText" dxfId="1833" priority="4073" operator="containsText" text="NL">
      <formula>NOT(ISERROR(SEARCH("NL",E24)))</formula>
    </cfRule>
    <cfRule type="containsText" dxfId="1832" priority="4074" stopIfTrue="1" operator="containsText" text="AL">
      <formula>NOT(ISERROR(SEARCH("AL",E24)))</formula>
    </cfRule>
  </conditionalFormatting>
  <conditionalFormatting sqref="E27:E28">
    <cfRule type="containsText" dxfId="1831" priority="4135" operator="containsText" text="SICK">
      <formula>NOT(ISERROR(SEARCH("SICK",E27)))</formula>
    </cfRule>
    <cfRule type="containsText" dxfId="1830" priority="4136" operator="containsText" text="NL">
      <formula>NOT(ISERROR(SEARCH("NL",E27)))</formula>
    </cfRule>
    <cfRule type="containsText" dxfId="1829" priority="4139" stopIfTrue="1" operator="containsText" text="SICK">
      <formula>NOT(ISERROR(SEARCH("SICK",E27)))</formula>
    </cfRule>
    <cfRule type="containsText" dxfId="1828" priority="4138" stopIfTrue="1" operator="containsText" text="SP">
      <formula>NOT(ISERROR(SEARCH("SP",E27)))</formula>
    </cfRule>
    <cfRule type="containsText" dxfId="1827" priority="4137" stopIfTrue="1" operator="containsText" text="AL">
      <formula>NOT(ISERROR(SEARCH("AL",E27)))</formula>
    </cfRule>
    <cfRule type="containsText" dxfId="1826" priority="4134" operator="containsText" text="AL">
      <formula>NOT(ISERROR(SEARCH("AL",E27)))</formula>
    </cfRule>
  </conditionalFormatting>
  <conditionalFormatting sqref="F5:G6">
    <cfRule type="containsText" dxfId="1825" priority="4279" operator="containsText" text="AL">
      <formula>NOT(ISERROR(SEARCH("AL",F5)))</formula>
    </cfRule>
    <cfRule type="containsText" dxfId="1824" priority="4280" operator="containsText" text="EL">
      <formula>NOT(ISERROR(SEARCH("EL",F5)))</formula>
    </cfRule>
    <cfRule type="containsText" dxfId="1823" priority="4281" operator="containsText" text="SICK">
      <formula>NOT(ISERROR(SEARCH("SICK",F5)))</formula>
    </cfRule>
  </conditionalFormatting>
  <conditionalFormatting sqref="F8:G9 E27:G28">
    <cfRule type="containsText" dxfId="1822" priority="4066" operator="containsText" text="AB">
      <formula>NOT(ISERROR(SEARCH("AB",E8)))</formula>
    </cfRule>
  </conditionalFormatting>
  <conditionalFormatting sqref="F8:G9 F27:G28 AJ12:AK13 AJ20:AK21 AJ27:AK28">
    <cfRule type="containsText" dxfId="1821" priority="4067" operator="containsText" text="AL">
      <formula>NOT(ISERROR(SEARCH("AL",F8)))</formula>
    </cfRule>
  </conditionalFormatting>
  <conditionalFormatting sqref="F8:G9 AJ12:AK13 AJ20:AK21 F27:G28 AJ27:AK28">
    <cfRule type="containsText" dxfId="1820" priority="4068" operator="containsText" text="EL">
      <formula>NOT(ISERROR(SEARCH("EL",F8)))</formula>
    </cfRule>
    <cfRule type="containsText" dxfId="1819" priority="4069" operator="containsText" text="SICK">
      <formula>NOT(ISERROR(SEARCH("SICK",F8)))</formula>
    </cfRule>
  </conditionalFormatting>
  <conditionalFormatting sqref="F12:G12">
    <cfRule type="containsText" dxfId="1818" priority="3224" operator="containsText" text="FL">
      <formula>NOT(ISERROR(SEARCH("FL",F12)))</formula>
    </cfRule>
    <cfRule type="containsText" dxfId="1817" priority="3226" operator="containsText" text="AL">
      <formula>NOT(ISERROR(SEARCH("AL",F12)))</formula>
    </cfRule>
    <cfRule type="containsText" dxfId="1816" priority="3229" operator="containsText" text="AB">
      <formula>NOT(ISERROR(SEARCH("AB",F12)))</formula>
    </cfRule>
    <cfRule type="containsText" dxfId="1815" priority="3231" operator="containsText" text="EL">
      <formula>NOT(ISERROR(SEARCH("EL",F12)))</formula>
    </cfRule>
    <cfRule type="containsText" dxfId="1814" priority="3232" operator="containsText" text="SICK">
      <formula>NOT(ISERROR(SEARCH("SICK",F12)))</formula>
    </cfRule>
    <cfRule type="containsText" priority="3225" operator="containsText" text="FL">
      <formula>NOT(ISERROR(SEARCH("FL",F12)))</formula>
    </cfRule>
  </conditionalFormatting>
  <conditionalFormatting sqref="F13:G13">
    <cfRule type="containsText" dxfId="1813" priority="4064" operator="containsText" text="EL">
      <formula>NOT(ISERROR(SEARCH("EL",F13)))</formula>
    </cfRule>
    <cfRule type="containsText" dxfId="1812" priority="4065" operator="containsText" text="SICK">
      <formula>NOT(ISERROR(SEARCH("SICK",F13)))</formula>
    </cfRule>
    <cfRule type="containsText" dxfId="1811" priority="4063" operator="containsText" text="AL">
      <formula>NOT(ISERROR(SEARCH("AL",F13)))</formula>
    </cfRule>
  </conditionalFormatting>
  <conditionalFormatting sqref="F20:G24">
    <cfRule type="containsText" dxfId="1810" priority="4147" operator="containsText" text="SICK">
      <formula>NOT(ISERROR(SEARCH("SICK",F20)))</formula>
    </cfRule>
    <cfRule type="containsText" dxfId="1809" priority="4145" operator="containsText" text="AL">
      <formula>NOT(ISERROR(SEARCH("AL",F20)))</formula>
    </cfRule>
    <cfRule type="containsText" dxfId="1808" priority="4144" operator="containsText" text="AB">
      <formula>NOT(ISERROR(SEARCH("AB",F20)))</formula>
    </cfRule>
    <cfRule type="containsText" dxfId="1807" priority="4146" operator="containsText" text="EL">
      <formula>NOT(ISERROR(SEARCH("EL",F20)))</formula>
    </cfRule>
  </conditionalFormatting>
  <conditionalFormatting sqref="F5:AG6">
    <cfRule type="containsText" dxfId="1806" priority="4278" operator="containsText" text="AB">
      <formula>NOT(ISERROR(SEARCH("AB",F5)))</formula>
    </cfRule>
  </conditionalFormatting>
  <conditionalFormatting sqref="G7">
    <cfRule type="containsText" dxfId="1805" priority="4248" operator="containsText" text="AL">
      <formula>NOT(ISERROR(SEARCH("AL",G7)))</formula>
    </cfRule>
    <cfRule type="containsText" dxfId="1804" priority="4249" operator="containsText" text="SICK">
      <formula>NOT(ISERROR(SEARCH("SICK",G7)))</formula>
    </cfRule>
    <cfRule type="containsText" dxfId="1803" priority="4250" operator="containsText" text="NL">
      <formula>NOT(ISERROR(SEARCH("NL",G7)))</formula>
    </cfRule>
    <cfRule type="containsText" dxfId="1802" priority="4251" stopIfTrue="1" operator="containsText" text="AL">
      <formula>NOT(ISERROR(SEARCH("AL",G7)))</formula>
    </cfRule>
    <cfRule type="containsText" dxfId="1801" priority="4247" operator="containsText" text="AB">
      <formula>NOT(ISERROR(SEARCH("AB",G7)))</formula>
    </cfRule>
    <cfRule type="containsText" dxfId="1800" priority="4252" stopIfTrue="1" operator="containsText" text="SP">
      <formula>NOT(ISERROR(SEARCH("SP",G7)))</formula>
    </cfRule>
    <cfRule type="containsText" dxfId="1799" priority="4253" stopIfTrue="1" operator="containsText" text="SICK">
      <formula>NOT(ISERROR(SEARCH("SICK",G7)))</formula>
    </cfRule>
  </conditionalFormatting>
  <conditionalFormatting sqref="G11">
    <cfRule type="containsText" dxfId="1798" priority="4236" operator="containsText" text="NL">
      <formula>NOT(ISERROR(SEARCH("NL",G11)))</formula>
    </cfRule>
    <cfRule type="containsText" dxfId="1797" priority="4233" operator="containsText" text="AB">
      <formula>NOT(ISERROR(SEARCH("AB",G11)))</formula>
    </cfRule>
    <cfRule type="containsText" dxfId="1796" priority="4237" stopIfTrue="1" operator="containsText" text="AL">
      <formula>NOT(ISERROR(SEARCH("AL",G11)))</formula>
    </cfRule>
    <cfRule type="containsText" dxfId="1795" priority="4238" stopIfTrue="1" operator="containsText" text="SP">
      <formula>NOT(ISERROR(SEARCH("SP",G11)))</formula>
    </cfRule>
    <cfRule type="containsText" dxfId="1794" priority="4239" stopIfTrue="1" operator="containsText" text="SICK">
      <formula>NOT(ISERROR(SEARCH("SICK",G11)))</formula>
    </cfRule>
    <cfRule type="containsText" dxfId="1793" priority="4235" operator="containsText" text="SICK">
      <formula>NOT(ISERROR(SEARCH("SICK",G11)))</formula>
    </cfRule>
    <cfRule type="containsText" dxfId="1792" priority="4234" operator="containsText" text="AL">
      <formula>NOT(ISERROR(SEARCH("AL",G11)))</formula>
    </cfRule>
  </conditionalFormatting>
  <conditionalFormatting sqref="G17">
    <cfRule type="containsText" dxfId="1791" priority="4189" stopIfTrue="1" operator="containsText" text="SP">
      <formula>NOT(ISERROR(SEARCH("SP",G17)))</formula>
    </cfRule>
    <cfRule type="containsText" dxfId="1790" priority="4188" stopIfTrue="1" operator="containsText" text="AL">
      <formula>NOT(ISERROR(SEARCH("AL",G17)))</formula>
    </cfRule>
    <cfRule type="containsText" dxfId="1789" priority="4186" operator="containsText" text="SICK">
      <formula>NOT(ISERROR(SEARCH("SICK",G17)))</formula>
    </cfRule>
    <cfRule type="containsText" dxfId="1788" priority="4190" stopIfTrue="1" operator="containsText" text="SICK">
      <formula>NOT(ISERROR(SEARCH("SICK",G17)))</formula>
    </cfRule>
    <cfRule type="containsText" dxfId="1787" priority="4187" operator="containsText" text="NL">
      <formula>NOT(ISERROR(SEARCH("NL",G17)))</formula>
    </cfRule>
    <cfRule type="containsText" dxfId="1786" priority="4185" operator="containsText" text="AL">
      <formula>NOT(ISERROR(SEARCH("AL",G17)))</formula>
    </cfRule>
    <cfRule type="containsText" dxfId="1785" priority="4184" operator="containsText" text="AB">
      <formula>NOT(ISERROR(SEARCH("AB",G17)))</formula>
    </cfRule>
  </conditionalFormatting>
  <conditionalFormatting sqref="H8:S9">
    <cfRule type="containsText" dxfId="1784" priority="4272" stopIfTrue="1" operator="containsText" text="AL">
      <formula>NOT(ISERROR(SEARCH("AL",H8)))</formula>
    </cfRule>
    <cfRule type="containsText" dxfId="1783" priority="4273" stopIfTrue="1" operator="containsText" text="SP">
      <formula>NOT(ISERROR(SEARCH("SP",H8)))</formula>
    </cfRule>
    <cfRule type="containsText" dxfId="1782" priority="4274" stopIfTrue="1" operator="containsText" text="SICK">
      <formula>NOT(ISERROR(SEARCH("SICK",H8)))</formula>
    </cfRule>
    <cfRule type="containsText" dxfId="1781" priority="4268" operator="containsText" text="AL">
      <formula>NOT(ISERROR(SEARCH("AL",H8)))</formula>
    </cfRule>
    <cfRule type="containsText" dxfId="1780" priority="4271" operator="containsText" text="AB">
      <formula>NOT(ISERROR(SEARCH("AB",H8)))</formula>
    </cfRule>
    <cfRule type="containsText" dxfId="1779" priority="4270" operator="containsText" text="NL">
      <formula>NOT(ISERROR(SEARCH("NL",H8)))</formula>
    </cfRule>
    <cfRule type="containsText" dxfId="1778" priority="4269" operator="containsText" text="SICK">
      <formula>NOT(ISERROR(SEARCH("SICK",H8)))</formula>
    </cfRule>
  </conditionalFormatting>
  <conditionalFormatting sqref="H20:S20 Q21">
    <cfRule type="containsText" dxfId="1777" priority="4038" operator="containsText" text="AL">
      <formula>NOT(ISERROR(SEARCH("AL",H20)))</formula>
    </cfRule>
    <cfRule type="containsText" dxfId="1776" priority="4042" stopIfTrue="1" operator="containsText" text="SP">
      <formula>NOT(ISERROR(SEARCH("SP",H20)))</formula>
    </cfRule>
    <cfRule type="containsText" dxfId="1775" priority="4041" stopIfTrue="1" operator="containsText" text="AL">
      <formula>NOT(ISERROR(SEARCH("AL",H20)))</formula>
    </cfRule>
    <cfRule type="containsText" dxfId="1774" priority="4040" operator="containsText" text="NL">
      <formula>NOT(ISERROR(SEARCH("NL",H20)))</formula>
    </cfRule>
    <cfRule type="containsText" dxfId="1773" priority="4039" operator="containsText" text="SICK">
      <formula>NOT(ISERROR(SEARCH("SICK",H20)))</formula>
    </cfRule>
    <cfRule type="containsText" dxfId="1772" priority="4043" stopIfTrue="1" operator="containsText" text="SICK">
      <formula>NOT(ISERROR(SEARCH("SICK",H20)))</formula>
    </cfRule>
  </conditionalFormatting>
  <conditionalFormatting sqref="H20:S20">
    <cfRule type="containsText" dxfId="1771" priority="4037" operator="containsText" text="AB">
      <formula>NOT(ISERROR(SEARCH("AB",H20)))</formula>
    </cfRule>
  </conditionalFormatting>
  <conditionalFormatting sqref="H5:AG6 AJ5:AW6 Q7 D8:D9 P8:AG9 AL20:AY20 D31 AJ31:BO31 D54:W54 AR54:BO54">
    <cfRule type="containsText" dxfId="1770" priority="5853" operator="containsText" text="SICK">
      <formula>NOT(ISERROR(SEARCH("SICK",D5)))</formula>
    </cfRule>
  </conditionalFormatting>
  <conditionalFormatting sqref="H5:AG6 AJ5:AW6 Q7 D8:D9 P8:AG9 AL20:AY20 D31 AJ31:BO31">
    <cfRule type="containsText" dxfId="1769" priority="5854" operator="containsText" text="NL">
      <formula>NOT(ISERROR(SEARCH("NL",D5)))</formula>
    </cfRule>
  </conditionalFormatting>
  <conditionalFormatting sqref="H5:AH6 Q7 D8:D9 P9:AH9 AJ12:AK13 AJ20:AK21 AJ27:AK28 D5:E6 E7:E9">
    <cfRule type="containsText" dxfId="1768" priority="6212" stopIfTrue="1" operator="containsText" text="AL">
      <formula>NOT(ISERROR(SEARCH("AL",D5)))</formula>
    </cfRule>
  </conditionalFormatting>
  <conditionalFormatting sqref="I7">
    <cfRule type="containsText" dxfId="1767" priority="4261" operator="containsText" text="AB">
      <formula>NOT(ISERROR(SEARCH("AB",I7)))</formula>
    </cfRule>
    <cfRule type="containsText" dxfId="1766" priority="4267" stopIfTrue="1" operator="containsText" text="SICK">
      <formula>NOT(ISERROR(SEARCH("SICK",I7)))</formula>
    </cfRule>
    <cfRule type="containsText" dxfId="1765" priority="4266" stopIfTrue="1" operator="containsText" text="SP">
      <formula>NOT(ISERROR(SEARCH("SP",I7)))</formula>
    </cfRule>
    <cfRule type="containsText" dxfId="1764" priority="4265" stopIfTrue="1" operator="containsText" text="AL">
      <formula>NOT(ISERROR(SEARCH("AL",I7)))</formula>
    </cfRule>
    <cfRule type="containsText" dxfId="1763" priority="4264" operator="containsText" text="NL">
      <formula>NOT(ISERROR(SEARCH("NL",I7)))</formula>
    </cfRule>
    <cfRule type="containsText" dxfId="1762" priority="4263" operator="containsText" text="SICK">
      <formula>NOT(ISERROR(SEARCH("SICK",I7)))</formula>
    </cfRule>
    <cfRule type="containsText" dxfId="1761" priority="4262" operator="containsText" text="AL">
      <formula>NOT(ISERROR(SEARCH("AL",I7)))</formula>
    </cfRule>
  </conditionalFormatting>
  <conditionalFormatting sqref="I11">
    <cfRule type="containsText" dxfId="1760" priority="4228" operator="containsText" text="SICK">
      <formula>NOT(ISERROR(SEARCH("SICK",I11)))</formula>
    </cfRule>
    <cfRule type="containsText" dxfId="1759" priority="4232" stopIfTrue="1" operator="containsText" text="SICK">
      <formula>NOT(ISERROR(SEARCH("SICK",I11)))</formula>
    </cfRule>
    <cfRule type="containsText" dxfId="1758" priority="4227" operator="containsText" text="AL">
      <formula>NOT(ISERROR(SEARCH("AL",I11)))</formula>
    </cfRule>
    <cfRule type="containsText" dxfId="1757" priority="4226" operator="containsText" text="AB">
      <formula>NOT(ISERROR(SEARCH("AB",I11)))</formula>
    </cfRule>
    <cfRule type="containsText" dxfId="1756" priority="4230" stopIfTrue="1" operator="containsText" text="AL">
      <formula>NOT(ISERROR(SEARCH("AL",I11)))</formula>
    </cfRule>
    <cfRule type="containsText" dxfId="1755" priority="4231" stopIfTrue="1" operator="containsText" text="SP">
      <formula>NOT(ISERROR(SEARCH("SP",I11)))</formula>
    </cfRule>
    <cfRule type="containsText" dxfId="1754" priority="4229" operator="containsText" text="NL">
      <formula>NOT(ISERROR(SEARCH("NL",I11)))</formula>
    </cfRule>
  </conditionalFormatting>
  <conditionalFormatting sqref="I17">
    <cfRule type="containsText" dxfId="1753" priority="4183" stopIfTrue="1" operator="containsText" text="SICK">
      <formula>NOT(ISERROR(SEARCH("SICK",I17)))</formula>
    </cfRule>
    <cfRule type="containsText" dxfId="1752" priority="4177" operator="containsText" text="AB">
      <formula>NOT(ISERROR(SEARCH("AB",I17)))</formula>
    </cfRule>
    <cfRule type="containsText" dxfId="1751" priority="4178" operator="containsText" text="AL">
      <formula>NOT(ISERROR(SEARCH("AL",I17)))</formula>
    </cfRule>
    <cfRule type="containsText" dxfId="1750" priority="4179" operator="containsText" text="SICK">
      <formula>NOT(ISERROR(SEARCH("SICK",I17)))</formula>
    </cfRule>
    <cfRule type="containsText" dxfId="1749" priority="4180" operator="containsText" text="NL">
      <formula>NOT(ISERROR(SEARCH("NL",I17)))</formula>
    </cfRule>
    <cfRule type="containsText" dxfId="1748" priority="4181" stopIfTrue="1" operator="containsText" text="AL">
      <formula>NOT(ISERROR(SEARCH("AL",I17)))</formula>
    </cfRule>
    <cfRule type="containsText" dxfId="1747" priority="4182" stopIfTrue="1" operator="containsText" text="SP">
      <formula>NOT(ISERROR(SEARCH("SP",I17)))</formula>
    </cfRule>
  </conditionalFormatting>
  <conditionalFormatting sqref="I26">
    <cfRule type="containsText" dxfId="1746" priority="4127" operator="containsText" text="AL">
      <formula>NOT(ISERROR(SEARCH("AL",I26)))</formula>
    </cfRule>
    <cfRule type="containsText" dxfId="1745" priority="4126" operator="containsText" text="AB">
      <formula>NOT(ISERROR(SEARCH("AB",I26)))</formula>
    </cfRule>
    <cfRule type="containsText" dxfId="1744" priority="4132" stopIfTrue="1" operator="containsText" text="SICK">
      <formula>NOT(ISERROR(SEARCH("SICK",I26)))</formula>
    </cfRule>
    <cfRule type="containsText" dxfId="1743" priority="4131" stopIfTrue="1" operator="containsText" text="SP">
      <formula>NOT(ISERROR(SEARCH("SP",I26)))</formula>
    </cfRule>
    <cfRule type="containsText" dxfId="1742" priority="4130" stopIfTrue="1" operator="containsText" text="AL">
      <formula>NOT(ISERROR(SEARCH("AL",I26)))</formula>
    </cfRule>
    <cfRule type="containsText" dxfId="1741" priority="4129" operator="containsText" text="NL">
      <formula>NOT(ISERROR(SEARCH("NL",I26)))</formula>
    </cfRule>
    <cfRule type="containsText" dxfId="1740" priority="4128" operator="containsText" text="SICK">
      <formula>NOT(ISERROR(SEARCH("SICK",I26)))</formula>
    </cfRule>
  </conditionalFormatting>
  <conditionalFormatting sqref="J25:K25">
    <cfRule type="containsText" dxfId="1739" priority="4119" operator="containsText" text="AB">
      <formula>NOT(ISERROR(SEARCH("AB",J25)))</formula>
    </cfRule>
    <cfRule type="containsText" dxfId="1738" priority="4125" stopIfTrue="1" operator="containsText" text="SICK">
      <formula>NOT(ISERROR(SEARCH("SICK",J25)))</formula>
    </cfRule>
    <cfRule type="containsText" dxfId="1737" priority="4121" operator="containsText" text="SICK">
      <formula>NOT(ISERROR(SEARCH("SICK",J25)))</formula>
    </cfRule>
    <cfRule type="containsText" dxfId="1736" priority="4120" operator="containsText" text="AL">
      <formula>NOT(ISERROR(SEARCH("AL",J25)))</formula>
    </cfRule>
    <cfRule type="containsText" dxfId="1735" priority="4122" operator="containsText" text="NL">
      <formula>NOT(ISERROR(SEARCH("NL",J25)))</formula>
    </cfRule>
    <cfRule type="containsText" dxfId="1734" priority="4123" stopIfTrue="1" operator="containsText" text="AL">
      <formula>NOT(ISERROR(SEARCH("AL",J25)))</formula>
    </cfRule>
    <cfRule type="containsText" dxfId="1733" priority="4124" stopIfTrue="1" operator="containsText" text="SP">
      <formula>NOT(ISERROR(SEARCH("SP",J25)))</formula>
    </cfRule>
  </conditionalFormatting>
  <conditionalFormatting sqref="K7">
    <cfRule type="containsText" dxfId="1732" priority="4257" operator="containsText" text="NL">
      <formula>NOT(ISERROR(SEARCH("NL",K7)))</formula>
    </cfRule>
    <cfRule type="containsText" dxfId="1731" priority="4256" operator="containsText" text="SICK">
      <formula>NOT(ISERROR(SEARCH("SICK",K7)))</formula>
    </cfRule>
    <cfRule type="containsText" dxfId="1730" priority="4259" stopIfTrue="1" operator="containsText" text="SP">
      <formula>NOT(ISERROR(SEARCH("SP",K7)))</formula>
    </cfRule>
    <cfRule type="containsText" dxfId="1729" priority="4258" stopIfTrue="1" operator="containsText" text="AL">
      <formula>NOT(ISERROR(SEARCH("AL",K7)))</formula>
    </cfRule>
    <cfRule type="containsText" dxfId="1728" priority="4255" operator="containsText" text="AL">
      <formula>NOT(ISERROR(SEARCH("AL",K7)))</formula>
    </cfRule>
    <cfRule type="containsText" dxfId="1727" priority="4254" operator="containsText" text="AB">
      <formula>NOT(ISERROR(SEARCH("AB",K7)))</formula>
    </cfRule>
    <cfRule type="containsText" dxfId="1726" priority="4260" stopIfTrue="1" operator="containsText" text="SICK">
      <formula>NOT(ISERROR(SEARCH("SICK",K7)))</formula>
    </cfRule>
  </conditionalFormatting>
  <conditionalFormatting sqref="K16:K17">
    <cfRule type="containsText" dxfId="1725" priority="4171" operator="containsText" text="AL">
      <formula>NOT(ISERROR(SEARCH("AL",K16)))</formula>
    </cfRule>
    <cfRule type="containsText" dxfId="1724" priority="4173" operator="containsText" text="NL">
      <formula>NOT(ISERROR(SEARCH("NL",K16)))</formula>
    </cfRule>
    <cfRule type="containsText" dxfId="1723" priority="4174" stopIfTrue="1" operator="containsText" text="AL">
      <formula>NOT(ISERROR(SEARCH("AL",K16)))</formula>
    </cfRule>
    <cfRule type="containsText" dxfId="1722" priority="4175" stopIfTrue="1" operator="containsText" text="SP">
      <formula>NOT(ISERROR(SEARCH("SP",K16)))</formula>
    </cfRule>
    <cfRule type="containsText" dxfId="1721" priority="4176" stopIfTrue="1" operator="containsText" text="SICK">
      <formula>NOT(ISERROR(SEARCH("SICK",K16)))</formula>
    </cfRule>
    <cfRule type="containsText" dxfId="1720" priority="4172" operator="containsText" text="SICK">
      <formula>NOT(ISERROR(SEARCH("SICK",K16)))</formula>
    </cfRule>
    <cfRule type="containsText" dxfId="1719" priority="4170" operator="containsText" text="AB">
      <formula>NOT(ISERROR(SEARCH("AB",K16)))</formula>
    </cfRule>
  </conditionalFormatting>
  <conditionalFormatting sqref="K26">
    <cfRule type="containsText" dxfId="1718" priority="4118" stopIfTrue="1" operator="containsText" text="SICK">
      <formula>NOT(ISERROR(SEARCH("SICK",K26)))</formula>
    </cfRule>
    <cfRule type="containsText" dxfId="1717" priority="4117" stopIfTrue="1" operator="containsText" text="SP">
      <formula>NOT(ISERROR(SEARCH("SP",K26)))</formula>
    </cfRule>
    <cfRule type="containsText" dxfId="1716" priority="4116" stopIfTrue="1" operator="containsText" text="AL">
      <formula>NOT(ISERROR(SEARCH("AL",K26)))</formula>
    </cfRule>
    <cfRule type="containsText" dxfId="1715" priority="4115" operator="containsText" text="NL">
      <formula>NOT(ISERROR(SEARCH("NL",K26)))</formula>
    </cfRule>
    <cfRule type="containsText" dxfId="1714" priority="4114" operator="containsText" text="SICK">
      <formula>NOT(ISERROR(SEARCH("SICK",K26)))</formula>
    </cfRule>
    <cfRule type="containsText" dxfId="1713" priority="4113" operator="containsText" text="AL">
      <formula>NOT(ISERROR(SEARCH("AL",K26)))</formula>
    </cfRule>
    <cfRule type="containsText" dxfId="1712" priority="4112" operator="containsText" text="AB">
      <formula>NOT(ISERROR(SEARCH("AB",K26)))</formula>
    </cfRule>
  </conditionalFormatting>
  <conditionalFormatting sqref="M11">
    <cfRule type="containsText" dxfId="1711" priority="4225" stopIfTrue="1" operator="containsText" text="SICK">
      <formula>NOT(ISERROR(SEARCH("SICK",M11)))</formula>
    </cfRule>
    <cfRule type="containsText" dxfId="1710" priority="4219" operator="containsText" text="AB">
      <formula>NOT(ISERROR(SEARCH("AB",M11)))</formula>
    </cfRule>
    <cfRule type="containsText" dxfId="1709" priority="4220" operator="containsText" text="AL">
      <formula>NOT(ISERROR(SEARCH("AL",M11)))</formula>
    </cfRule>
    <cfRule type="containsText" dxfId="1708" priority="4221" operator="containsText" text="SICK">
      <formula>NOT(ISERROR(SEARCH("SICK",M11)))</formula>
    </cfRule>
    <cfRule type="containsText" dxfId="1707" priority="4222" operator="containsText" text="NL">
      <formula>NOT(ISERROR(SEARCH("NL",M11)))</formula>
    </cfRule>
    <cfRule type="containsText" dxfId="1706" priority="4223" stopIfTrue="1" operator="containsText" text="AL">
      <formula>NOT(ISERROR(SEARCH("AL",M11)))</formula>
    </cfRule>
    <cfRule type="containsText" dxfId="1705" priority="4224" stopIfTrue="1" operator="containsText" text="SP">
      <formula>NOT(ISERROR(SEARCH("SP",M11)))</formula>
    </cfRule>
  </conditionalFormatting>
  <conditionalFormatting sqref="M13">
    <cfRule type="containsText" dxfId="1704" priority="4202" stopIfTrue="1" operator="containsText" text="AL">
      <formula>NOT(ISERROR(SEARCH("AL",M13)))</formula>
    </cfRule>
    <cfRule type="containsText" dxfId="1703" priority="4203" stopIfTrue="1" operator="containsText" text="SP">
      <formula>NOT(ISERROR(SEARCH("SP",M13)))</formula>
    </cfRule>
    <cfRule type="containsText" dxfId="1702" priority="4198" operator="containsText" text="AB">
      <formula>NOT(ISERROR(SEARCH("AB",M13)))</formula>
    </cfRule>
    <cfRule type="containsText" dxfId="1701" priority="4199" operator="containsText" text="AL">
      <formula>NOT(ISERROR(SEARCH("AL",M13)))</formula>
    </cfRule>
    <cfRule type="containsText" dxfId="1700" priority="4200" operator="containsText" text="SICK">
      <formula>NOT(ISERROR(SEARCH("SICK",M13)))</formula>
    </cfRule>
    <cfRule type="containsText" dxfId="1699" priority="4204" stopIfTrue="1" operator="containsText" text="SICK">
      <formula>NOT(ISERROR(SEARCH("SICK",M13)))</formula>
    </cfRule>
    <cfRule type="containsText" dxfId="1698" priority="4201" operator="containsText" text="NL">
      <formula>NOT(ISERROR(SEARCH("NL",M13)))</formula>
    </cfRule>
  </conditionalFormatting>
  <conditionalFormatting sqref="M17">
    <cfRule type="containsText" dxfId="1697" priority="4165" operator="containsText" text="SICK">
      <formula>NOT(ISERROR(SEARCH("SICK",M17)))</formula>
    </cfRule>
    <cfRule type="containsText" dxfId="1696" priority="4163" operator="containsText" text="AB">
      <formula>NOT(ISERROR(SEARCH("AB",M17)))</formula>
    </cfRule>
    <cfRule type="containsText" dxfId="1695" priority="4164" operator="containsText" text="AL">
      <formula>NOT(ISERROR(SEARCH("AL",M17)))</formula>
    </cfRule>
    <cfRule type="containsText" dxfId="1694" priority="4166" operator="containsText" text="NL">
      <formula>NOT(ISERROR(SEARCH("NL",M17)))</formula>
    </cfRule>
    <cfRule type="containsText" dxfId="1693" priority="4167" stopIfTrue="1" operator="containsText" text="AL">
      <formula>NOT(ISERROR(SEARCH("AL",M17)))</formula>
    </cfRule>
    <cfRule type="containsText" dxfId="1692" priority="4168" stopIfTrue="1" operator="containsText" text="SP">
      <formula>NOT(ISERROR(SEARCH("SP",M17)))</formula>
    </cfRule>
    <cfRule type="containsText" dxfId="1691" priority="4169" stopIfTrue="1" operator="containsText" text="SICK">
      <formula>NOT(ISERROR(SEARCH("SICK",M17)))</formula>
    </cfRule>
  </conditionalFormatting>
  <conditionalFormatting sqref="M25">
    <cfRule type="containsText" dxfId="1690" priority="4105" operator="containsText" text="AB">
      <formula>NOT(ISERROR(SEARCH("AB",M25)))</formula>
    </cfRule>
    <cfRule type="containsText" dxfId="1689" priority="4111" stopIfTrue="1" operator="containsText" text="SICK">
      <formula>NOT(ISERROR(SEARCH("SICK",M25)))</formula>
    </cfRule>
    <cfRule type="containsText" dxfId="1688" priority="4106" operator="containsText" text="AL">
      <formula>NOT(ISERROR(SEARCH("AL",M25)))</formula>
    </cfRule>
    <cfRule type="containsText" dxfId="1687" priority="4109" stopIfTrue="1" operator="containsText" text="AL">
      <formula>NOT(ISERROR(SEARCH("AL",M25)))</formula>
    </cfRule>
    <cfRule type="containsText" dxfId="1686" priority="4107" operator="containsText" text="SICK">
      <formula>NOT(ISERROR(SEARCH("SICK",M25)))</formula>
    </cfRule>
    <cfRule type="containsText" dxfId="1685" priority="4110" stopIfTrue="1" operator="containsText" text="SP">
      <formula>NOT(ISERROR(SEARCH("SP",M25)))</formula>
    </cfRule>
    <cfRule type="containsText" dxfId="1684" priority="4108" operator="containsText" text="NL">
      <formula>NOT(ISERROR(SEARCH("NL",M25)))</formula>
    </cfRule>
  </conditionalFormatting>
  <conditionalFormatting sqref="O11">
    <cfRule type="containsText" dxfId="1683" priority="4217" stopIfTrue="1" operator="containsText" text="SP">
      <formula>NOT(ISERROR(SEARCH("SP",O11)))</formula>
    </cfRule>
    <cfRule type="containsText" dxfId="1682" priority="4215" operator="containsText" text="NL">
      <formula>NOT(ISERROR(SEARCH("NL",O11)))</formula>
    </cfRule>
    <cfRule type="containsText" dxfId="1681" priority="4218" stopIfTrue="1" operator="containsText" text="SICK">
      <formula>NOT(ISERROR(SEARCH("SICK",O11)))</formula>
    </cfRule>
    <cfRule type="containsText" dxfId="1680" priority="4213" operator="containsText" text="AL">
      <formula>NOT(ISERROR(SEARCH("AL",O11)))</formula>
    </cfRule>
    <cfRule type="containsText" dxfId="1679" priority="4212" operator="containsText" text="AB">
      <formula>NOT(ISERROR(SEARCH("AB",O11)))</formula>
    </cfRule>
    <cfRule type="containsText" dxfId="1678" priority="4216" stopIfTrue="1" operator="containsText" text="AL">
      <formula>NOT(ISERROR(SEARCH("AL",O11)))</formula>
    </cfRule>
    <cfRule type="containsText" dxfId="1677" priority="4214" operator="containsText" text="SICK">
      <formula>NOT(ISERROR(SEARCH("SICK",O11)))</formula>
    </cfRule>
  </conditionalFormatting>
  <conditionalFormatting sqref="O17">
    <cfRule type="containsText" dxfId="1676" priority="4156" operator="containsText" text="AB">
      <formula>NOT(ISERROR(SEARCH("AB",O17)))</formula>
    </cfRule>
    <cfRule type="containsText" dxfId="1675" priority="4158" operator="containsText" text="SICK">
      <formula>NOT(ISERROR(SEARCH("SICK",O17)))</formula>
    </cfRule>
    <cfRule type="containsText" dxfId="1674" priority="4159" operator="containsText" text="NL">
      <formula>NOT(ISERROR(SEARCH("NL",O17)))</formula>
    </cfRule>
    <cfRule type="containsText" dxfId="1673" priority="4161" stopIfTrue="1" operator="containsText" text="SP">
      <formula>NOT(ISERROR(SEARCH("SP",O17)))</formula>
    </cfRule>
    <cfRule type="containsText" dxfId="1672" priority="4162" stopIfTrue="1" operator="containsText" text="SICK">
      <formula>NOT(ISERROR(SEARCH("SICK",O17)))</formula>
    </cfRule>
    <cfRule type="containsText" dxfId="1671" priority="4160" stopIfTrue="1" operator="containsText" text="AL">
      <formula>NOT(ISERROR(SEARCH("AL",O17)))</formula>
    </cfRule>
    <cfRule type="containsText" dxfId="1670" priority="4157" operator="containsText" text="AL">
      <formula>NOT(ISERROR(SEARCH("AL",O17)))</formula>
    </cfRule>
  </conditionalFormatting>
  <conditionalFormatting sqref="O21">
    <cfRule type="containsText" dxfId="1669" priority="4084" operator="containsText" text="AB">
      <formula>NOT(ISERROR(SEARCH("AB",O21)))</formula>
    </cfRule>
    <cfRule type="containsText" dxfId="1668" priority="4086" operator="containsText" text="SICK">
      <formula>NOT(ISERROR(SEARCH("SICK",O21)))</formula>
    </cfRule>
    <cfRule type="containsText" dxfId="1667" priority="4085" operator="containsText" text="AL">
      <formula>NOT(ISERROR(SEARCH("AL",O21)))</formula>
    </cfRule>
    <cfRule type="containsText" dxfId="1666" priority="4087" operator="containsText" text="NL">
      <formula>NOT(ISERROR(SEARCH("NL",O21)))</formula>
    </cfRule>
    <cfRule type="containsText" dxfId="1665" priority="4088" stopIfTrue="1" operator="containsText" text="AL">
      <formula>NOT(ISERROR(SEARCH("AL",O21)))</formula>
    </cfRule>
    <cfRule type="containsText" dxfId="1664" priority="4089" stopIfTrue="1" operator="containsText" text="SP">
      <formula>NOT(ISERROR(SEARCH("SP",O21)))</formula>
    </cfRule>
    <cfRule type="containsText" dxfId="1663" priority="4090" stopIfTrue="1" operator="containsText" text="SICK">
      <formula>NOT(ISERROR(SEARCH("SICK",O21)))</formula>
    </cfRule>
  </conditionalFormatting>
  <conditionalFormatting sqref="O25:O28">
    <cfRule type="containsText" dxfId="1662" priority="4092" operator="containsText" text="AL">
      <formula>NOT(ISERROR(SEARCH("AL",O25)))</formula>
    </cfRule>
    <cfRule type="containsText" dxfId="1661" priority="4091" operator="containsText" text="AB">
      <formula>NOT(ISERROR(SEARCH("AB",O25)))</formula>
    </cfRule>
    <cfRule type="containsText" dxfId="1660" priority="4093" operator="containsText" text="SICK">
      <formula>NOT(ISERROR(SEARCH("SICK",O25)))</formula>
    </cfRule>
    <cfRule type="containsText" dxfId="1659" priority="4094" operator="containsText" text="NL">
      <formula>NOT(ISERROR(SEARCH("NL",O25)))</formula>
    </cfRule>
    <cfRule type="containsText" dxfId="1658" priority="4095" stopIfTrue="1" operator="containsText" text="AL">
      <formula>NOT(ISERROR(SEARCH("AL",O25)))</formula>
    </cfRule>
    <cfRule type="containsText" dxfId="1657" priority="4096" stopIfTrue="1" operator="containsText" text="SP">
      <formula>NOT(ISERROR(SEARCH("SP",O25)))</formula>
    </cfRule>
    <cfRule type="containsText" dxfId="1656" priority="4097" stopIfTrue="1" operator="containsText" text="SICK">
      <formula>NOT(ISERROR(SEARCH("SICK",O25)))</formula>
    </cfRule>
  </conditionalFormatting>
  <conditionalFormatting sqref="P21 R21 U25:AE25">
    <cfRule type="containsText" dxfId="1655" priority="4002" operator="containsText" text="SICK">
      <formula>NOT(ISERROR(SEARCH("SICK",P21)))</formula>
    </cfRule>
  </conditionalFormatting>
  <conditionalFormatting sqref="P17:R17">
    <cfRule type="containsText" dxfId="1654" priority="3965" operator="containsText" text="SICK">
      <formula>NOT(ISERROR(SEARCH("SICK",P17)))</formula>
    </cfRule>
    <cfRule type="containsText" dxfId="1653" priority="3964" operator="containsText" text="AB">
      <formula>NOT(ISERROR(SEARCH("AB",P17)))</formula>
    </cfRule>
    <cfRule type="containsText" dxfId="1652" priority="3963" operator="containsText" text="AL">
      <formula>NOT(ISERROR(SEARCH("AL",P17)))</formula>
    </cfRule>
    <cfRule type="containsText" priority="3962" operator="containsText" text="FL">
      <formula>NOT(ISERROR(SEARCH("FL",P17)))</formula>
    </cfRule>
  </conditionalFormatting>
  <conditionalFormatting sqref="P21:R21 U25:AE25">
    <cfRule type="containsText" dxfId="1651" priority="4001" operator="containsText" text="AB">
      <formula>NOT(ISERROR(SEARCH("AB",P21)))</formula>
    </cfRule>
  </conditionalFormatting>
  <conditionalFormatting sqref="P16:U16">
    <cfRule type="containsText" dxfId="1650" priority="4004" operator="containsText" text="AL">
      <formula>NOT(ISERROR(SEARCH("AL",P16)))</formula>
    </cfRule>
    <cfRule type="containsText" dxfId="1649" priority="4006" operator="containsText" text="SICK">
      <formula>NOT(ISERROR(SEARCH("SICK",P16)))</formula>
    </cfRule>
    <cfRule type="containsText" dxfId="1648" priority="4005" operator="containsText" text="AB">
      <formula>NOT(ISERROR(SEARCH("AB",P16)))</formula>
    </cfRule>
  </conditionalFormatting>
  <conditionalFormatting sqref="P22:U23">
    <cfRule type="containsText" dxfId="1647" priority="3997" operator="containsText" text="AB">
      <formula>NOT(ISERROR(SEARCH("AB",P22)))</formula>
    </cfRule>
    <cfRule type="containsText" dxfId="1646" priority="3998" operator="containsText" text="SICK">
      <formula>NOT(ISERROR(SEARCH("SICK",P22)))</formula>
    </cfRule>
  </conditionalFormatting>
  <conditionalFormatting sqref="P22:U28 P21 U25:AE25">
    <cfRule type="containsText" dxfId="1645" priority="4000" operator="containsText" text="AL">
      <formula>NOT(ISERROR(SEARCH("AL",P21)))</formula>
    </cfRule>
    <cfRule type="containsText" priority="3999" operator="containsText" text="FL">
      <formula>NOT(ISERROR(SEARCH("FL",P21)))</formula>
    </cfRule>
  </conditionalFormatting>
  <conditionalFormatting sqref="P16:AE16">
    <cfRule type="containsText" priority="3426" operator="containsText" text="FL">
      <formula>NOT(ISERROR(SEARCH("FL",P16)))</formula>
    </cfRule>
  </conditionalFormatting>
  <conditionalFormatting sqref="P8:AG8 AT18:BO18">
    <cfRule type="containsText" dxfId="1644" priority="5445" stopIfTrue="1" operator="containsText" text="AL">
      <formula>NOT(ISERROR(SEARCH("AL",P8)))</formula>
    </cfRule>
    <cfRule type="containsText" dxfId="1643" priority="5447" stopIfTrue="1" operator="containsText" text="SICK">
      <formula>NOT(ISERROR(SEARCH("SICK",P8)))</formula>
    </cfRule>
    <cfRule type="containsText" dxfId="1642" priority="5446" stopIfTrue="1" operator="containsText" text="SP">
      <formula>NOT(ISERROR(SEARCH("SP",P8)))</formula>
    </cfRule>
  </conditionalFormatting>
  <conditionalFormatting sqref="Q17">
    <cfRule type="containsText" dxfId="1641" priority="3955" operator="containsText" text="AB">
      <formula>NOT(ISERROR(SEARCH("AB",Q17)))</formula>
    </cfRule>
    <cfRule type="containsText" dxfId="1640" priority="3958" operator="containsText" text="NL">
      <formula>NOT(ISERROR(SEARCH("NL",Q17)))</formula>
    </cfRule>
    <cfRule type="containsText" dxfId="1639" priority="3961" stopIfTrue="1" operator="containsText" text="SICK">
      <formula>NOT(ISERROR(SEARCH("SICK",Q17)))</formula>
    </cfRule>
    <cfRule type="containsText" dxfId="1638" priority="3960" stopIfTrue="1" operator="containsText" text="SP">
      <formula>NOT(ISERROR(SEARCH("SP",Q17)))</formula>
    </cfRule>
    <cfRule type="containsText" dxfId="1637" priority="3959" stopIfTrue="1" operator="containsText" text="AL">
      <formula>NOT(ISERROR(SEARCH("AL",Q17)))</formula>
    </cfRule>
    <cfRule type="containsText" dxfId="1636" priority="3957" operator="containsText" text="SICK">
      <formula>NOT(ISERROR(SEARCH("SICK",Q17)))</formula>
    </cfRule>
    <cfRule type="containsText" dxfId="1635" priority="3956" operator="containsText" text="AL">
      <formula>NOT(ISERROR(SEARCH("AL",Q17)))</formula>
    </cfRule>
  </conditionalFormatting>
  <conditionalFormatting sqref="Q23">
    <cfRule type="containsText" dxfId="1634" priority="3991" operator="containsText" text="NL">
      <formula>NOT(ISERROR(SEARCH("NL",Q23)))</formula>
    </cfRule>
    <cfRule type="containsText" dxfId="1633" priority="3994" stopIfTrue="1" operator="containsText" text="SICK">
      <formula>NOT(ISERROR(SEARCH("SICK",Q23)))</formula>
    </cfRule>
    <cfRule type="containsText" dxfId="1632" priority="3993" stopIfTrue="1" operator="containsText" text="SP">
      <formula>NOT(ISERROR(SEARCH("SP",Q23)))</formula>
    </cfRule>
    <cfRule type="containsText" dxfId="1631" priority="3992" stopIfTrue="1" operator="containsText" text="AL">
      <formula>NOT(ISERROR(SEARCH("AL",Q23)))</formula>
    </cfRule>
    <cfRule type="containsText" dxfId="1630" priority="3990" operator="containsText" text="SICK">
      <formula>NOT(ISERROR(SEARCH("SICK",Q23)))</formula>
    </cfRule>
    <cfRule type="containsText" dxfId="1629" priority="3989" operator="containsText" text="AL">
      <formula>NOT(ISERROR(SEARCH("AL",Q23)))</formula>
    </cfRule>
    <cfRule type="containsText" dxfId="1628" priority="3988" operator="containsText" text="AB">
      <formula>NOT(ISERROR(SEARCH("AB",Q23)))</formula>
    </cfRule>
  </conditionalFormatting>
  <conditionalFormatting sqref="R21:S21">
    <cfRule type="containsText" dxfId="1627" priority="3974" operator="containsText" text="AL">
      <formula>NOT(ISERROR(SEARCH("AL",R21)))</formula>
    </cfRule>
    <cfRule type="containsText" priority="3973" operator="containsText" text="FL">
      <formula>NOT(ISERROR(SEARCH("FL",R21)))</formula>
    </cfRule>
  </conditionalFormatting>
  <conditionalFormatting sqref="R53:AB53">
    <cfRule type="containsText" dxfId="1626" priority="5863" stopIfTrue="1" operator="containsText" text="SICK">
      <formula>NOT(ISERROR(SEARCH("SICK",R53)))</formula>
    </cfRule>
    <cfRule type="containsText" dxfId="1625" priority="5862" stopIfTrue="1" operator="containsText" text="SP">
      <formula>NOT(ISERROR(SEARCH("SP",R53)))</formula>
    </cfRule>
    <cfRule type="containsText" dxfId="1624" priority="5861" stopIfTrue="1" operator="containsText" text="AL">
      <formula>NOT(ISERROR(SEARCH("AL",R53)))</formula>
    </cfRule>
  </conditionalFormatting>
  <conditionalFormatting sqref="S17">
    <cfRule type="containsText" dxfId="1623" priority="3944" operator="containsText" text="AB">
      <formula>NOT(ISERROR(SEARCH("AB",S17)))</formula>
    </cfRule>
    <cfRule type="containsText" dxfId="1622" priority="3950" stopIfTrue="1" operator="containsText" text="SICK">
      <formula>NOT(ISERROR(SEARCH("SICK",S17)))</formula>
    </cfRule>
    <cfRule type="containsText" dxfId="1621" priority="3948" stopIfTrue="1" operator="containsText" text="AL">
      <formula>NOT(ISERROR(SEARCH("AL",S17)))</formula>
    </cfRule>
    <cfRule type="containsText" dxfId="1620" priority="3949" stopIfTrue="1" operator="containsText" text="SP">
      <formula>NOT(ISERROR(SEARCH("SP",S17)))</formula>
    </cfRule>
    <cfRule type="containsText" dxfId="1619" priority="3947" operator="containsText" text="NL">
      <formula>NOT(ISERROR(SEARCH("NL",S17)))</formula>
    </cfRule>
    <cfRule type="containsText" dxfId="1618" priority="3946" operator="containsText" text="SICK">
      <formula>NOT(ISERROR(SEARCH("SICK",S17)))</formula>
    </cfRule>
    <cfRule type="containsText" dxfId="1617" priority="3945" operator="containsText" text="AL">
      <formula>NOT(ISERROR(SEARCH("AL",S17)))</formula>
    </cfRule>
  </conditionalFormatting>
  <conditionalFormatting sqref="S21">
    <cfRule type="containsText" dxfId="1616" priority="3967" operator="containsText" text="AL">
      <formula>NOT(ISERROR(SEARCH("AL",S21)))</formula>
    </cfRule>
    <cfRule type="containsText" dxfId="1615" priority="3971" stopIfTrue="1" operator="containsText" text="SP">
      <formula>NOT(ISERROR(SEARCH("SP",S21)))</formula>
    </cfRule>
    <cfRule type="containsText" dxfId="1614" priority="3972" stopIfTrue="1" operator="containsText" text="SICK">
      <formula>NOT(ISERROR(SEARCH("SICK",S21)))</formula>
    </cfRule>
    <cfRule type="containsText" dxfId="1613" priority="3970" stopIfTrue="1" operator="containsText" text="AL">
      <formula>NOT(ISERROR(SEARCH("AL",S21)))</formula>
    </cfRule>
    <cfRule type="containsText" dxfId="1612" priority="3966" operator="containsText" text="AB">
      <formula>NOT(ISERROR(SEARCH("AB",S21)))</formula>
    </cfRule>
    <cfRule type="containsText" dxfId="1611" priority="3969" operator="containsText" text="NL">
      <formula>NOT(ISERROR(SEARCH("NL",S21)))</formula>
    </cfRule>
    <cfRule type="containsText" dxfId="1610" priority="3968" operator="containsText" text="SICK">
      <formula>NOT(ISERROR(SEARCH("SICK",S21)))</formula>
    </cfRule>
  </conditionalFormatting>
  <conditionalFormatting sqref="S17:U17">
    <cfRule type="containsText" dxfId="1609" priority="3954" operator="containsText" text="SICK">
      <formula>NOT(ISERROR(SEARCH("SICK",S17)))</formula>
    </cfRule>
    <cfRule type="containsText" dxfId="1608" priority="3953" operator="containsText" text="AB">
      <formula>NOT(ISERROR(SEARCH("AB",S17)))</formula>
    </cfRule>
    <cfRule type="containsText" dxfId="1607" priority="3952" operator="containsText" text="AL">
      <formula>NOT(ISERROR(SEARCH("AL",S17)))</formula>
    </cfRule>
    <cfRule type="containsText" priority="3951" operator="containsText" text="FL">
      <formula>NOT(ISERROR(SEARCH("FL",S17)))</formula>
    </cfRule>
  </conditionalFormatting>
  <conditionalFormatting sqref="T5:U6">
    <cfRule type="containsText" dxfId="1606" priority="3929" operator="containsText" text="AL">
      <formula>NOT(ISERROR(SEARCH("AL",T5)))</formula>
    </cfRule>
    <cfRule type="containsText" dxfId="1605" priority="3931" operator="containsText" text="SICK">
      <formula>NOT(ISERROR(SEARCH("SICK",T5)))</formula>
    </cfRule>
    <cfRule type="containsText" dxfId="1604" priority="3930" operator="containsText" text="EL">
      <formula>NOT(ISERROR(SEARCH("EL",T5)))</formula>
    </cfRule>
    <cfRule type="containsText" dxfId="1603" priority="3928" operator="containsText" text="AB">
      <formula>NOT(ISERROR(SEARCH("AB",T5)))</formula>
    </cfRule>
  </conditionalFormatting>
  <conditionalFormatting sqref="T8:U9">
    <cfRule type="containsText" dxfId="1602" priority="3927" operator="containsText" text="SICK">
      <formula>NOT(ISERROR(SEARCH("SICK",T8)))</formula>
    </cfRule>
    <cfRule type="containsText" dxfId="1601" priority="3926" operator="containsText" text="EL">
      <formula>NOT(ISERROR(SEARCH("EL",T8)))</formula>
    </cfRule>
    <cfRule type="containsText" dxfId="1600" priority="3925" operator="containsText" text="AL">
      <formula>NOT(ISERROR(SEARCH("AL",T8)))</formula>
    </cfRule>
  </conditionalFormatting>
  <conditionalFormatting sqref="T12:U12">
    <cfRule type="containsText" dxfId="1599" priority="3220" operator="containsText" text="AB">
      <formula>NOT(ISERROR(SEARCH("AB",T12)))</formula>
    </cfRule>
    <cfRule type="containsText" dxfId="1598" priority="3223" operator="containsText" text="SICK">
      <formula>NOT(ISERROR(SEARCH("SICK",T12)))</formula>
    </cfRule>
    <cfRule type="containsText" dxfId="1597" priority="3222" operator="containsText" text="EL">
      <formula>NOT(ISERROR(SEARCH("EL",T12)))</formula>
    </cfRule>
    <cfRule type="containsText" dxfId="1596" priority="3221" operator="containsText" text="AL">
      <formula>NOT(ISERROR(SEARCH("AL",T12)))</formula>
    </cfRule>
    <cfRule type="containsText" priority="3216" operator="containsText" text="FL">
      <formula>NOT(ISERROR(SEARCH("FL",T12)))</formula>
    </cfRule>
    <cfRule type="containsText" dxfId="1595" priority="3215" operator="containsText" text="FL">
      <formula>NOT(ISERROR(SEARCH("FL",T12)))</formula>
    </cfRule>
  </conditionalFormatting>
  <conditionalFormatting sqref="T14:U14">
    <cfRule type="containsText" dxfId="1594" priority="3918" operator="containsText" text="EL">
      <formula>NOT(ISERROR(SEARCH("EL",T14)))</formula>
    </cfRule>
    <cfRule type="containsText" dxfId="1593" priority="3919" operator="containsText" text="SICK">
      <formula>NOT(ISERROR(SEARCH("SICK",T14)))</formula>
    </cfRule>
    <cfRule type="containsText" dxfId="1592" priority="3916" operator="containsText" text="AB">
      <formula>NOT(ISERROR(SEARCH("AB",T14)))</formula>
    </cfRule>
    <cfRule type="containsText" dxfId="1591" priority="3917" operator="containsText" text="AL">
      <formula>NOT(ISERROR(SEARCH("AL",T14)))</formula>
    </cfRule>
  </conditionalFormatting>
  <conditionalFormatting sqref="T16:U17">
    <cfRule type="containsText" dxfId="1590" priority="3906" operator="containsText" text="AB">
      <formula>NOT(ISERROR(SEARCH("AB",T16)))</formula>
    </cfRule>
    <cfRule type="containsText" dxfId="1589" priority="3905" operator="containsText" text="AL">
      <formula>NOT(ISERROR(SEARCH("AL",T16)))</formula>
    </cfRule>
    <cfRule type="containsText" priority="3904" operator="containsText" text="FL">
      <formula>NOT(ISERROR(SEARCH("FL",T16)))</formula>
    </cfRule>
    <cfRule type="containsText" dxfId="1588" priority="3907" operator="containsText" text="SICK">
      <formula>NOT(ISERROR(SEARCH("SICK",T16)))</formula>
    </cfRule>
    <cfRule type="containsText" dxfId="1587" priority="3910" operator="containsText" text="EL">
      <formula>NOT(ISERROR(SEARCH("EL",T16)))</formula>
    </cfRule>
  </conditionalFormatting>
  <conditionalFormatting sqref="T20:U20">
    <cfRule type="containsText" dxfId="1586" priority="3903" operator="containsText" text="SICK">
      <formula>NOT(ISERROR(SEARCH("SICK",T20)))</formula>
    </cfRule>
    <cfRule type="containsText" dxfId="1585" priority="3898" operator="containsText" text="EL">
      <formula>NOT(ISERROR(SEARCH("EL",T20)))</formula>
    </cfRule>
    <cfRule type="containsText" dxfId="1584" priority="3902" operator="containsText" text="AB">
      <formula>NOT(ISERROR(SEARCH("AB",T20)))</formula>
    </cfRule>
    <cfRule type="containsText" dxfId="1583" priority="3901" operator="containsText" text="AL">
      <formula>NOT(ISERROR(SEARCH("AL",T20)))</formula>
    </cfRule>
    <cfRule type="containsText" priority="3892" operator="containsText" text="FL">
      <formula>NOT(ISERROR(SEARCH("FL",T20)))</formula>
    </cfRule>
  </conditionalFormatting>
  <conditionalFormatting sqref="T21:U21">
    <cfRule type="containsText" dxfId="1582" priority="3985" operator="containsText" text="AL">
      <formula>NOT(ISERROR(SEARCH("AL",T21)))</formula>
    </cfRule>
    <cfRule type="containsText" priority="3984" operator="containsText" text="FL">
      <formula>NOT(ISERROR(SEARCH("FL",T21)))</formula>
    </cfRule>
    <cfRule type="containsText" dxfId="1581" priority="3986" operator="containsText" text="AB">
      <formula>NOT(ISERROR(SEARCH("AB",T21)))</formula>
    </cfRule>
    <cfRule type="containsText" dxfId="1580" priority="3987" operator="containsText" text="SICK">
      <formula>NOT(ISERROR(SEARCH("SICK",T21)))</formula>
    </cfRule>
  </conditionalFormatting>
  <conditionalFormatting sqref="T23:U24">
    <cfRule type="containsText" dxfId="1579" priority="3891" operator="containsText" text="SICK">
      <formula>NOT(ISERROR(SEARCH("SICK",T23)))</formula>
    </cfRule>
    <cfRule type="containsText" dxfId="1578" priority="3886" operator="containsText" text="EL">
      <formula>NOT(ISERROR(SEARCH("EL",T23)))</formula>
    </cfRule>
    <cfRule type="containsText" dxfId="1577" priority="3882" operator="containsText" text="AB">
      <formula>NOT(ISERROR(SEARCH("AB",T23)))</formula>
    </cfRule>
    <cfRule type="containsText" dxfId="1576" priority="3881" operator="containsText" text="AL">
      <formula>NOT(ISERROR(SEARCH("AL",T23)))</formula>
    </cfRule>
    <cfRule type="containsText" priority="3880" operator="containsText" text="FL">
      <formula>NOT(ISERROR(SEARCH("FL",T23)))</formula>
    </cfRule>
  </conditionalFormatting>
  <conditionalFormatting sqref="T26:U28">
    <cfRule type="containsText" dxfId="1575" priority="3879" operator="containsText" text="SICK">
      <formula>NOT(ISERROR(SEARCH("SICK",T26)))</formula>
    </cfRule>
    <cfRule type="containsText" dxfId="1574" priority="3874" operator="containsText" text="EL">
      <formula>NOT(ISERROR(SEARCH("EL",T26)))</formula>
    </cfRule>
    <cfRule type="containsText" dxfId="1573" priority="3870" operator="containsText" text="AB">
      <formula>NOT(ISERROR(SEARCH("AB",T26)))</formula>
    </cfRule>
    <cfRule type="containsText" dxfId="1572" priority="3869" operator="containsText" text="AL">
      <formula>NOT(ISERROR(SEARCH("AL",T26)))</formula>
    </cfRule>
    <cfRule type="containsText" priority="3868" operator="containsText" text="FL">
      <formula>NOT(ISERROR(SEARCH("FL",T26)))</formula>
    </cfRule>
  </conditionalFormatting>
  <conditionalFormatting sqref="T14:AA14">
    <cfRule type="containsText" dxfId="1571" priority="3831" operator="containsText" text="AL">
      <formula>NOT(ISERROR(SEARCH("AL",T14)))</formula>
    </cfRule>
    <cfRule type="containsText" dxfId="1570" priority="3833" operator="containsText" text="SICK">
      <formula>NOT(ISERROR(SEARCH("SICK",T14)))</formula>
    </cfRule>
    <cfRule type="containsText" dxfId="1569" priority="3832" operator="containsText" text="AB">
      <formula>NOT(ISERROR(SEARCH("AB",T14)))</formula>
    </cfRule>
  </conditionalFormatting>
  <conditionalFormatting sqref="T14:AE14">
    <cfRule type="containsText" priority="3431" operator="containsText" text="FL">
      <formula>NOT(ISERROR(SEARCH("FL",T14)))</formula>
    </cfRule>
  </conditionalFormatting>
  <conditionalFormatting sqref="T15:AE15 P18:AE19 T20:AE20 AJ27:AK28">
    <cfRule type="containsText" dxfId="1568" priority="4689" operator="containsText" text="AL">
      <formula>NOT(ISERROR(SEARCH("AL",P15)))</formula>
    </cfRule>
    <cfRule type="containsText" dxfId="1567" priority="4691" operator="containsText" text="NL">
      <formula>NOT(ISERROR(SEARCH("NL",P15)))</formula>
    </cfRule>
    <cfRule type="containsText" dxfId="1566" priority="4690" operator="containsText" text="SICK">
      <formula>NOT(ISERROR(SEARCH("SICK",P15)))</formula>
    </cfRule>
  </conditionalFormatting>
  <conditionalFormatting sqref="T20:AE20">
    <cfRule type="containsText" dxfId="1565" priority="4693" stopIfTrue="1" operator="containsText" text="SP">
      <formula>NOT(ISERROR(SEARCH("SP",T20)))</formula>
    </cfRule>
    <cfRule type="containsText" dxfId="1564" priority="4692" stopIfTrue="1" operator="containsText" text="AL">
      <formula>NOT(ISERROR(SEARCH("AL",T20)))</formula>
    </cfRule>
    <cfRule type="containsText" dxfId="1563" priority="4694" stopIfTrue="1" operator="containsText" text="SICK">
      <formula>NOT(ISERROR(SEARCH("SICK",T20)))</formula>
    </cfRule>
  </conditionalFormatting>
  <conditionalFormatting sqref="T8:AG9">
    <cfRule type="containsText" dxfId="1562" priority="3864" operator="containsText" text="AB">
      <formula>NOT(ISERROR(SEARCH("AB",T8)))</formula>
    </cfRule>
  </conditionalFormatting>
  <conditionalFormatting sqref="U7">
    <cfRule type="containsText" dxfId="1561" priority="4023" stopIfTrue="1" operator="containsText" text="AL">
      <formula>NOT(ISERROR(SEARCH("AL",U7)))</formula>
    </cfRule>
    <cfRule type="containsText" dxfId="1560" priority="4025" stopIfTrue="1" operator="containsText" text="SICK">
      <formula>NOT(ISERROR(SEARCH("SICK",U7)))</formula>
    </cfRule>
    <cfRule type="containsText" dxfId="1559" priority="4024" stopIfTrue="1" operator="containsText" text="SP">
      <formula>NOT(ISERROR(SEARCH("SP",U7)))</formula>
    </cfRule>
    <cfRule type="containsText" dxfId="1558" priority="4020" operator="containsText" text="AL">
      <formula>NOT(ISERROR(SEARCH("AL",U7)))</formula>
    </cfRule>
    <cfRule type="containsText" dxfId="1557" priority="4022" operator="containsText" text="NL">
      <formula>NOT(ISERROR(SEARCH("NL",U7)))</formula>
    </cfRule>
  </conditionalFormatting>
  <conditionalFormatting sqref="U11">
    <cfRule type="containsText" dxfId="1556" priority="3935" operator="containsText" text="SICK">
      <formula>NOT(ISERROR(SEARCH("SICK",U11)))</formula>
    </cfRule>
    <cfRule type="containsText" dxfId="1555" priority="3934" operator="containsText" text="AL">
      <formula>NOT(ISERROR(SEARCH("AL",U11)))</formula>
    </cfRule>
    <cfRule type="containsText" dxfId="1554" priority="3933" operator="containsText" text="AB">
      <formula>NOT(ISERROR(SEARCH("AB",U11)))</formula>
    </cfRule>
    <cfRule type="containsText" dxfId="1553" priority="3939" stopIfTrue="1" operator="containsText" text="SICK">
      <formula>NOT(ISERROR(SEARCH("SICK",U11)))</formula>
    </cfRule>
    <cfRule type="containsText" dxfId="1552" priority="3936" operator="containsText" text="NL">
      <formula>NOT(ISERROR(SEARCH("NL",U11)))</formula>
    </cfRule>
    <cfRule type="containsText" dxfId="1551" priority="3937" stopIfTrue="1" operator="containsText" text="AL">
      <formula>NOT(ISERROR(SEARCH("AL",U11)))</formula>
    </cfRule>
    <cfRule type="containsText" dxfId="1550" priority="3938" stopIfTrue="1" operator="containsText" text="SP">
      <formula>NOT(ISERROR(SEARCH("SP",U11)))</formula>
    </cfRule>
  </conditionalFormatting>
  <conditionalFormatting sqref="U21">
    <cfRule type="containsText" dxfId="1549" priority="3978" operator="containsText" text="AL">
      <formula>NOT(ISERROR(SEARCH("AL",U21)))</formula>
    </cfRule>
    <cfRule type="containsText" dxfId="1548" priority="3982" stopIfTrue="1" operator="containsText" text="SP">
      <formula>NOT(ISERROR(SEARCH("SP",U21)))</formula>
    </cfRule>
    <cfRule type="containsText" dxfId="1547" priority="3983" stopIfTrue="1" operator="containsText" text="SICK">
      <formula>NOT(ISERROR(SEARCH("SICK",U21)))</formula>
    </cfRule>
    <cfRule type="containsText" dxfId="1546" priority="3977" operator="containsText" text="AB">
      <formula>NOT(ISERROR(SEARCH("AB",U21)))</formula>
    </cfRule>
    <cfRule type="containsText" dxfId="1545" priority="3979" operator="containsText" text="SICK">
      <formula>NOT(ISERROR(SEARCH("SICK",U21)))</formula>
    </cfRule>
    <cfRule type="containsText" dxfId="1544" priority="3980" operator="containsText" text="NL">
      <formula>NOT(ISERROR(SEARCH("NL",U21)))</formula>
    </cfRule>
    <cfRule type="containsText" dxfId="1543" priority="3981" stopIfTrue="1" operator="containsText" text="AL">
      <formula>NOT(ISERROR(SEARCH("AL",U21)))</formula>
    </cfRule>
  </conditionalFormatting>
  <conditionalFormatting sqref="U7:X7">
    <cfRule type="containsText" dxfId="1542" priority="3698" operator="containsText" text="AB">
      <formula>NOT(ISERROR(SEARCH("AB",U7)))</formula>
    </cfRule>
    <cfRule type="containsText" dxfId="1541" priority="3700" operator="containsText" text="SICK">
      <formula>NOT(ISERROR(SEARCH("SICK",U7)))</formula>
    </cfRule>
  </conditionalFormatting>
  <conditionalFormatting sqref="V26">
    <cfRule type="containsText" dxfId="1540" priority="3544" operator="containsText" text="SICK">
      <formula>NOT(ISERROR(SEARCH("SICK",V26)))</formula>
    </cfRule>
    <cfRule type="containsText" dxfId="1539" priority="3548" stopIfTrue="1" operator="containsText" text="SICK">
      <formula>NOT(ISERROR(SEARCH("SICK",V26)))</formula>
    </cfRule>
    <cfRule type="containsText" dxfId="1538" priority="3547" stopIfTrue="1" operator="containsText" text="SP">
      <formula>NOT(ISERROR(SEARCH("SP",V26)))</formula>
    </cfRule>
    <cfRule type="containsText" dxfId="1537" priority="3545" operator="containsText" text="NL">
      <formula>NOT(ISERROR(SEARCH("NL",V26)))</formula>
    </cfRule>
    <cfRule type="containsText" dxfId="1536" priority="3543" operator="containsText" text="AL">
      <formula>NOT(ISERROR(SEARCH("AL",V26)))</formula>
    </cfRule>
    <cfRule type="containsText" dxfId="1535" priority="3539" operator="containsText" text="AL">
      <formula>NOT(ISERROR(SEARCH("AL",V26)))</formula>
    </cfRule>
    <cfRule type="containsText" priority="3538" operator="containsText" text="FL">
      <formula>NOT(ISERROR(SEARCH("FL",V26)))</formula>
    </cfRule>
    <cfRule type="containsText" dxfId="1534" priority="3537" operator="containsText" text="FL">
      <formula>NOT(ISERROR(SEARCH("FL",V26)))</formula>
    </cfRule>
    <cfRule type="containsText" dxfId="1533" priority="3527" stopIfTrue="1" operator="containsText" text="AL">
      <formula>NOT(ISERROR(SEARCH("AL",V26)))</formula>
    </cfRule>
    <cfRule type="containsText" dxfId="1532" priority="3526" operator="containsText" text="AB">
      <formula>NOT(ISERROR(SEARCH("AB",V26)))</formula>
    </cfRule>
  </conditionalFormatting>
  <conditionalFormatting sqref="V24:W24 AF25:AG28 AB26:AE28 V27:AA28">
    <cfRule type="containsText" priority="3564" operator="containsText" text="FL">
      <formula>NOT(ISERROR(SEARCH("FL",V24)))</formula>
    </cfRule>
    <cfRule type="containsText" dxfId="1531" priority="3565" operator="containsText" text="AL">
      <formula>NOT(ISERROR(SEARCH("AL",V24)))</formula>
    </cfRule>
    <cfRule type="containsText" dxfId="1530" priority="3568" operator="containsText" text="AB">
      <formula>NOT(ISERROR(SEARCH("AB",V24)))</formula>
    </cfRule>
    <cfRule type="containsText" dxfId="1529" priority="3570" operator="containsText" text="SICK">
      <formula>NOT(ISERROR(SEARCH("SICK",V24)))</formula>
    </cfRule>
    <cfRule type="containsText" dxfId="1528" priority="3563" operator="containsText" text="FL">
      <formula>NOT(ISERROR(SEARCH("FL",V24)))</formula>
    </cfRule>
  </conditionalFormatting>
  <conditionalFormatting sqref="V26:W26">
    <cfRule type="containsText" dxfId="1527" priority="3519" operator="containsText" text="NL">
      <formula>NOT(ISERROR(SEARCH("NL",V26)))</formula>
    </cfRule>
    <cfRule type="containsText" dxfId="1526" priority="3517" operator="containsText" text="AL">
      <formula>NOT(ISERROR(SEARCH("AL",V26)))</formula>
    </cfRule>
  </conditionalFormatting>
  <conditionalFormatting sqref="V17:X17">
    <cfRule type="containsText" dxfId="1525" priority="3802" operator="containsText" text="AB">
      <formula>NOT(ISERROR(SEARCH("AB",V17)))</formula>
    </cfRule>
    <cfRule type="containsText" dxfId="1524" priority="3804" operator="containsText" text="SICK">
      <formula>NOT(ISERROR(SEARCH("SICK",V17)))</formula>
    </cfRule>
    <cfRule type="containsText" dxfId="1523" priority="3797" operator="containsText" text="FL">
      <formula>NOT(ISERROR(SEARCH("FL",V17)))</formula>
    </cfRule>
    <cfRule type="containsText" priority="3798" operator="containsText" text="FL">
      <formula>NOT(ISERROR(SEARCH("FL",V17)))</formula>
    </cfRule>
    <cfRule type="containsText" dxfId="1522" priority="3799" operator="containsText" text="AL">
      <formula>NOT(ISERROR(SEARCH("AL",V17)))</formula>
    </cfRule>
  </conditionalFormatting>
  <conditionalFormatting sqref="V13:AA13">
    <cfRule type="containsText" priority="3720" operator="containsText" text="FL">
      <formula>NOT(ISERROR(SEARCH("FL",V13)))</formula>
    </cfRule>
    <cfRule type="containsText" dxfId="1521" priority="3724" operator="containsText" text="AB">
      <formula>NOT(ISERROR(SEARCH("AB",V13)))</formula>
    </cfRule>
    <cfRule type="containsText" dxfId="1520" priority="3726" operator="containsText" text="SICK">
      <formula>NOT(ISERROR(SEARCH("SICK",V13)))</formula>
    </cfRule>
    <cfRule type="containsText" dxfId="1519" priority="3721" operator="containsText" text="AL">
      <formula>NOT(ISERROR(SEARCH("AL",V13)))</formula>
    </cfRule>
  </conditionalFormatting>
  <conditionalFormatting sqref="V13:AA14">
    <cfRule type="containsText" dxfId="1518" priority="3719" operator="containsText" text="FL">
      <formula>NOT(ISERROR(SEARCH("FL",V13)))</formula>
    </cfRule>
  </conditionalFormatting>
  <conditionalFormatting sqref="V21:AA23">
    <cfRule type="containsText" dxfId="1517" priority="3615" operator="containsText" text="FL">
      <formula>NOT(ISERROR(SEARCH("FL",V21)))</formula>
    </cfRule>
    <cfRule type="containsText" dxfId="1516" priority="3622" operator="containsText" text="SICK">
      <formula>NOT(ISERROR(SEARCH("SICK",V21)))</formula>
    </cfRule>
    <cfRule type="containsText" dxfId="1515" priority="3617" operator="containsText" text="AL">
      <formula>NOT(ISERROR(SEARCH("AL",V21)))</formula>
    </cfRule>
    <cfRule type="containsText" priority="3616" operator="containsText" text="FL">
      <formula>NOT(ISERROR(SEARCH("FL",V21)))</formula>
    </cfRule>
    <cfRule type="containsText" dxfId="1514" priority="3620" operator="containsText" text="AB">
      <formula>NOT(ISERROR(SEARCH("AB",V21)))</formula>
    </cfRule>
  </conditionalFormatting>
  <conditionalFormatting sqref="V26:AA26">
    <cfRule type="containsText" dxfId="1513" priority="3518" operator="containsText" text="SICK">
      <formula>NOT(ISERROR(SEARCH("SICK",V26)))</formula>
    </cfRule>
  </conditionalFormatting>
  <conditionalFormatting sqref="V10:AE11">
    <cfRule type="containsText" dxfId="1512" priority="3252" operator="containsText" text="AB">
      <formula>NOT(ISERROR(SEARCH("AB",V10)))</formula>
    </cfRule>
    <cfRule type="containsText" dxfId="1511" priority="3254" operator="containsText" text="SICK">
      <formula>NOT(ISERROR(SEARCH("SICK",V10)))</formula>
    </cfRule>
    <cfRule type="containsText" dxfId="1510" priority="3249" operator="containsText" text="AL">
      <formula>NOT(ISERROR(SEARCH("AL",V10)))</formula>
    </cfRule>
    <cfRule type="containsText" priority="3248" operator="containsText" text="FL">
      <formula>NOT(ISERROR(SEARCH("FL",V10)))</formula>
    </cfRule>
  </conditionalFormatting>
  <conditionalFormatting sqref="V16:AE16">
    <cfRule type="containsText" dxfId="1509" priority="3425" operator="containsText" text="FL">
      <formula>NOT(ISERROR(SEARCH("FL",V16)))</formula>
    </cfRule>
    <cfRule type="containsText" dxfId="1508" priority="3427" operator="containsText" text="AL">
      <formula>NOT(ISERROR(SEARCH("AL",V16)))</formula>
    </cfRule>
    <cfRule type="containsText" dxfId="1507" priority="3428" operator="containsText" text="AB">
      <formula>NOT(ISERROR(SEARCH("AB",V16)))</formula>
    </cfRule>
    <cfRule type="containsText" dxfId="1506" priority="3429" operator="containsText" text="SICK">
      <formula>NOT(ISERROR(SEARCH("SICK",V16)))</formula>
    </cfRule>
  </conditionalFormatting>
  <conditionalFormatting sqref="V20:AE20">
    <cfRule type="containsText" dxfId="1505" priority="3844" operator="containsText" text="AL">
      <formula>NOT(ISERROR(SEARCH("AL",V20)))</formula>
    </cfRule>
    <cfRule type="containsText" dxfId="1504" priority="3850" stopIfTrue="1" operator="containsText" text="SICK">
      <formula>NOT(ISERROR(SEARCH("SICK",V20)))</formula>
    </cfRule>
    <cfRule type="containsText" dxfId="1503" priority="3851" stopIfTrue="1" operator="containsText" text="AL">
      <formula>NOT(ISERROR(SEARCH("AL",V20)))</formula>
    </cfRule>
    <cfRule type="containsText" dxfId="1502" priority="3847" operator="containsText" text="AB">
      <formula>NOT(ISERROR(SEARCH("AB",V20)))</formula>
    </cfRule>
    <cfRule type="containsText" dxfId="1501" priority="3845" operator="containsText" text="SICK">
      <formula>NOT(ISERROR(SEARCH("SICK",V20)))</formula>
    </cfRule>
    <cfRule type="containsText" dxfId="1500" priority="3846" operator="containsText" text="NL">
      <formula>NOT(ISERROR(SEARCH("NL",V20)))</formula>
    </cfRule>
    <cfRule type="containsText" dxfId="1499" priority="3852" stopIfTrue="1" operator="containsText" text="SP">
      <formula>NOT(ISERROR(SEARCH("SP",V20)))</formula>
    </cfRule>
  </conditionalFormatting>
  <conditionalFormatting sqref="V25:AE25 X54:AG54 AJ54:AQ54 D5:E6 E7:E9">
    <cfRule type="containsText" dxfId="1498" priority="5615" operator="containsText" text="AL">
      <formula>NOT(ISERROR(SEARCH("AL",D5)))</formula>
    </cfRule>
  </conditionalFormatting>
  <conditionalFormatting sqref="V25:AE25 X54:AG54 AJ54:AQ54">
    <cfRule type="containsText" dxfId="1497" priority="5614" operator="containsText" text="AB">
      <formula>NOT(ISERROR(SEARCH("AB",V25)))</formula>
    </cfRule>
  </conditionalFormatting>
  <conditionalFormatting sqref="V8:AG9">
    <cfRule type="containsText" dxfId="1496" priority="3865" stopIfTrue="1" operator="containsText" text="AL">
      <formula>NOT(ISERROR(SEARCH("AL",V8)))</formula>
    </cfRule>
    <cfRule type="containsText" dxfId="1495" priority="3863" operator="containsText" text="NL">
      <formula>NOT(ISERROR(SEARCH("NL",V8)))</formula>
    </cfRule>
    <cfRule type="containsText" dxfId="1494" priority="3862" operator="containsText" text="SICK">
      <formula>NOT(ISERROR(SEARCH("SICK",V8)))</formula>
    </cfRule>
    <cfRule type="containsText" dxfId="1493" priority="3861" operator="containsText" text="AL">
      <formula>NOT(ISERROR(SEARCH("AL",V8)))</formula>
    </cfRule>
    <cfRule type="containsText" dxfId="1492" priority="3866" stopIfTrue="1" operator="containsText" text="SP">
      <formula>NOT(ISERROR(SEARCH("SP",V8)))</formula>
    </cfRule>
    <cfRule type="containsText" dxfId="1491" priority="3867" stopIfTrue="1" operator="containsText" text="SICK">
      <formula>NOT(ISERROR(SEARCH("SICK",V8)))</formula>
    </cfRule>
  </conditionalFormatting>
  <conditionalFormatting sqref="V31:AG31">
    <cfRule type="containsText" dxfId="1490" priority="5506" operator="containsText" text="AB">
      <formula>NOT(ISERROR(SEARCH("AB",V31)))</formula>
    </cfRule>
    <cfRule type="containsText" dxfId="1489" priority="5507" operator="containsText" text="AL">
      <formula>NOT(ISERROR(SEARCH("AL",V31)))</formula>
    </cfRule>
    <cfRule type="containsText" dxfId="1488" priority="5508" operator="containsText" text="SICK">
      <formula>NOT(ISERROR(SEARCH("SICK",V31)))</formula>
    </cfRule>
    <cfRule type="containsText" dxfId="1487" priority="5509" operator="containsText" text="NL">
      <formula>NOT(ISERROR(SEARCH("NL",V31)))</formula>
    </cfRule>
  </conditionalFormatting>
  <conditionalFormatting sqref="W7">
    <cfRule type="containsText" dxfId="1486" priority="3697" operator="containsText" text="SICK">
      <formula>NOT(ISERROR(SEARCH("SICK",W7)))</formula>
    </cfRule>
    <cfRule type="containsText" dxfId="1485" priority="3690" operator="containsText" text="AL">
      <formula>NOT(ISERROR(SEARCH("AL",W7)))</formula>
    </cfRule>
    <cfRule type="containsText" dxfId="1484" priority="3688" stopIfTrue="1" operator="containsText" text="SICK">
      <formula>NOT(ISERROR(SEARCH("SICK",W7)))</formula>
    </cfRule>
    <cfRule type="containsText" dxfId="1483" priority="3683" stopIfTrue="1" operator="containsText" text="AL">
      <formula>NOT(ISERROR(SEARCH("AL",W7)))</formula>
    </cfRule>
    <cfRule type="containsText" dxfId="1482" priority="3682" operator="containsText" text="AB">
      <formula>NOT(ISERROR(SEARCH("AB",W7)))</formula>
    </cfRule>
    <cfRule type="containsText" dxfId="1481" priority="3681" operator="containsText" text="NL">
      <formula>NOT(ISERROR(SEARCH("NL",W7)))</formula>
    </cfRule>
    <cfRule type="containsText" dxfId="1480" priority="3684" stopIfTrue="1" operator="containsText" text="SP">
      <formula>NOT(ISERROR(SEARCH("SP",W7)))</formula>
    </cfRule>
  </conditionalFormatting>
  <conditionalFormatting sqref="W17">
    <cfRule type="containsText" dxfId="1479" priority="3786" operator="containsText" text="AB">
      <formula>NOT(ISERROR(SEARCH("AB",W17)))</formula>
    </cfRule>
    <cfRule type="containsText" dxfId="1478" priority="3785" operator="containsText" text="NL">
      <formula>NOT(ISERROR(SEARCH("NL",W17)))</formula>
    </cfRule>
    <cfRule type="containsText" dxfId="1477" priority="3784" operator="containsText" text="SICK">
      <formula>NOT(ISERROR(SEARCH("SICK",W17)))</formula>
    </cfRule>
    <cfRule type="containsText" dxfId="1476" priority="3783" operator="containsText" text="AL">
      <formula>NOT(ISERROR(SEARCH("AL",W17)))</formula>
    </cfRule>
    <cfRule type="containsText" dxfId="1475" priority="3807" stopIfTrue="1" operator="containsText" text="SP">
      <formula>NOT(ISERROR(SEARCH("SP",W17)))</formula>
    </cfRule>
    <cfRule type="containsText" dxfId="1474" priority="3806" stopIfTrue="1" operator="containsText" text="AL">
      <formula>NOT(ISERROR(SEARCH("AL",W17)))</formula>
    </cfRule>
    <cfRule type="containsText" dxfId="1473" priority="3792" stopIfTrue="1" operator="containsText" text="SICK">
      <formula>NOT(ISERROR(SEARCH("SICK",W17)))</formula>
    </cfRule>
  </conditionalFormatting>
  <conditionalFormatting sqref="W24">
    <cfRule type="containsText" dxfId="1472" priority="3558" stopIfTrue="1" operator="containsText" text="SICK">
      <formula>NOT(ISERROR(SEARCH("SICK",W24)))</formula>
    </cfRule>
    <cfRule type="containsText" dxfId="1471" priority="3553" stopIfTrue="1" operator="containsText" text="AL">
      <formula>NOT(ISERROR(SEARCH("AL",W24)))</formula>
    </cfRule>
    <cfRule type="containsText" dxfId="1470" priority="3551" operator="containsText" text="NL">
      <formula>NOT(ISERROR(SEARCH("NL",W24)))</formula>
    </cfRule>
    <cfRule type="containsText" dxfId="1469" priority="3561" operator="containsText" text="SICK">
      <formula>NOT(ISERROR(SEARCH("SICK",W24)))</formula>
    </cfRule>
    <cfRule type="containsText" dxfId="1468" priority="3573" stopIfTrue="1" operator="containsText" text="SP">
      <formula>NOT(ISERROR(SEARCH("SP",W24)))</formula>
    </cfRule>
    <cfRule type="containsText" dxfId="1467" priority="3560" operator="containsText" text="AL">
      <formula>NOT(ISERROR(SEARCH("AL",W24)))</formula>
    </cfRule>
    <cfRule type="containsText" dxfId="1466" priority="3559" operator="containsText" text="AB">
      <formula>NOT(ISERROR(SEARCH("AB",W24)))</formula>
    </cfRule>
  </conditionalFormatting>
  <conditionalFormatting sqref="W26">
    <cfRule type="containsText" dxfId="1465" priority="3514" operator="containsText" text="AB">
      <formula>NOT(ISERROR(SEARCH("AB",W26)))</formula>
    </cfRule>
    <cfRule type="containsText" dxfId="1464" priority="3515" operator="containsText" text="SICK">
      <formula>NOT(ISERROR(SEARCH("SICK",W26)))</formula>
    </cfRule>
    <cfRule type="containsText" dxfId="1463" priority="3505" stopIfTrue="1" operator="containsText" text="SP">
      <formula>NOT(ISERROR(SEARCH("SP",W26)))</formula>
    </cfRule>
    <cfRule type="containsText" dxfId="1462" priority="3506" stopIfTrue="1" operator="containsText" text="SICK">
      <formula>NOT(ISERROR(SEARCH("SICK",W26)))</formula>
    </cfRule>
    <cfRule type="containsText" dxfId="1461" priority="3508" operator="containsText" text="AL">
      <formula>NOT(ISERROR(SEARCH("AL",W26)))</formula>
    </cfRule>
    <cfRule type="containsText" dxfId="1460" priority="3510" operator="containsText" text="NL">
      <formula>NOT(ISERROR(SEARCH("NL",W26)))</formula>
    </cfRule>
    <cfRule type="containsText" dxfId="1459" priority="3520" stopIfTrue="1" operator="containsText" text="AL">
      <formula>NOT(ISERROR(SEARCH("AL",W26)))</formula>
    </cfRule>
  </conditionalFormatting>
  <conditionalFormatting sqref="W26:AA26">
    <cfRule type="containsText" priority="3512" operator="containsText" text="FL">
      <formula>NOT(ISERROR(SEARCH("FL",W26)))</formula>
    </cfRule>
    <cfRule type="containsText" dxfId="1458" priority="3516" operator="containsText" text="AB">
      <formula>NOT(ISERROR(SEARCH("AB",W26)))</formula>
    </cfRule>
    <cfRule type="containsText" dxfId="1457" priority="3513" operator="containsText" text="AL">
      <formula>NOT(ISERROR(SEARCH("AL",W26)))</formula>
    </cfRule>
    <cfRule type="containsText" dxfId="1456" priority="3511" operator="containsText" text="FL">
      <formula>NOT(ISERROR(SEARCH("FL",W26)))</formula>
    </cfRule>
  </conditionalFormatting>
  <conditionalFormatting sqref="X24:AA24">
    <cfRule type="containsText" dxfId="1455" priority="3596" operator="containsText" text="SICK">
      <formula>NOT(ISERROR(SEARCH("SICK",X24)))</formula>
    </cfRule>
    <cfRule type="containsText" dxfId="1454" priority="3589" operator="containsText" text="FL">
      <formula>NOT(ISERROR(SEARCH("FL",X24)))</formula>
    </cfRule>
    <cfRule type="containsText" priority="3590" operator="containsText" text="FL">
      <formula>NOT(ISERROR(SEARCH("FL",X24)))</formula>
    </cfRule>
    <cfRule type="containsText" dxfId="1453" priority="3591" operator="containsText" text="AL">
      <formula>NOT(ISERROR(SEARCH("AL",X24)))</formula>
    </cfRule>
    <cfRule type="containsText" dxfId="1452" priority="3592" operator="containsText" text="AB">
      <formula>NOT(ISERROR(SEARCH("AB",X24)))</formula>
    </cfRule>
  </conditionalFormatting>
  <conditionalFormatting sqref="Y7">
    <cfRule type="containsText" dxfId="1451" priority="3678" stopIfTrue="1" operator="containsText" text="SICK">
      <formula>NOT(ISERROR(SEARCH("SICK",Y7)))</formula>
    </cfRule>
    <cfRule type="containsText" dxfId="1450" priority="3671" operator="containsText" text="SICK">
      <formula>NOT(ISERROR(SEARCH("SICK",Y7)))</formula>
    </cfRule>
    <cfRule type="containsText" dxfId="1449" priority="3677" stopIfTrue="1" operator="containsText" text="SP">
      <formula>NOT(ISERROR(SEARCH("SP",Y7)))</formula>
    </cfRule>
    <cfRule type="containsText" dxfId="1448" priority="3670" operator="containsText" text="AB">
      <formula>NOT(ISERROR(SEARCH("AB",Y7)))</formula>
    </cfRule>
    <cfRule type="containsText" dxfId="1447" priority="3675" operator="containsText" text="NL">
      <formula>NOT(ISERROR(SEARCH("NL",Y7)))</formula>
    </cfRule>
    <cfRule type="containsText" dxfId="1446" priority="3673" operator="containsText" text="AL">
      <formula>NOT(ISERROR(SEARCH("AL",Y7)))</formula>
    </cfRule>
    <cfRule type="containsText" dxfId="1445" priority="3660" stopIfTrue="1" operator="containsText" text="AL">
      <formula>NOT(ISERROR(SEARCH("AL",Y7)))</formula>
    </cfRule>
  </conditionalFormatting>
  <conditionalFormatting sqref="Y13">
    <cfRule type="containsText" dxfId="1444" priority="3709" stopIfTrue="1" operator="containsText" text="AL">
      <formula>NOT(ISERROR(SEARCH("AL",Y13)))</formula>
    </cfRule>
    <cfRule type="containsText" dxfId="1443" priority="3718" operator="containsText" text="NL">
      <formula>NOT(ISERROR(SEARCH("NL",Y13)))</formula>
    </cfRule>
    <cfRule type="containsText" dxfId="1442" priority="3710" stopIfTrue="1" operator="containsText" text="SP">
      <formula>NOT(ISERROR(SEARCH("SP",Y13)))</formula>
    </cfRule>
    <cfRule type="containsText" dxfId="1441" priority="3705" operator="containsText" text="AL">
      <formula>NOT(ISERROR(SEARCH("AL",Y13)))</formula>
    </cfRule>
    <cfRule type="containsText" dxfId="1440" priority="3723" operator="containsText" text="SICK">
      <formula>NOT(ISERROR(SEARCH("SICK",Y13)))</formula>
    </cfRule>
    <cfRule type="containsText" dxfId="1439" priority="3730" stopIfTrue="1" operator="containsText" text="SICK">
      <formula>NOT(ISERROR(SEARCH("SICK",Y13)))</formula>
    </cfRule>
    <cfRule type="containsText" dxfId="1438" priority="3708" operator="containsText" text="AB">
      <formula>NOT(ISERROR(SEARCH("AB",Y13)))</formula>
    </cfRule>
  </conditionalFormatting>
  <conditionalFormatting sqref="Y17">
    <cfRule type="containsText" dxfId="1437" priority="3770" operator="containsText" text="NL">
      <formula>NOT(ISERROR(SEARCH("NL",Y17)))</formula>
    </cfRule>
    <cfRule type="containsText" dxfId="1436" priority="3769" operator="containsText" text="SICK">
      <formula>NOT(ISERROR(SEARCH("SICK",Y17)))</formula>
    </cfRule>
    <cfRule type="containsText" dxfId="1435" priority="3768" operator="containsText" text="AL">
      <formula>NOT(ISERROR(SEARCH("AL",Y17)))</formula>
    </cfRule>
    <cfRule type="containsText" dxfId="1434" priority="3760" operator="containsText" text="AB">
      <formula>NOT(ISERROR(SEARCH("AB",Y17)))</formula>
    </cfRule>
    <cfRule type="containsText" dxfId="1433" priority="3761" stopIfTrue="1" operator="containsText" text="AL">
      <formula>NOT(ISERROR(SEARCH("AL",Y17)))</formula>
    </cfRule>
    <cfRule type="containsText" dxfId="1432" priority="3762" stopIfTrue="1" operator="containsText" text="SP">
      <formula>NOT(ISERROR(SEARCH("SP",Y17)))</formula>
    </cfRule>
    <cfRule type="containsText" dxfId="1431" priority="3763" stopIfTrue="1" operator="containsText" text="SICK">
      <formula>NOT(ISERROR(SEARCH("SICK",Y17)))</formula>
    </cfRule>
  </conditionalFormatting>
  <conditionalFormatting sqref="Y24">
    <cfRule type="containsText" dxfId="1430" priority="3587" operator="containsText" text="SICK">
      <formula>NOT(ISERROR(SEARCH("SICK",Y24)))</formula>
    </cfRule>
    <cfRule type="containsText" dxfId="1429" priority="3586" operator="containsText" text="AL">
      <formula>NOT(ISERROR(SEARCH("AL",Y24)))</formula>
    </cfRule>
    <cfRule type="containsText" dxfId="1428" priority="3584" stopIfTrue="1" operator="containsText" text="SICK">
      <formula>NOT(ISERROR(SEARCH("SICK",Y24)))</formula>
    </cfRule>
    <cfRule type="containsText" dxfId="1427" priority="3583" stopIfTrue="1" operator="containsText" text="SP">
      <formula>NOT(ISERROR(SEARCH("SP",Y24)))</formula>
    </cfRule>
    <cfRule type="containsText" dxfId="1426" priority="3582" stopIfTrue="1" operator="containsText" text="AL">
      <formula>NOT(ISERROR(SEARCH("AL",Y24)))</formula>
    </cfRule>
    <cfRule type="containsText" dxfId="1425" priority="3597" operator="containsText" text="NL">
      <formula>NOT(ISERROR(SEARCH("NL",Y24)))</formula>
    </cfRule>
  </conditionalFormatting>
  <conditionalFormatting sqref="Y7:Z7">
    <cfRule type="containsText" dxfId="1424" priority="3672" operator="containsText" text="AB">
      <formula>NOT(ISERROR(SEARCH("AB",Y7)))</formula>
    </cfRule>
    <cfRule type="containsText" dxfId="1423" priority="3667" operator="containsText" text="FL">
      <formula>NOT(ISERROR(SEARCH("FL",Y7)))</formula>
    </cfRule>
    <cfRule type="containsText" dxfId="1422" priority="3674" operator="containsText" text="SICK">
      <formula>NOT(ISERROR(SEARCH("SICK",Y7)))</formula>
    </cfRule>
    <cfRule type="containsText" priority="3668" operator="containsText" text="FL">
      <formula>NOT(ISERROR(SEARCH("FL",Y7)))</formula>
    </cfRule>
    <cfRule type="containsText" dxfId="1421" priority="3669" operator="containsText" text="AL">
      <formula>NOT(ISERROR(SEARCH("AL",Y7)))</formula>
    </cfRule>
  </conditionalFormatting>
  <conditionalFormatting sqref="Y17:Z17">
    <cfRule type="containsText" dxfId="1420" priority="3778" operator="containsText" text="SICK">
      <formula>NOT(ISERROR(SEARCH("SICK",Y17)))</formula>
    </cfRule>
    <cfRule type="containsText" dxfId="1419" priority="3776" operator="containsText" text="AB">
      <formula>NOT(ISERROR(SEARCH("AB",Y17)))</formula>
    </cfRule>
    <cfRule type="containsText" dxfId="1418" priority="3773" operator="containsText" text="AL">
      <formula>NOT(ISERROR(SEARCH("AL",Y17)))</formula>
    </cfRule>
    <cfRule type="containsText" dxfId="1417" priority="3771" operator="containsText" text="FL">
      <formula>NOT(ISERROR(SEARCH("FL",Y17)))</formula>
    </cfRule>
    <cfRule type="containsText" priority="3772" operator="containsText" text="FL">
      <formula>NOT(ISERROR(SEARCH("FL",Y17)))</formula>
    </cfRule>
  </conditionalFormatting>
  <conditionalFormatting sqref="Z8:AA9">
    <cfRule type="containsText" dxfId="1416" priority="5441" operator="containsText" text="NL">
      <formula>NOT(ISERROR(SEARCH("NL",Z8)))</formula>
    </cfRule>
    <cfRule type="containsText" dxfId="1415" priority="5442" stopIfTrue="1" operator="containsText" text="AL">
      <formula>NOT(ISERROR(SEARCH("AL",Z8)))</formula>
    </cfRule>
    <cfRule type="containsText" dxfId="1414" priority="5444" stopIfTrue="1" operator="containsText" text="SICK">
      <formula>NOT(ISERROR(SEARCH("SICK",Z8)))</formula>
    </cfRule>
    <cfRule type="containsText" dxfId="1413" priority="5443" stopIfTrue="1" operator="containsText" text="SP">
      <formula>NOT(ISERROR(SEARCH("SP",Z8)))</formula>
    </cfRule>
  </conditionalFormatting>
  <conditionalFormatting sqref="Z15:AA15 Z18:AA18">
    <cfRule type="containsText" dxfId="1412" priority="5553" stopIfTrue="1" operator="containsText" text="AL">
      <formula>NOT(ISERROR(SEARCH("AL",Z15)))</formula>
    </cfRule>
    <cfRule type="containsText" dxfId="1411" priority="5555" stopIfTrue="1" operator="containsText" text="SICK">
      <formula>NOT(ISERROR(SEARCH("SICK",Z15)))</formula>
    </cfRule>
    <cfRule type="containsText" dxfId="1410" priority="5554" stopIfTrue="1" operator="containsText" text="SP">
      <formula>NOT(ISERROR(SEARCH("SP",Z15)))</formula>
    </cfRule>
  </conditionalFormatting>
  <conditionalFormatting sqref="Z31:AA31 D54:W54 AH54">
    <cfRule type="containsText" dxfId="1409" priority="5546" stopIfTrue="1" operator="containsText" text="AL">
      <formula>NOT(ISERROR(SEARCH("AL",D31)))</formula>
    </cfRule>
  </conditionalFormatting>
  <conditionalFormatting sqref="Z31:AA31">
    <cfRule type="containsText" dxfId="1408" priority="5548" stopIfTrue="1" operator="containsText" text="SICK">
      <formula>NOT(ISERROR(SEARCH("SICK",Z31)))</formula>
    </cfRule>
    <cfRule type="containsText" dxfId="1407" priority="5547" stopIfTrue="1" operator="containsText" text="SP">
      <formula>NOT(ISERROR(SEARCH("SP",Z31)))</formula>
    </cfRule>
  </conditionalFormatting>
  <conditionalFormatting sqref="Z8:AG9">
    <cfRule type="containsText" dxfId="1406" priority="5439" operator="containsText" text="AL">
      <formula>NOT(ISERROR(SEARCH("AL",Z8)))</formula>
    </cfRule>
    <cfRule type="containsText" dxfId="1405" priority="5438" operator="containsText" text="AB">
      <formula>NOT(ISERROR(SEARCH("AB",Z8)))</formula>
    </cfRule>
    <cfRule type="containsText" dxfId="1404" priority="5440" operator="containsText" text="SICK">
      <formula>NOT(ISERROR(SEARCH("SICK",Z8)))</formula>
    </cfRule>
  </conditionalFormatting>
  <conditionalFormatting sqref="AA7">
    <cfRule type="containsText" dxfId="1403" priority="3646" operator="containsText" text="AB">
      <formula>NOT(ISERROR(SEARCH("AB",AA7)))</formula>
    </cfRule>
    <cfRule type="containsText" dxfId="1402" priority="3652" stopIfTrue="1" operator="containsText" text="SICK">
      <formula>NOT(ISERROR(SEARCH("SICK",AA7)))</formula>
    </cfRule>
    <cfRule type="containsText" dxfId="1401" priority="3649" operator="containsText" text="NL">
      <formula>NOT(ISERROR(SEARCH("NL",AA7)))</formula>
    </cfRule>
    <cfRule type="containsText" dxfId="1400" priority="3643" operator="containsText" text="AL">
      <formula>NOT(ISERROR(SEARCH("AL",AA7)))</formula>
    </cfRule>
    <cfRule type="containsText" dxfId="1399" priority="3647" operator="containsText" text="AL">
      <formula>NOT(ISERROR(SEARCH("AL",AA7)))</formula>
    </cfRule>
    <cfRule type="containsText" dxfId="1398" priority="3645" operator="containsText" text="SICK">
      <formula>NOT(ISERROR(SEARCH("SICK",AA7)))</formula>
    </cfRule>
    <cfRule type="containsText" priority="3642" operator="containsText" text="FL">
      <formula>NOT(ISERROR(SEARCH("FL",AA7)))</formula>
    </cfRule>
    <cfRule type="containsText" dxfId="1397" priority="3641" operator="containsText" text="FL">
      <formula>NOT(ISERROR(SEARCH("FL",AA7)))</formula>
    </cfRule>
    <cfRule type="containsText" dxfId="1396" priority="3632" stopIfTrue="1" operator="containsText" text="SP">
      <formula>NOT(ISERROR(SEARCH("SP",AA7)))</formula>
    </cfRule>
    <cfRule type="containsText" dxfId="1395" priority="3631" stopIfTrue="1" operator="containsText" text="AL">
      <formula>NOT(ISERROR(SEARCH("AL",AA7)))</formula>
    </cfRule>
  </conditionalFormatting>
  <conditionalFormatting sqref="AA17">
    <cfRule type="containsText" dxfId="1394" priority="3752" operator="containsText" text="SICK">
      <formula>NOT(ISERROR(SEARCH("SICK",AA17)))</formula>
    </cfRule>
    <cfRule type="containsText" dxfId="1393" priority="3735" stopIfTrue="1" operator="containsText" text="AL">
      <formula>NOT(ISERROR(SEARCH("AL",AA17)))</formula>
    </cfRule>
    <cfRule type="containsText" dxfId="1392" priority="3736" stopIfTrue="1" operator="containsText" text="SP">
      <formula>NOT(ISERROR(SEARCH("SP",AA17)))</formula>
    </cfRule>
    <cfRule type="containsText" dxfId="1391" priority="3740" stopIfTrue="1" operator="containsText" text="SICK">
      <formula>NOT(ISERROR(SEARCH("SICK",AA17)))</formula>
    </cfRule>
    <cfRule type="containsText" dxfId="1390" priority="3744" operator="containsText" text="NL">
      <formula>NOT(ISERROR(SEARCH("NL",AA17)))</formula>
    </cfRule>
    <cfRule type="containsText" dxfId="1389" priority="3745" operator="containsText" text="FL">
      <formula>NOT(ISERROR(SEARCH("FL",AA17)))</formula>
    </cfRule>
    <cfRule type="containsText" priority="3746" operator="containsText" text="FL">
      <formula>NOT(ISERROR(SEARCH("FL",AA17)))</formula>
    </cfRule>
    <cfRule type="containsText" dxfId="1388" priority="3747" operator="containsText" text="AL">
      <formula>NOT(ISERROR(SEARCH("AL",AA17)))</formula>
    </cfRule>
    <cfRule type="containsText" dxfId="1387" priority="3748" operator="containsText" text="AB">
      <formula>NOT(ISERROR(SEARCH("AB",AA17)))</formula>
    </cfRule>
    <cfRule type="containsText" dxfId="1386" priority="3751" operator="containsText" text="AL">
      <formula>NOT(ISERROR(SEARCH("AL",AA17)))</formula>
    </cfRule>
  </conditionalFormatting>
  <conditionalFormatting sqref="AA23">
    <cfRule type="containsText" dxfId="1385" priority="3610" stopIfTrue="1" operator="containsText" text="SICK">
      <formula>NOT(ISERROR(SEARCH("SICK",AA23)))</formula>
    </cfRule>
    <cfRule type="containsText" dxfId="1384" priority="3609" stopIfTrue="1" operator="containsText" text="SP">
      <formula>NOT(ISERROR(SEARCH("SP",AA23)))</formula>
    </cfRule>
    <cfRule type="containsText" dxfId="1383" priority="3608" stopIfTrue="1" operator="containsText" text="AL">
      <formula>NOT(ISERROR(SEARCH("AL",AA23)))</formula>
    </cfRule>
    <cfRule type="containsText" dxfId="1382" priority="3603" operator="containsText" text="NL">
      <formula>NOT(ISERROR(SEARCH("NL",AA23)))</formula>
    </cfRule>
    <cfRule type="containsText" dxfId="1381" priority="3602" operator="containsText" text="SICK">
      <formula>NOT(ISERROR(SEARCH("SICK",AA23)))</formula>
    </cfRule>
    <cfRule type="containsText" dxfId="1380" priority="3611" operator="containsText" text="AB">
      <formula>NOT(ISERROR(SEARCH("AB",AA23)))</formula>
    </cfRule>
    <cfRule type="containsText" dxfId="1379" priority="3612" operator="containsText" text="AL">
      <formula>NOT(ISERROR(SEARCH("AL",AA23)))</formula>
    </cfRule>
  </conditionalFormatting>
  <conditionalFormatting sqref="AA25:AC25">
    <cfRule type="containsText" dxfId="1378" priority="5573" stopIfTrue="1" operator="containsText" text="SICK">
      <formula>NOT(ISERROR(SEARCH("SICK",AA25)))</formula>
    </cfRule>
    <cfRule type="containsText" dxfId="1377" priority="5572" stopIfTrue="1" operator="containsText" text="SP">
      <formula>NOT(ISERROR(SEARCH("SP",AA25)))</formula>
    </cfRule>
    <cfRule type="containsText" dxfId="1376" priority="5571" stopIfTrue="1" operator="containsText" text="AL">
      <formula>NOT(ISERROR(SEARCH("AL",AA25)))</formula>
    </cfRule>
  </conditionalFormatting>
  <conditionalFormatting sqref="AB17:AC17">
    <cfRule type="containsText" dxfId="1375" priority="3299" operator="containsText" text="FL">
      <formula>NOT(ISERROR(SEARCH("FL",AB17)))</formula>
    </cfRule>
    <cfRule type="containsText" dxfId="1374" priority="3301" operator="containsText" text="AL">
      <formula>NOT(ISERROR(SEARCH("AL",AB17)))</formula>
    </cfRule>
    <cfRule type="containsText" dxfId="1373" priority="3304" operator="containsText" text="AB">
      <formula>NOT(ISERROR(SEARCH("AB",AB17)))</formula>
    </cfRule>
    <cfRule type="containsText" dxfId="1372" priority="3306" operator="containsText" text="SICK">
      <formula>NOT(ISERROR(SEARCH("SICK",AB17)))</formula>
    </cfRule>
  </conditionalFormatting>
  <conditionalFormatting sqref="AB7:AD7">
    <cfRule type="containsText" dxfId="1371" priority="3480" operator="containsText" text="FL">
      <formula>NOT(ISERROR(SEARCH("FL",AB7)))</formula>
    </cfRule>
    <cfRule type="containsText" dxfId="1370" priority="3482" operator="containsText" text="AL">
      <formula>NOT(ISERROR(SEARCH("AL",AB7)))</formula>
    </cfRule>
    <cfRule type="containsText" priority="3481" operator="containsText" text="FL">
      <formula>NOT(ISERROR(SEARCH("FL",AB7)))</formula>
    </cfRule>
    <cfRule type="containsText" dxfId="1369" priority="3485" operator="containsText" text="AB">
      <formula>NOT(ISERROR(SEARCH("AB",AB7)))</formula>
    </cfRule>
    <cfRule type="containsText" dxfId="1368" priority="3487" operator="containsText" text="SICK">
      <formula>NOT(ISERROR(SEARCH("SICK",AB7)))</formula>
    </cfRule>
  </conditionalFormatting>
  <conditionalFormatting sqref="AB21:AD21">
    <cfRule type="containsText" dxfId="1367" priority="3377" operator="containsText" text="FL">
      <formula>NOT(ISERROR(SEARCH("FL",AB21)))</formula>
    </cfRule>
    <cfRule type="containsText" dxfId="1366" priority="3382" operator="containsText" text="AB">
      <formula>NOT(ISERROR(SEARCH("AB",AB21)))</formula>
    </cfRule>
    <cfRule type="containsText" dxfId="1365" priority="3384" operator="containsText" text="SICK">
      <formula>NOT(ISERROR(SEARCH("SICK",AB21)))</formula>
    </cfRule>
    <cfRule type="containsText" dxfId="1364" priority="3379" operator="containsText" text="AL">
      <formula>NOT(ISERROR(SEARCH("AL",AB21)))</formula>
    </cfRule>
  </conditionalFormatting>
  <conditionalFormatting sqref="AB13:AE13">
    <cfRule type="containsText" priority="3274" operator="containsText" text="FL">
      <formula>NOT(ISERROR(SEARCH("FL",AB13)))</formula>
    </cfRule>
  </conditionalFormatting>
  <conditionalFormatting sqref="AB13:AE14">
    <cfRule type="containsText" dxfId="1363" priority="3273" operator="containsText" text="FL">
      <formula>NOT(ISERROR(SEARCH("FL",AB13)))</formula>
    </cfRule>
    <cfRule type="containsText" dxfId="1362" priority="3275" operator="containsText" text="AL">
      <formula>NOT(ISERROR(SEARCH("AL",AB13)))</formula>
    </cfRule>
    <cfRule type="containsText" dxfId="1361" priority="3278" operator="containsText" text="AB">
      <formula>NOT(ISERROR(SEARCH("AB",AB13)))</formula>
    </cfRule>
    <cfRule type="containsText" dxfId="1360" priority="3280" operator="containsText" text="SICK">
      <formula>NOT(ISERROR(SEARCH("SICK",AB13)))</formula>
    </cfRule>
  </conditionalFormatting>
  <conditionalFormatting sqref="AB17:AE17">
    <cfRule type="containsText" priority="3300" operator="containsText" text="FL">
      <formula>NOT(ISERROR(SEARCH("FL",AB17)))</formula>
    </cfRule>
  </conditionalFormatting>
  <conditionalFormatting sqref="AB21:AE21">
    <cfRule type="containsText" priority="3352" operator="containsText" text="FL">
      <formula>NOT(ISERROR(SEARCH("FL",AB21)))</formula>
    </cfRule>
  </conditionalFormatting>
  <conditionalFormatting sqref="AB22:AE24">
    <cfRule type="containsText" dxfId="1359" priority="3403" operator="containsText" text="FL">
      <formula>NOT(ISERROR(SEARCH("FL",AB22)))</formula>
    </cfRule>
    <cfRule type="containsText" dxfId="1358" priority="3410" operator="containsText" text="SICK">
      <formula>NOT(ISERROR(SEARCH("SICK",AB22)))</formula>
    </cfRule>
    <cfRule type="containsText" dxfId="1357" priority="3408" operator="containsText" text="AB">
      <formula>NOT(ISERROR(SEARCH("AB",AB22)))</formula>
    </cfRule>
    <cfRule type="containsText" dxfId="1356" priority="3405" operator="containsText" text="AL">
      <formula>NOT(ISERROR(SEARCH("AL",AB22)))</formula>
    </cfRule>
    <cfRule type="containsText" priority="3404" operator="containsText" text="FL">
      <formula>NOT(ISERROR(SEARCH("FL",AB22)))</formula>
    </cfRule>
  </conditionalFormatting>
  <conditionalFormatting sqref="AB8:AH8">
    <cfRule type="containsText" dxfId="1355" priority="5437" stopIfTrue="1" operator="containsText" text="SICK">
      <formula>NOT(ISERROR(SEARCH("SICK",AB8)))</formula>
    </cfRule>
    <cfRule type="containsText" dxfId="1354" priority="5436" stopIfTrue="1" operator="containsText" text="SP">
      <formula>NOT(ISERROR(SEARCH("SP",AB8)))</formula>
    </cfRule>
    <cfRule type="containsText" dxfId="1353" priority="5435" stopIfTrue="1" operator="containsText" text="AL">
      <formula>NOT(ISERROR(SEARCH("AL",AB8)))</formula>
    </cfRule>
  </conditionalFormatting>
  <conditionalFormatting sqref="AC7">
    <cfRule type="containsText" dxfId="1352" priority="3468" operator="containsText" text="NL">
      <formula>NOT(ISERROR(SEARCH("NL",AC7)))</formula>
    </cfRule>
    <cfRule type="containsText" dxfId="1351" priority="3469" operator="containsText" text="AB">
      <formula>NOT(ISERROR(SEARCH("AB",AC7)))</formula>
    </cfRule>
    <cfRule type="containsText" dxfId="1350" priority="3470" stopIfTrue="1" operator="containsText" text="AL">
      <formula>NOT(ISERROR(SEARCH("AL",AC7)))</formula>
    </cfRule>
    <cfRule type="containsText" dxfId="1349" priority="3471" stopIfTrue="1" operator="containsText" text="SP">
      <formula>NOT(ISERROR(SEARCH("SP",AC7)))</formula>
    </cfRule>
    <cfRule type="containsText" dxfId="1348" priority="3472" stopIfTrue="1" operator="containsText" text="SICK">
      <formula>NOT(ISERROR(SEARCH("SICK",AC7)))</formula>
    </cfRule>
    <cfRule type="containsText" dxfId="1347" priority="3478" operator="containsText" text="SICK">
      <formula>NOT(ISERROR(SEARCH("SICK",AC7)))</formula>
    </cfRule>
    <cfRule type="containsText" dxfId="1346" priority="3477" operator="containsText" text="AL">
      <formula>NOT(ISERROR(SEARCH("AL",AC7)))</formula>
    </cfRule>
  </conditionalFormatting>
  <conditionalFormatting sqref="AC11">
    <cfRule type="containsText" dxfId="1345" priority="3255" operator="containsText" text="NL">
      <formula>NOT(ISERROR(SEARCH("NL",AC11)))</formula>
    </cfRule>
    <cfRule type="containsText" dxfId="1344" priority="3233" operator="containsText" text="AL">
      <formula>NOT(ISERROR(SEARCH("AL",AC11)))</formula>
    </cfRule>
    <cfRule type="containsText" dxfId="1343" priority="3236" operator="containsText" text="AB">
      <formula>NOT(ISERROR(SEARCH("AB",AC11)))</formula>
    </cfRule>
    <cfRule type="containsText" dxfId="1342" priority="3251" operator="containsText" text="SICK">
      <formula>NOT(ISERROR(SEARCH("SICK",AC11)))</formula>
    </cfRule>
    <cfRule type="containsText" dxfId="1341" priority="3256" stopIfTrue="1" operator="containsText" text="AL">
      <formula>NOT(ISERROR(SEARCH("AL",AC11)))</formula>
    </cfRule>
    <cfRule type="containsText" dxfId="1340" priority="3258" stopIfTrue="1" operator="containsText" text="SICK">
      <formula>NOT(ISERROR(SEARCH("SICK",AC11)))</formula>
    </cfRule>
    <cfRule type="containsText" dxfId="1339" priority="3257" stopIfTrue="1" operator="containsText" text="SP">
      <formula>NOT(ISERROR(SEARCH("SP",AC11)))</formula>
    </cfRule>
  </conditionalFormatting>
  <conditionalFormatting sqref="AC13">
    <cfRule type="containsText" dxfId="1338" priority="3279" operator="containsText" text="AL">
      <formula>NOT(ISERROR(SEARCH("AL",AC13)))</formula>
    </cfRule>
    <cfRule type="containsText" dxfId="1337" priority="3272" operator="containsText" text="NL">
      <formula>NOT(ISERROR(SEARCH("NL",AC13)))</formula>
    </cfRule>
    <cfRule type="containsText" dxfId="1336" priority="3284" stopIfTrue="1" operator="containsText" text="SICK">
      <formula>NOT(ISERROR(SEARCH("SICK",AC13)))</formula>
    </cfRule>
    <cfRule type="containsText" dxfId="1335" priority="3283" stopIfTrue="1" operator="containsText" text="SP">
      <formula>NOT(ISERROR(SEARCH("SP",AC13)))</formula>
    </cfRule>
    <cfRule type="containsText" dxfId="1334" priority="3282" stopIfTrue="1" operator="containsText" text="AL">
      <formula>NOT(ISERROR(SEARCH("AL",AC13)))</formula>
    </cfRule>
    <cfRule type="containsText" dxfId="1333" priority="3277" operator="containsText" text="SICK">
      <formula>NOT(ISERROR(SEARCH("SICK",AC13)))</formula>
    </cfRule>
    <cfRule type="containsText" dxfId="1332" priority="3276" operator="containsText" text="AB">
      <formula>NOT(ISERROR(SEARCH("AB",AC13)))</formula>
    </cfRule>
  </conditionalFormatting>
  <conditionalFormatting sqref="AC17">
    <cfRule type="containsText" dxfId="1331" priority="3309" stopIfTrue="1" operator="containsText" text="SP">
      <formula>NOT(ISERROR(SEARCH("SP",AC17)))</formula>
    </cfRule>
    <cfRule type="containsText" dxfId="1330" priority="3307" operator="containsText" text="NL">
      <formula>NOT(ISERROR(SEARCH("NL",AC17)))</formula>
    </cfRule>
    <cfRule type="containsText" dxfId="1329" priority="3303" operator="containsText" text="SICK">
      <formula>NOT(ISERROR(SEARCH("SICK",AC17)))</formula>
    </cfRule>
    <cfRule type="containsText" dxfId="1328" priority="3294" stopIfTrue="1" operator="containsText" text="SICK">
      <formula>NOT(ISERROR(SEARCH("SICK",AC17)))</formula>
    </cfRule>
    <cfRule type="containsText" dxfId="1327" priority="3305" operator="containsText" text="AL">
      <formula>NOT(ISERROR(SEARCH("AL",AC17)))</formula>
    </cfRule>
    <cfRule type="containsText" dxfId="1326" priority="3302" operator="containsText" text="AB">
      <formula>NOT(ISERROR(SEARCH("AB",AC17)))</formula>
    </cfRule>
    <cfRule type="containsText" dxfId="1325" priority="3308" stopIfTrue="1" operator="containsText" text="AL">
      <formula>NOT(ISERROR(SEARCH("AL",AC17)))</formula>
    </cfRule>
  </conditionalFormatting>
  <conditionalFormatting sqref="AC21">
    <cfRule type="containsText" dxfId="1324" priority="3388" stopIfTrue="1" operator="containsText" text="SICK">
      <formula>NOT(ISERROR(SEARCH("SICK",AC21)))</formula>
    </cfRule>
    <cfRule type="containsText" dxfId="1323" priority="3375" operator="containsText" text="SICK">
      <formula>NOT(ISERROR(SEARCH("SICK",AC21)))</formula>
    </cfRule>
    <cfRule type="containsText" dxfId="1322" priority="3376" operator="containsText" text="NL">
      <formula>NOT(ISERROR(SEARCH("NL",AC21)))</formula>
    </cfRule>
    <cfRule type="containsText" dxfId="1321" priority="3374" operator="containsText" text="AL">
      <formula>NOT(ISERROR(SEARCH("AL",AC21)))</formula>
    </cfRule>
    <cfRule type="containsText" dxfId="1320" priority="3386" stopIfTrue="1" operator="containsText" text="AL">
      <formula>NOT(ISERROR(SEARCH("AL",AC21)))</formula>
    </cfRule>
    <cfRule type="containsText" dxfId="1319" priority="3373" operator="containsText" text="AB">
      <formula>NOT(ISERROR(SEARCH("AB",AC21)))</formula>
    </cfRule>
    <cfRule type="containsText" dxfId="1318" priority="3387" stopIfTrue="1" operator="containsText" text="SP">
      <formula>NOT(ISERROR(SEARCH("SP",AC21)))</formula>
    </cfRule>
  </conditionalFormatting>
  <conditionalFormatting sqref="AD17:AE17">
    <cfRule type="containsText" dxfId="1317" priority="3325" operator="containsText" text="FL">
      <formula>NOT(ISERROR(SEARCH("FL",AD17)))</formula>
    </cfRule>
    <cfRule type="containsText" dxfId="1316" priority="3327" operator="containsText" text="AL">
      <formula>NOT(ISERROR(SEARCH("AL",AD17)))</formula>
    </cfRule>
    <cfRule type="containsText" dxfId="1315" priority="3332" operator="containsText" text="SICK">
      <formula>NOT(ISERROR(SEARCH("SICK",AD17)))</formula>
    </cfRule>
    <cfRule type="containsText" dxfId="1314" priority="3330" operator="containsText" text="AB">
      <formula>NOT(ISERROR(SEARCH("AB",AD17)))</formula>
    </cfRule>
  </conditionalFormatting>
  <conditionalFormatting sqref="AE7">
    <cfRule type="containsText" dxfId="1313" priority="3464" stopIfTrue="1" operator="containsText" text="SP">
      <formula>NOT(ISERROR(SEARCH("SP",AE7)))</formula>
    </cfRule>
    <cfRule type="containsText" dxfId="1312" priority="3447" stopIfTrue="1" operator="containsText" text="AL">
      <formula>NOT(ISERROR(SEARCH("AL",AE7)))</formula>
    </cfRule>
    <cfRule type="containsText" dxfId="1311" priority="3449" stopIfTrue="1" operator="containsText" text="SICK">
      <formula>NOT(ISERROR(SEARCH("SICK",AE7)))</formula>
    </cfRule>
    <cfRule type="containsText" dxfId="1310" priority="3450" operator="containsText" text="AB">
      <formula>NOT(ISERROR(SEARCH("AB",AE7)))</formula>
    </cfRule>
    <cfRule type="containsText" dxfId="1309" priority="3451" operator="containsText" text="AL">
      <formula>NOT(ISERROR(SEARCH("AL",AE7)))</formula>
    </cfRule>
    <cfRule type="containsText" dxfId="1308" priority="3452" operator="containsText" text="SICK">
      <formula>NOT(ISERROR(SEARCH("SICK",AE7)))</formula>
    </cfRule>
    <cfRule type="containsText" dxfId="1307" priority="3453" operator="containsText" text="NL">
      <formula>NOT(ISERROR(SEARCH("NL",AE7)))</formula>
    </cfRule>
    <cfRule type="containsText" dxfId="1306" priority="3454" operator="containsText" text="FL">
      <formula>NOT(ISERROR(SEARCH("FL",AE7)))</formula>
    </cfRule>
    <cfRule type="containsText" priority="3455" operator="containsText" text="FL">
      <formula>NOT(ISERROR(SEARCH("FL",AE7)))</formula>
    </cfRule>
    <cfRule type="containsText" dxfId="1305" priority="3456" operator="containsText" text="AL">
      <formula>NOT(ISERROR(SEARCH("AL",AE7)))</formula>
    </cfRule>
  </conditionalFormatting>
  <conditionalFormatting sqref="AE17">
    <cfRule type="containsText" dxfId="1304" priority="3328" operator="containsText" text="AB">
      <formula>NOT(ISERROR(SEARCH("AB",AE17)))</formula>
    </cfRule>
    <cfRule type="containsText" dxfId="1303" priority="3329" operator="containsText" text="SICK">
      <formula>NOT(ISERROR(SEARCH("SICK",AE17)))</formula>
    </cfRule>
    <cfRule type="containsText" dxfId="1302" priority="3331" operator="containsText" text="AL">
      <formula>NOT(ISERROR(SEARCH("AL",AE17)))</formula>
    </cfRule>
    <cfRule type="containsText" dxfId="1301" priority="3334" stopIfTrue="1" operator="containsText" text="AL">
      <formula>NOT(ISERROR(SEARCH("AL",AE17)))</formula>
    </cfRule>
    <cfRule type="containsText" dxfId="1300" priority="3336" stopIfTrue="1" operator="containsText" text="SICK">
      <formula>NOT(ISERROR(SEARCH("SICK",AE17)))</formula>
    </cfRule>
    <cfRule type="containsText" dxfId="1299" priority="3324" operator="containsText" text="NL">
      <formula>NOT(ISERROR(SEARCH("NL",AE17)))</formula>
    </cfRule>
    <cfRule type="containsText" dxfId="1298" priority="3335" stopIfTrue="1" operator="containsText" text="SP">
      <formula>NOT(ISERROR(SEARCH("SP",AE17)))</formula>
    </cfRule>
  </conditionalFormatting>
  <conditionalFormatting sqref="AE18">
    <cfRule type="containsText" dxfId="1297" priority="5463" stopIfTrue="1" operator="containsText" text="SP">
      <formula>NOT(ISERROR(SEARCH("SP",AE18)))</formula>
    </cfRule>
    <cfRule type="containsText" dxfId="1296" priority="5462" stopIfTrue="1" operator="containsText" text="AL">
      <formula>NOT(ISERROR(SEARCH("AL",AE18)))</formula>
    </cfRule>
    <cfRule type="containsText" dxfId="1295" priority="5464" stopIfTrue="1" operator="containsText" text="SICK">
      <formula>NOT(ISERROR(SEARCH("SICK",AE18)))</formula>
    </cfRule>
  </conditionalFormatting>
  <conditionalFormatting sqref="AE21">
    <cfRule type="containsText" dxfId="1294" priority="3354" operator="containsText" text="AB">
      <formula>NOT(ISERROR(SEARCH("AB",AE21)))</formula>
    </cfRule>
    <cfRule type="containsText" dxfId="1293" priority="3348" operator="containsText" text="AL">
      <formula>NOT(ISERROR(SEARCH("AL",AE21)))</formula>
    </cfRule>
    <cfRule type="containsText" dxfId="1292" priority="3351" operator="containsText" text="FL">
      <formula>NOT(ISERROR(SEARCH("FL",AE21)))</formula>
    </cfRule>
    <cfRule type="containsText" dxfId="1291" priority="3353" operator="containsText" text="AL">
      <formula>NOT(ISERROR(SEARCH("AL",AE21)))</formula>
    </cfRule>
    <cfRule type="containsText" dxfId="1290" priority="3358" operator="containsText" text="SICK">
      <formula>NOT(ISERROR(SEARCH("SICK",AE21)))</formula>
    </cfRule>
    <cfRule type="containsText" dxfId="1289" priority="3359" operator="containsText" text="NL">
      <formula>NOT(ISERROR(SEARCH("NL",AE21)))</formula>
    </cfRule>
    <cfRule type="containsText" dxfId="1288" priority="3360" stopIfTrue="1" operator="containsText" text="AL">
      <formula>NOT(ISERROR(SEARCH("AL",AE21)))</formula>
    </cfRule>
    <cfRule type="containsText" dxfId="1287" priority="3361" stopIfTrue="1" operator="containsText" text="SP">
      <formula>NOT(ISERROR(SEARCH("SP",AE21)))</formula>
    </cfRule>
    <cfRule type="containsText" dxfId="1286" priority="3362" stopIfTrue="1" operator="containsText" text="SICK">
      <formula>NOT(ISERROR(SEARCH("SICK",AE21)))</formula>
    </cfRule>
  </conditionalFormatting>
  <conditionalFormatting sqref="AE24">
    <cfRule type="containsText" dxfId="1285" priority="3414" stopIfTrue="1" operator="containsText" text="SICK">
      <formula>NOT(ISERROR(SEARCH("SICK",AE24)))</formula>
    </cfRule>
    <cfRule type="containsText" dxfId="1284" priority="3413" stopIfTrue="1" operator="containsText" text="SP">
      <formula>NOT(ISERROR(SEARCH("SP",AE24)))</formula>
    </cfRule>
    <cfRule type="containsText" dxfId="1283" priority="3409" operator="containsText" text="AL">
      <formula>NOT(ISERROR(SEARCH("AL",AE24)))</formula>
    </cfRule>
    <cfRule type="containsText" dxfId="1282" priority="3406" operator="containsText" text="AB">
      <formula>NOT(ISERROR(SEARCH("AB",AE24)))</formula>
    </cfRule>
    <cfRule type="containsText" dxfId="1281" priority="3402" operator="containsText" text="NL">
      <formula>NOT(ISERROR(SEARCH("NL",AE24)))</formula>
    </cfRule>
    <cfRule type="containsText" dxfId="1280" priority="3396" stopIfTrue="1" operator="containsText" text="AL">
      <formula>NOT(ISERROR(SEARCH("AL",AE24)))</formula>
    </cfRule>
    <cfRule type="containsText" dxfId="1279" priority="3407" operator="containsText" text="SICK">
      <formula>NOT(ISERROR(SEARCH("SICK",AE24)))</formula>
    </cfRule>
  </conditionalFormatting>
  <conditionalFormatting sqref="AE25">
    <cfRule type="containsText" dxfId="1278" priority="5469" stopIfTrue="1" operator="containsText" text="AL">
      <formula>NOT(ISERROR(SEARCH("AL",AE25)))</formula>
    </cfRule>
    <cfRule type="containsText" dxfId="1277" priority="5470" stopIfTrue="1" operator="containsText" text="SP">
      <formula>NOT(ISERROR(SEARCH("SP",AE25)))</formula>
    </cfRule>
    <cfRule type="containsText" dxfId="1276" priority="5471" stopIfTrue="1" operator="containsText" text="SICK">
      <formula>NOT(ISERROR(SEARCH("SICK",AE25)))</formula>
    </cfRule>
  </conditionalFormatting>
  <conditionalFormatting sqref="AF7:AG7">
    <cfRule type="containsText" dxfId="1275" priority="3193" operator="containsText" text="FL">
      <formula>NOT(ISERROR(SEARCH("FL",AF7)))</formula>
    </cfRule>
    <cfRule type="containsText" dxfId="1274" priority="3195" operator="containsText" text="AL">
      <formula>NOT(ISERROR(SEARCH("AL",AF7)))</formula>
    </cfRule>
    <cfRule type="containsText" priority="3194" operator="containsText" text="FL">
      <formula>NOT(ISERROR(SEARCH("FL",AF7)))</formula>
    </cfRule>
    <cfRule type="containsText" dxfId="1273" priority="3198" operator="containsText" text="AB">
      <formula>NOT(ISERROR(SEARCH("AB",AF7)))</formula>
    </cfRule>
    <cfRule type="containsText" dxfId="1272" priority="3200" operator="containsText" text="SICK">
      <formula>NOT(ISERROR(SEARCH("SICK",AF7)))</formula>
    </cfRule>
  </conditionalFormatting>
  <conditionalFormatting sqref="AF10:AG10 AF11 AF13:AG16 AF17 AF18:AG19 AF21:AG23 AF24">
    <cfRule type="containsText" dxfId="1271" priority="3214" operator="containsText" text="SICK">
      <formula>NOT(ISERROR(SEARCH("SICK",AF10)))</formula>
    </cfRule>
    <cfRule type="containsText" dxfId="1270" priority="3213" operator="containsText" text="AB">
      <formula>NOT(ISERROR(SEARCH("AB",AF10)))</formula>
    </cfRule>
    <cfRule type="containsText" priority="3211" operator="containsText" text="FL">
      <formula>NOT(ISERROR(SEARCH("FL",AF10)))</formula>
    </cfRule>
    <cfRule type="containsText" dxfId="1269" priority="3212" operator="containsText" text="AL">
      <formula>NOT(ISERROR(SEARCH("AL",AF10)))</formula>
    </cfRule>
    <cfRule type="containsText" dxfId="1268" priority="3210" operator="containsText" text="FL">
      <formula>NOT(ISERROR(SEARCH("FL",AF10)))</formula>
    </cfRule>
  </conditionalFormatting>
  <conditionalFormatting sqref="AG7">
    <cfRule type="containsText" dxfId="1267" priority="3204" stopIfTrue="1" operator="containsText" text="SICK">
      <formula>NOT(ISERROR(SEARCH("SICK",AG7)))</formula>
    </cfRule>
    <cfRule type="containsText" dxfId="1266" priority="3203" stopIfTrue="1" operator="containsText" text="SP">
      <formula>NOT(ISERROR(SEARCH("SP",AG7)))</formula>
    </cfRule>
    <cfRule type="containsText" dxfId="1265" priority="3189" operator="containsText" text="AB">
      <formula>NOT(ISERROR(SEARCH("AB",AG7)))</formula>
    </cfRule>
    <cfRule type="containsText" dxfId="1264" priority="3186" stopIfTrue="1" operator="containsText" text="AL">
      <formula>NOT(ISERROR(SEARCH("AL",AG7)))</formula>
    </cfRule>
    <cfRule type="containsText" dxfId="1263" priority="3197" operator="containsText" text="SICK">
      <formula>NOT(ISERROR(SEARCH("SICK",AG7)))</formula>
    </cfRule>
    <cfRule type="containsText" dxfId="1262" priority="3190" operator="containsText" text="AL">
      <formula>NOT(ISERROR(SEARCH("AL",AG7)))</formula>
    </cfRule>
    <cfRule type="containsText" dxfId="1261" priority="3192" operator="containsText" text="NL">
      <formula>NOT(ISERROR(SEARCH("NL",AG7)))</formula>
    </cfRule>
  </conditionalFormatting>
  <conditionalFormatting sqref="AH7">
    <cfRule type="containsText" dxfId="1260" priority="5525" stopIfTrue="1" operator="containsText" text="AL">
      <formula>NOT(ISERROR(SEARCH("AL",AH7)))</formula>
    </cfRule>
    <cfRule type="containsText" dxfId="1259" priority="5526" stopIfTrue="1" operator="containsText" text="SP">
      <formula>NOT(ISERROR(SEARCH("SP",AH7)))</formula>
    </cfRule>
    <cfRule type="containsText" dxfId="1258" priority="5527" stopIfTrue="1" operator="containsText" text="SICK">
      <formula>NOT(ISERROR(SEARCH("SICK",AH7)))</formula>
    </cfRule>
  </conditionalFormatting>
  <conditionalFormatting sqref="AH10:AH25">
    <cfRule type="containsText" dxfId="1257" priority="5498" stopIfTrue="1" operator="containsText" text="SICK">
      <formula>NOT(ISERROR(SEARCH("SICK",AH10)))</formula>
    </cfRule>
    <cfRule type="containsText" dxfId="1256" priority="5497" stopIfTrue="1" operator="containsText" text="SP">
      <formula>NOT(ISERROR(SEARCH("SP",AH10)))</formula>
    </cfRule>
    <cfRule type="containsText" dxfId="1255" priority="5496" stopIfTrue="1" operator="containsText" text="AL">
      <formula>NOT(ISERROR(SEARCH("AL",AH10)))</formula>
    </cfRule>
  </conditionalFormatting>
  <conditionalFormatting sqref="AJ29">
    <cfRule type="containsText" dxfId="1254" priority="1097" operator="containsText" text="SICK">
      <formula>NOT(ISERROR(SEARCH("SICK",AJ29)))</formula>
    </cfRule>
    <cfRule type="containsText" dxfId="1253" priority="1096" operator="containsText" text="AB">
      <formula>NOT(ISERROR(SEARCH("AB",AJ29)))</formula>
    </cfRule>
    <cfRule type="containsText" priority="1094" operator="containsText" text="FL">
      <formula>NOT(ISERROR(SEARCH("FL",AJ29)))</formula>
    </cfRule>
    <cfRule type="containsText" dxfId="1252" priority="1093" operator="containsText" text="FL">
      <formula>NOT(ISERROR(SEARCH("FL",AJ29)))</formula>
    </cfRule>
    <cfRule type="containsText" dxfId="1251" priority="1095" operator="containsText" text="AL">
      <formula>NOT(ISERROR(SEARCH("AL",AJ29)))</formula>
    </cfRule>
  </conditionalFormatting>
  <conditionalFormatting sqref="AJ4:AK4">
    <cfRule type="dataBar" priority="64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{18C9405A-DBA5-4A0C-8D82-A7E4A0E01BF4}</x14:id>
        </ext>
      </extLst>
    </cfRule>
  </conditionalFormatting>
  <conditionalFormatting sqref="AJ5:AK6">
    <cfRule type="containsText" dxfId="1250" priority="3153" operator="containsText" text="AL">
      <formula>NOT(ISERROR(SEARCH("AL",AJ5)))</formula>
    </cfRule>
    <cfRule type="containsText" dxfId="1249" priority="3155" operator="containsText" text="SICK">
      <formula>NOT(ISERROR(SEARCH("SICK",AJ5)))</formula>
    </cfRule>
    <cfRule type="containsText" dxfId="1248" priority="3154" operator="containsText" text="EL">
      <formula>NOT(ISERROR(SEARCH("EL",AJ5)))</formula>
    </cfRule>
    <cfRule type="containsText" dxfId="1247" priority="3152" operator="containsText" text="AB">
      <formula>NOT(ISERROR(SEARCH("AB",AJ5)))</formula>
    </cfRule>
  </conditionalFormatting>
  <conditionalFormatting sqref="AJ8:AK10">
    <cfRule type="containsText" dxfId="1246" priority="3143" operator="containsText" text="EL">
      <formula>NOT(ISERROR(SEARCH("EL",AJ8)))</formula>
    </cfRule>
    <cfRule type="containsText" dxfId="1245" priority="3145" operator="containsText" text="AB">
      <formula>NOT(ISERROR(SEARCH("AB",AJ8)))</formula>
    </cfRule>
    <cfRule type="containsText" dxfId="1244" priority="3151" stopIfTrue="1" operator="containsText" text="SICK">
      <formula>NOT(ISERROR(SEARCH("SICK",AJ8)))</formula>
    </cfRule>
    <cfRule type="containsText" dxfId="1243" priority="3142" operator="containsText" text="AL">
      <formula>NOT(ISERROR(SEARCH("AL",AJ8)))</formula>
    </cfRule>
    <cfRule type="containsText" dxfId="1242" priority="3150" stopIfTrue="1" operator="containsText" text="SP">
      <formula>NOT(ISERROR(SEARCH("SP",AJ8)))</formula>
    </cfRule>
    <cfRule type="containsText" dxfId="1241" priority="3149" stopIfTrue="1" operator="containsText" text="AL">
      <formula>NOT(ISERROR(SEARCH("AL",AJ8)))</formula>
    </cfRule>
    <cfRule type="containsText" dxfId="1240" priority="3144" operator="containsText" text="SICK">
      <formula>NOT(ISERROR(SEARCH("SICK",AJ8)))</formula>
    </cfRule>
    <cfRule type="containsText" dxfId="1239" priority="3148" operator="containsText" text="NL">
      <formula>NOT(ISERROR(SEARCH("NL",AJ8)))</formula>
    </cfRule>
    <cfRule type="containsText" dxfId="1238" priority="3146" operator="containsText" text="AL">
      <formula>NOT(ISERROR(SEARCH("AL",AJ8)))</formula>
    </cfRule>
  </conditionalFormatting>
  <conditionalFormatting sqref="AJ8:AK11">
    <cfRule type="containsText" dxfId="1237" priority="3118" operator="containsText" text="AB">
      <formula>NOT(ISERROR(SEARCH("AB",AJ8)))</formula>
    </cfRule>
  </conditionalFormatting>
  <conditionalFormatting sqref="AJ10:AK10">
    <cfRule type="containsText" dxfId="1236" priority="4933" operator="containsText" text="AL">
      <formula>NOT(ISERROR(SEARCH("AL",AJ10)))</formula>
    </cfRule>
    <cfRule type="containsText" dxfId="1235" priority="4934" operator="containsText" text="SICK">
      <formula>NOT(ISERROR(SEARCH("SICK",AJ10)))</formula>
    </cfRule>
    <cfRule type="containsText" dxfId="1234" priority="4935" operator="containsText" text="NL">
      <formula>NOT(ISERROR(SEARCH("NL",AJ10)))</formula>
    </cfRule>
    <cfRule type="containsText" dxfId="1233" priority="4937" stopIfTrue="1" operator="containsText" text="SP">
      <formula>NOT(ISERROR(SEARCH("SP",AJ10)))</formula>
    </cfRule>
    <cfRule type="containsText" dxfId="1232" priority="4936" stopIfTrue="1" operator="containsText" text="AL">
      <formula>NOT(ISERROR(SEARCH("AL",AJ10)))</formula>
    </cfRule>
    <cfRule type="containsText" dxfId="1231" priority="5396" stopIfTrue="1" operator="containsText" text="SICK">
      <formula>NOT(ISERROR(SEARCH("SICK",AJ10)))</formula>
    </cfRule>
    <cfRule type="containsText" dxfId="1230" priority="4932" operator="containsText" text="AB">
      <formula>NOT(ISERROR(SEARCH("AB",AJ10)))</formula>
    </cfRule>
  </conditionalFormatting>
  <conditionalFormatting sqref="AJ11:AK11">
    <cfRule type="containsText" dxfId="1229" priority="3119" operator="containsText" text="SICK">
      <formula>NOT(ISERROR(SEARCH("SICK",AJ11)))</formula>
    </cfRule>
  </conditionalFormatting>
  <conditionalFormatting sqref="AJ12:AK13 D25">
    <cfRule type="containsText" dxfId="1228" priority="4032" operator="containsText" text="SICK">
      <formula>NOT(ISERROR(SEARCH("SICK",D12)))</formula>
    </cfRule>
    <cfRule type="containsText" dxfId="1227" priority="4036" stopIfTrue="1" operator="containsText" text="SICK">
      <formula>NOT(ISERROR(SEARCH("SICK",D12)))</formula>
    </cfRule>
    <cfRule type="containsText" dxfId="1226" priority="4035" stopIfTrue="1" operator="containsText" text="SP">
      <formula>NOT(ISERROR(SEARCH("SP",D12)))</formula>
    </cfRule>
    <cfRule type="containsText" dxfId="1225" priority="4030" operator="containsText" text="AB">
      <formula>NOT(ISERROR(SEARCH("AB",D12)))</formula>
    </cfRule>
    <cfRule type="containsText" dxfId="1224" priority="4031" operator="containsText" text="AL">
      <formula>NOT(ISERROR(SEARCH("AL",D12)))</formula>
    </cfRule>
    <cfRule type="containsText" dxfId="1223" priority="4033" operator="containsText" text="NL">
      <formula>NOT(ISERROR(SEARCH("NL",D12)))</formula>
    </cfRule>
    <cfRule type="containsText" dxfId="1222" priority="4034" stopIfTrue="1" operator="containsText" text="AL">
      <formula>NOT(ISERROR(SEARCH("AL",D12)))</formula>
    </cfRule>
  </conditionalFormatting>
  <conditionalFormatting sqref="AJ12:AK13 AJ20:AK21 E13:G13 P24:U28 AJ27:AK28">
    <cfRule type="containsText" dxfId="1221" priority="4062" operator="containsText" text="AB">
      <formula>NOT(ISERROR(SEARCH("AB",E12)))</formula>
    </cfRule>
  </conditionalFormatting>
  <conditionalFormatting sqref="AJ12:AK13 AJ20:AY20 AJ21:AK21 AJ27:AK28 AJ8:AY9 BL8:BM9 AJ10:AK10 AX12:AY12 AT18:BO18">
    <cfRule type="containsText" dxfId="1220" priority="4289" stopIfTrue="1" operator="containsText" text="FL">
      <formula>NOT(ISERROR(SEARCH("FL",AJ8)))</formula>
    </cfRule>
  </conditionalFormatting>
  <conditionalFormatting sqref="AJ12:AK13">
    <cfRule type="containsText" dxfId="1219" priority="4814" operator="containsText" text="AB">
      <formula>NOT(ISERROR(SEARCH("AB",AJ12)))</formula>
    </cfRule>
    <cfRule type="containsText" dxfId="1218" priority="4815" operator="containsText" text="AL">
      <formula>NOT(ISERROR(SEARCH("AL",AJ12)))</formula>
    </cfRule>
    <cfRule type="containsText" dxfId="1217" priority="4816" operator="containsText" text="SICK">
      <formula>NOT(ISERROR(SEARCH("SICK",AJ12)))</formula>
    </cfRule>
    <cfRule type="containsText" dxfId="1216" priority="4817" operator="containsText" text="NL">
      <formula>NOT(ISERROR(SEARCH("NL",AJ12)))</formula>
    </cfRule>
  </conditionalFormatting>
  <conditionalFormatting sqref="AJ14:AK14">
    <cfRule type="containsText" dxfId="1215" priority="3109" operator="containsText" text="SICK">
      <formula>NOT(ISERROR(SEARCH("SICK",AJ14)))</formula>
    </cfRule>
    <cfRule type="containsText" dxfId="1214" priority="3108" operator="containsText" text="AB">
      <formula>NOT(ISERROR(SEARCH("AB",AJ14)))</formula>
    </cfRule>
    <cfRule type="containsText" dxfId="1213" priority="3107" operator="containsText" text="AL">
      <formula>NOT(ISERROR(SEARCH("AL",AJ14)))</formula>
    </cfRule>
    <cfRule type="containsText" priority="3106" operator="containsText" text="FL">
      <formula>NOT(ISERROR(SEARCH("FL",AJ14)))</formula>
    </cfRule>
    <cfRule type="containsText" dxfId="1212" priority="3105" operator="containsText" text="FL">
      <formula>NOT(ISERROR(SEARCH("FL",AJ14)))</formula>
    </cfRule>
  </conditionalFormatting>
  <conditionalFormatting sqref="AJ21:AK21">
    <cfRule type="containsText" dxfId="1211" priority="5388" stopIfTrue="1" operator="containsText" text="SP">
      <formula>NOT(ISERROR(SEARCH("SP",AJ21)))</formula>
    </cfRule>
    <cfRule type="containsText" dxfId="1210" priority="5387" stopIfTrue="1" operator="containsText" text="AL">
      <formula>NOT(ISERROR(SEARCH("AL",AJ21)))</formula>
    </cfRule>
    <cfRule type="containsText" dxfId="1209" priority="5383" operator="containsText" text="AB">
      <formula>NOT(ISERROR(SEARCH("AB",AJ21)))</formula>
    </cfRule>
    <cfRule type="containsText" dxfId="1208" priority="5389" stopIfTrue="1" operator="containsText" text="SICK">
      <formula>NOT(ISERROR(SEARCH("SICK",AJ21)))</formula>
    </cfRule>
    <cfRule type="containsText" dxfId="1207" priority="5384" operator="containsText" text="AL">
      <formula>NOT(ISERROR(SEARCH("AL",AJ21)))</formula>
    </cfRule>
    <cfRule type="containsText" dxfId="1206" priority="5385" operator="containsText" text="SICK">
      <formula>NOT(ISERROR(SEARCH("SICK",AJ21)))</formula>
    </cfRule>
    <cfRule type="containsText" dxfId="1205" priority="5386" operator="containsText" text="NL">
      <formula>NOT(ISERROR(SEARCH("NL",AJ21)))</formula>
    </cfRule>
  </conditionalFormatting>
  <conditionalFormatting sqref="AJ22:AK22">
    <cfRule type="containsText" dxfId="1204" priority="2659" stopIfTrue="1" operator="containsText" text="AL">
      <formula>NOT(ISERROR(SEARCH("AL",AJ22)))</formula>
    </cfRule>
    <cfRule type="containsText" dxfId="1203" priority="2660" stopIfTrue="1" operator="containsText" text="SP">
      <formula>NOT(ISERROR(SEARCH("SP",AJ22)))</formula>
    </cfRule>
    <cfRule type="containsText" dxfId="1202" priority="2661" stopIfTrue="1" operator="containsText" text="SICK">
      <formula>NOT(ISERROR(SEARCH("SICK",AJ22)))</formula>
    </cfRule>
    <cfRule type="containsText" dxfId="1201" priority="2638" operator="containsText" text="FL">
      <formula>NOT(ISERROR(SEARCH("FL",AJ22)))</formula>
    </cfRule>
    <cfRule type="containsText" priority="2641" operator="containsText" text="FL">
      <formula>NOT(ISERROR(SEARCH("FL",AJ22)))</formula>
    </cfRule>
    <cfRule type="containsText" dxfId="1200" priority="2643" operator="containsText" text="AB">
      <formula>NOT(ISERROR(SEARCH("AB",AJ22)))</formula>
    </cfRule>
    <cfRule type="containsText" dxfId="1199" priority="2645" operator="containsText" text="AL">
      <formula>NOT(ISERROR(SEARCH("AL",AJ22)))</formula>
    </cfRule>
    <cfRule type="containsText" dxfId="1198" priority="2646" operator="containsText" text="EL">
      <formula>NOT(ISERROR(SEARCH("EL",AJ22)))</formula>
    </cfRule>
    <cfRule type="containsText" dxfId="1197" priority="2648" stopIfTrue="1" operator="containsText" text="FL">
      <formula>NOT(ISERROR(SEARCH("FL",AJ22)))</formula>
    </cfRule>
    <cfRule type="containsText" dxfId="1196" priority="2650" operator="containsText" text="AL">
      <formula>NOT(ISERROR(SEARCH("AL",AJ22)))</formula>
    </cfRule>
    <cfRule type="containsText" dxfId="1195" priority="2651" operator="containsText" text="SICK">
      <formula>NOT(ISERROR(SEARCH("SICK",AJ22)))</formula>
    </cfRule>
    <cfRule type="containsText" dxfId="1194" priority="2652" operator="containsText" text="NL">
      <formula>NOT(ISERROR(SEARCH("NL",AJ22)))</formula>
    </cfRule>
  </conditionalFormatting>
  <conditionalFormatting sqref="AJ24:AK24">
    <cfRule type="containsText" dxfId="1193" priority="2697" operator="containsText" text="AB">
      <formula>NOT(ISERROR(SEARCH("AB",AJ24)))</formula>
    </cfRule>
    <cfRule type="containsText" dxfId="1192" priority="2696" stopIfTrue="1" operator="containsText" text="FL">
      <formula>NOT(ISERROR(SEARCH("FL",AJ24)))</formula>
    </cfRule>
    <cfRule type="containsText" dxfId="1191" priority="2694" operator="containsText" text="EL">
      <formula>NOT(ISERROR(SEARCH("EL",AJ24)))</formula>
    </cfRule>
    <cfRule type="containsText" dxfId="1190" priority="2690" operator="containsText" text="AL">
      <formula>NOT(ISERROR(SEARCH("AL",AJ24)))</formula>
    </cfRule>
    <cfRule type="containsText" priority="2689" operator="containsText" text="FL">
      <formula>NOT(ISERROR(SEARCH("FL",AJ24)))</formula>
    </cfRule>
    <cfRule type="containsText" dxfId="1189" priority="2686" operator="containsText" text="FL">
      <formula>NOT(ISERROR(SEARCH("FL",AJ24)))</formula>
    </cfRule>
    <cfRule type="containsText" dxfId="1188" priority="2703" stopIfTrue="1" operator="containsText" text="SICK">
      <formula>NOT(ISERROR(SEARCH("SICK",AJ24)))</formula>
    </cfRule>
    <cfRule type="containsText" dxfId="1187" priority="2702" stopIfTrue="1" operator="containsText" text="SP">
      <formula>NOT(ISERROR(SEARCH("SP",AJ24)))</formula>
    </cfRule>
    <cfRule type="containsText" dxfId="1186" priority="2701" stopIfTrue="1" operator="containsText" text="AL">
      <formula>NOT(ISERROR(SEARCH("AL",AJ24)))</formula>
    </cfRule>
    <cfRule type="containsText" dxfId="1185" priority="2700" operator="containsText" text="NL">
      <formula>NOT(ISERROR(SEARCH("NL",AJ24)))</formula>
    </cfRule>
    <cfRule type="containsText" dxfId="1184" priority="2699" operator="containsText" text="SICK">
      <formula>NOT(ISERROR(SEARCH("SICK",AJ24)))</formula>
    </cfRule>
    <cfRule type="containsText" dxfId="1183" priority="2698" operator="containsText" text="AL">
      <formula>NOT(ISERROR(SEARCH("AL",AJ24)))</formula>
    </cfRule>
  </conditionalFormatting>
  <conditionalFormatting sqref="AJ27:AK28 T15:AE15 P18:AE19 T20:AE20">
    <cfRule type="containsText" dxfId="1182" priority="4688" operator="containsText" text="AB">
      <formula>NOT(ISERROR(SEARCH("AB",P15)))</formula>
    </cfRule>
  </conditionalFormatting>
  <conditionalFormatting sqref="AJ7:AL7">
    <cfRule type="containsText" dxfId="1181" priority="3093" operator="containsText" text="AB">
      <formula>NOT(ISERROR(SEARCH("AB",AJ7)))</formula>
    </cfRule>
    <cfRule type="containsText" dxfId="1180" priority="3090" operator="containsText" text="AL">
      <formula>NOT(ISERROR(SEARCH("AL",AJ7)))</formula>
    </cfRule>
    <cfRule type="containsText" priority="3089" operator="containsText" text="FL">
      <formula>NOT(ISERROR(SEARCH("FL",AJ7)))</formula>
    </cfRule>
    <cfRule type="containsText" dxfId="1179" priority="3088" operator="containsText" text="FL">
      <formula>NOT(ISERROR(SEARCH("FL",AJ7)))</formula>
    </cfRule>
    <cfRule type="containsText" dxfId="1178" priority="3095" operator="containsText" text="SICK">
      <formula>NOT(ISERROR(SEARCH("SICK",AJ7)))</formula>
    </cfRule>
  </conditionalFormatting>
  <conditionalFormatting sqref="AJ17:AL17">
    <cfRule type="containsText" dxfId="1177" priority="2958" operator="containsText" text="FL">
      <formula>NOT(ISERROR(SEARCH("FL",AJ17)))</formula>
    </cfRule>
    <cfRule type="containsText" priority="2959" operator="containsText" text="FL">
      <formula>NOT(ISERROR(SEARCH("FL",AJ17)))</formula>
    </cfRule>
    <cfRule type="containsText" dxfId="1176" priority="2960" operator="containsText" text="AL">
      <formula>NOT(ISERROR(SEARCH("AL",AJ17)))</formula>
    </cfRule>
    <cfRule type="containsText" dxfId="1175" priority="2965" operator="containsText" text="SICK">
      <formula>NOT(ISERROR(SEARCH("SICK",AJ17)))</formula>
    </cfRule>
    <cfRule type="containsText" dxfId="1174" priority="2963" operator="containsText" text="AB">
      <formula>NOT(ISERROR(SEARCH("AB",AJ17)))</formula>
    </cfRule>
  </conditionalFormatting>
  <conditionalFormatting sqref="AJ23:AN23 AP24:AR24">
    <cfRule type="containsText" dxfId="1173" priority="3100" operator="containsText" text="FL">
      <formula>NOT(ISERROR(SEARCH("FL",AJ23)))</formula>
    </cfRule>
    <cfRule type="containsText" priority="3101" operator="containsText" text="FL">
      <formula>NOT(ISERROR(SEARCH("FL",AJ23)))</formula>
    </cfRule>
    <cfRule type="containsText" dxfId="1172" priority="3102" operator="containsText" text="AL">
      <formula>NOT(ISERROR(SEARCH("AL",AJ23)))</formula>
    </cfRule>
    <cfRule type="containsText" dxfId="1171" priority="3103" operator="containsText" text="AB">
      <formula>NOT(ISERROR(SEARCH("AB",AJ23)))</formula>
    </cfRule>
    <cfRule type="containsText" dxfId="1170" priority="3104" operator="containsText" text="SICK">
      <formula>NOT(ISERROR(SEARCH("SICK",AJ23)))</formula>
    </cfRule>
  </conditionalFormatting>
  <conditionalFormatting sqref="AJ5:AO6">
    <cfRule type="containsText" dxfId="1169" priority="5855" stopIfTrue="1" operator="containsText" text="AL">
      <formula>NOT(ISERROR(SEARCH("AL",AJ5)))</formula>
    </cfRule>
    <cfRule type="containsText" dxfId="1168" priority="5856" stopIfTrue="1" operator="containsText" text="SP">
      <formula>NOT(ISERROR(SEARCH("SP",AJ5)))</formula>
    </cfRule>
    <cfRule type="containsText" dxfId="1167" priority="5857" stopIfTrue="1" operator="containsText" text="SICK">
      <formula>NOT(ISERROR(SEARCH("SICK",AJ5)))</formula>
    </cfRule>
  </conditionalFormatting>
  <conditionalFormatting sqref="AJ8:AO8">
    <cfRule type="containsText" dxfId="1166" priority="5418" stopIfTrue="1" operator="containsText" text="AL">
      <formula>NOT(ISERROR(SEARCH("AL",AJ8)))</formula>
    </cfRule>
    <cfRule type="containsText" dxfId="1165" priority="5420" stopIfTrue="1" operator="containsText" text="SICK">
      <formula>NOT(ISERROR(SEARCH("SICK",AJ8)))</formula>
    </cfRule>
    <cfRule type="containsText" dxfId="1164" priority="5419" stopIfTrue="1" operator="containsText" text="SP">
      <formula>NOT(ISERROR(SEARCH("SP",AJ8)))</formula>
    </cfRule>
  </conditionalFormatting>
  <conditionalFormatting sqref="AJ8:AO9 AJ10:AK10">
    <cfRule type="containsText" dxfId="1163" priority="5424" operator="containsText" text="NL">
      <formula>NOT(ISERROR(SEARCH("NL",AJ8)))</formula>
    </cfRule>
    <cfRule type="containsText" dxfId="1162" priority="5421" operator="containsText" text="AB">
      <formula>NOT(ISERROR(SEARCH("AB",AJ8)))</formula>
    </cfRule>
    <cfRule type="containsText" dxfId="1161" priority="5422" operator="containsText" text="AL">
      <formula>NOT(ISERROR(SEARCH("AL",AJ8)))</formula>
    </cfRule>
    <cfRule type="containsText" dxfId="1160" priority="5423" operator="containsText" text="SICK">
      <formula>NOT(ISERROR(SEARCH("SICK",AJ8)))</formula>
    </cfRule>
  </conditionalFormatting>
  <conditionalFormatting sqref="AJ9:AO9 AJ10:AK10">
    <cfRule type="containsText" dxfId="1159" priority="5427" stopIfTrue="1" operator="containsText" text="SICK">
      <formula>NOT(ISERROR(SEARCH("SICK",AJ9)))</formula>
    </cfRule>
    <cfRule type="containsText" dxfId="1158" priority="5425" stopIfTrue="1" operator="containsText" text="AL">
      <formula>NOT(ISERROR(SEARCH("AL",AJ9)))</formula>
    </cfRule>
    <cfRule type="containsText" dxfId="1157" priority="5426" stopIfTrue="1" operator="containsText" text="SP">
      <formula>NOT(ISERROR(SEARCH("SP",AJ9)))</formula>
    </cfRule>
  </conditionalFormatting>
  <conditionalFormatting sqref="AJ20:AQ20">
    <cfRule type="containsText" dxfId="1156" priority="5189" operator="containsText" text="AL">
      <formula>NOT(ISERROR(SEARCH("AL",AJ20)))</formula>
    </cfRule>
    <cfRule type="containsText" dxfId="1155" priority="5191" operator="containsText" text="NL">
      <formula>NOT(ISERROR(SEARCH("NL",AJ20)))</formula>
    </cfRule>
    <cfRule type="containsText" dxfId="1154" priority="5193" stopIfTrue="1" operator="containsText" text="SP">
      <formula>NOT(ISERROR(SEARCH("SP",AJ20)))</formula>
    </cfRule>
    <cfRule type="containsText" dxfId="1153" priority="5192" stopIfTrue="1" operator="containsText" text="AL">
      <formula>NOT(ISERROR(SEARCH("AL",AJ20)))</formula>
    </cfRule>
    <cfRule type="containsText" dxfId="1152" priority="5194" stopIfTrue="1" operator="containsText" text="SICK">
      <formula>NOT(ISERROR(SEARCH("SICK",AJ20)))</formula>
    </cfRule>
    <cfRule type="containsText" dxfId="1151" priority="5190" operator="containsText" text="SICK">
      <formula>NOT(ISERROR(SEARCH("SICK",AJ20)))</formula>
    </cfRule>
  </conditionalFormatting>
  <conditionalFormatting sqref="AJ25:AR25">
    <cfRule type="containsText" dxfId="1150" priority="2724" operator="containsText" text="FL">
      <formula>NOT(ISERROR(SEARCH("FL",AJ25)))</formula>
    </cfRule>
    <cfRule type="containsText" priority="2725" operator="containsText" text="FL">
      <formula>NOT(ISERROR(SEARCH("FL",AJ25)))</formula>
    </cfRule>
    <cfRule type="containsText" dxfId="1149" priority="2726" operator="containsText" text="AL">
      <formula>NOT(ISERROR(SEARCH("AL",AJ25)))</formula>
    </cfRule>
    <cfRule type="containsText" dxfId="1148" priority="2729" operator="containsText" text="AB">
      <formula>NOT(ISERROR(SEARCH("AB",AJ25)))</formula>
    </cfRule>
    <cfRule type="containsText" dxfId="1147" priority="2731" operator="containsText" text="SICK">
      <formula>NOT(ISERROR(SEARCH("SICK",AJ25)))</formula>
    </cfRule>
  </conditionalFormatting>
  <conditionalFormatting sqref="AJ26:AR26">
    <cfRule type="containsText" dxfId="1146" priority="2757" operator="containsText" text="SICK">
      <formula>NOT(ISERROR(SEARCH("SICK",AJ26)))</formula>
    </cfRule>
    <cfRule type="containsText" dxfId="1145" priority="2750" operator="containsText" text="FL">
      <formula>NOT(ISERROR(SEARCH("FL",AJ26)))</formula>
    </cfRule>
    <cfRule type="containsText" priority="2751" operator="containsText" text="FL">
      <formula>NOT(ISERROR(SEARCH("FL",AJ26)))</formula>
    </cfRule>
    <cfRule type="containsText" dxfId="1144" priority="2752" operator="containsText" text="AL">
      <formula>NOT(ISERROR(SEARCH("AL",AJ26)))</formula>
    </cfRule>
    <cfRule type="containsText" dxfId="1143" priority="2755" operator="containsText" text="AB">
      <formula>NOT(ISERROR(SEARCH("AB",AJ26)))</formula>
    </cfRule>
  </conditionalFormatting>
  <conditionalFormatting sqref="AJ15:AS16">
    <cfRule type="containsText" dxfId="1142" priority="2572" operator="containsText" text="FL">
      <formula>NOT(ISERROR(SEARCH("FL",AJ15)))</formula>
    </cfRule>
    <cfRule type="containsText" priority="2573" operator="containsText" text="FL">
      <formula>NOT(ISERROR(SEARCH("FL",AJ15)))</formula>
    </cfRule>
    <cfRule type="containsText" dxfId="1141" priority="2577" operator="containsText" text="AB">
      <formula>NOT(ISERROR(SEARCH("AB",AJ15)))</formula>
    </cfRule>
    <cfRule type="containsText" dxfId="1140" priority="2579" operator="containsText" text="SICK">
      <formula>NOT(ISERROR(SEARCH("SICK",AJ15)))</formula>
    </cfRule>
    <cfRule type="containsText" dxfId="1139" priority="2574" operator="containsText" text="AL">
      <formula>NOT(ISERROR(SEARCH("AL",AJ15)))</formula>
    </cfRule>
  </conditionalFormatting>
  <conditionalFormatting sqref="AJ18:AS19">
    <cfRule type="containsText" dxfId="1138" priority="2631" operator="containsText" text="AB">
      <formula>NOT(ISERROR(SEARCH("AB",AJ18)))</formula>
    </cfRule>
    <cfRule type="containsText" dxfId="1137" priority="2630" operator="containsText" text="AL">
      <formula>NOT(ISERROR(SEARCH("AL",AJ18)))</formula>
    </cfRule>
    <cfRule type="containsText" priority="2629" operator="containsText" text="FL">
      <formula>NOT(ISERROR(SEARCH("FL",AJ18)))</formula>
    </cfRule>
    <cfRule type="containsText" dxfId="1136" priority="2628" operator="containsText" text="FL">
      <formula>NOT(ISERROR(SEARCH("FL",AJ18)))</formula>
    </cfRule>
    <cfRule type="containsText" dxfId="1135" priority="2632" operator="containsText" text="SICK">
      <formula>NOT(ISERROR(SEARCH("SICK",AJ18)))</formula>
    </cfRule>
  </conditionalFormatting>
  <conditionalFormatting sqref="AJ5:AW6 Q7 D8:D9 P8:AG9 D31 AJ31:BO31 D54:W54 AR54:BO54 AJ12:AK13 AJ20:AY20 AJ21:AK21 AJ27:AK28 H5:AG6">
    <cfRule type="containsText" dxfId="1134" priority="5852" operator="containsText" text="AL">
      <formula>NOT(ISERROR(SEARCH("AL",D5)))</formula>
    </cfRule>
  </conditionalFormatting>
  <conditionalFormatting sqref="AJ5:AW6">
    <cfRule type="containsText" dxfId="1133" priority="3158" stopIfTrue="1" operator="containsText" text="SP">
      <formula>NOT(ISERROR(SEARCH("SP",AJ5)))</formula>
    </cfRule>
    <cfRule type="containsText" dxfId="1132" priority="3156" operator="containsText" text="AB">
      <formula>NOT(ISERROR(SEARCH("AB",AJ5)))</formula>
    </cfRule>
    <cfRule type="containsText" dxfId="1131" priority="3157" stopIfTrue="1" operator="containsText" text="AL">
      <formula>NOT(ISERROR(SEARCH("AL",AJ5)))</formula>
    </cfRule>
    <cfRule type="containsText" dxfId="1130" priority="3159" stopIfTrue="1" operator="containsText" text="SICK">
      <formula>NOT(ISERROR(SEARCH("SICK",AJ5)))</formula>
    </cfRule>
  </conditionalFormatting>
  <conditionalFormatting sqref="AJ5:AY6 AP8:AY9">
    <cfRule type="containsText" dxfId="1129" priority="5208" stopIfTrue="1" operator="containsText" text="SICK">
      <formula>NOT(ISERROR(SEARCH("SICK",AJ5)))</formula>
    </cfRule>
    <cfRule type="containsText" dxfId="1128" priority="5207" stopIfTrue="1" operator="containsText" text="SP">
      <formula>NOT(ISERROR(SEARCH("SP",AJ5)))</formula>
    </cfRule>
    <cfRule type="containsText" dxfId="1127" priority="5206" stopIfTrue="1" operator="containsText" text="AL">
      <formula>NOT(ISERROR(SEARCH("AL",AJ5)))</formula>
    </cfRule>
  </conditionalFormatting>
  <conditionalFormatting sqref="AJ20:AY20">
    <cfRule type="containsText" dxfId="1126" priority="5188" operator="containsText" text="AB">
      <formula>NOT(ISERROR(SEARCH("AB",AJ20)))</formula>
    </cfRule>
  </conditionalFormatting>
  <conditionalFormatting sqref="AJ27:AY28">
    <cfRule type="containsText" priority="1876" operator="containsText" text="FL">
      <formula>NOT(ISERROR(SEARCH("FL",AJ27)))</formula>
    </cfRule>
  </conditionalFormatting>
  <conditionalFormatting sqref="AJ11:BK11">
    <cfRule type="containsText" priority="296" operator="containsText" text="FL">
      <formula>NOT(ISERROR(SEARCH("FL",AJ11)))</formula>
    </cfRule>
  </conditionalFormatting>
  <conditionalFormatting sqref="AJ4:BO4">
    <cfRule type="containsText" dxfId="1125" priority="6402" operator="containsText" text="S">
      <formula>NOT(ISERROR(SEARCH("S",AJ4)))</formula>
    </cfRule>
    <cfRule type="containsText" dxfId="1124" priority="6401" operator="containsText" text="HD">
      <formula>NOT(ISERROR(SEARCH("HD",AJ4)))</formula>
    </cfRule>
    <cfRule type="containsText" dxfId="1123" priority="6400" operator="containsText" text="AB">
      <formula>NOT(ISERROR(SEARCH("AB",AJ4)))</formula>
    </cfRule>
    <cfRule type="cellIs" dxfId="1122" priority="6399" operator="equal">
      <formula>"OFF"</formula>
    </cfRule>
    <cfRule type="cellIs" dxfId="1121" priority="6398" operator="equal">
      <formula>"AB"</formula>
    </cfRule>
    <cfRule type="cellIs" dxfId="1120" priority="6397" operator="equal">
      <formula>"Sick"</formula>
    </cfRule>
    <cfRule type="expression" priority="6395">
      <formula>AND(ISNUMBER($Y2),ISNUMBER($Z2))</formula>
    </cfRule>
  </conditionalFormatting>
  <conditionalFormatting sqref="AK7">
    <cfRule type="containsText" dxfId="1119" priority="3074" operator="containsText" text="AL">
      <formula>NOT(ISERROR(SEARCH("AL",AK7)))</formula>
    </cfRule>
    <cfRule type="containsText" dxfId="1118" priority="3075" operator="containsText" text="SICK">
      <formula>NOT(ISERROR(SEARCH("SICK",AK7)))</formula>
    </cfRule>
    <cfRule type="containsText" dxfId="1117" priority="3076" operator="containsText" text="NL">
      <formula>NOT(ISERROR(SEARCH("NL",AK7)))</formula>
    </cfRule>
    <cfRule type="containsText" dxfId="1116" priority="3081" stopIfTrue="1" operator="containsText" text="AL">
      <formula>NOT(ISERROR(SEARCH("AL",AK7)))</formula>
    </cfRule>
    <cfRule type="containsText" dxfId="1115" priority="3077" operator="containsText" text="AB">
      <formula>NOT(ISERROR(SEARCH("AB",AK7)))</formula>
    </cfRule>
    <cfRule type="containsText" dxfId="1114" priority="3079" stopIfTrue="1" operator="containsText" text="SP">
      <formula>NOT(ISERROR(SEARCH("SP",AK7)))</formula>
    </cfRule>
    <cfRule type="containsText" dxfId="1113" priority="3080" stopIfTrue="1" operator="containsText" text="SICK">
      <formula>NOT(ISERROR(SEARCH("SICK",AK7)))</formula>
    </cfRule>
  </conditionalFormatting>
  <conditionalFormatting sqref="AK12:AK13">
    <cfRule type="containsText" dxfId="1112" priority="4819" stopIfTrue="1" operator="containsText" text="SP">
      <formula>NOT(ISERROR(SEARCH("SP",AK12)))</formula>
    </cfRule>
    <cfRule type="containsText" dxfId="1111" priority="5289" stopIfTrue="1" operator="containsText" text="AL">
      <formula>NOT(ISERROR(SEARCH("AL",AK12)))</formula>
    </cfRule>
    <cfRule type="containsText" dxfId="1110" priority="4820" stopIfTrue="1" operator="containsText" text="SICK">
      <formula>NOT(ISERROR(SEARCH("SICK",AK12)))</formula>
    </cfRule>
  </conditionalFormatting>
  <conditionalFormatting sqref="AK17">
    <cfRule type="containsText" dxfId="1109" priority="2967" stopIfTrue="1" operator="containsText" text="AL">
      <formula>NOT(ISERROR(SEARCH("AL",AK17)))</formula>
    </cfRule>
    <cfRule type="containsText" dxfId="1108" priority="2968" stopIfTrue="1" operator="containsText" text="SP">
      <formula>NOT(ISERROR(SEARCH("SP",AK17)))</formula>
    </cfRule>
    <cfRule type="containsText" dxfId="1107" priority="2944" operator="containsText" text="AL">
      <formula>NOT(ISERROR(SEARCH("AL",AK17)))</formula>
    </cfRule>
    <cfRule type="containsText" dxfId="1106" priority="2953" stopIfTrue="1" operator="containsText" text="SICK">
      <formula>NOT(ISERROR(SEARCH("SICK",AK17)))</formula>
    </cfRule>
    <cfRule type="containsText" dxfId="1105" priority="2954" operator="containsText" text="AB">
      <formula>NOT(ISERROR(SEARCH("AB",AK17)))</formula>
    </cfRule>
    <cfRule type="containsText" dxfId="1104" priority="2962" operator="containsText" text="SICK">
      <formula>NOT(ISERROR(SEARCH("SICK",AK17)))</formula>
    </cfRule>
    <cfRule type="containsText" dxfId="1103" priority="2966" operator="containsText" text="NL">
      <formula>NOT(ISERROR(SEARCH("NL",AK17)))</formula>
    </cfRule>
  </conditionalFormatting>
  <conditionalFormatting sqref="AK25">
    <cfRule type="containsText" dxfId="1102" priority="2723" operator="containsText" text="NL">
      <formula>NOT(ISERROR(SEARCH("NL",AK25)))</formula>
    </cfRule>
    <cfRule type="containsText" dxfId="1101" priority="2722" operator="containsText" text="SICK">
      <formula>NOT(ISERROR(SEARCH("SICK",AK25)))</formula>
    </cfRule>
    <cfRule type="containsText" dxfId="1100" priority="2735" stopIfTrue="1" operator="containsText" text="SICK">
      <formula>NOT(ISERROR(SEARCH("SICK",AK25)))</formula>
    </cfRule>
    <cfRule type="containsText" dxfId="1099" priority="2720" operator="containsText" text="AB">
      <formula>NOT(ISERROR(SEARCH("AB",AK25)))</formula>
    </cfRule>
    <cfRule type="containsText" dxfId="1098" priority="2730" operator="containsText" text="AL">
      <formula>NOT(ISERROR(SEARCH("AL",AK25)))</formula>
    </cfRule>
    <cfRule type="containsText" dxfId="1097" priority="2733" stopIfTrue="1" operator="containsText" text="AL">
      <formula>NOT(ISERROR(SEARCH("AL",AK25)))</formula>
    </cfRule>
    <cfRule type="containsText" dxfId="1096" priority="2734" stopIfTrue="1" operator="containsText" text="SP">
      <formula>NOT(ISERROR(SEARCH("SP",AK25)))</formula>
    </cfRule>
  </conditionalFormatting>
  <conditionalFormatting sqref="AL12 AN12 AP12 AR12">
    <cfRule type="containsText" dxfId="1095" priority="1864" operator="containsText" text="AB">
      <formula>NOT(ISERROR(SEARCH("AB",AL12)))</formula>
    </cfRule>
    <cfRule type="containsText" dxfId="1094" priority="1863" operator="containsText" text="AL">
      <formula>NOT(ISERROR(SEARCH("AL",AL12)))</formula>
    </cfRule>
    <cfRule type="containsText" dxfId="1093" priority="1865" operator="containsText" text="SICK">
      <formula>NOT(ISERROR(SEARCH("SICK",AL12)))</formula>
    </cfRule>
    <cfRule type="containsText" dxfId="1092" priority="1861" operator="containsText" text="FL">
      <formula>NOT(ISERROR(SEARCH("FL",AL12)))</formula>
    </cfRule>
  </conditionalFormatting>
  <conditionalFormatting sqref="AL4:AM4">
    <cfRule type="dataBar" priority="64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{D81010D4-FAEB-46FE-A843-D5990D5780E1}</x14:id>
        </ext>
      </extLst>
    </cfRule>
  </conditionalFormatting>
  <conditionalFormatting sqref="AL12:AN12">
    <cfRule type="containsText" priority="1851" operator="containsText" text="FL">
      <formula>NOT(ISERROR(SEARCH("FL",AL12)))</formula>
    </cfRule>
  </conditionalFormatting>
  <conditionalFormatting sqref="AL24:AN24">
    <cfRule type="containsText" dxfId="1091" priority="2804" operator="containsText" text="AL">
      <formula>NOT(ISERROR(SEARCH("AL",AL24)))</formula>
    </cfRule>
    <cfRule type="containsText" dxfId="1090" priority="2802" operator="containsText" text="FL">
      <formula>NOT(ISERROR(SEARCH("FL",AL24)))</formula>
    </cfRule>
    <cfRule type="containsText" priority="2803" operator="containsText" text="FL">
      <formula>NOT(ISERROR(SEARCH("FL",AL24)))</formula>
    </cfRule>
    <cfRule type="containsText" dxfId="1089" priority="2809" operator="containsText" text="SICK">
      <formula>NOT(ISERROR(SEARCH("SICK",AL24)))</formula>
    </cfRule>
    <cfRule type="containsText" dxfId="1088" priority="2807" operator="containsText" text="AB">
      <formula>NOT(ISERROR(SEARCH("AB",AL24)))</formula>
    </cfRule>
  </conditionalFormatting>
  <conditionalFormatting sqref="AL13:AS14">
    <cfRule type="containsText" dxfId="1087" priority="3114" operator="containsText" text="SICK">
      <formula>NOT(ISERROR(SEARCH("SICK",AL13)))</formula>
    </cfRule>
    <cfRule type="containsText" dxfId="1086" priority="3113" operator="containsText" text="AB">
      <formula>NOT(ISERROR(SEARCH("AB",AL13)))</formula>
    </cfRule>
    <cfRule type="containsText" dxfId="1085" priority="3110" operator="containsText" text="FL">
      <formula>NOT(ISERROR(SEARCH("FL",AL13)))</formula>
    </cfRule>
    <cfRule type="containsText" priority="3111" operator="containsText" text="FL">
      <formula>NOT(ISERROR(SEARCH("FL",AL13)))</formula>
    </cfRule>
    <cfRule type="containsText" dxfId="1084" priority="3112" operator="containsText" text="AL">
      <formula>NOT(ISERROR(SEARCH("AL",AL13)))</formula>
    </cfRule>
  </conditionalFormatting>
  <conditionalFormatting sqref="AL8:AW9">
    <cfRule type="containsText" dxfId="1083" priority="3166" operator="containsText" text="SICK">
      <formula>NOT(ISERROR(SEARCH("SICK",AL8)))</formula>
    </cfRule>
    <cfRule type="containsText" dxfId="1082" priority="3167" operator="containsText" text="NL">
      <formula>NOT(ISERROR(SEARCH("NL",AL8)))</formula>
    </cfRule>
    <cfRule type="containsText" dxfId="1081" priority="3168" stopIfTrue="1" operator="containsText" text="AL">
      <formula>NOT(ISERROR(SEARCH("AL",AL8)))</formula>
    </cfRule>
    <cfRule type="containsText" dxfId="1080" priority="3169" stopIfTrue="1" operator="containsText" text="SP">
      <formula>NOT(ISERROR(SEARCH("SP",AL8)))</formula>
    </cfRule>
    <cfRule type="containsText" dxfId="1079" priority="3170" stopIfTrue="1" operator="containsText" text="SICK">
      <formula>NOT(ISERROR(SEARCH("SICK",AL8)))</formula>
    </cfRule>
  </conditionalFormatting>
  <conditionalFormatting sqref="AL8:AY9">
    <cfRule type="containsText" dxfId="1078" priority="2069" operator="containsText" text="AB">
      <formula>NOT(ISERROR(SEARCH("AB",AL8)))</formula>
    </cfRule>
  </conditionalFormatting>
  <conditionalFormatting sqref="AL20:AY20">
    <cfRule type="containsText" dxfId="1077" priority="1958" stopIfTrue="1" operator="containsText" text="AL">
      <formula>NOT(ISERROR(SEARCH("AL",AL20)))</formula>
    </cfRule>
    <cfRule type="containsText" dxfId="1076" priority="1959" stopIfTrue="1" operator="containsText" text="SP">
      <formula>NOT(ISERROR(SEARCH("SP",AL20)))</formula>
    </cfRule>
    <cfRule type="containsText" dxfId="1075" priority="1946" operator="containsText" text="AB">
      <formula>NOT(ISERROR(SEARCH("AB",AL20)))</formula>
    </cfRule>
    <cfRule type="containsText" dxfId="1074" priority="1960" stopIfTrue="1" operator="containsText" text="SICK">
      <formula>NOT(ISERROR(SEARCH("SICK",AL20)))</formula>
    </cfRule>
  </conditionalFormatting>
  <conditionalFormatting sqref="AL21:BA22">
    <cfRule type="containsText" dxfId="1073" priority="2313" operator="containsText" text="FL">
      <formula>NOT(ISERROR(SEARCH("FL",AL21)))</formula>
    </cfRule>
    <cfRule type="containsText" dxfId="1072" priority="2315" operator="containsText" text="AL">
      <formula>NOT(ISERROR(SEARCH("AL",AL21)))</formula>
    </cfRule>
    <cfRule type="containsText" dxfId="1071" priority="2318" operator="containsText" text="AB">
      <formula>NOT(ISERROR(SEARCH("AB",AL21)))</formula>
    </cfRule>
    <cfRule type="containsText" dxfId="1070" priority="2320" operator="containsText" text="SICK">
      <formula>NOT(ISERROR(SEARCH("SICK",AL21)))</formula>
    </cfRule>
    <cfRule type="containsText" priority="2314" operator="containsText" text="FL">
      <formula>NOT(ISERROR(SEARCH("FL",AL21)))</formula>
    </cfRule>
  </conditionalFormatting>
  <conditionalFormatting sqref="AL8:BF9">
    <cfRule type="containsText" dxfId="1069" priority="2081" operator="containsText" text="AL">
      <formula>NOT(ISERROR(SEARCH("AL",AL8)))</formula>
    </cfRule>
  </conditionalFormatting>
  <conditionalFormatting sqref="AL10:BG10">
    <cfRule type="containsText" dxfId="1068" priority="1429" operator="containsText" text="FL">
      <formula>NOT(ISERROR(SEARCH("FL",AL10)))</formula>
    </cfRule>
    <cfRule type="containsText" dxfId="1067" priority="1431" operator="containsText" text="AL">
      <formula>NOT(ISERROR(SEARCH("AL",AL10)))</formula>
    </cfRule>
    <cfRule type="containsText" priority="1430" operator="containsText" text="FL">
      <formula>NOT(ISERROR(SEARCH("FL",AL10)))</formula>
    </cfRule>
  </conditionalFormatting>
  <conditionalFormatting sqref="AL10:BG11">
    <cfRule type="containsText" dxfId="1066" priority="1433" operator="containsText" text="SICK">
      <formula>NOT(ISERROR(SEARCH("SICK",AL10)))</formula>
    </cfRule>
    <cfRule type="containsText" dxfId="1065" priority="1432" operator="containsText" text="AB">
      <formula>NOT(ISERROR(SEARCH("AB",AL10)))</formula>
    </cfRule>
  </conditionalFormatting>
  <conditionalFormatting sqref="AM7">
    <cfRule type="containsText" dxfId="1064" priority="3055" stopIfTrue="1" operator="containsText" text="AL">
      <formula>NOT(ISERROR(SEARCH("AL",AM7)))</formula>
    </cfRule>
    <cfRule type="containsText" dxfId="1063" priority="3049" operator="containsText" text="SICK">
      <formula>NOT(ISERROR(SEARCH("SICK",AM7)))</formula>
    </cfRule>
    <cfRule type="containsText" dxfId="1062" priority="3048" operator="containsText" text="AL">
      <formula>NOT(ISERROR(SEARCH("AL",AM7)))</formula>
    </cfRule>
    <cfRule type="containsText" dxfId="1061" priority="3050" operator="containsText" text="NL">
      <formula>NOT(ISERROR(SEARCH("NL",AM7)))</formula>
    </cfRule>
    <cfRule type="containsText" dxfId="1060" priority="3058" operator="containsText" text="AB">
      <formula>NOT(ISERROR(SEARCH("AB",AM7)))</formula>
    </cfRule>
    <cfRule type="containsText" dxfId="1059" priority="3057" stopIfTrue="1" operator="containsText" text="SICK">
      <formula>NOT(ISERROR(SEARCH("SICK",AM7)))</formula>
    </cfRule>
    <cfRule type="containsText" dxfId="1058" priority="3056" stopIfTrue="1" operator="containsText" text="SP">
      <formula>NOT(ISERROR(SEARCH("SP",AM7)))</formula>
    </cfRule>
  </conditionalFormatting>
  <conditionalFormatting sqref="AM12">
    <cfRule type="containsText" dxfId="1057" priority="1848" stopIfTrue="1" operator="containsText" text="FL">
      <formula>NOT(ISERROR(SEARCH("FL",AM12)))</formula>
    </cfRule>
    <cfRule type="containsText" dxfId="1056" priority="1849" stopIfTrue="1" operator="containsText" text="AB">
      <formula>NOT(ISERROR(SEARCH("AB",AM12)))</formula>
    </cfRule>
    <cfRule type="containsText" dxfId="1055" priority="1847" stopIfTrue="1" operator="containsText" text="SICK">
      <formula>NOT(ISERROR(SEARCH("SICK",AM12)))</formula>
    </cfRule>
    <cfRule type="containsText" dxfId="1054" priority="1846" stopIfTrue="1" operator="containsText" text="SP">
      <formula>NOT(ISERROR(SEARCH("SP",AM12)))</formula>
    </cfRule>
    <cfRule type="containsText" dxfId="1053" priority="1852" operator="containsText" text="AL">
      <formula>NOT(ISERROR(SEARCH("AL",AM12)))</formula>
    </cfRule>
    <cfRule type="containsText" dxfId="1052" priority="1853" stopIfTrue="1" operator="containsText" text="FL">
      <formula>NOT(ISERROR(SEARCH("FL",AM12)))</formula>
    </cfRule>
    <cfRule type="containsText" dxfId="1051" priority="1855" operator="containsText" text="AL">
      <formula>NOT(ISERROR(SEARCH("AL",AM12)))</formula>
    </cfRule>
    <cfRule type="containsText" dxfId="1050" priority="1856" operator="containsText" text="SICK">
      <formula>NOT(ISERROR(SEARCH("SICK",AM12)))</formula>
    </cfRule>
    <cfRule type="containsText" dxfId="1049" priority="1845" stopIfTrue="1" operator="containsText" text="AL">
      <formula>NOT(ISERROR(SEARCH("AL",AM12)))</formula>
    </cfRule>
    <cfRule type="containsText" dxfId="1048" priority="1844" operator="containsText" text="NL">
      <formula>NOT(ISERROR(SEARCH("NL",AM12)))</formula>
    </cfRule>
    <cfRule type="containsText" dxfId="1047" priority="1841" operator="containsText" text="AB">
      <formula>NOT(ISERROR(SEARCH("AB",AM12)))</formula>
    </cfRule>
  </conditionalFormatting>
  <conditionalFormatting sqref="AM17">
    <cfRule type="containsText" dxfId="1046" priority="2920" operator="containsText" text="NL">
      <formula>NOT(ISERROR(SEARCH("NL",AM17)))</formula>
    </cfRule>
    <cfRule type="containsText" dxfId="1045" priority="2926" stopIfTrue="1" operator="containsText" text="SP">
      <formula>NOT(ISERROR(SEARCH("SP",AM17)))</formula>
    </cfRule>
    <cfRule type="containsText" dxfId="1044" priority="2925" stopIfTrue="1" operator="containsText" text="AL">
      <formula>NOT(ISERROR(SEARCH("AL",AM17)))</formula>
    </cfRule>
    <cfRule type="containsText" dxfId="1043" priority="2930" operator="containsText" text="SICK">
      <formula>NOT(ISERROR(SEARCH("SICK",AM17)))</formula>
    </cfRule>
    <cfRule type="containsText" dxfId="1042" priority="2929" operator="containsText" text="AL">
      <formula>NOT(ISERROR(SEARCH("AL",AM17)))</formula>
    </cfRule>
    <cfRule type="containsText" dxfId="1041" priority="2928" operator="containsText" text="AB">
      <formula>NOT(ISERROR(SEARCH("AB",AM17)))</formula>
    </cfRule>
    <cfRule type="containsText" dxfId="1040" priority="2927" stopIfTrue="1" operator="containsText" text="SICK">
      <formula>NOT(ISERROR(SEARCH("SICK",AM17)))</formula>
    </cfRule>
  </conditionalFormatting>
  <conditionalFormatting sqref="AM24">
    <cfRule type="containsText" dxfId="1039" priority="2791" operator="containsText" text="AB">
      <formula>NOT(ISERROR(SEARCH("AB",AM24)))</formula>
    </cfRule>
    <cfRule type="containsText" dxfId="1038" priority="2793" stopIfTrue="1" operator="containsText" text="SP">
      <formula>NOT(ISERROR(SEARCH("SP",AM24)))</formula>
    </cfRule>
    <cfRule type="containsText" dxfId="1037" priority="2792" stopIfTrue="1" operator="containsText" text="AL">
      <formula>NOT(ISERROR(SEARCH("AL",AM24)))</formula>
    </cfRule>
    <cfRule type="containsText" dxfId="1036" priority="2794" stopIfTrue="1" operator="containsText" text="SICK">
      <formula>NOT(ISERROR(SEARCH("SICK",AM24)))</formula>
    </cfRule>
    <cfRule type="containsText" dxfId="1035" priority="2790" operator="containsText" text="NL">
      <formula>NOT(ISERROR(SEARCH("NL",AM24)))</formula>
    </cfRule>
    <cfRule type="containsText" dxfId="1034" priority="2789" operator="containsText" text="SICK">
      <formula>NOT(ISERROR(SEARCH("SICK",AM24)))</formula>
    </cfRule>
    <cfRule type="containsText" dxfId="1033" priority="2788" operator="containsText" text="AL">
      <formula>NOT(ISERROR(SEARCH("AL",AM24)))</formula>
    </cfRule>
  </conditionalFormatting>
  <conditionalFormatting sqref="AM7:AN7">
    <cfRule type="containsText" dxfId="1032" priority="3062" operator="containsText" text="FL">
      <formula>NOT(ISERROR(SEARCH("FL",AM7)))</formula>
    </cfRule>
    <cfRule type="containsText" priority="3063" operator="containsText" text="FL">
      <formula>NOT(ISERROR(SEARCH("FL",AM7)))</formula>
    </cfRule>
    <cfRule type="containsText" dxfId="1031" priority="3064" operator="containsText" text="AL">
      <formula>NOT(ISERROR(SEARCH("AL",AM7)))</formula>
    </cfRule>
    <cfRule type="containsText" dxfId="1030" priority="3067" operator="containsText" text="AB">
      <formula>NOT(ISERROR(SEARCH("AB",AM7)))</formula>
    </cfRule>
    <cfRule type="containsText" dxfId="1029" priority="3069" operator="containsText" text="SICK">
      <formula>NOT(ISERROR(SEARCH("SICK",AM7)))</formula>
    </cfRule>
  </conditionalFormatting>
  <conditionalFormatting sqref="AM17:AN17">
    <cfRule type="containsText" priority="2933" operator="containsText" text="FL">
      <formula>NOT(ISERROR(SEARCH("FL",AM17)))</formula>
    </cfRule>
    <cfRule type="containsText" dxfId="1028" priority="2932" operator="containsText" text="FL">
      <formula>NOT(ISERROR(SEARCH("FL",AM17)))</formula>
    </cfRule>
    <cfRule type="containsText" dxfId="1027" priority="2934" operator="containsText" text="AL">
      <formula>NOT(ISERROR(SEARCH("AL",AM17)))</formula>
    </cfRule>
    <cfRule type="containsText" dxfId="1026" priority="2939" operator="containsText" text="SICK">
      <formula>NOT(ISERROR(SEARCH("SICK",AM17)))</formula>
    </cfRule>
    <cfRule type="containsText" dxfId="1025" priority="2937" operator="containsText" text="AB">
      <formula>NOT(ISERROR(SEARCH("AB",AM17)))</formula>
    </cfRule>
  </conditionalFormatting>
  <conditionalFormatting sqref="AN4:AO4">
    <cfRule type="dataBar" priority="64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{AA562D21-5FCF-47C8-A5E7-17EDEA16ABC5}</x14:id>
        </ext>
      </extLst>
    </cfRule>
  </conditionalFormatting>
  <conditionalFormatting sqref="AO7">
    <cfRule type="containsText" dxfId="1024" priority="3029" stopIfTrue="1" operator="containsText" text="AL">
      <formula>NOT(ISERROR(SEARCH("AL",AO7)))</formula>
    </cfRule>
    <cfRule type="containsText" dxfId="1023" priority="3027" stopIfTrue="1" operator="containsText" text="SP">
      <formula>NOT(ISERROR(SEARCH("SP",AO7)))</formula>
    </cfRule>
    <cfRule type="containsText" dxfId="1022" priority="3025" operator="containsText" text="AB">
      <formula>NOT(ISERROR(SEARCH("AB",AO7)))</formula>
    </cfRule>
    <cfRule type="containsText" dxfId="1021" priority="3024" operator="containsText" text="NL">
      <formula>NOT(ISERROR(SEARCH("NL",AO7)))</formula>
    </cfRule>
    <cfRule type="containsText" dxfId="1020" priority="3023" operator="containsText" text="SICK">
      <formula>NOT(ISERROR(SEARCH("SICK",AO7)))</formula>
    </cfRule>
    <cfRule type="containsText" dxfId="1019" priority="3022" operator="containsText" text="AL">
      <formula>NOT(ISERROR(SEARCH("AL",AO7)))</formula>
    </cfRule>
    <cfRule type="containsText" dxfId="1018" priority="3028" stopIfTrue="1" operator="containsText" text="SICK">
      <formula>NOT(ISERROR(SEARCH("SICK",AO7)))</formula>
    </cfRule>
  </conditionalFormatting>
  <conditionalFormatting sqref="AO12">
    <cfRule type="containsText" dxfId="1017" priority="1839" stopIfTrue="1" operator="containsText" text="SP">
      <formula>NOT(ISERROR(SEARCH("SP",AO12)))</formula>
    </cfRule>
    <cfRule type="containsText" dxfId="1016" priority="1825" stopIfTrue="1" operator="containsText" text="AL">
      <formula>NOT(ISERROR(SEARCH("AL",AO12)))</formula>
    </cfRule>
    <cfRule type="containsText" dxfId="1015" priority="1832" operator="containsText" text="AL">
      <formula>NOT(ISERROR(SEARCH("AL",AO12)))</formula>
    </cfRule>
    <cfRule type="containsText" dxfId="1014" priority="1830" operator="containsText" text="SICK">
      <formula>NOT(ISERROR(SEARCH("SICK",AO12)))</formula>
    </cfRule>
    <cfRule type="containsText" dxfId="1013" priority="1829" stopIfTrue="1" operator="containsText" text="AB">
      <formula>NOT(ISERROR(SEARCH("AB",AO12)))</formula>
    </cfRule>
    <cfRule type="containsText" dxfId="1012" priority="1833" stopIfTrue="1" operator="containsText" text="FL">
      <formula>NOT(ISERROR(SEARCH("FL",AO12)))</formula>
    </cfRule>
    <cfRule type="containsText" dxfId="1011" priority="1828" stopIfTrue="1" operator="containsText" text="FL">
      <formula>NOT(ISERROR(SEARCH("FL",AO12)))</formula>
    </cfRule>
    <cfRule type="containsText" dxfId="1010" priority="1840" stopIfTrue="1" operator="containsText" text="SICK">
      <formula>NOT(ISERROR(SEARCH("SICK",AO12)))</formula>
    </cfRule>
    <cfRule type="containsText" dxfId="1009" priority="1821" operator="containsText" text="AB">
      <formula>NOT(ISERROR(SEARCH("AB",AO12)))</formula>
    </cfRule>
    <cfRule type="containsText" dxfId="1008" priority="1824" operator="containsText" text="NL">
      <formula>NOT(ISERROR(SEARCH("NL",AO12)))</formula>
    </cfRule>
    <cfRule type="containsText" dxfId="1007" priority="1822" operator="containsText" text="AL">
      <formula>NOT(ISERROR(SEARCH("AL",AO12)))</formula>
    </cfRule>
  </conditionalFormatting>
  <conditionalFormatting sqref="AO17">
    <cfRule type="containsText" dxfId="1006" priority="2895" operator="containsText" text="AB">
      <formula>NOT(ISERROR(SEARCH("AB",AO17)))</formula>
    </cfRule>
    <cfRule type="containsText" dxfId="1005" priority="2893" operator="containsText" text="SICK">
      <formula>NOT(ISERROR(SEARCH("SICK",AO17)))</formula>
    </cfRule>
    <cfRule type="containsText" dxfId="1004" priority="2914" operator="containsText" text="NL">
      <formula>NOT(ISERROR(SEARCH("NL",AO17)))</formula>
    </cfRule>
    <cfRule type="containsText" dxfId="1003" priority="2903" operator="containsText" text="AL">
      <formula>NOT(ISERROR(SEARCH("AL",AO17)))</formula>
    </cfRule>
    <cfRule type="containsText" dxfId="1002" priority="2917" stopIfTrue="1" operator="containsText" text="SICK">
      <formula>NOT(ISERROR(SEARCH("SICK",AO17)))</formula>
    </cfRule>
    <cfRule type="containsText" dxfId="1001" priority="2916" stopIfTrue="1" operator="containsText" text="SP">
      <formula>NOT(ISERROR(SEARCH("SP",AO17)))</formula>
    </cfRule>
    <cfRule type="containsText" dxfId="1000" priority="2915" stopIfTrue="1" operator="containsText" text="AL">
      <formula>NOT(ISERROR(SEARCH("AL",AO17)))</formula>
    </cfRule>
  </conditionalFormatting>
  <conditionalFormatting sqref="AO23:AO24">
    <cfRule type="containsText" dxfId="999" priority="2826" operator="containsText" text="SICK">
      <formula>NOT(ISERROR(SEARCH("SICK",AO23)))</formula>
    </cfRule>
    <cfRule type="containsText" dxfId="998" priority="2827" operator="containsText" text="NL">
      <formula>NOT(ISERROR(SEARCH("NL",AO23)))</formula>
    </cfRule>
    <cfRule type="containsText" priority="2829" operator="containsText" text="FL">
      <formula>NOT(ISERROR(SEARCH("FL",AO23)))</formula>
    </cfRule>
    <cfRule type="containsText" dxfId="997" priority="2830" operator="containsText" text="AL">
      <formula>NOT(ISERROR(SEARCH("AL",AO23)))</formula>
    </cfRule>
    <cfRule type="containsText" dxfId="996" priority="2828" operator="containsText" text="FL">
      <formula>NOT(ISERROR(SEARCH("FL",AO23)))</formula>
    </cfRule>
    <cfRule type="containsText" dxfId="995" priority="2814" operator="containsText" text="AL">
      <formula>NOT(ISERROR(SEARCH("AL",AO23)))</formula>
    </cfRule>
    <cfRule type="containsText" dxfId="994" priority="2817" operator="containsText" text="AB">
      <formula>NOT(ISERROR(SEARCH("AB",AO23)))</formula>
    </cfRule>
    <cfRule type="containsText" dxfId="993" priority="2818" stopIfTrue="1" operator="containsText" text="AL">
      <formula>NOT(ISERROR(SEARCH("AL",AO23)))</formula>
    </cfRule>
    <cfRule type="containsText" dxfId="992" priority="2820" stopIfTrue="1" operator="containsText" text="SICK">
      <formula>NOT(ISERROR(SEARCH("SICK",AO23)))</formula>
    </cfRule>
    <cfRule type="containsText" dxfId="991" priority="2822" stopIfTrue="1" operator="containsText" text="SP">
      <formula>NOT(ISERROR(SEARCH("SP",AO23)))</formula>
    </cfRule>
  </conditionalFormatting>
  <conditionalFormatting sqref="AO7:AP7">
    <cfRule type="containsText" dxfId="990" priority="3043" operator="containsText" text="SICK">
      <formula>NOT(ISERROR(SEARCH("SICK",AO7)))</formula>
    </cfRule>
    <cfRule type="containsText" dxfId="989" priority="3038" operator="containsText" text="AL">
      <formula>NOT(ISERROR(SEARCH("AL",AO7)))</formula>
    </cfRule>
    <cfRule type="containsText" priority="3037" operator="containsText" text="FL">
      <formula>NOT(ISERROR(SEARCH("FL",AO7)))</formula>
    </cfRule>
    <cfRule type="containsText" dxfId="988" priority="3041" operator="containsText" text="AB">
      <formula>NOT(ISERROR(SEARCH("AB",AO7)))</formula>
    </cfRule>
    <cfRule type="containsText" dxfId="987" priority="3036" operator="containsText" text="FL">
      <formula>NOT(ISERROR(SEARCH("FL",AO7)))</formula>
    </cfRule>
  </conditionalFormatting>
  <conditionalFormatting sqref="AO12:AP12">
    <cfRule type="containsText" priority="1831" operator="containsText" text="FL">
      <formula>NOT(ISERROR(SEARCH("FL",AO12)))</formula>
    </cfRule>
  </conditionalFormatting>
  <conditionalFormatting sqref="AO17:AP17">
    <cfRule type="containsText" dxfId="986" priority="2913" operator="containsText" text="SICK">
      <formula>NOT(ISERROR(SEARCH("SICK",AO17)))</formula>
    </cfRule>
    <cfRule type="containsText" dxfId="985" priority="2908" operator="containsText" text="AL">
      <formula>NOT(ISERROR(SEARCH("AL",AO17)))</formula>
    </cfRule>
    <cfRule type="containsText" dxfId="984" priority="2911" operator="containsText" text="AB">
      <formula>NOT(ISERROR(SEARCH("AB",AO17)))</formula>
    </cfRule>
    <cfRule type="containsText" dxfId="983" priority="2906" operator="containsText" text="FL">
      <formula>NOT(ISERROR(SEARCH("FL",AO17)))</formula>
    </cfRule>
  </conditionalFormatting>
  <conditionalFormatting sqref="AO17:AR17">
    <cfRule type="containsText" priority="2881" operator="containsText" text="FL">
      <formula>NOT(ISERROR(SEARCH("FL",AO17)))</formula>
    </cfRule>
  </conditionalFormatting>
  <conditionalFormatting sqref="AP4:AQ4">
    <cfRule type="dataBar" priority="64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{4FF21087-245E-4061-9148-ABFB9C20E8F3}</x14:id>
        </ext>
      </extLst>
    </cfRule>
  </conditionalFormatting>
  <conditionalFormatting sqref="AP23:AV23 AJ27:AW28 AZ27:BA28 AT28:BA28">
    <cfRule type="containsText" dxfId="982" priority="2536" operator="containsText" text="AB">
      <formula>NOT(ISERROR(SEARCH("AB",AJ23)))</formula>
    </cfRule>
    <cfRule type="containsText" dxfId="981" priority="2535" operator="containsText" text="AL">
      <formula>NOT(ISERROR(SEARCH("AL",AJ23)))</formula>
    </cfRule>
    <cfRule type="containsText" dxfId="980" priority="2537" operator="containsText" text="SICK">
      <formula>NOT(ISERROR(SEARCH("SICK",AJ23)))</formula>
    </cfRule>
  </conditionalFormatting>
  <conditionalFormatting sqref="AP5:AY6 AP8:AY9">
    <cfRule type="containsText" dxfId="979" priority="5203" operator="containsText" text="AL">
      <formula>NOT(ISERROR(SEARCH("AL",AP5)))</formula>
    </cfRule>
    <cfRule type="containsText" dxfId="978" priority="5204" operator="containsText" text="SICK">
      <formula>NOT(ISERROR(SEARCH("SICK",AP5)))</formula>
    </cfRule>
    <cfRule type="containsText" dxfId="977" priority="5205" operator="containsText" text="NL">
      <formula>NOT(ISERROR(SEARCH("NL",AP5)))</formula>
    </cfRule>
    <cfRule type="containsText" dxfId="976" priority="5202" operator="containsText" text="AB">
      <formula>NOT(ISERROR(SEARCH("AB",AP5)))</formula>
    </cfRule>
  </conditionalFormatting>
  <conditionalFormatting sqref="AQ7">
    <cfRule type="containsText" dxfId="975" priority="2997" operator="containsText" text="SICK">
      <formula>NOT(ISERROR(SEARCH("SICK",AQ7)))</formula>
    </cfRule>
    <cfRule type="containsText" dxfId="974" priority="3007" operator="containsText" text="AL">
      <formula>NOT(ISERROR(SEARCH("AL",AQ7)))</formula>
    </cfRule>
    <cfRule type="containsText" dxfId="973" priority="3002" stopIfTrue="1" operator="containsText" text="SICK">
      <formula>NOT(ISERROR(SEARCH("SICK",AQ7)))</formula>
    </cfRule>
    <cfRule type="containsText" dxfId="972" priority="3001" stopIfTrue="1" operator="containsText" text="SP">
      <formula>NOT(ISERROR(SEARCH("SP",AQ7)))</formula>
    </cfRule>
    <cfRule type="containsText" dxfId="971" priority="3000" stopIfTrue="1" operator="containsText" text="AL">
      <formula>NOT(ISERROR(SEARCH("AL",AQ7)))</formula>
    </cfRule>
    <cfRule type="containsText" dxfId="970" priority="2999" operator="containsText" text="AB">
      <formula>NOT(ISERROR(SEARCH("AB",AQ7)))</formula>
    </cfRule>
    <cfRule type="containsText" dxfId="969" priority="2998" operator="containsText" text="NL">
      <formula>NOT(ISERROR(SEARCH("NL",AQ7)))</formula>
    </cfRule>
  </conditionalFormatting>
  <conditionalFormatting sqref="AQ12">
    <cfRule type="containsText" dxfId="968" priority="1808" stopIfTrue="1" operator="containsText" text="FL">
      <formula>NOT(ISERROR(SEARCH("FL",AQ12)))</formula>
    </cfRule>
    <cfRule type="containsText" dxfId="967" priority="1817" operator="containsText" text="NL">
      <formula>NOT(ISERROR(SEARCH("NL",AQ12)))</formula>
    </cfRule>
    <cfRule type="containsText" dxfId="966" priority="1816" operator="containsText" text="SICK">
      <formula>NOT(ISERROR(SEARCH("SICK",AQ12)))</formula>
    </cfRule>
    <cfRule type="containsText" dxfId="965" priority="1815" operator="containsText" text="AL">
      <formula>NOT(ISERROR(SEARCH("AL",AQ12)))</formula>
    </cfRule>
    <cfRule type="containsText" dxfId="964" priority="1819" stopIfTrue="1" operator="containsText" text="SP">
      <formula>NOT(ISERROR(SEARCH("SP",AQ12)))</formula>
    </cfRule>
    <cfRule type="containsText" dxfId="963" priority="1814" operator="containsText" text="AB">
      <formula>NOT(ISERROR(SEARCH("AB",AQ12)))</formula>
    </cfRule>
    <cfRule type="containsText" dxfId="962" priority="1813" stopIfTrue="1" operator="containsText" text="FL">
      <formula>NOT(ISERROR(SEARCH("FL",AQ12)))</formula>
    </cfRule>
    <cfRule type="containsText" dxfId="961" priority="1812" operator="containsText" text="AL">
      <formula>NOT(ISERROR(SEARCH("AL",AQ12)))</formula>
    </cfRule>
    <cfRule type="containsText" dxfId="960" priority="1818" stopIfTrue="1" operator="containsText" text="AL">
      <formula>NOT(ISERROR(SEARCH("AL",AQ12)))</formula>
    </cfRule>
    <cfRule type="containsText" dxfId="959" priority="1809" stopIfTrue="1" operator="containsText" text="AB">
      <formula>NOT(ISERROR(SEARCH("AB",AQ12)))</formula>
    </cfRule>
    <cfRule type="containsText" dxfId="958" priority="1820" stopIfTrue="1" operator="containsText" text="SICK">
      <formula>NOT(ISERROR(SEARCH("SICK",AQ12)))</formula>
    </cfRule>
  </conditionalFormatting>
  <conditionalFormatting sqref="AQ17">
    <cfRule type="containsText" dxfId="957" priority="2868" operator="containsText" text="NL">
      <formula>NOT(ISERROR(SEARCH("NL",AQ17)))</formula>
    </cfRule>
    <cfRule type="containsText" dxfId="956" priority="2871" stopIfTrue="1" operator="containsText" text="SP">
      <formula>NOT(ISERROR(SEARCH("SP",AQ17)))</formula>
    </cfRule>
    <cfRule type="containsText" dxfId="955" priority="2886" operator="containsText" text="AL">
      <formula>NOT(ISERROR(SEARCH("AL",AQ17)))</formula>
    </cfRule>
    <cfRule type="containsText" dxfId="954" priority="2872" stopIfTrue="1" operator="containsText" text="SICK">
      <formula>NOT(ISERROR(SEARCH("SICK",AQ17)))</formula>
    </cfRule>
    <cfRule type="containsText" dxfId="953" priority="2873" stopIfTrue="1" operator="containsText" text="AL">
      <formula>NOT(ISERROR(SEARCH("AL",AQ17)))</formula>
    </cfRule>
    <cfRule type="containsText" dxfId="952" priority="2883" operator="containsText" text="AB">
      <formula>NOT(ISERROR(SEARCH("AB",AQ17)))</formula>
    </cfRule>
    <cfRule type="containsText" dxfId="951" priority="2884" operator="containsText" text="SICK">
      <formula>NOT(ISERROR(SEARCH("SICK",AQ17)))</formula>
    </cfRule>
  </conditionalFormatting>
  <conditionalFormatting sqref="AQ26">
    <cfRule type="containsText" dxfId="950" priority="2754" operator="containsText" text="SICK">
      <formula>NOT(ISERROR(SEARCH("SICK",AQ26)))</formula>
    </cfRule>
    <cfRule type="containsText" dxfId="949" priority="2756" operator="containsText" text="AL">
      <formula>NOT(ISERROR(SEARCH("AL",AQ26)))</formula>
    </cfRule>
    <cfRule type="containsText" dxfId="948" priority="2758" operator="containsText" text="NL">
      <formula>NOT(ISERROR(SEARCH("NL",AQ26)))</formula>
    </cfRule>
    <cfRule type="containsText" dxfId="947" priority="2753" operator="containsText" text="AB">
      <formula>NOT(ISERROR(SEARCH("AB",AQ26)))</formula>
    </cfRule>
    <cfRule type="containsText" dxfId="946" priority="2744" stopIfTrue="1" operator="containsText" text="SP">
      <formula>NOT(ISERROR(SEARCH("SP",AQ26)))</formula>
    </cfRule>
    <cfRule type="containsText" dxfId="945" priority="2743" stopIfTrue="1" operator="containsText" text="AL">
      <formula>NOT(ISERROR(SEARCH("AL",AQ26)))</formula>
    </cfRule>
    <cfRule type="containsText" dxfId="944" priority="2742" stopIfTrue="1" operator="containsText" text="SICK">
      <formula>NOT(ISERROR(SEARCH("SICK",AQ26)))</formula>
    </cfRule>
  </conditionalFormatting>
  <conditionalFormatting sqref="AQ7:AR7">
    <cfRule type="containsText" dxfId="943" priority="3010" operator="containsText" text="FL">
      <formula>NOT(ISERROR(SEARCH("FL",AQ7)))</formula>
    </cfRule>
    <cfRule type="containsText" priority="3011" operator="containsText" text="FL">
      <formula>NOT(ISERROR(SEARCH("FL",AQ7)))</formula>
    </cfRule>
    <cfRule type="containsText" dxfId="942" priority="3012" operator="containsText" text="AL">
      <formula>NOT(ISERROR(SEARCH("AL",AQ7)))</formula>
    </cfRule>
    <cfRule type="containsText" dxfId="941" priority="3015" operator="containsText" text="AB">
      <formula>NOT(ISERROR(SEARCH("AB",AQ7)))</formula>
    </cfRule>
    <cfRule type="containsText" dxfId="940" priority="3017" operator="containsText" text="SICK">
      <formula>NOT(ISERROR(SEARCH("SICK",AQ7)))</formula>
    </cfRule>
  </conditionalFormatting>
  <conditionalFormatting sqref="AQ12:AR12">
    <cfRule type="containsText" priority="1811" operator="containsText" text="FL">
      <formula>NOT(ISERROR(SEARCH("FL",AQ12)))</formula>
    </cfRule>
  </conditionalFormatting>
  <conditionalFormatting sqref="AQ17:AR17">
    <cfRule type="containsText" dxfId="939" priority="2880" operator="containsText" text="FL">
      <formula>NOT(ISERROR(SEARCH("FL",AQ17)))</formula>
    </cfRule>
    <cfRule type="containsText" dxfId="938" priority="2887" operator="containsText" text="SICK">
      <formula>NOT(ISERROR(SEARCH("SICK",AQ17)))</formula>
    </cfRule>
    <cfRule type="containsText" dxfId="937" priority="2885" operator="containsText" text="AB">
      <formula>NOT(ISERROR(SEARCH("AB",AQ17)))</formula>
    </cfRule>
    <cfRule type="containsText" dxfId="936" priority="2882" operator="containsText" text="AL">
      <formula>NOT(ISERROR(SEARCH("AL",AQ17)))</formula>
    </cfRule>
  </conditionalFormatting>
  <conditionalFormatting sqref="AR4:AS4">
    <cfRule type="dataBar" priority="64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{6431A124-F87D-4F6F-B61A-9E92FB391F76}</x14:id>
        </ext>
      </extLst>
    </cfRule>
  </conditionalFormatting>
  <conditionalFormatting sqref="AR16:AS16">
    <cfRule type="containsText" dxfId="935" priority="2560" operator="containsText" text="NL">
      <formula>NOT(ISERROR(SEARCH("NL",AR16)))</formula>
    </cfRule>
    <cfRule type="containsText" dxfId="934" priority="2576" operator="containsText" text="SICK">
      <formula>NOT(ISERROR(SEARCH("SICK",AR16)))</formula>
    </cfRule>
    <cfRule type="containsText" dxfId="933" priority="2564" stopIfTrue="1" operator="containsText" text="SICK">
      <formula>NOT(ISERROR(SEARCH("SICK",AR16)))</formula>
    </cfRule>
    <cfRule type="containsText" dxfId="932" priority="2565" stopIfTrue="1" operator="containsText" text="AL">
      <formula>NOT(ISERROR(SEARCH("AL",AR16)))</formula>
    </cfRule>
    <cfRule type="containsText" dxfId="931" priority="2563" stopIfTrue="1" operator="containsText" text="SP">
      <formula>NOT(ISERROR(SEARCH("SP",AR16)))</formula>
    </cfRule>
    <cfRule type="containsText" dxfId="930" priority="2561" operator="containsText" text="AB">
      <formula>NOT(ISERROR(SEARCH("AB",AR16)))</formula>
    </cfRule>
    <cfRule type="containsText" dxfId="929" priority="2558" operator="containsText" text="AL">
      <formula>NOT(ISERROR(SEARCH("AL",AR16)))</formula>
    </cfRule>
  </conditionalFormatting>
  <conditionalFormatting sqref="AR5:AY6 BL5:BO6">
    <cfRule type="containsText" dxfId="928" priority="5006" stopIfTrue="1" operator="containsText" text="SP">
      <formula>NOT(ISERROR(SEARCH("SP",AR5)))</formula>
    </cfRule>
    <cfRule type="containsText" dxfId="927" priority="5007" stopIfTrue="1" operator="containsText" text="SICK">
      <formula>NOT(ISERROR(SEARCH("SICK",AR5)))</formula>
    </cfRule>
  </conditionalFormatting>
  <conditionalFormatting sqref="AR8:AY9 BL8:BM9">
    <cfRule type="containsText" dxfId="926" priority="4999" stopIfTrue="1" operator="containsText" text="SP">
      <formula>NOT(ISERROR(SEARCH("SP",AR8)))</formula>
    </cfRule>
    <cfRule type="containsText" dxfId="925" priority="5000" stopIfTrue="1" operator="containsText" text="SICK">
      <formula>NOT(ISERROR(SEARCH("SICK",AR8)))</formula>
    </cfRule>
  </conditionalFormatting>
  <conditionalFormatting sqref="AR20:AY20 AR54:BO54">
    <cfRule type="containsText" dxfId="924" priority="5864" stopIfTrue="1" operator="containsText" text="AL">
      <formula>NOT(ISERROR(SEARCH("AL",AR20)))</formula>
    </cfRule>
    <cfRule type="containsText" dxfId="923" priority="5865" stopIfTrue="1" operator="containsText" text="SP">
      <formula>NOT(ISERROR(SEARCH("SP",AR20)))</formula>
    </cfRule>
    <cfRule type="containsText" dxfId="922" priority="5866" stopIfTrue="1" operator="containsText" text="SICK">
      <formula>NOT(ISERROR(SEARCH("SICK",AR20)))</formula>
    </cfRule>
  </conditionalFormatting>
  <conditionalFormatting sqref="AR20:AY20">
    <cfRule type="containsText" dxfId="921" priority="4984" stopIfTrue="1" operator="containsText" text="AL">
      <formula>NOT(ISERROR(SEARCH("AL",AR20)))</formula>
    </cfRule>
    <cfRule type="containsText" dxfId="920" priority="5151" stopIfTrue="1" operator="containsText" text="SICK">
      <formula>NOT(ISERROR(SEARCH("SICK",AR20)))</formula>
    </cfRule>
    <cfRule type="containsText" dxfId="919" priority="5150" stopIfTrue="1" operator="containsText" text="SP">
      <formula>NOT(ISERROR(SEARCH("SP",AR20)))</formula>
    </cfRule>
  </conditionalFormatting>
  <conditionalFormatting sqref="AR54:BO54 AJ31:BO31 D5:E6 E7:E9 D54:W54 P8:AG9 AJ5:AO6 D8:D9 Q7 D31">
    <cfRule type="containsText" dxfId="918" priority="5851" operator="containsText" text="AB">
      <formula>NOT(ISERROR(SEARCH("AB",D5)))</formula>
    </cfRule>
  </conditionalFormatting>
  <conditionalFormatting sqref="AR54:BO54">
    <cfRule type="containsText" dxfId="917" priority="5850" operator="containsText" text="NL">
      <formula>NOT(ISERROR(SEARCH("NL",AR54)))</formula>
    </cfRule>
  </conditionalFormatting>
  <conditionalFormatting sqref="AS7">
    <cfRule type="containsText" dxfId="916" priority="2993" stopIfTrue="1" operator="containsText" text="AL">
      <formula>NOT(ISERROR(SEARCH("AL",AS7)))</formula>
    </cfRule>
    <cfRule type="containsText" dxfId="915" priority="2992" operator="containsText" text="NL">
      <formula>NOT(ISERROR(SEARCH("NL",AS7)))</formula>
    </cfRule>
    <cfRule type="containsText" dxfId="914" priority="2975" stopIfTrue="1" operator="containsText" text="SP">
      <formula>NOT(ISERROR(SEARCH("SP",AS7)))</formula>
    </cfRule>
    <cfRule type="containsText" dxfId="913" priority="2976" stopIfTrue="1" operator="containsText" text="SICK">
      <formula>NOT(ISERROR(SEARCH("SICK",AS7)))</formula>
    </cfRule>
    <cfRule type="containsText" dxfId="912" priority="2984" operator="containsText" text="FL">
      <formula>NOT(ISERROR(SEARCH("FL",AS7)))</formula>
    </cfRule>
    <cfRule type="containsText" priority="2985" operator="containsText" text="FL">
      <formula>NOT(ISERROR(SEARCH("FL",AS7)))</formula>
    </cfRule>
    <cfRule type="containsText" dxfId="911" priority="2986" operator="containsText" text="AL">
      <formula>NOT(ISERROR(SEARCH("AL",AS7)))</formula>
    </cfRule>
    <cfRule type="containsText" dxfId="910" priority="2987" operator="containsText" text="AB">
      <formula>NOT(ISERROR(SEARCH("AB",AS7)))</formula>
    </cfRule>
    <cfRule type="containsText" dxfId="909" priority="2988" operator="containsText" text="SICK">
      <formula>NOT(ISERROR(SEARCH("SICK",AS7)))</formula>
    </cfRule>
    <cfRule type="containsText" dxfId="908" priority="2990" operator="containsText" text="AL">
      <formula>NOT(ISERROR(SEARCH("AL",AS7)))</formula>
    </cfRule>
  </conditionalFormatting>
  <conditionalFormatting sqref="AS17">
    <cfRule type="containsText" dxfId="907" priority="2846" stopIfTrue="1" operator="containsText" text="SICK">
      <formula>NOT(ISERROR(SEARCH("SICK",AS17)))</formula>
    </cfRule>
    <cfRule type="containsText" dxfId="906" priority="2854" operator="containsText" text="FL">
      <formula>NOT(ISERROR(SEARCH("FL",AS17)))</formula>
    </cfRule>
    <cfRule type="containsText" priority="2855" operator="containsText" text="FL">
      <formula>NOT(ISERROR(SEARCH("FL",AS17)))</formula>
    </cfRule>
    <cfRule type="containsText" dxfId="905" priority="2856" operator="containsText" text="AL">
      <formula>NOT(ISERROR(SEARCH("AL",AS17)))</formula>
    </cfRule>
    <cfRule type="containsText" dxfId="904" priority="2840" operator="containsText" text="AL">
      <formula>NOT(ISERROR(SEARCH("AL",AS17)))</formula>
    </cfRule>
    <cfRule type="containsText" dxfId="903" priority="2841" operator="containsText" text="SICK">
      <formula>NOT(ISERROR(SEARCH("SICK",AS17)))</formula>
    </cfRule>
    <cfRule type="containsText" dxfId="902" priority="2842" operator="containsText" text="NL">
      <formula>NOT(ISERROR(SEARCH("NL",AS17)))</formula>
    </cfRule>
    <cfRule type="containsText" dxfId="901" priority="2843" operator="containsText" text="AB">
      <formula>NOT(ISERROR(SEARCH("AB",AS17)))</formula>
    </cfRule>
    <cfRule type="containsText" dxfId="900" priority="2847" stopIfTrue="1" operator="containsText" text="AL">
      <formula>NOT(ISERROR(SEARCH("AL",AS17)))</formula>
    </cfRule>
    <cfRule type="containsText" dxfId="899" priority="2848" stopIfTrue="1" operator="containsText" text="SP">
      <formula>NOT(ISERROR(SEARCH("SP",AS17)))</formula>
    </cfRule>
  </conditionalFormatting>
  <conditionalFormatting sqref="AS24:AS26">
    <cfRule type="containsText" dxfId="898" priority="2781" operator="containsText" text="AB">
      <formula>NOT(ISERROR(SEARCH("AB",AS24)))</formula>
    </cfRule>
    <cfRule type="containsText" dxfId="897" priority="2786" stopIfTrue="1" operator="containsText" text="SP">
      <formula>NOT(ISERROR(SEARCH("SP",AS24)))</formula>
    </cfRule>
    <cfRule type="containsText" dxfId="896" priority="2780" operator="containsText" text="SICK">
      <formula>NOT(ISERROR(SEARCH("SICK",AS24)))</formula>
    </cfRule>
    <cfRule type="containsText" dxfId="895" priority="2778" operator="containsText" text="AL">
      <formula>NOT(ISERROR(SEARCH("AL",AS24)))</formula>
    </cfRule>
    <cfRule type="containsText" priority="2777" operator="containsText" text="FL">
      <formula>NOT(ISERROR(SEARCH("FL",AS24)))</formula>
    </cfRule>
    <cfRule type="containsText" dxfId="894" priority="2776" operator="containsText" text="FL">
      <formula>NOT(ISERROR(SEARCH("FL",AS24)))</formula>
    </cfRule>
    <cfRule type="containsText" dxfId="893" priority="2787" stopIfTrue="1" operator="containsText" text="SICK">
      <formula>NOT(ISERROR(SEARCH("SICK",AS24)))</formula>
    </cfRule>
    <cfRule type="containsText" dxfId="892" priority="2782" operator="containsText" text="AL">
      <formula>NOT(ISERROR(SEARCH("AL",AS24)))</formula>
    </cfRule>
    <cfRule type="containsText" dxfId="891" priority="2785" stopIfTrue="1" operator="containsText" text="AL">
      <formula>NOT(ISERROR(SEARCH("AL",AS24)))</formula>
    </cfRule>
    <cfRule type="containsText" dxfId="890" priority="2784" operator="containsText" text="NL">
      <formula>NOT(ISERROR(SEARCH("NL",AS24)))</formula>
    </cfRule>
  </conditionalFormatting>
  <conditionalFormatting sqref="AS12:AW12">
    <cfRule type="containsText" dxfId="889" priority="1782" operator="containsText" text="AL">
      <formula>NOT(ISERROR(SEARCH("AL",AS12)))</formula>
    </cfRule>
    <cfRule type="containsText" dxfId="888" priority="1784" operator="containsText" text="NL">
      <formula>NOT(ISERROR(SEARCH("NL",AS12)))</formula>
    </cfRule>
    <cfRule type="containsText" dxfId="887" priority="1785" stopIfTrue="1" operator="containsText" text="AL">
      <formula>NOT(ISERROR(SEARCH("AL",AS12)))</formula>
    </cfRule>
    <cfRule type="containsText" dxfId="886" priority="1787" stopIfTrue="1" operator="containsText" text="SICK">
      <formula>NOT(ISERROR(SEARCH("SICK",AS12)))</formula>
    </cfRule>
    <cfRule type="containsText" dxfId="885" priority="1788" stopIfTrue="1" operator="containsText" text="FL">
      <formula>NOT(ISERROR(SEARCH("FL",AS12)))</formula>
    </cfRule>
    <cfRule type="containsText" dxfId="884" priority="1789" stopIfTrue="1" operator="containsText" text="AB">
      <formula>NOT(ISERROR(SEARCH("AB",AS12)))</formula>
    </cfRule>
    <cfRule type="containsText" dxfId="883" priority="1790" operator="containsText" text="SICK">
      <formula>NOT(ISERROR(SEARCH("SICK",AS12)))</formula>
    </cfRule>
    <cfRule type="containsText" priority="1791" operator="containsText" text="FL">
      <formula>NOT(ISERROR(SEARCH("FL",AS12)))</formula>
    </cfRule>
    <cfRule type="containsText" dxfId="882" priority="1792" operator="containsText" text="AL">
      <formula>NOT(ISERROR(SEARCH("AL",AS12)))</formula>
    </cfRule>
    <cfRule type="containsText" dxfId="881" priority="1793" stopIfTrue="1" operator="containsText" text="FL">
      <formula>NOT(ISERROR(SEARCH("FL",AS12)))</formula>
    </cfRule>
    <cfRule type="containsText" dxfId="880" priority="1786" stopIfTrue="1" operator="containsText" text="SP">
      <formula>NOT(ISERROR(SEARCH("SP",AS12)))</formula>
    </cfRule>
    <cfRule type="containsText" dxfId="879" priority="1781" operator="containsText" text="AB">
      <formula>NOT(ISERROR(SEARCH("AB",AS12)))</formula>
    </cfRule>
  </conditionalFormatting>
  <conditionalFormatting sqref="AS12:AY12">
    <cfRule type="containsText" dxfId="878" priority="1798" stopIfTrue="1" operator="containsText" text="AL">
      <formula>NOT(ISERROR(SEARCH("AL",AS12)))</formula>
    </cfRule>
    <cfRule type="containsText" dxfId="877" priority="1794" operator="containsText" text="AB">
      <formula>NOT(ISERROR(SEARCH("AB",AS12)))</formula>
    </cfRule>
    <cfRule type="containsText" dxfId="876" priority="1797" operator="containsText" text="NL">
      <formula>NOT(ISERROR(SEARCH("NL",AS12)))</formula>
    </cfRule>
    <cfRule type="containsText" dxfId="875" priority="1795" operator="containsText" text="AL">
      <formula>NOT(ISERROR(SEARCH("AL",AS12)))</formula>
    </cfRule>
    <cfRule type="containsText" dxfId="874" priority="1796" operator="containsText" text="SICK">
      <formula>NOT(ISERROR(SEARCH("SICK",AS12)))</formula>
    </cfRule>
  </conditionalFormatting>
  <conditionalFormatting sqref="AT4:AU4">
    <cfRule type="dataBar" priority="64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{F7722F2D-7253-4DFF-BD81-846DD9395C2B}</x14:id>
        </ext>
      </extLst>
    </cfRule>
  </conditionalFormatting>
  <conditionalFormatting sqref="AT7:AU7">
    <cfRule type="containsText" dxfId="873" priority="2391" operator="containsText" text="FL">
      <formula>NOT(ISERROR(SEARCH("FL",AT7)))</formula>
    </cfRule>
    <cfRule type="containsText" dxfId="872" priority="2393" operator="containsText" text="AL">
      <formula>NOT(ISERROR(SEARCH("AL",AT7)))</formula>
    </cfRule>
    <cfRule type="containsText" dxfId="871" priority="2398" operator="containsText" text="SICK">
      <formula>NOT(ISERROR(SEARCH("SICK",AT7)))</formula>
    </cfRule>
    <cfRule type="containsText" dxfId="870" priority="2394" operator="containsText" text="AB">
      <formula>NOT(ISERROR(SEARCH("AB",AT7)))</formula>
    </cfRule>
  </conditionalFormatting>
  <conditionalFormatting sqref="AT17:AV17">
    <cfRule type="containsText" dxfId="869" priority="2528" operator="containsText" text="SICK">
      <formula>NOT(ISERROR(SEARCH("SICK",AT17)))</formula>
    </cfRule>
    <cfRule type="containsText" dxfId="868" priority="2526" operator="containsText" text="AB">
      <formula>NOT(ISERROR(SEARCH("AB",AT17)))</formula>
    </cfRule>
    <cfRule type="containsText" dxfId="867" priority="2523" operator="containsText" text="AL">
      <formula>NOT(ISERROR(SEARCH("AL",AT17)))</formula>
    </cfRule>
    <cfRule type="containsText" dxfId="866" priority="2521" operator="containsText" text="FL">
      <formula>NOT(ISERROR(SEARCH("FL",AT17)))</formula>
    </cfRule>
  </conditionalFormatting>
  <conditionalFormatting sqref="AT24:AV24">
    <cfRule type="containsText" dxfId="865" priority="2235" operator="containsText" text="FL">
      <formula>NOT(ISERROR(SEARCH("FL",AT24)))</formula>
    </cfRule>
    <cfRule type="containsText" dxfId="864" priority="2238" operator="containsText" text="AB">
      <formula>NOT(ISERROR(SEARCH("AB",AT24)))</formula>
    </cfRule>
    <cfRule type="containsText" dxfId="863" priority="2237" operator="containsText" text="AL">
      <formula>NOT(ISERROR(SEARCH("AL",AT24)))</formula>
    </cfRule>
    <cfRule type="containsText" priority="2236" operator="containsText" text="FL">
      <formula>NOT(ISERROR(SEARCH("FL",AT24)))</formula>
    </cfRule>
    <cfRule type="containsText" dxfId="862" priority="2242" operator="containsText" text="SICK">
      <formula>NOT(ISERROR(SEARCH("SICK",AT24)))</formula>
    </cfRule>
  </conditionalFormatting>
  <conditionalFormatting sqref="AT14:AW14 AZ14:BA14 AT15:BA15 AT16:AW16 AZ16:AZ17">
    <cfRule type="containsText" dxfId="861" priority="2546" operator="containsText" text="AB">
      <formula>NOT(ISERROR(SEARCH("AB",AT14)))</formula>
    </cfRule>
    <cfRule type="containsText" dxfId="860" priority="2543" operator="containsText" text="FL">
      <formula>NOT(ISERROR(SEARCH("FL",AT14)))</formula>
    </cfRule>
    <cfRule type="containsText" dxfId="859" priority="2547" operator="containsText" text="SICK">
      <formula>NOT(ISERROR(SEARCH("SICK",AT14)))</formula>
    </cfRule>
    <cfRule type="containsText" dxfId="858" priority="2545" operator="containsText" text="AL">
      <formula>NOT(ISERROR(SEARCH("AL",AT14)))</formula>
    </cfRule>
  </conditionalFormatting>
  <conditionalFormatting sqref="AT16:AW17">
    <cfRule type="containsText" priority="2496" operator="containsText" text="FL">
      <formula>NOT(ISERROR(SEARCH("FL",AT16)))</formula>
    </cfRule>
  </conditionalFormatting>
  <conditionalFormatting sqref="AT7:AX7">
    <cfRule type="containsText" priority="2392" operator="containsText" text="FL">
      <formula>NOT(ISERROR(SEARCH("FL",AT7)))</formula>
    </cfRule>
  </conditionalFormatting>
  <conditionalFormatting sqref="AT25:AY26">
    <cfRule type="containsText" dxfId="857" priority="2261" operator="containsText" text="FL">
      <formula>NOT(ISERROR(SEARCH("FL",AT25)))</formula>
    </cfRule>
    <cfRule type="containsText" dxfId="856" priority="2268" operator="containsText" text="SICK">
      <formula>NOT(ISERROR(SEARCH("SICK",AT25)))</formula>
    </cfRule>
    <cfRule type="containsText" dxfId="855" priority="2266" operator="containsText" text="AB">
      <formula>NOT(ISERROR(SEARCH("AB",AT25)))</formula>
    </cfRule>
    <cfRule type="containsText" dxfId="854" priority="2263" operator="containsText" text="AL">
      <formula>NOT(ISERROR(SEARCH("AL",AT25)))</formula>
    </cfRule>
    <cfRule type="containsText" priority="2262" operator="containsText" text="FL">
      <formula>NOT(ISERROR(SEARCH("FL",AT25)))</formula>
    </cfRule>
  </conditionalFormatting>
  <conditionalFormatting sqref="AT13:BA15">
    <cfRule type="containsText" priority="2005" operator="containsText" text="FL">
      <formula>NOT(ISERROR(SEARCH("FL",AT13)))</formula>
    </cfRule>
  </conditionalFormatting>
  <conditionalFormatting sqref="AT28:BA28 AP23:AV23 AJ27:AW28">
    <cfRule type="containsText" dxfId="853" priority="2533" operator="containsText" text="FL">
      <formula>NOT(ISERROR(SEARCH("FL",AJ23)))</formula>
    </cfRule>
  </conditionalFormatting>
  <conditionalFormatting sqref="AT28:BA28 AP23:AV23">
    <cfRule type="containsText" priority="2534" operator="containsText" text="FL">
      <formula>NOT(ISERROR(SEARCH("FL",AP23)))</formula>
    </cfRule>
  </conditionalFormatting>
  <conditionalFormatting sqref="AT13:BG13">
    <cfRule type="containsText" dxfId="852" priority="1476" operator="containsText" text="AL">
      <formula>NOT(ISERROR(SEARCH("AL",AT13)))</formula>
    </cfRule>
    <cfRule type="containsText" dxfId="851" priority="1481" operator="containsText" text="SICK">
      <formula>NOT(ISERROR(SEARCH("SICK",AT13)))</formula>
    </cfRule>
    <cfRule type="containsText" dxfId="850" priority="1479" operator="containsText" text="AB">
      <formula>NOT(ISERROR(SEARCH("AB",AT13)))</formula>
    </cfRule>
    <cfRule type="containsText" dxfId="849" priority="1474" operator="containsText" text="FL">
      <formula>NOT(ISERROR(SEARCH("FL",AT13)))</formula>
    </cfRule>
  </conditionalFormatting>
  <conditionalFormatting sqref="AT19:BG19">
    <cfRule type="containsText" dxfId="848" priority="1117" operator="containsText" text="AB">
      <formula>NOT(ISERROR(SEARCH("AB",AT19)))</formula>
    </cfRule>
    <cfRule type="containsText" dxfId="847" priority="1119" operator="containsText" text="SICK">
      <formula>NOT(ISERROR(SEARCH("SICK",AT19)))</formula>
    </cfRule>
    <cfRule type="containsText" dxfId="846" priority="1112" operator="containsText" text="FL">
      <formula>NOT(ISERROR(SEARCH("FL",AT19)))</formula>
    </cfRule>
    <cfRule type="containsText" priority="1113" operator="containsText" text="FL">
      <formula>NOT(ISERROR(SEARCH("FL",AT19)))</formula>
    </cfRule>
    <cfRule type="containsText" dxfId="845" priority="1114" operator="containsText" text="AL">
      <formula>NOT(ISERROR(SEARCH("AL",AT19)))</formula>
    </cfRule>
  </conditionalFormatting>
  <conditionalFormatting sqref="AT18:BO18">
    <cfRule type="containsText" dxfId="844" priority="5064" stopIfTrue="1" operator="containsText" text="NL">
      <formula>NOT(ISERROR(SEARCH("NL",AT18)))</formula>
    </cfRule>
    <cfRule type="containsText" dxfId="843" priority="5063" stopIfTrue="1" operator="containsText" text="SICK">
      <formula>NOT(ISERROR(SEARCH("SICK",AT18)))</formula>
    </cfRule>
    <cfRule type="containsText" dxfId="842" priority="5062" operator="containsText" text="AL">
      <formula>NOT(ISERROR(SEARCH("AL",AT18)))</formula>
    </cfRule>
    <cfRule type="containsText" dxfId="841" priority="4915" operator="containsText" text="AB">
      <formula>NOT(ISERROR(SEARCH("AB",AT18)))</formula>
    </cfRule>
  </conditionalFormatting>
  <conditionalFormatting sqref="AU7">
    <cfRule type="containsText" dxfId="840" priority="2399" operator="containsText" text="NL">
      <formula>NOT(ISERROR(SEARCH("NL",AU7)))</formula>
    </cfRule>
    <cfRule type="containsText" dxfId="839" priority="2397" operator="containsText" text="AL">
      <formula>NOT(ISERROR(SEARCH("AL",AU7)))</formula>
    </cfRule>
    <cfRule type="containsText" dxfId="838" priority="2402" stopIfTrue="1" operator="containsText" text="SICK">
      <formula>NOT(ISERROR(SEARCH("SICK",AU7)))</formula>
    </cfRule>
    <cfRule type="containsText" dxfId="837" priority="2401" stopIfTrue="1" operator="containsText" text="SP">
      <formula>NOT(ISERROR(SEARCH("SP",AU7)))</formula>
    </cfRule>
    <cfRule type="containsText" dxfId="836" priority="2378" operator="containsText" text="SICK">
      <formula>NOT(ISERROR(SEARCH("SICK",AU7)))</formula>
    </cfRule>
    <cfRule type="containsText" dxfId="835" priority="2384" stopIfTrue="1" operator="containsText" text="AL">
      <formula>NOT(ISERROR(SEARCH("AL",AU7)))</formula>
    </cfRule>
  </conditionalFormatting>
  <conditionalFormatting sqref="AU17">
    <cfRule type="containsText" dxfId="834" priority="2525" operator="containsText" text="SICK">
      <formula>NOT(ISERROR(SEARCH("SICK",AU17)))</formula>
    </cfRule>
    <cfRule type="containsText" dxfId="833" priority="2510" operator="containsText" text="AB">
      <formula>NOT(ISERROR(SEARCH("AB",AU17)))</formula>
    </cfRule>
    <cfRule type="containsText" dxfId="832" priority="2527" operator="containsText" text="AL">
      <formula>NOT(ISERROR(SEARCH("AL",AU17)))</formula>
    </cfRule>
    <cfRule type="containsText" dxfId="831" priority="2529" operator="containsText" text="NL">
      <formula>NOT(ISERROR(SEARCH("NL",AU17)))</formula>
    </cfRule>
    <cfRule type="containsText" dxfId="830" priority="2530" stopIfTrue="1" operator="containsText" text="AL">
      <formula>NOT(ISERROR(SEARCH("AL",AU17)))</formula>
    </cfRule>
    <cfRule type="containsText" dxfId="829" priority="2531" stopIfTrue="1" operator="containsText" text="SP">
      <formula>NOT(ISERROR(SEARCH("SP",AU17)))</formula>
    </cfRule>
    <cfRule type="containsText" dxfId="828" priority="2532" stopIfTrue="1" operator="containsText" text="SICK">
      <formula>NOT(ISERROR(SEARCH("SICK",AU17)))</formula>
    </cfRule>
  </conditionalFormatting>
  <conditionalFormatting sqref="AU24">
    <cfRule type="containsText" dxfId="827" priority="2246" stopIfTrue="1" operator="containsText" text="SICK">
      <formula>NOT(ISERROR(SEARCH("SICK",AU24)))</formula>
    </cfRule>
    <cfRule type="containsText" dxfId="826" priority="2233" operator="containsText" text="SICK">
      <formula>NOT(ISERROR(SEARCH("SICK",AU24)))</formula>
    </cfRule>
    <cfRule type="containsText" dxfId="825" priority="2244" stopIfTrue="1" operator="containsText" text="AL">
      <formula>NOT(ISERROR(SEARCH("AL",AU24)))</formula>
    </cfRule>
    <cfRule type="containsText" dxfId="824" priority="2245" stopIfTrue="1" operator="containsText" text="SP">
      <formula>NOT(ISERROR(SEARCH("SP",AU24)))</formula>
    </cfRule>
    <cfRule type="containsText" dxfId="823" priority="2234" operator="containsText" text="NL">
      <formula>NOT(ISERROR(SEARCH("NL",AU24)))</formula>
    </cfRule>
    <cfRule type="containsText" dxfId="822" priority="2232" operator="containsText" text="AL">
      <formula>NOT(ISERROR(SEARCH("AL",AU24)))</formula>
    </cfRule>
  </conditionalFormatting>
  <conditionalFormatting sqref="AV4:AW4">
    <cfRule type="dataBar" priority="64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{9E114280-3E5A-4475-9395-D79553E27AE0}</x14:id>
        </ext>
      </extLst>
    </cfRule>
  </conditionalFormatting>
  <conditionalFormatting sqref="AV7:AX7">
    <cfRule type="containsText" dxfId="821" priority="2424" operator="containsText" text="SICK">
      <formula>NOT(ISERROR(SEARCH("SICK",AV7)))</formula>
    </cfRule>
    <cfRule type="containsText" dxfId="820" priority="2422" operator="containsText" text="AB">
      <formula>NOT(ISERROR(SEARCH("AB",AV7)))</formula>
    </cfRule>
    <cfRule type="containsText" dxfId="819" priority="2419" operator="containsText" text="AL">
      <formula>NOT(ISERROR(SEARCH("AL",AV7)))</formula>
    </cfRule>
    <cfRule type="containsText" dxfId="818" priority="2417" operator="containsText" text="FL">
      <formula>NOT(ISERROR(SEARCH("FL",AV7)))</formula>
    </cfRule>
  </conditionalFormatting>
  <conditionalFormatting sqref="AW7">
    <cfRule type="containsText" dxfId="817" priority="2406" operator="containsText" text="AB">
      <formula>NOT(ISERROR(SEARCH("AB",AW7)))</formula>
    </cfRule>
    <cfRule type="containsText" dxfId="816" priority="2405" operator="containsText" text="NL">
      <formula>NOT(ISERROR(SEARCH("NL",AW7)))</formula>
    </cfRule>
    <cfRule type="containsText" dxfId="815" priority="2404" operator="containsText" text="SICK">
      <formula>NOT(ISERROR(SEARCH("SICK",AW7)))</formula>
    </cfRule>
    <cfRule type="containsText" dxfId="814" priority="2403" operator="containsText" text="AL">
      <formula>NOT(ISERROR(SEARCH("AL",AW7)))</formula>
    </cfRule>
    <cfRule type="containsText" dxfId="813" priority="2426" stopIfTrue="1" operator="containsText" text="AL">
      <formula>NOT(ISERROR(SEARCH("AL",AW7)))</formula>
    </cfRule>
    <cfRule type="containsText" dxfId="812" priority="2427" stopIfTrue="1" operator="containsText" text="SP">
      <formula>NOT(ISERROR(SEARCH("SP",AW7)))</formula>
    </cfRule>
    <cfRule type="containsText" dxfId="811" priority="2428" stopIfTrue="1" operator="containsText" text="SICK">
      <formula>NOT(ISERROR(SEARCH("SICK",AW7)))</formula>
    </cfRule>
  </conditionalFormatting>
  <conditionalFormatting sqref="AW17">
    <cfRule type="containsText" dxfId="810" priority="2486" stopIfTrue="1" operator="containsText" text="SP">
      <formula>NOT(ISERROR(SEARCH("SP",AW17)))</formula>
    </cfRule>
    <cfRule type="containsText" dxfId="809" priority="2481" operator="containsText" text="AL">
      <formula>NOT(ISERROR(SEARCH("AL",AW17)))</formula>
    </cfRule>
    <cfRule type="containsText" dxfId="808" priority="2482" operator="containsText" text="SICK">
      <formula>NOT(ISERROR(SEARCH("SICK",AW17)))</formula>
    </cfRule>
    <cfRule type="containsText" dxfId="807" priority="2483" operator="containsText" text="NL">
      <formula>NOT(ISERROR(SEARCH("NL",AW17)))</formula>
    </cfRule>
    <cfRule type="containsText" dxfId="806" priority="2484" operator="containsText" text="AB">
      <formula>NOT(ISERROR(SEARCH("AB",AW17)))</formula>
    </cfRule>
    <cfRule type="containsText" dxfId="805" priority="2487" stopIfTrue="1" operator="containsText" text="SICK">
      <formula>NOT(ISERROR(SEARCH("SICK",AW17)))</formula>
    </cfRule>
    <cfRule type="containsText" dxfId="804" priority="2488" stopIfTrue="1" operator="containsText" text="AL">
      <formula>NOT(ISERROR(SEARCH("AL",AW17)))</formula>
    </cfRule>
    <cfRule type="containsText" dxfId="803" priority="2495" operator="containsText" text="FL">
      <formula>NOT(ISERROR(SEARCH("FL",AW17)))</formula>
    </cfRule>
    <cfRule type="containsText" dxfId="802" priority="2497" operator="containsText" text="AL">
      <formula>NOT(ISERROR(SEARCH("AL",AW17)))</formula>
    </cfRule>
  </conditionalFormatting>
  <conditionalFormatting sqref="AW23:AW24">
    <cfRule type="containsText" dxfId="801" priority="2200" stopIfTrue="1" operator="containsText" text="SP">
      <formula>NOT(ISERROR(SEARCH("SP",AW23)))</formula>
    </cfRule>
    <cfRule type="containsText" dxfId="800" priority="2199" stopIfTrue="1" operator="containsText" text="AL">
      <formula>NOT(ISERROR(SEARCH("AL",AW23)))</formula>
    </cfRule>
    <cfRule type="containsText" dxfId="799" priority="2197" operator="containsText" text="NL">
      <formula>NOT(ISERROR(SEARCH("NL",AW23)))</formula>
    </cfRule>
    <cfRule type="containsText" dxfId="798" priority="2196" operator="containsText" text="SICK">
      <formula>NOT(ISERROR(SEARCH("SICK",AW23)))</formula>
    </cfRule>
    <cfRule type="containsText" priority="2210" operator="containsText" text="FL">
      <formula>NOT(ISERROR(SEARCH("FL",AW23)))</formula>
    </cfRule>
    <cfRule type="containsText" dxfId="797" priority="2209" operator="containsText" text="FL">
      <formula>NOT(ISERROR(SEARCH("FL",AW23)))</formula>
    </cfRule>
    <cfRule type="containsText" dxfId="796" priority="2211" operator="containsText" text="AL">
      <formula>NOT(ISERROR(SEARCH("AL",AW23)))</formula>
    </cfRule>
    <cfRule type="containsText" dxfId="795" priority="2212" operator="containsText" text="AB">
      <formula>NOT(ISERROR(SEARCH("AB",AW23)))</formula>
    </cfRule>
    <cfRule type="containsText" dxfId="794" priority="2201" stopIfTrue="1" operator="containsText" text="SICK">
      <formula>NOT(ISERROR(SEARCH("SICK",AW23)))</formula>
    </cfRule>
    <cfRule type="containsText" dxfId="793" priority="2206" operator="containsText" text="AL">
      <formula>NOT(ISERROR(SEARCH("AL",AW23)))</formula>
    </cfRule>
  </conditionalFormatting>
  <conditionalFormatting sqref="AW23:AY24">
    <cfRule type="containsText" dxfId="792" priority="1930" operator="containsText" text="AL">
      <formula>NOT(ISERROR(SEARCH("AL",AW23)))</formula>
    </cfRule>
  </conditionalFormatting>
  <conditionalFormatting sqref="AX12">
    <cfRule type="containsText" dxfId="791" priority="4760" stopIfTrue="1" operator="containsText" text="SICK">
      <formula>NOT(ISERROR(SEARCH("SICK",AX12)))</formula>
    </cfRule>
  </conditionalFormatting>
  <conditionalFormatting sqref="AX4:AY4">
    <cfRule type="dataBar" priority="64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{C08670B4-86F1-4E11-9B63-F358153C7BE3}</x14:id>
        </ext>
      </extLst>
    </cfRule>
  </conditionalFormatting>
  <conditionalFormatting sqref="AX5:AY6">
    <cfRule type="containsText" dxfId="790" priority="2090" operator="containsText" text="SICK">
      <formula>NOT(ISERROR(SEARCH("SICK",AX5)))</formula>
    </cfRule>
    <cfRule type="containsText" dxfId="789" priority="2089" operator="containsText" text="AL">
      <formula>NOT(ISERROR(SEARCH("AL",AX5)))</formula>
    </cfRule>
    <cfRule type="containsText" dxfId="788" priority="2088" operator="containsText" text="AB">
      <formula>NOT(ISERROR(SEARCH("AB",AX5)))</formula>
    </cfRule>
    <cfRule type="containsText" dxfId="787" priority="2086" stopIfTrue="1" operator="containsText" text="AB">
      <formula>NOT(ISERROR(SEARCH("AB",AX5)))</formula>
    </cfRule>
    <cfRule type="containsText" dxfId="786" priority="2085" stopIfTrue="1" operator="containsText" text="FL">
      <formula>NOT(ISERROR(SEARCH("FL",AX5)))</formula>
    </cfRule>
    <cfRule type="containsText" dxfId="785" priority="2114" stopIfTrue="1" operator="containsText" text="AL">
      <formula>NOT(ISERROR(SEARCH("AL",AX5)))</formula>
    </cfRule>
    <cfRule type="containsText" dxfId="784" priority="2116" stopIfTrue="1" operator="containsText" text="SICK">
      <formula>NOT(ISERROR(SEARCH("SICK",AX5)))</formula>
    </cfRule>
    <cfRule type="containsText" dxfId="783" priority="2100" stopIfTrue="1" operator="containsText" text="FL">
      <formula>NOT(ISERROR(SEARCH("FL",AX5)))</formula>
    </cfRule>
    <cfRule type="containsText" dxfId="782" priority="2098" operator="containsText" text="EL">
      <formula>NOT(ISERROR(SEARCH("EL",AX5)))</formula>
    </cfRule>
    <cfRule type="containsText" dxfId="781" priority="2115" stopIfTrue="1" operator="containsText" text="SP">
      <formula>NOT(ISERROR(SEARCH("SP",AX5)))</formula>
    </cfRule>
    <cfRule type="containsText" dxfId="780" priority="2091" operator="containsText" text="NL">
      <formula>NOT(ISERROR(SEARCH("NL",AX5)))</formula>
    </cfRule>
    <cfRule type="containsText" dxfId="779" priority="2097" operator="containsText" text="AL">
      <formula>NOT(ISERROR(SEARCH("AL",AX5)))</formula>
    </cfRule>
  </conditionalFormatting>
  <conditionalFormatting sqref="AX8:AY9">
    <cfRule type="containsText" dxfId="778" priority="2062" stopIfTrue="1" operator="containsText" text="SP">
      <formula>NOT(ISERROR(SEARCH("SP",AX8)))</formula>
    </cfRule>
    <cfRule type="containsText" dxfId="777" priority="2061" stopIfTrue="1" operator="containsText" text="AL">
      <formula>NOT(ISERROR(SEARCH("AL",AX8)))</formula>
    </cfRule>
    <cfRule type="containsText" dxfId="776" priority="2060" operator="containsText" text="NL">
      <formula>NOT(ISERROR(SEARCH("NL",AX8)))</formula>
    </cfRule>
    <cfRule type="containsText" dxfId="775" priority="2057" operator="containsText" text="AB">
      <formula>NOT(ISERROR(SEARCH("AB",AX8)))</formula>
    </cfRule>
    <cfRule type="containsText" dxfId="774" priority="2058" operator="containsText" text="AL">
      <formula>NOT(ISERROR(SEARCH("AL",AX8)))</formula>
    </cfRule>
    <cfRule type="containsText" dxfId="773" priority="2084" stopIfTrue="1" operator="containsText" text="SICK">
      <formula>NOT(ISERROR(SEARCH("SICK",AX8)))</formula>
    </cfRule>
    <cfRule type="containsText" dxfId="772" priority="2071" operator="containsText" text="SICK">
      <formula>NOT(ISERROR(SEARCH("SICK",AX8)))</formula>
    </cfRule>
    <cfRule type="containsText" dxfId="771" priority="2067" operator="containsText" text="EL">
      <formula>NOT(ISERROR(SEARCH("EL",AX8)))</formula>
    </cfRule>
    <cfRule type="containsText" dxfId="770" priority="2066" operator="containsText" text="AL">
      <formula>NOT(ISERROR(SEARCH("AL",AX8)))</formula>
    </cfRule>
  </conditionalFormatting>
  <conditionalFormatting sqref="AX12:AY12">
    <cfRule type="containsText" dxfId="769" priority="4749" stopIfTrue="1" operator="containsText" text="SP">
      <formula>NOT(ISERROR(SEARCH("SP",AX12)))</formula>
    </cfRule>
    <cfRule type="containsText" dxfId="768" priority="2038" operator="containsText" text="AL">
      <formula>NOT(ISERROR(SEARCH("AL",AX12)))</formula>
    </cfRule>
    <cfRule type="containsText" dxfId="767" priority="2039" operator="containsText" text="EL">
      <formula>NOT(ISERROR(SEARCH("EL",AX12)))</formula>
    </cfRule>
    <cfRule type="containsText" dxfId="766" priority="2044" operator="containsText" text="NL">
      <formula>NOT(ISERROR(SEARCH("NL",AX12)))</formula>
    </cfRule>
    <cfRule type="containsText" dxfId="765" priority="4745" operator="containsText" text="AL">
      <formula>NOT(ISERROR(SEARCH("AL",AX12)))</formula>
    </cfRule>
    <cfRule type="containsText" dxfId="764" priority="2035" stopIfTrue="1" operator="containsText" text="SICK">
      <formula>NOT(ISERROR(SEARCH("SICK",AX12)))</formula>
    </cfRule>
    <cfRule type="containsText" dxfId="763" priority="2036" operator="containsText" text="AB">
      <formula>NOT(ISERROR(SEARCH("AB",AX12)))</formula>
    </cfRule>
    <cfRule type="containsText" dxfId="762" priority="4748" stopIfTrue="1" operator="containsText" text="AL">
      <formula>NOT(ISERROR(SEARCH("AL",AX12)))</formula>
    </cfRule>
    <cfRule type="containsText" dxfId="761" priority="2040" operator="containsText" text="SICK">
      <formula>NOT(ISERROR(SEARCH("SICK",AX12)))</formula>
    </cfRule>
  </conditionalFormatting>
  <conditionalFormatting sqref="AX14:AY14">
    <cfRule type="containsText" dxfId="760" priority="2004" stopIfTrue="1" operator="containsText" text="SICK">
      <formula>NOT(ISERROR(SEARCH("SICK",AX14)))</formula>
    </cfRule>
    <cfRule type="containsText" dxfId="759" priority="1995" stopIfTrue="1" operator="containsText" text="FL">
      <formula>NOT(ISERROR(SEARCH("FL",AX14)))</formula>
    </cfRule>
    <cfRule type="containsText" dxfId="758" priority="1997" operator="containsText" text="SICK">
      <formula>NOT(ISERROR(SEARCH("SICK",AX14)))</formula>
    </cfRule>
    <cfRule type="containsText" dxfId="757" priority="2012" stopIfTrue="1" operator="containsText" text="FL">
      <formula>NOT(ISERROR(SEARCH("FL",AX14)))</formula>
    </cfRule>
    <cfRule type="containsText" dxfId="756" priority="2016" operator="containsText" text="NL">
      <formula>NOT(ISERROR(SEARCH("NL",AX14)))</formula>
    </cfRule>
    <cfRule type="containsText" dxfId="755" priority="1999" operator="containsText" text="AL">
      <formula>NOT(ISERROR(SEARCH("AL",AX14)))</formula>
    </cfRule>
    <cfRule type="containsText" dxfId="754" priority="2026" stopIfTrue="1" operator="containsText" text="AL">
      <formula>NOT(ISERROR(SEARCH("AL",AX14)))</formula>
    </cfRule>
    <cfRule type="containsText" dxfId="753" priority="2027" stopIfTrue="1" operator="containsText" text="SP">
      <formula>NOT(ISERROR(SEARCH("SP",AX14)))</formula>
    </cfRule>
    <cfRule type="containsText" dxfId="752" priority="2009" operator="containsText" text="AL">
      <formula>NOT(ISERROR(SEARCH("AL",AX14)))</formula>
    </cfRule>
    <cfRule type="containsText" dxfId="751" priority="2010" operator="containsText" text="EL">
      <formula>NOT(ISERROR(SEARCH("EL",AX14)))</formula>
    </cfRule>
    <cfRule type="containsText" dxfId="750" priority="1996" stopIfTrue="1" operator="containsText" text="AB">
      <formula>NOT(ISERROR(SEARCH("AB",AX14)))</formula>
    </cfRule>
    <cfRule type="containsText" dxfId="749" priority="1998" operator="containsText" text="AB">
      <formula>NOT(ISERROR(SEARCH("AB",AX14)))</formula>
    </cfRule>
  </conditionalFormatting>
  <conditionalFormatting sqref="AX16:AY17">
    <cfRule type="containsText" dxfId="748" priority="1991" operator="containsText" text="AL">
      <formula>NOT(ISERROR(SEARCH("AL",AX16)))</formula>
    </cfRule>
    <cfRule type="containsText" dxfId="747" priority="1994" stopIfTrue="1" operator="containsText" text="SICK">
      <formula>NOT(ISERROR(SEARCH("SICK",AX16)))</formula>
    </cfRule>
    <cfRule type="containsText" dxfId="746" priority="1962" stopIfTrue="1" operator="containsText" text="AB">
      <formula>NOT(ISERROR(SEARCH("AB",AX16)))</formula>
    </cfRule>
    <cfRule type="containsText" dxfId="745" priority="1981" operator="containsText" text="SICK">
      <formula>NOT(ISERROR(SEARCH("SICK",AX16)))</formula>
    </cfRule>
    <cfRule type="containsText" dxfId="744" priority="1964" operator="containsText" text="AB">
      <formula>NOT(ISERROR(SEARCH("AB",AX16)))</formula>
    </cfRule>
    <cfRule type="containsText" dxfId="743" priority="1968" stopIfTrue="1" operator="containsText" text="AL">
      <formula>NOT(ISERROR(SEARCH("AL",AX16)))</formula>
    </cfRule>
    <cfRule type="containsText" dxfId="742" priority="1969" stopIfTrue="1" operator="containsText" text="SP">
      <formula>NOT(ISERROR(SEARCH("SP",AX16)))</formula>
    </cfRule>
    <cfRule type="containsText" dxfId="741" priority="1975" operator="containsText" text="AL">
      <formula>NOT(ISERROR(SEARCH("AL",AX16)))</formula>
    </cfRule>
    <cfRule type="containsText" dxfId="740" priority="1976" operator="containsText" text="EL">
      <formula>NOT(ISERROR(SEARCH("EL",AX16)))</formula>
    </cfRule>
    <cfRule type="containsText" dxfId="739" priority="1978" stopIfTrue="1" operator="containsText" text="FL">
      <formula>NOT(ISERROR(SEARCH("FL",AX16)))</formula>
    </cfRule>
    <cfRule type="containsText" dxfId="738" priority="1982" operator="containsText" text="NL">
      <formula>NOT(ISERROR(SEARCH("NL",AX16)))</formula>
    </cfRule>
    <cfRule type="containsText" dxfId="737" priority="1961" stopIfTrue="1" operator="containsText" text="FL">
      <formula>NOT(ISERROR(SEARCH("FL",AX16)))</formula>
    </cfRule>
  </conditionalFormatting>
  <conditionalFormatting sqref="AX20:AY20">
    <cfRule type="containsText" dxfId="736" priority="1949" operator="containsText" text="NL">
      <formula>NOT(ISERROR(SEARCH("NL",AX20)))</formula>
    </cfRule>
    <cfRule type="containsText" dxfId="735" priority="1944" operator="containsText" text="EL">
      <formula>NOT(ISERROR(SEARCH("EL",AX20)))</formula>
    </cfRule>
    <cfRule type="containsText" dxfId="734" priority="1943" operator="containsText" text="AL">
      <formula>NOT(ISERROR(SEARCH("AL",AX20)))</formula>
    </cfRule>
    <cfRule type="containsText" dxfId="733" priority="1938" stopIfTrue="1" operator="containsText" text="AL">
      <formula>NOT(ISERROR(SEARCH("AL",AX20)))</formula>
    </cfRule>
    <cfRule type="containsText" dxfId="732" priority="1936" operator="containsText" text="SICK">
      <formula>NOT(ISERROR(SEARCH("SICK",AX20)))</formula>
    </cfRule>
    <cfRule type="containsText" dxfId="731" priority="1935" operator="containsText" text="AL">
      <formula>NOT(ISERROR(SEARCH("AL",AX20)))</formula>
    </cfRule>
    <cfRule type="containsText" dxfId="730" priority="1934" operator="containsText" text="AB">
      <formula>NOT(ISERROR(SEARCH("AB",AX20)))</formula>
    </cfRule>
  </conditionalFormatting>
  <conditionalFormatting sqref="AX23:AY24">
    <cfRule type="containsText" priority="1910" operator="containsText" text="FL">
      <formula>NOT(ISERROR(SEARCH("FL",AX23)))</formula>
    </cfRule>
    <cfRule type="containsText" dxfId="729" priority="1917" stopIfTrue="1" operator="containsText" text="FL">
      <formula>NOT(ISERROR(SEARCH("FL",AX23)))</formula>
    </cfRule>
    <cfRule type="containsText" dxfId="728" priority="1904" operator="containsText" text="AL">
      <formula>NOT(ISERROR(SEARCH("AL",AX23)))</formula>
    </cfRule>
    <cfRule type="containsText" dxfId="727" priority="1903" operator="containsText" text="AB">
      <formula>NOT(ISERROR(SEARCH("AB",AX23)))</formula>
    </cfRule>
    <cfRule type="containsText" dxfId="726" priority="1901" stopIfTrue="1" operator="containsText" text="AB">
      <formula>NOT(ISERROR(SEARCH("AB",AX23)))</formula>
    </cfRule>
    <cfRule type="containsText" dxfId="725" priority="1928" operator="containsText" text="SICK">
      <formula>NOT(ISERROR(SEARCH("SICK",AX23)))</formula>
    </cfRule>
    <cfRule type="containsText" dxfId="724" priority="1932" stopIfTrue="1" operator="containsText" text="SP">
      <formula>NOT(ISERROR(SEARCH("SP",AX23)))</formula>
    </cfRule>
    <cfRule type="containsText" dxfId="723" priority="1900" stopIfTrue="1" operator="containsText" text="FL">
      <formula>NOT(ISERROR(SEARCH("FL",AX23)))</formula>
    </cfRule>
    <cfRule type="containsText" dxfId="722" priority="1915" operator="containsText" text="EL">
      <formula>NOT(ISERROR(SEARCH("EL",AX23)))</formula>
    </cfRule>
    <cfRule type="containsText" dxfId="721" priority="1931" stopIfTrue="1" operator="containsText" text="AL">
      <formula>NOT(ISERROR(SEARCH("AL",AX23)))</formula>
    </cfRule>
    <cfRule type="containsText" dxfId="720" priority="1921" operator="containsText" text="NL">
      <formula>NOT(ISERROR(SEARCH("NL",AX23)))</formula>
    </cfRule>
    <cfRule type="containsText" dxfId="719" priority="1911" operator="containsText" text="AL">
      <formula>NOT(ISERROR(SEARCH("AL",AX23)))</formula>
    </cfRule>
    <cfRule type="containsText" dxfId="718" priority="1933" stopIfTrue="1" operator="containsText" text="SICK">
      <formula>NOT(ISERROR(SEARCH("SICK",AX23)))</formula>
    </cfRule>
  </conditionalFormatting>
  <conditionalFormatting sqref="AX27:AY28">
    <cfRule type="containsText" dxfId="717" priority="1875" stopIfTrue="1" operator="containsText" text="SICK">
      <formula>NOT(ISERROR(SEARCH("SICK",AX27)))</formula>
    </cfRule>
    <cfRule type="containsText" dxfId="716" priority="1874" stopIfTrue="1" operator="containsText" text="SP">
      <formula>NOT(ISERROR(SEARCH("SP",AX27)))</formula>
    </cfRule>
    <cfRule type="containsText" dxfId="715" priority="1872" operator="containsText" text="NL">
      <formula>NOT(ISERROR(SEARCH("NL",AX27)))</formula>
    </cfRule>
    <cfRule type="containsText" dxfId="714" priority="1870" operator="containsText" text="AL">
      <formula>NOT(ISERROR(SEARCH("AL",AX27)))</formula>
    </cfRule>
    <cfRule type="containsText" dxfId="713" priority="1867" stopIfTrue="1" operator="containsText" text="AB">
      <formula>NOT(ISERROR(SEARCH("AB",AX27)))</formula>
    </cfRule>
    <cfRule type="containsText" dxfId="712" priority="1886" operator="containsText" text="SICK">
      <formula>NOT(ISERROR(SEARCH("SICK",AX27)))</formula>
    </cfRule>
    <cfRule type="containsText" dxfId="711" priority="1873" stopIfTrue="1" operator="containsText" text="AL">
      <formula>NOT(ISERROR(SEARCH("AL",AX27)))</formula>
    </cfRule>
    <cfRule type="containsText" dxfId="710" priority="1866" stopIfTrue="1" operator="containsText" text="FL">
      <formula>NOT(ISERROR(SEARCH("FL",AX27)))</formula>
    </cfRule>
    <cfRule type="containsText" dxfId="709" priority="1883" stopIfTrue="1" operator="containsText" text="FL">
      <formula>NOT(ISERROR(SEARCH("FL",AX27)))</formula>
    </cfRule>
    <cfRule type="containsText" dxfId="708" priority="1881" operator="containsText" text="EL">
      <formula>NOT(ISERROR(SEARCH("EL",AX27)))</formula>
    </cfRule>
    <cfRule type="containsText" dxfId="707" priority="1878" operator="containsText" text="AB">
      <formula>NOT(ISERROR(SEARCH("AB",AX27)))</formula>
    </cfRule>
    <cfRule type="containsText" dxfId="706" priority="1877" operator="containsText" text="AL">
      <formula>NOT(ISERROR(SEARCH("AL",AX27)))</formula>
    </cfRule>
  </conditionalFormatting>
  <conditionalFormatting sqref="AX16:AZ17">
    <cfRule type="containsText" priority="1971" operator="containsText" text="FL">
      <formula>NOT(ISERROR(SEARCH("FL",AX16)))</formula>
    </cfRule>
  </conditionalFormatting>
  <conditionalFormatting sqref="AX20:BG20">
    <cfRule type="containsText" dxfId="705" priority="1956" operator="containsText" text="SICK">
      <formula>NOT(ISERROR(SEARCH("SICK",AX20)))</formula>
    </cfRule>
    <cfRule type="containsText" dxfId="704" priority="1947" operator="containsText" text="AL">
      <formula>NOT(ISERROR(SEARCH("AL",AX20)))</formula>
    </cfRule>
    <cfRule type="containsText" dxfId="703" priority="1957" operator="containsText" text="NL">
      <formula>NOT(ISERROR(SEARCH("NL",AX20)))</formula>
    </cfRule>
  </conditionalFormatting>
  <conditionalFormatting sqref="AX5:BK6">
    <cfRule type="containsText" dxfId="702" priority="2113" operator="containsText" text="AL">
      <formula>NOT(ISERROR(SEARCH("AL",AX5)))</formula>
    </cfRule>
  </conditionalFormatting>
  <conditionalFormatting sqref="AY5:AY6">
    <cfRule type="containsText" dxfId="701" priority="2110" stopIfTrue="1" operator="containsText" text="SICK">
      <formula>NOT(ISERROR(SEARCH("SICK",AY5)))</formula>
    </cfRule>
    <cfRule type="containsText" dxfId="700" priority="2109" stopIfTrue="1" operator="containsText" text="SP">
      <formula>NOT(ISERROR(SEARCH("SP",AY5)))</formula>
    </cfRule>
    <cfRule type="containsText" dxfId="699" priority="2108" stopIfTrue="1" operator="containsText" text="AL">
      <formula>NOT(ISERROR(SEARCH("AL",AY5)))</formula>
    </cfRule>
  </conditionalFormatting>
  <conditionalFormatting sqref="AY7">
    <cfRule type="containsText" dxfId="698" priority="2376" stopIfTrue="1" operator="containsText" text="SICK">
      <formula>NOT(ISERROR(SEARCH("SICK",AY7)))</formula>
    </cfRule>
    <cfRule type="containsText" dxfId="697" priority="2374" stopIfTrue="1" operator="containsText" text="AL">
      <formula>NOT(ISERROR(SEARCH("AL",AY7)))</formula>
    </cfRule>
    <cfRule type="containsText" dxfId="696" priority="2375" stopIfTrue="1" operator="containsText" text="SP">
      <formula>NOT(ISERROR(SEARCH("SP",AY7)))</formula>
    </cfRule>
    <cfRule type="containsText" dxfId="695" priority="2364" operator="containsText" text="NL">
      <formula>NOT(ISERROR(SEARCH("NL",AY7)))</formula>
    </cfRule>
    <cfRule type="containsText" dxfId="694" priority="2363" operator="containsText" text="SICK">
      <formula>NOT(ISERROR(SEARCH("SICK",AY7)))</formula>
    </cfRule>
    <cfRule type="containsText" dxfId="693" priority="2362" operator="containsText" text="AL">
      <formula>NOT(ISERROR(SEARCH("AL",AY7)))</formula>
    </cfRule>
  </conditionalFormatting>
  <conditionalFormatting sqref="AY8:AY9">
    <cfRule type="containsText" dxfId="692" priority="2075" stopIfTrue="1" operator="containsText" text="SICK">
      <formula>NOT(ISERROR(SEARCH("SICK",AY8)))</formula>
    </cfRule>
    <cfRule type="containsText" dxfId="691" priority="2077" stopIfTrue="1" operator="containsText" text="SP">
      <formula>NOT(ISERROR(SEARCH("SP",AY8)))</formula>
    </cfRule>
    <cfRule type="containsText" dxfId="690" priority="2076" stopIfTrue="1" operator="containsText" text="AL">
      <formula>NOT(ISERROR(SEARCH("AL",AY8)))</formula>
    </cfRule>
  </conditionalFormatting>
  <conditionalFormatting sqref="AY12">
    <cfRule type="containsText" dxfId="689" priority="2045" stopIfTrue="1" operator="containsText" text="AL">
      <formula>NOT(ISERROR(SEARCH("AL",AY12)))</formula>
    </cfRule>
    <cfRule type="containsText" dxfId="688" priority="2047" stopIfTrue="1" operator="containsText" text="SICK">
      <formula>NOT(ISERROR(SEARCH("SICK",AY12)))</formula>
    </cfRule>
    <cfRule type="containsText" dxfId="687" priority="2046" stopIfTrue="1" operator="containsText" text="SP">
      <formula>NOT(ISERROR(SEARCH("SP",AY12)))</formula>
    </cfRule>
  </conditionalFormatting>
  <conditionalFormatting sqref="AY14">
    <cfRule type="containsText" dxfId="686" priority="2017" stopIfTrue="1" operator="containsText" text="AL">
      <formula>NOT(ISERROR(SEARCH("AL",AY14)))</formula>
    </cfRule>
    <cfRule type="containsText" dxfId="685" priority="2019" stopIfTrue="1" operator="containsText" text="SICK">
      <formula>NOT(ISERROR(SEARCH("SICK",AY14)))</formula>
    </cfRule>
    <cfRule type="containsText" dxfId="684" priority="2018" stopIfTrue="1" operator="containsText" text="SP">
      <formula>NOT(ISERROR(SEARCH("SP",AY14)))</formula>
    </cfRule>
  </conditionalFormatting>
  <conditionalFormatting sqref="AY16:AY17">
    <cfRule type="containsText" dxfId="683" priority="1987" stopIfTrue="1" operator="containsText" text="SP">
      <formula>NOT(ISERROR(SEARCH("SP",AY16)))</formula>
    </cfRule>
    <cfRule type="containsText" dxfId="682" priority="1986" stopIfTrue="1" operator="containsText" text="AL">
      <formula>NOT(ISERROR(SEARCH("AL",AY16)))</formula>
    </cfRule>
    <cfRule type="containsText" dxfId="681" priority="1985" stopIfTrue="1" operator="containsText" text="SICK">
      <formula>NOT(ISERROR(SEARCH("SICK",AY16)))</formula>
    </cfRule>
  </conditionalFormatting>
  <conditionalFormatting sqref="AY20">
    <cfRule type="containsText" dxfId="680" priority="1950" stopIfTrue="1" operator="containsText" text="AL">
      <formula>NOT(ISERROR(SEARCH("AL",AY20)))</formula>
    </cfRule>
    <cfRule type="containsText" dxfId="679" priority="1954" stopIfTrue="1" operator="containsText" text="SP">
      <formula>NOT(ISERROR(SEARCH("SP",AY20)))</formula>
    </cfRule>
    <cfRule type="containsText" dxfId="678" priority="1952" stopIfTrue="1" operator="containsText" text="SICK">
      <formula>NOT(ISERROR(SEARCH("SICK",AY20)))</formula>
    </cfRule>
  </conditionalFormatting>
  <conditionalFormatting sqref="AY23:AY26">
    <cfRule type="containsText" dxfId="677" priority="1925" stopIfTrue="1" operator="containsText" text="AL">
      <formula>NOT(ISERROR(SEARCH("AL",AY23)))</formula>
    </cfRule>
    <cfRule type="containsText" dxfId="676" priority="1927" stopIfTrue="1" operator="containsText" text="SICK">
      <formula>NOT(ISERROR(SEARCH("SICK",AY23)))</formula>
    </cfRule>
    <cfRule type="containsText" dxfId="675" priority="1926" stopIfTrue="1" operator="containsText" text="SP">
      <formula>NOT(ISERROR(SEARCH("SP",AY23)))</formula>
    </cfRule>
  </conditionalFormatting>
  <conditionalFormatting sqref="AY25:AY26">
    <cfRule type="containsText" dxfId="674" priority="2269" operator="containsText" text="NL">
      <formula>NOT(ISERROR(SEARCH("NL",AY25)))</formula>
    </cfRule>
    <cfRule type="containsText" dxfId="673" priority="2259" operator="containsText" text="SICK">
      <formula>NOT(ISERROR(SEARCH("SICK",AY25)))</formula>
    </cfRule>
    <cfRule type="containsText" dxfId="672" priority="2258" operator="containsText" text="AL">
      <formula>NOT(ISERROR(SEARCH("AL",AY25)))</formula>
    </cfRule>
    <cfRule type="containsText" dxfId="671" priority="2257" operator="containsText" text="AB">
      <formula>NOT(ISERROR(SEARCH("AB",AY25)))</formula>
    </cfRule>
  </conditionalFormatting>
  <conditionalFormatting sqref="AY27:AY28">
    <cfRule type="containsText" dxfId="670" priority="1888" stopIfTrue="1" operator="containsText" text="AL">
      <formula>NOT(ISERROR(SEARCH("AL",AY27)))</formula>
    </cfRule>
    <cfRule type="containsText" dxfId="669" priority="1889" stopIfTrue="1" operator="containsText" text="SP">
      <formula>NOT(ISERROR(SEARCH("SP",AY27)))</formula>
    </cfRule>
    <cfRule type="containsText" dxfId="668" priority="1890" stopIfTrue="1" operator="containsText" text="SICK">
      <formula>NOT(ISERROR(SEARCH("SICK",AY27)))</formula>
    </cfRule>
  </conditionalFormatting>
  <conditionalFormatting sqref="AY7:AZ7">
    <cfRule type="containsText" dxfId="667" priority="2372" operator="containsText" text="SICK">
      <formula>NOT(ISERROR(SEARCH("SICK",AY7)))</formula>
    </cfRule>
    <cfRule type="containsText" dxfId="666" priority="2368" operator="containsText" text="AB">
      <formula>NOT(ISERROR(SEARCH("AB",AY7)))</formula>
    </cfRule>
    <cfRule type="containsText" dxfId="665" priority="2367" operator="containsText" text="AL">
      <formula>NOT(ISERROR(SEARCH("AL",AY7)))</formula>
    </cfRule>
    <cfRule type="containsText" dxfId="664" priority="2365" operator="containsText" text="FL">
      <formula>NOT(ISERROR(SEARCH("FL",AY7)))</formula>
    </cfRule>
  </conditionalFormatting>
  <conditionalFormatting sqref="AY7:BA7">
    <cfRule type="containsText" priority="2340" operator="containsText" text="FL">
      <formula>NOT(ISERROR(SEARCH("FL",AY7)))</formula>
    </cfRule>
  </conditionalFormatting>
  <conditionalFormatting sqref="AZ12 BB12 BD12 BF12">
    <cfRule type="containsText" dxfId="663" priority="1425" operator="containsText" text="AB">
      <formula>NOT(ISERROR(SEARCH("AB",AZ12)))</formula>
    </cfRule>
    <cfRule type="containsText" dxfId="662" priority="1426" operator="containsText" text="SICK">
      <formula>NOT(ISERROR(SEARCH("SICK",AZ12)))</formula>
    </cfRule>
    <cfRule type="containsText" dxfId="661" priority="1422" operator="containsText" text="FL">
      <formula>NOT(ISERROR(SEARCH("FL",AZ12)))</formula>
    </cfRule>
    <cfRule type="containsText" dxfId="660" priority="1424" operator="containsText" text="AL">
      <formula>NOT(ISERROR(SEARCH("AL",AZ12)))</formula>
    </cfRule>
  </conditionalFormatting>
  <conditionalFormatting sqref="AZ4:BA4">
    <cfRule type="dataBar" priority="64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{1DC36696-C862-4749-971A-62B367302726}</x14:id>
        </ext>
      </extLst>
    </cfRule>
  </conditionalFormatting>
  <conditionalFormatting sqref="AZ23:BA26">
    <cfRule type="containsText" dxfId="659" priority="2294" operator="containsText" text="SICK">
      <formula>NOT(ISERROR(SEARCH("SICK",AZ23)))</formula>
    </cfRule>
    <cfRule type="containsText" dxfId="658" priority="2292" operator="containsText" text="AB">
      <formula>NOT(ISERROR(SEARCH("AB",AZ23)))</formula>
    </cfRule>
    <cfRule type="containsText" dxfId="657" priority="2289" operator="containsText" text="AL">
      <formula>NOT(ISERROR(SEARCH("AL",AZ23)))</formula>
    </cfRule>
  </conditionalFormatting>
  <conditionalFormatting sqref="AZ23:BA28">
    <cfRule type="containsText" priority="2288" operator="containsText" text="FL">
      <formula>NOT(ISERROR(SEARCH("FL",AZ23)))</formula>
    </cfRule>
    <cfRule type="containsText" dxfId="656" priority="2287" operator="containsText" text="FL">
      <formula>NOT(ISERROR(SEARCH("FL",AZ23)))</formula>
    </cfRule>
  </conditionalFormatting>
  <conditionalFormatting sqref="AZ12:BB12">
    <cfRule type="containsText" priority="1412" operator="containsText" text="FL">
      <formula>NOT(ISERROR(SEARCH("FL",AZ12)))</formula>
    </cfRule>
  </conditionalFormatting>
  <conditionalFormatting sqref="AZ8:BF9">
    <cfRule type="containsText" dxfId="655" priority="2129" operator="containsText" text="SICK">
      <formula>NOT(ISERROR(SEARCH("SICK",AZ8)))</formula>
    </cfRule>
    <cfRule type="containsText" dxfId="654" priority="2130" operator="containsText" text="NL">
      <formula>NOT(ISERROR(SEARCH("NL",AZ8)))</formula>
    </cfRule>
    <cfRule type="containsText" dxfId="653" priority="2131" operator="containsText" text="FL">
      <formula>NOT(ISERROR(SEARCH("FL",AZ8)))</formula>
    </cfRule>
    <cfRule type="containsText" dxfId="652" priority="2133" operator="containsText" text="AL">
      <formula>NOT(ISERROR(SEARCH("AL",AZ8)))</formula>
    </cfRule>
    <cfRule type="containsText" priority="2132" operator="containsText" text="FL">
      <formula>NOT(ISERROR(SEARCH("FL",AZ8)))</formula>
    </cfRule>
    <cfRule type="containsText" dxfId="651" priority="2122" stopIfTrue="1" operator="containsText" text="SP">
      <formula>NOT(ISERROR(SEARCH("SP",AZ8)))</formula>
    </cfRule>
    <cfRule type="containsText" dxfId="650" priority="2123" stopIfTrue="1" operator="containsText" text="SICK">
      <formula>NOT(ISERROR(SEARCH("SICK",AZ8)))</formula>
    </cfRule>
    <cfRule type="containsText" dxfId="649" priority="2124" stopIfTrue="1" operator="containsText" text="AL">
      <formula>NOT(ISERROR(SEARCH("AL",AZ8)))</formula>
    </cfRule>
    <cfRule type="containsText" dxfId="648" priority="2127" operator="containsText" text="AB">
      <formula>NOT(ISERROR(SEARCH("AB",AZ8)))</formula>
    </cfRule>
    <cfRule type="containsText" dxfId="647" priority="2128" operator="containsText" text="AL">
      <formula>NOT(ISERROR(SEARCH("AL",AZ8)))</formula>
    </cfRule>
  </conditionalFormatting>
  <conditionalFormatting sqref="AZ20:BG20">
    <cfRule type="containsText" dxfId="646" priority="2194" stopIfTrue="1" operator="containsText" text="SICK">
      <formula>NOT(ISERROR(SEARCH("SICK",AZ20)))</formula>
    </cfRule>
    <cfRule type="containsText" dxfId="645" priority="2193" stopIfTrue="1" operator="containsText" text="SP">
      <formula>NOT(ISERROR(SEARCH("SP",AZ20)))</formula>
    </cfRule>
    <cfRule type="containsText" priority="2184" operator="containsText" text="FL">
      <formula>NOT(ISERROR(SEARCH("FL",AZ20)))</formula>
    </cfRule>
    <cfRule type="containsText" dxfId="644" priority="2192" stopIfTrue="1" operator="containsText" text="AL">
      <formula>NOT(ISERROR(SEARCH("AL",AZ20)))</formula>
    </cfRule>
    <cfRule type="containsText" dxfId="643" priority="2190" operator="containsText" text="SICK">
      <formula>NOT(ISERROR(SEARCH("SICK",AZ20)))</formula>
    </cfRule>
    <cfRule type="containsText" dxfId="642" priority="2185" operator="containsText" text="AL">
      <formula>NOT(ISERROR(SEARCH("AL",AZ20)))</formula>
    </cfRule>
    <cfRule type="containsText" dxfId="641" priority="2191" operator="containsText" text="NL">
      <formula>NOT(ISERROR(SEARCH("NL",AZ20)))</formula>
    </cfRule>
    <cfRule type="containsText" dxfId="640" priority="2189" operator="containsText" text="AL">
      <formula>NOT(ISERROR(SEARCH("AL",AZ20)))</formula>
    </cfRule>
    <cfRule type="containsText" dxfId="639" priority="2179" operator="containsText" text="AB">
      <formula>NOT(ISERROR(SEARCH("AB",AZ20)))</formula>
    </cfRule>
    <cfRule type="containsText" dxfId="638" priority="2183" operator="containsText" text="FL">
      <formula>NOT(ISERROR(SEARCH("FL",AZ20)))</formula>
    </cfRule>
  </conditionalFormatting>
  <conditionalFormatting sqref="AZ31:BG31 AJ53">
    <cfRule type="containsText" dxfId="637" priority="6391" stopIfTrue="1" operator="containsText" text="AL">
      <formula>NOT(ISERROR(SEARCH("AL",AJ31)))</formula>
    </cfRule>
    <cfRule type="containsText" dxfId="636" priority="6392" stopIfTrue="1" operator="containsText" text="SP">
      <formula>NOT(ISERROR(SEARCH("SP",AJ31)))</formula>
    </cfRule>
    <cfRule type="containsText" dxfId="635" priority="6393" stopIfTrue="1" operator="containsText" text="SICK">
      <formula>NOT(ISERROR(SEARCH("SICK",AJ31)))</formula>
    </cfRule>
  </conditionalFormatting>
  <conditionalFormatting sqref="AZ5:BK6 BI7 BK7">
    <cfRule type="containsText" dxfId="634" priority="2156" operator="containsText" text="NL">
      <formula>NOT(ISERROR(SEARCH("NL",AZ5)))</formula>
    </cfRule>
    <cfRule type="containsText" dxfId="633" priority="2155" operator="containsText" text="SICK">
      <formula>NOT(ISERROR(SEARCH("SICK",AZ5)))</formula>
    </cfRule>
    <cfRule type="containsText" dxfId="632" priority="2154" operator="containsText" text="AL">
      <formula>NOT(ISERROR(SEARCH("AL",AZ5)))</formula>
    </cfRule>
    <cfRule type="containsText" dxfId="631" priority="2153" operator="containsText" text="AB">
      <formula>NOT(ISERROR(SEARCH("AB",AZ5)))</formula>
    </cfRule>
    <cfRule type="containsText" dxfId="630" priority="2152" stopIfTrue="1" operator="containsText" text="SICK">
      <formula>NOT(ISERROR(SEARCH("SICK",AZ5)))</formula>
    </cfRule>
    <cfRule type="containsText" dxfId="629" priority="2151" stopIfTrue="1" operator="containsText" text="SP">
      <formula>NOT(ISERROR(SEARCH("SP",AZ5)))</formula>
    </cfRule>
    <cfRule type="containsText" dxfId="628" priority="2150" stopIfTrue="1" operator="containsText" text="AL">
      <formula>NOT(ISERROR(SEARCH("AL",AZ5)))</formula>
    </cfRule>
  </conditionalFormatting>
  <conditionalFormatting sqref="AZ5:BO6 BI7 BK7">
    <cfRule type="containsText" priority="2158" operator="containsText" text="FL">
      <formula>NOT(ISERROR(SEARCH("FL",AZ5)))</formula>
    </cfRule>
    <cfRule type="containsText" dxfId="627" priority="2164" operator="containsText" text="SICK">
      <formula>NOT(ISERROR(SEARCH("SICK",AZ5)))</formula>
    </cfRule>
    <cfRule type="containsText" dxfId="626" priority="2159" operator="containsText" text="AL">
      <formula>NOT(ISERROR(SEARCH("AL",AZ5)))</formula>
    </cfRule>
    <cfRule type="containsText" dxfId="625" priority="2157" operator="containsText" text="FL">
      <formula>NOT(ISERROR(SEARCH("FL",AZ5)))</formula>
    </cfRule>
    <cfRule type="containsText" dxfId="624" priority="2162" operator="containsText" text="AB">
      <formula>NOT(ISERROR(SEARCH("AB",AZ5)))</formula>
    </cfRule>
  </conditionalFormatting>
  <conditionalFormatting sqref="BA7">
    <cfRule type="containsText" dxfId="623" priority="2329" stopIfTrue="1" operator="containsText" text="AL">
      <formula>NOT(ISERROR(SEARCH("AL",BA7)))</formula>
    </cfRule>
    <cfRule type="containsText" dxfId="622" priority="2341" operator="containsText" text="AL">
      <formula>NOT(ISERROR(SEARCH("AL",BA7)))</formula>
    </cfRule>
    <cfRule type="containsText" dxfId="621" priority="2338" operator="containsText" text="NL">
      <formula>NOT(ISERROR(SEARCH("NL",BA7)))</formula>
    </cfRule>
    <cfRule type="containsText" dxfId="620" priority="2337" operator="containsText" text="SICK">
      <formula>NOT(ISERROR(SEARCH("SICK",BA7)))</formula>
    </cfRule>
    <cfRule type="containsText" dxfId="619" priority="2336" operator="containsText" text="AL">
      <formula>NOT(ISERROR(SEARCH("AL",BA7)))</formula>
    </cfRule>
    <cfRule type="containsText" dxfId="618" priority="2335" operator="containsText" text="AB">
      <formula>NOT(ISERROR(SEARCH("AB",BA7)))</formula>
    </cfRule>
    <cfRule type="containsText" dxfId="617" priority="2334" stopIfTrue="1" operator="containsText" text="SICK">
      <formula>NOT(ISERROR(SEARCH("SICK",BA7)))</formula>
    </cfRule>
    <cfRule type="containsText" dxfId="616" priority="2330" stopIfTrue="1" operator="containsText" text="SP">
      <formula>NOT(ISERROR(SEARCH("SP",BA7)))</formula>
    </cfRule>
    <cfRule type="containsText" dxfId="615" priority="2339" operator="containsText" text="FL">
      <formula>NOT(ISERROR(SEARCH("FL",BA7)))</formula>
    </cfRule>
  </conditionalFormatting>
  <conditionalFormatting sqref="BA12">
    <cfRule type="containsText" dxfId="614" priority="1414" stopIfTrue="1" operator="containsText" text="FL">
      <formula>NOT(ISERROR(SEARCH("FL",BA12)))</formula>
    </cfRule>
    <cfRule type="containsText" dxfId="613" priority="1413" operator="containsText" text="AL">
      <formula>NOT(ISERROR(SEARCH("AL",BA12)))</formula>
    </cfRule>
    <cfRule type="containsText" dxfId="612" priority="1421" stopIfTrue="1" operator="containsText" text="SICK">
      <formula>NOT(ISERROR(SEARCH("SICK",BA12)))</formula>
    </cfRule>
    <cfRule type="containsText" dxfId="611" priority="1411" operator="containsText" text="SICK">
      <formula>NOT(ISERROR(SEARCH("SICK",BA12)))</formula>
    </cfRule>
    <cfRule type="containsText" dxfId="610" priority="1410" stopIfTrue="1" operator="containsText" text="AB">
      <formula>NOT(ISERROR(SEARCH("AB",BA12)))</formula>
    </cfRule>
    <cfRule type="containsText" dxfId="609" priority="1409" stopIfTrue="1" operator="containsText" text="FL">
      <formula>NOT(ISERROR(SEARCH("FL",BA12)))</formula>
    </cfRule>
    <cfRule type="containsText" dxfId="608" priority="1405" operator="containsText" text="NL">
      <formula>NOT(ISERROR(SEARCH("NL",BA12)))</formula>
    </cfRule>
    <cfRule type="containsText" dxfId="607" priority="1420" stopIfTrue="1" operator="containsText" text="SP">
      <formula>NOT(ISERROR(SEARCH("SP",BA12)))</formula>
    </cfRule>
    <cfRule type="containsText" dxfId="606" priority="1419" stopIfTrue="1" operator="containsText" text="AL">
      <formula>NOT(ISERROR(SEARCH("AL",BA12)))</formula>
    </cfRule>
    <cfRule type="containsText" dxfId="605" priority="1416" operator="containsText" text="AL">
      <formula>NOT(ISERROR(SEARCH("AL",BA12)))</formula>
    </cfRule>
    <cfRule type="containsText" dxfId="604" priority="1415" operator="containsText" text="AB">
      <formula>NOT(ISERROR(SEARCH("AB",BA12)))</formula>
    </cfRule>
  </conditionalFormatting>
  <conditionalFormatting sqref="BA16">
    <cfRule type="containsText" dxfId="603" priority="2439" operator="containsText" text="AB">
      <formula>NOT(ISERROR(SEARCH("AB",BA16)))</formula>
    </cfRule>
    <cfRule type="containsText" priority="2444" operator="containsText" text="FL">
      <formula>NOT(ISERROR(SEARCH("FL",BA16)))</formula>
    </cfRule>
    <cfRule type="containsText" dxfId="602" priority="2443" operator="containsText" text="FL">
      <formula>NOT(ISERROR(SEARCH("FL",BA16)))</formula>
    </cfRule>
    <cfRule type="containsText" dxfId="601" priority="2433" stopIfTrue="1" operator="containsText" text="AL">
      <formula>NOT(ISERROR(SEARCH("AL",BA16)))</formula>
    </cfRule>
    <cfRule type="containsText" dxfId="600" priority="2442" operator="containsText" text="NL">
      <formula>NOT(ISERROR(SEARCH("NL",BA16)))</formula>
    </cfRule>
    <cfRule type="containsText" dxfId="599" priority="2435" stopIfTrue="1" operator="containsText" text="SICK">
      <formula>NOT(ISERROR(SEARCH("SICK",BA16)))</formula>
    </cfRule>
    <cfRule type="containsText" dxfId="598" priority="2434" stopIfTrue="1" operator="containsText" text="SP">
      <formula>NOT(ISERROR(SEARCH("SP",BA16)))</formula>
    </cfRule>
    <cfRule type="containsText" dxfId="597" priority="2441" operator="containsText" text="SICK">
      <formula>NOT(ISERROR(SEARCH("SICK",BA16)))</formula>
    </cfRule>
    <cfRule type="containsText" dxfId="596" priority="2445" operator="containsText" text="AL">
      <formula>NOT(ISERROR(SEARCH("AL",BA16)))</formula>
    </cfRule>
    <cfRule type="containsText" dxfId="595" priority="2440" operator="containsText" text="AL">
      <formula>NOT(ISERROR(SEARCH("AL",BA16)))</formula>
    </cfRule>
  </conditionalFormatting>
  <conditionalFormatting sqref="BA16:BA17">
    <cfRule type="containsText" dxfId="594" priority="2451" operator="containsText" text="NL">
      <formula>NOT(ISERROR(SEARCH("NL",BA16)))</formula>
    </cfRule>
    <cfRule type="containsText" dxfId="593" priority="2449" operator="containsText" text="AL">
      <formula>NOT(ISERROR(SEARCH("AL",BA16)))</formula>
    </cfRule>
    <cfRule type="containsText" dxfId="592" priority="2450" operator="containsText" text="SICK">
      <formula>NOT(ISERROR(SEARCH("SICK",BA16)))</formula>
    </cfRule>
  </conditionalFormatting>
  <conditionalFormatting sqref="BA17">
    <cfRule type="containsText" dxfId="591" priority="2477" operator="containsText" text="NL">
      <formula>NOT(ISERROR(SEARCH("NL",BA17)))</formula>
    </cfRule>
    <cfRule type="containsText" dxfId="590" priority="2480" stopIfTrue="1" operator="containsText" text="SICK">
      <formula>NOT(ISERROR(SEARCH("SICK",BA17)))</formula>
    </cfRule>
    <cfRule type="containsText" dxfId="589" priority="2475" operator="containsText" text="AL">
      <formula>NOT(ISERROR(SEARCH("AL",BA17)))</formula>
    </cfRule>
    <cfRule type="containsText" dxfId="588" priority="2473" operator="containsText" text="SICK">
      <formula>NOT(ISERROR(SEARCH("SICK",BA17)))</formula>
    </cfRule>
    <cfRule type="containsText" dxfId="587" priority="2472" operator="containsText" text="AB">
      <formula>NOT(ISERROR(SEARCH("AB",BA17)))</formula>
    </cfRule>
    <cfRule type="containsText" dxfId="586" priority="2471" operator="containsText" text="AL">
      <formula>NOT(ISERROR(SEARCH("AL",BA17)))</formula>
    </cfRule>
    <cfRule type="containsText" priority="2470" operator="containsText" text="FL">
      <formula>NOT(ISERROR(SEARCH("FL",BA17)))</formula>
    </cfRule>
    <cfRule type="containsText" dxfId="585" priority="2469" operator="containsText" text="FL">
      <formula>NOT(ISERROR(SEARCH("FL",BA17)))</formula>
    </cfRule>
    <cfRule type="containsText" dxfId="584" priority="2462" stopIfTrue="1" operator="containsText" text="AL">
      <formula>NOT(ISERROR(SEARCH("AL",BA17)))</formula>
    </cfRule>
    <cfRule type="containsText" dxfId="583" priority="2460" stopIfTrue="1" operator="containsText" text="SP">
      <formula>NOT(ISERROR(SEARCH("SP",BA17)))</formula>
    </cfRule>
  </conditionalFormatting>
  <conditionalFormatting sqref="BA21">
    <cfRule type="containsText" dxfId="582" priority="2303" stopIfTrue="1" operator="containsText" text="AL">
      <formula>NOT(ISERROR(SEARCH("AL",BA21)))</formula>
    </cfRule>
    <cfRule type="containsText" dxfId="581" priority="2302" operator="containsText" text="AB">
      <formula>NOT(ISERROR(SEARCH("AB",BA21)))</formula>
    </cfRule>
    <cfRule type="containsText" dxfId="580" priority="2301" operator="containsText" text="NL">
      <formula>NOT(ISERROR(SEARCH("NL",BA21)))</formula>
    </cfRule>
    <cfRule type="containsText" dxfId="579" priority="2300" operator="containsText" text="SICK">
      <formula>NOT(ISERROR(SEARCH("SICK",BA21)))</formula>
    </cfRule>
    <cfRule type="containsText" dxfId="578" priority="2299" operator="containsText" text="AL">
      <formula>NOT(ISERROR(SEARCH("AL",BA21)))</formula>
    </cfRule>
    <cfRule type="containsText" dxfId="577" priority="2304" stopIfTrue="1" operator="containsText" text="SP">
      <formula>NOT(ISERROR(SEARCH("SP",BA21)))</formula>
    </cfRule>
    <cfRule type="containsText" dxfId="576" priority="2324" stopIfTrue="1" operator="containsText" text="SICK">
      <formula>NOT(ISERROR(SEARCH("SICK",BA21)))</formula>
    </cfRule>
  </conditionalFormatting>
  <conditionalFormatting sqref="BA23:BA26">
    <cfRule type="containsText" dxfId="575" priority="2295" operator="containsText" text="NL">
      <formula>NOT(ISERROR(SEARCH("NL",BA23)))</formula>
    </cfRule>
    <cfRule type="containsText" dxfId="574" priority="2293" operator="containsText" text="AL">
      <formula>NOT(ISERROR(SEARCH("AL",BA23)))</formula>
    </cfRule>
    <cfRule type="containsText" dxfId="573" priority="2291" operator="containsText" text="SICK">
      <formula>NOT(ISERROR(SEARCH("SICK",BA23)))</formula>
    </cfRule>
    <cfRule type="containsText" dxfId="572" priority="2283" operator="containsText" text="AB">
      <formula>NOT(ISERROR(SEARCH("AB",BA23)))</formula>
    </cfRule>
    <cfRule type="containsText" dxfId="571" priority="2282" stopIfTrue="1" operator="containsText" text="SICK">
      <formula>NOT(ISERROR(SEARCH("SICK",BA23)))</formula>
    </cfRule>
    <cfRule type="containsText" dxfId="570" priority="2281" stopIfTrue="1" operator="containsText" text="SP">
      <formula>NOT(ISERROR(SEARCH("SP",BA23)))</formula>
    </cfRule>
    <cfRule type="containsText" dxfId="569" priority="2277" stopIfTrue="1" operator="containsText" text="AL">
      <formula>NOT(ISERROR(SEARCH("AL",BA23)))</formula>
    </cfRule>
  </conditionalFormatting>
  <conditionalFormatting sqref="BB4:BC4">
    <cfRule type="dataBar" priority="64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{1D58A0B1-9397-4CA9-B0BC-CB4EB3BCBA20}</x14:id>
        </ext>
      </extLst>
    </cfRule>
  </conditionalFormatting>
  <conditionalFormatting sqref="BB7:BD7">
    <cfRule type="containsText" priority="1553" operator="containsText" text="FL">
      <formula>NOT(ISERROR(SEARCH("FL",BB7)))</formula>
    </cfRule>
    <cfRule type="containsText" dxfId="568" priority="1557" operator="containsText" text="AB">
      <formula>NOT(ISERROR(SEARCH("AB",BB7)))</formula>
    </cfRule>
    <cfRule type="containsText" dxfId="567" priority="1559" operator="containsText" text="SICK">
      <formula>NOT(ISERROR(SEARCH("SICK",BB7)))</formula>
    </cfRule>
    <cfRule type="containsText" dxfId="566" priority="1554" operator="containsText" text="AL">
      <formula>NOT(ISERROR(SEARCH("AL",BB7)))</formula>
    </cfRule>
    <cfRule type="containsText" dxfId="565" priority="1552" operator="containsText" text="FL">
      <formula>NOT(ISERROR(SEARCH("FL",BB7)))</formula>
    </cfRule>
  </conditionalFormatting>
  <conditionalFormatting sqref="BB17:BD17">
    <cfRule type="containsText" dxfId="564" priority="1630" operator="containsText" text="FL">
      <formula>NOT(ISERROR(SEARCH("FL",BB17)))</formula>
    </cfRule>
    <cfRule type="containsText" dxfId="563" priority="1637" operator="containsText" text="SICK">
      <formula>NOT(ISERROR(SEARCH("SICK",BB17)))</formula>
    </cfRule>
    <cfRule type="containsText" dxfId="562" priority="1633" operator="containsText" text="AB">
      <formula>NOT(ISERROR(SEARCH("AB",BB17)))</formula>
    </cfRule>
    <cfRule type="containsText" dxfId="561" priority="1632" operator="containsText" text="AL">
      <formula>NOT(ISERROR(SEARCH("AL",BB17)))</formula>
    </cfRule>
    <cfRule type="containsText" priority="1631" operator="containsText" text="FL">
      <formula>NOT(ISERROR(SEARCH("FL",BB17)))</formula>
    </cfRule>
  </conditionalFormatting>
  <conditionalFormatting sqref="BB26:BE28">
    <cfRule type="containsText" priority="1683" operator="containsText" text="FL">
      <formula>NOT(ISERROR(SEARCH("FL",BB26)))</formula>
    </cfRule>
    <cfRule type="containsText" dxfId="560" priority="1682" operator="containsText" text="FL">
      <formula>NOT(ISERROR(SEARCH("FL",BB26)))</formula>
    </cfRule>
  </conditionalFormatting>
  <conditionalFormatting sqref="BB23:BF24">
    <cfRule type="containsText" dxfId="559" priority="1741" operator="containsText" text="SICK">
      <formula>NOT(ISERROR(SEARCH("SICK",BB23)))</formula>
    </cfRule>
    <cfRule type="containsText" dxfId="558" priority="1734" operator="containsText" text="FL">
      <formula>NOT(ISERROR(SEARCH("FL",BB23)))</formula>
    </cfRule>
    <cfRule type="containsText" dxfId="557" priority="1737" operator="containsText" text="AB">
      <formula>NOT(ISERROR(SEARCH("AB",BB23)))</formula>
    </cfRule>
    <cfRule type="containsText" dxfId="556" priority="1736" operator="containsText" text="AL">
      <formula>NOT(ISERROR(SEARCH("AL",BB23)))</formula>
    </cfRule>
  </conditionalFormatting>
  <conditionalFormatting sqref="BB23:BF25">
    <cfRule type="containsText" priority="1709" operator="containsText" text="FL">
      <formula>NOT(ISERROR(SEARCH("FL",BB23)))</formula>
    </cfRule>
  </conditionalFormatting>
  <conditionalFormatting sqref="BB25:BF25">
    <cfRule type="containsText" dxfId="555" priority="1713" operator="containsText" text="AB">
      <formula>NOT(ISERROR(SEARCH("AB",BB25)))</formula>
    </cfRule>
    <cfRule type="containsText" dxfId="554" priority="1715" operator="containsText" text="SICK">
      <formula>NOT(ISERROR(SEARCH("SICK",BB25)))</formula>
    </cfRule>
    <cfRule type="containsText" dxfId="553" priority="1710" operator="containsText" text="AL">
      <formula>NOT(ISERROR(SEARCH("AL",BB25)))</formula>
    </cfRule>
    <cfRule type="containsText" dxfId="552" priority="1708" operator="containsText" text="FL">
      <formula>NOT(ISERROR(SEARCH("FL",BB25)))</formula>
    </cfRule>
  </conditionalFormatting>
  <conditionalFormatting sqref="BB14:BG16">
    <cfRule type="containsText" dxfId="551" priority="1754" operator="containsText" text="AB">
      <formula>NOT(ISERROR(SEARCH("AB",BB14)))</formula>
    </cfRule>
    <cfRule type="containsText" dxfId="550" priority="1753" operator="containsText" text="AL">
      <formula>NOT(ISERROR(SEARCH("AL",BB14)))</formula>
    </cfRule>
    <cfRule type="containsText" dxfId="549" priority="1751" operator="containsText" text="FL">
      <formula>NOT(ISERROR(SEARCH("FL",BB14)))</formula>
    </cfRule>
    <cfRule type="containsText" dxfId="548" priority="1755" operator="containsText" text="SICK">
      <formula>NOT(ISERROR(SEARCH("SICK",BB14)))</formula>
    </cfRule>
  </conditionalFormatting>
  <conditionalFormatting sqref="BB28:BG28 BF26 BF27:BG28">
    <cfRule type="containsText" priority="1747" operator="containsText" text="FL">
      <formula>NOT(ISERROR(SEARCH("FL",BB26)))</formula>
    </cfRule>
    <cfRule type="containsText" dxfId="547" priority="1746" operator="containsText" text="FL">
      <formula>NOT(ISERROR(SEARCH("FL",BB26)))</formula>
    </cfRule>
  </conditionalFormatting>
  <conditionalFormatting sqref="BB21:BK22 BH27:BK29 BH11:BJ11 BH13:BK16">
    <cfRule type="containsText" dxfId="546" priority="1340" operator="containsText" text="AB">
      <formula>NOT(ISERROR(SEARCH("AB",BB11)))</formula>
    </cfRule>
  </conditionalFormatting>
  <conditionalFormatting sqref="BB21:BK22 BH27:BK29">
    <cfRule type="containsText" dxfId="545" priority="1337" operator="containsText" text="FL">
      <formula>NOT(ISERROR(SEARCH("FL",BB21)))</formula>
    </cfRule>
    <cfRule type="containsText" dxfId="544" priority="1339" operator="containsText" text="AL">
      <formula>NOT(ISERROR(SEARCH("AL",BB21)))</formula>
    </cfRule>
  </conditionalFormatting>
  <conditionalFormatting sqref="BB21:BM22">
    <cfRule type="containsText" priority="570" operator="containsText" text="FL">
      <formula>NOT(ISERROR(SEARCH("FL",BB21)))</formula>
    </cfRule>
  </conditionalFormatting>
  <conditionalFormatting sqref="BC7">
    <cfRule type="containsText" dxfId="543" priority="1542" stopIfTrue="1" operator="containsText" text="AL">
      <formula>NOT(ISERROR(SEARCH("AL",BC7)))</formula>
    </cfRule>
    <cfRule type="containsText" dxfId="542" priority="1543" stopIfTrue="1" operator="containsText" text="SP">
      <formula>NOT(ISERROR(SEARCH("SP",BC7)))</formula>
    </cfRule>
    <cfRule type="containsText" dxfId="541" priority="1550" operator="containsText" text="SICK">
      <formula>NOT(ISERROR(SEARCH("SICK",BC7)))</formula>
    </cfRule>
    <cfRule type="containsText" dxfId="540" priority="1551" operator="containsText" text="NL">
      <formula>NOT(ISERROR(SEARCH("NL",BC7)))</formula>
    </cfRule>
    <cfRule type="containsText" dxfId="539" priority="1549" operator="containsText" text="AL">
      <formula>NOT(ISERROR(SEARCH("AL",BC7)))</formula>
    </cfRule>
    <cfRule type="containsText" dxfId="538" priority="1548" operator="containsText" text="AB">
      <formula>NOT(ISERROR(SEARCH("AB",BC7)))</formula>
    </cfRule>
    <cfRule type="containsText" dxfId="537" priority="1547" stopIfTrue="1" operator="containsText" text="SICK">
      <formula>NOT(ISERROR(SEARCH("SICK",BC7)))</formula>
    </cfRule>
  </conditionalFormatting>
  <conditionalFormatting sqref="BC12">
    <cfRule type="containsText" dxfId="536" priority="1394" stopIfTrue="1" operator="containsText" text="FL">
      <formula>NOT(ISERROR(SEARCH("FL",BC12)))</formula>
    </cfRule>
    <cfRule type="containsText" dxfId="535" priority="1390" stopIfTrue="1" operator="containsText" text="AB">
      <formula>NOT(ISERROR(SEARCH("AB",BC12)))</formula>
    </cfRule>
    <cfRule type="containsText" dxfId="534" priority="1388" stopIfTrue="1" operator="containsText" text="SICK">
      <formula>NOT(ISERROR(SEARCH("SICK",BC12)))</formula>
    </cfRule>
    <cfRule type="containsText" dxfId="533" priority="1387" stopIfTrue="1" operator="containsText" text="SP">
      <formula>NOT(ISERROR(SEARCH("SP",BC12)))</formula>
    </cfRule>
    <cfRule type="containsText" dxfId="532" priority="1386" stopIfTrue="1" operator="containsText" text="AL">
      <formula>NOT(ISERROR(SEARCH("AL",BC12)))</formula>
    </cfRule>
    <cfRule type="containsText" dxfId="531" priority="1393" operator="containsText" text="AL">
      <formula>NOT(ISERROR(SEARCH("AL",BC12)))</formula>
    </cfRule>
    <cfRule type="containsText" dxfId="530" priority="1395" operator="containsText" text="AB">
      <formula>NOT(ISERROR(SEARCH("AB",BC12)))</formula>
    </cfRule>
    <cfRule type="containsText" dxfId="529" priority="1396" operator="containsText" text="AL">
      <formula>NOT(ISERROR(SEARCH("AL",BC12)))</formula>
    </cfRule>
    <cfRule type="containsText" dxfId="528" priority="1397" operator="containsText" text="SICK">
      <formula>NOT(ISERROR(SEARCH("SICK",BC12)))</formula>
    </cfRule>
    <cfRule type="containsText" dxfId="527" priority="1385" operator="containsText" text="NL">
      <formula>NOT(ISERROR(SEARCH("NL",BC12)))</formula>
    </cfRule>
    <cfRule type="containsText" dxfId="526" priority="1389" stopIfTrue="1" operator="containsText" text="FL">
      <formula>NOT(ISERROR(SEARCH("FL",BC12)))</formula>
    </cfRule>
  </conditionalFormatting>
  <conditionalFormatting sqref="BC17">
    <cfRule type="containsText" dxfId="525" priority="1621" stopIfTrue="1" operator="containsText" text="SP">
      <formula>NOT(ISERROR(SEARCH("SP",BC17)))</formula>
    </cfRule>
    <cfRule type="containsText" dxfId="524" priority="1622" stopIfTrue="1" operator="containsText" text="SICK">
      <formula>NOT(ISERROR(SEARCH("SICK",BC17)))</formula>
    </cfRule>
    <cfRule type="containsText" dxfId="523" priority="1628" operator="containsText" text="SICK">
      <formula>NOT(ISERROR(SEARCH("SICK",BC17)))</formula>
    </cfRule>
    <cfRule type="containsText" dxfId="522" priority="1629" operator="containsText" text="NL">
      <formula>NOT(ISERROR(SEARCH("NL",BC17)))</formula>
    </cfRule>
    <cfRule type="containsText" dxfId="521" priority="1627" operator="containsText" text="AL">
      <formula>NOT(ISERROR(SEARCH("AL",BC17)))</formula>
    </cfRule>
    <cfRule type="containsText" dxfId="520" priority="1623" stopIfTrue="1" operator="containsText" text="AL">
      <formula>NOT(ISERROR(SEARCH("AL",BC17)))</formula>
    </cfRule>
  </conditionalFormatting>
  <conditionalFormatting sqref="BC25">
    <cfRule type="containsText" dxfId="519" priority="1695" operator="containsText" text="SICK">
      <formula>NOT(ISERROR(SEARCH("SICK",BC25)))</formula>
    </cfRule>
    <cfRule type="containsText" dxfId="518" priority="1694" operator="containsText" text="AL">
      <formula>NOT(ISERROR(SEARCH("AL",BC25)))</formula>
    </cfRule>
    <cfRule type="containsText" dxfId="517" priority="1702" stopIfTrue="1" operator="containsText" text="SP">
      <formula>NOT(ISERROR(SEARCH("SP",BC25)))</formula>
    </cfRule>
    <cfRule type="containsText" dxfId="516" priority="1719" stopIfTrue="1" operator="containsText" text="SICK">
      <formula>NOT(ISERROR(SEARCH("SICK",BC25)))</formula>
    </cfRule>
    <cfRule type="containsText" dxfId="515" priority="1698" stopIfTrue="1" operator="containsText" text="AL">
      <formula>NOT(ISERROR(SEARCH("AL",BC25)))</formula>
    </cfRule>
    <cfRule type="containsText" dxfId="514" priority="1697" operator="containsText" text="AB">
      <formula>NOT(ISERROR(SEARCH("AB",BC25)))</formula>
    </cfRule>
    <cfRule type="containsText" dxfId="513" priority="1696" operator="containsText" text="NL">
      <formula>NOT(ISERROR(SEARCH("NL",BC25)))</formula>
    </cfRule>
  </conditionalFormatting>
  <conditionalFormatting sqref="BC12:BD12">
    <cfRule type="containsText" priority="1392" operator="containsText" text="FL">
      <formula>NOT(ISERROR(SEARCH("FL",BC12)))</formula>
    </cfRule>
  </conditionalFormatting>
  <conditionalFormatting sqref="BD4:BE4">
    <cfRule type="dataBar" priority="64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{FCA7DE78-89AB-4416-B84F-9CADB5C6EF68}</x14:id>
        </ext>
      </extLst>
    </cfRule>
  </conditionalFormatting>
  <conditionalFormatting sqref="BE7">
    <cfRule type="containsText" dxfId="512" priority="1520" stopIfTrue="1" operator="containsText" text="SP">
      <formula>NOT(ISERROR(SEARCH("SP",BE7)))</formula>
    </cfRule>
    <cfRule type="containsText" dxfId="511" priority="1523" operator="containsText" text="AL">
      <formula>NOT(ISERROR(SEARCH("AL",BE7)))</formula>
    </cfRule>
    <cfRule type="containsText" dxfId="510" priority="1521" stopIfTrue="1" operator="containsText" text="SICK">
      <formula>NOT(ISERROR(SEARCH("SICK",BE7)))</formula>
    </cfRule>
    <cfRule type="containsText" dxfId="509" priority="1525" operator="containsText" text="NL">
      <formula>NOT(ISERROR(SEARCH("NL",BE7)))</formula>
    </cfRule>
    <cfRule type="containsText" dxfId="508" priority="1524" operator="containsText" text="SICK">
      <formula>NOT(ISERROR(SEARCH("SICK",BE7)))</formula>
    </cfRule>
    <cfRule type="containsText" dxfId="507" priority="1516" stopIfTrue="1" operator="containsText" text="AL">
      <formula>NOT(ISERROR(SEARCH("AL",BE7)))</formula>
    </cfRule>
    <cfRule type="containsText" dxfId="506" priority="1522" operator="containsText" text="AB">
      <formula>NOT(ISERROR(SEARCH("AB",BE7)))</formula>
    </cfRule>
  </conditionalFormatting>
  <conditionalFormatting sqref="BE12">
    <cfRule type="containsText" dxfId="505" priority="1381" stopIfTrue="1" operator="containsText" text="SICK">
      <formula>NOT(ISERROR(SEARCH("SICK",BE12)))</formula>
    </cfRule>
    <cfRule type="containsText" dxfId="504" priority="1380" stopIfTrue="1" operator="containsText" text="SP">
      <formula>NOT(ISERROR(SEARCH("SP",BE12)))</formula>
    </cfRule>
    <cfRule type="containsText" dxfId="503" priority="1376" operator="containsText" text="AL">
      <formula>NOT(ISERROR(SEARCH("AL",BE12)))</formula>
    </cfRule>
    <cfRule type="containsText" dxfId="502" priority="1375" operator="containsText" text="AB">
      <formula>NOT(ISERROR(SEARCH("AB",BE12)))</formula>
    </cfRule>
    <cfRule type="containsText" dxfId="501" priority="1374" stopIfTrue="1" operator="containsText" text="FL">
      <formula>NOT(ISERROR(SEARCH("FL",BE12)))</formula>
    </cfRule>
    <cfRule type="containsText" dxfId="500" priority="1373" operator="containsText" text="AL">
      <formula>NOT(ISERROR(SEARCH("AL",BE12)))</formula>
    </cfRule>
    <cfRule type="containsText" dxfId="499" priority="1371" operator="containsText" text="SICK">
      <formula>NOT(ISERROR(SEARCH("SICK",BE12)))</formula>
    </cfRule>
    <cfRule type="containsText" dxfId="498" priority="1370" stopIfTrue="1" operator="containsText" text="AB">
      <formula>NOT(ISERROR(SEARCH("AB",BE12)))</formula>
    </cfRule>
    <cfRule type="containsText" dxfId="497" priority="1369" stopIfTrue="1" operator="containsText" text="FL">
      <formula>NOT(ISERROR(SEARCH("FL",BE12)))</formula>
    </cfRule>
    <cfRule type="containsText" dxfId="496" priority="1365" operator="containsText" text="NL">
      <formula>NOT(ISERROR(SEARCH("NL",BE12)))</formula>
    </cfRule>
    <cfRule type="containsText" dxfId="495" priority="1366" stopIfTrue="1" operator="containsText" text="AL">
      <formula>NOT(ISERROR(SEARCH("AL",BE12)))</formula>
    </cfRule>
  </conditionalFormatting>
  <conditionalFormatting sqref="BE17">
    <cfRule type="containsText" dxfId="494" priority="1615" stopIfTrue="1" operator="containsText" text="SICK">
      <formula>NOT(ISERROR(SEARCH("SICK",BE17)))</formula>
    </cfRule>
    <cfRule type="containsText" dxfId="493" priority="1614" stopIfTrue="1" operator="containsText" text="SP">
      <formula>NOT(ISERROR(SEARCH("SP",BE17)))</formula>
    </cfRule>
    <cfRule type="containsText" dxfId="492" priority="1613" stopIfTrue="1" operator="containsText" text="AL">
      <formula>NOT(ISERROR(SEARCH("AL",BE17)))</formula>
    </cfRule>
    <cfRule type="containsText" dxfId="491" priority="1601" operator="containsText" text="AL">
      <formula>NOT(ISERROR(SEARCH("AL",BE17)))</formula>
    </cfRule>
    <cfRule type="containsText" dxfId="490" priority="1593" operator="containsText" text="AB">
      <formula>NOT(ISERROR(SEARCH("AB",BE17)))</formula>
    </cfRule>
    <cfRule type="containsText" dxfId="489" priority="1592" operator="containsText" text="NL">
      <formula>NOT(ISERROR(SEARCH("NL",BE17)))</formula>
    </cfRule>
    <cfRule type="containsText" dxfId="488" priority="1591" operator="containsText" text="SICK">
      <formula>NOT(ISERROR(SEARCH("SICK",BE17)))</formula>
    </cfRule>
  </conditionalFormatting>
  <conditionalFormatting sqref="BE23:BE24">
    <cfRule type="containsText" dxfId="487" priority="1742" operator="containsText" text="NL">
      <formula>NOT(ISERROR(SEARCH("NL",BE23)))</formula>
    </cfRule>
    <cfRule type="containsText" dxfId="486" priority="1744" stopIfTrue="1" operator="containsText" text="SP">
      <formula>NOT(ISERROR(SEARCH("SP",BE23)))</formula>
    </cfRule>
    <cfRule type="containsText" dxfId="485" priority="1721" operator="containsText" text="SICK">
      <formula>NOT(ISERROR(SEARCH("SICK",BE23)))</formula>
    </cfRule>
    <cfRule type="containsText" dxfId="484" priority="1720" operator="containsText" text="AL">
      <formula>NOT(ISERROR(SEARCH("AL",BE23)))</formula>
    </cfRule>
    <cfRule type="containsText" dxfId="483" priority="1745" stopIfTrue="1" operator="containsText" text="SICK">
      <formula>NOT(ISERROR(SEARCH("SICK",BE23)))</formula>
    </cfRule>
    <cfRule type="containsText" dxfId="482" priority="1743" stopIfTrue="1" operator="containsText" text="AL">
      <formula>NOT(ISERROR(SEARCH("AL",BE23)))</formula>
    </cfRule>
  </conditionalFormatting>
  <conditionalFormatting sqref="BE26:BE28">
    <cfRule type="containsText" dxfId="481" priority="1690" operator="containsText" text="NL">
      <formula>NOT(ISERROR(SEARCH("NL",BE26)))</formula>
    </cfRule>
    <cfRule type="containsText" dxfId="480" priority="1691" stopIfTrue="1" operator="containsText" text="AL">
      <formula>NOT(ISERROR(SEARCH("AL",BE26)))</formula>
    </cfRule>
    <cfRule type="containsText" dxfId="479" priority="1687" operator="containsText" text="AB">
      <formula>NOT(ISERROR(SEARCH("AB",BE26)))</formula>
    </cfRule>
    <cfRule type="containsText" dxfId="478" priority="1688" operator="containsText" text="AL">
      <formula>NOT(ISERROR(SEARCH("AL",BE26)))</formula>
    </cfRule>
    <cfRule type="containsText" dxfId="477" priority="1689" operator="containsText" text="SICK">
      <formula>NOT(ISERROR(SEARCH("SICK",BE26)))</formula>
    </cfRule>
    <cfRule type="containsText" dxfId="476" priority="1684" operator="containsText" text="AL">
      <formula>NOT(ISERROR(SEARCH("AL",BE26)))</formula>
    </cfRule>
    <cfRule type="containsText" dxfId="475" priority="1677" stopIfTrue="1" operator="containsText" text="SICK">
      <formula>NOT(ISERROR(SEARCH("SICK",BE26)))</formula>
    </cfRule>
    <cfRule type="containsText" dxfId="474" priority="1676" stopIfTrue="1" operator="containsText" text="SP">
      <formula>NOT(ISERROR(SEARCH("SP",BE26)))</formula>
    </cfRule>
  </conditionalFormatting>
  <conditionalFormatting sqref="BE7:BF7">
    <cfRule type="containsText" dxfId="473" priority="1526" operator="containsText" text="FL">
      <formula>NOT(ISERROR(SEARCH("FL",BE7)))</formula>
    </cfRule>
    <cfRule type="containsText" priority="1527" operator="containsText" text="FL">
      <formula>NOT(ISERROR(SEARCH("FL",BE7)))</formula>
    </cfRule>
    <cfRule type="containsText" dxfId="472" priority="1528" operator="containsText" text="AL">
      <formula>NOT(ISERROR(SEARCH("AL",BE7)))</formula>
    </cfRule>
    <cfRule type="containsText" dxfId="471" priority="1531" operator="containsText" text="AB">
      <formula>NOT(ISERROR(SEARCH("AB",BE7)))</formula>
    </cfRule>
    <cfRule type="containsText" dxfId="470" priority="1533" operator="containsText" text="SICK">
      <formula>NOT(ISERROR(SEARCH("SICK",BE7)))</formula>
    </cfRule>
  </conditionalFormatting>
  <conditionalFormatting sqref="BE12:BF12">
    <cfRule type="containsText" priority="1372" operator="containsText" text="FL">
      <formula>NOT(ISERROR(SEARCH("FL",BE12)))</formula>
    </cfRule>
  </conditionalFormatting>
  <conditionalFormatting sqref="BE17:BF17">
    <cfRule type="containsText" dxfId="469" priority="1611" operator="containsText" text="SICK">
      <formula>NOT(ISERROR(SEARCH("SICK",BE17)))</formula>
    </cfRule>
    <cfRule type="containsText" dxfId="468" priority="1609" operator="containsText" text="AB">
      <formula>NOT(ISERROR(SEARCH("AB",BE17)))</formula>
    </cfRule>
    <cfRule type="containsText" dxfId="467" priority="1606" operator="containsText" text="AL">
      <formula>NOT(ISERROR(SEARCH("AL",BE17)))</formula>
    </cfRule>
    <cfRule type="containsText" dxfId="466" priority="1604" operator="containsText" text="FL">
      <formula>NOT(ISERROR(SEARCH("FL",BE17)))</formula>
    </cfRule>
  </conditionalFormatting>
  <conditionalFormatting sqref="BE17:BG17">
    <cfRule type="containsText" priority="1579" operator="containsText" text="FL">
      <formula>NOT(ISERROR(SEARCH("FL",BE17)))</formula>
    </cfRule>
  </conditionalFormatting>
  <conditionalFormatting sqref="BF26 BB26:BD28 BF27:BG28 BB28:BG28">
    <cfRule type="containsText" dxfId="465" priority="1749" operator="containsText" text="AB">
      <formula>NOT(ISERROR(SEARCH("AB",BB26)))</formula>
    </cfRule>
    <cfRule type="containsText" dxfId="464" priority="1748" operator="containsText" text="AL">
      <formula>NOT(ISERROR(SEARCH("AL",BB26)))</formula>
    </cfRule>
    <cfRule type="containsText" dxfId="463" priority="1750" operator="containsText" text="SICK">
      <formula>NOT(ISERROR(SEARCH("SICK",BB26)))</formula>
    </cfRule>
  </conditionalFormatting>
  <conditionalFormatting sqref="BF4:BG4">
    <cfRule type="dataBar" priority="64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{3BB8FBCF-AF12-4250-846D-5CB86834F8E7}</x14:id>
        </ext>
      </extLst>
    </cfRule>
  </conditionalFormatting>
  <conditionalFormatting sqref="BG7">
    <cfRule type="containsText" dxfId="462" priority="1500" operator="containsText" text="FL">
      <formula>NOT(ISERROR(SEARCH("FL",BG7)))</formula>
    </cfRule>
    <cfRule type="containsText" dxfId="461" priority="1491" stopIfTrue="1" operator="containsText" text="SP">
      <formula>NOT(ISERROR(SEARCH("SP",BG7)))</formula>
    </cfRule>
    <cfRule type="containsText" dxfId="460" priority="1490" stopIfTrue="1" operator="containsText" text="AL">
      <formula>NOT(ISERROR(SEARCH("AL",BG7)))</formula>
    </cfRule>
    <cfRule type="containsText" dxfId="459" priority="1488" operator="containsText" text="NL">
      <formula>NOT(ISERROR(SEARCH("NL",BG7)))</formula>
    </cfRule>
    <cfRule type="containsText" dxfId="458" priority="1492" stopIfTrue="1" operator="containsText" text="SICK">
      <formula>NOT(ISERROR(SEARCH("SICK",BG7)))</formula>
    </cfRule>
    <cfRule type="containsText" priority="1501" operator="containsText" text="FL">
      <formula>NOT(ISERROR(SEARCH("FL",BG7)))</formula>
    </cfRule>
    <cfRule type="containsText" dxfId="457" priority="1502" operator="containsText" text="AL">
      <formula>NOT(ISERROR(SEARCH("AL",BG7)))</formula>
    </cfRule>
    <cfRule type="containsText" dxfId="456" priority="1504" operator="containsText" text="SICK">
      <formula>NOT(ISERROR(SEARCH("SICK",BG7)))</formula>
    </cfRule>
    <cfRule type="containsText" dxfId="455" priority="1505" operator="containsText" text="AB">
      <formula>NOT(ISERROR(SEARCH("AB",BG7)))</formula>
    </cfRule>
    <cfRule type="containsText" dxfId="454" priority="1506" operator="containsText" text="AL">
      <formula>NOT(ISERROR(SEARCH("AL",BG7)))</formula>
    </cfRule>
  </conditionalFormatting>
  <conditionalFormatting sqref="BG7:BG9">
    <cfRule type="containsText" dxfId="453" priority="1455" operator="containsText" text="SICK">
      <formula>NOT(ISERROR(SEARCH("SICK",BG7)))</formula>
    </cfRule>
    <cfRule type="containsText" dxfId="452" priority="1454" operator="containsText" text="AL">
      <formula>NOT(ISERROR(SEARCH("AL",BG7)))</formula>
    </cfRule>
  </conditionalFormatting>
  <conditionalFormatting sqref="BG8:BG9">
    <cfRule type="containsText" dxfId="451" priority="1446" operator="containsText" text="SICK">
      <formula>NOT(ISERROR(SEARCH("SICK",BG8)))</formula>
    </cfRule>
    <cfRule type="containsText" dxfId="450" priority="1445" operator="containsText" text="AL">
      <formula>NOT(ISERROR(SEARCH("AL",BG8)))</formula>
    </cfRule>
    <cfRule type="containsText" dxfId="449" priority="1443" stopIfTrue="1" operator="containsText" text="SICK">
      <formula>NOT(ISERROR(SEARCH("SICK",BG8)))</formula>
    </cfRule>
    <cfRule type="containsText" dxfId="448" priority="1442" stopIfTrue="1" operator="containsText" text="SP">
      <formula>NOT(ISERROR(SEARCH("SP",BG8)))</formula>
    </cfRule>
    <cfRule type="containsText" dxfId="447" priority="1453" operator="containsText" text="AB">
      <formula>NOT(ISERROR(SEARCH("AB",BG8)))</formula>
    </cfRule>
    <cfRule type="containsText" dxfId="446" priority="1457" stopIfTrue="1" operator="containsText" text="AL">
      <formula>NOT(ISERROR(SEARCH("AL",BG8)))</formula>
    </cfRule>
    <cfRule type="containsText" dxfId="445" priority="1450" operator="containsText" text="AL">
      <formula>NOT(ISERROR(SEARCH("AL",BG8)))</formula>
    </cfRule>
    <cfRule type="containsText" priority="1449" operator="containsText" text="FL">
      <formula>NOT(ISERROR(SEARCH("FL",BG8)))</formula>
    </cfRule>
    <cfRule type="containsText" dxfId="444" priority="1448" operator="containsText" text="FL">
      <formula>NOT(ISERROR(SEARCH("FL",BG8)))</formula>
    </cfRule>
    <cfRule type="containsText" dxfId="443" priority="1447" operator="containsText" text="NL">
      <formula>NOT(ISERROR(SEARCH("NL",BG8)))</formula>
    </cfRule>
  </conditionalFormatting>
  <conditionalFormatting sqref="BG12">
    <cfRule type="containsText" dxfId="442" priority="1351" operator="containsText" text="SICK">
      <formula>NOT(ISERROR(SEARCH("SICK",BG12)))</formula>
    </cfRule>
    <cfRule type="containsText" dxfId="441" priority="1361" stopIfTrue="1" operator="containsText" text="SICK">
      <formula>NOT(ISERROR(SEARCH("SICK",BG12)))</formula>
    </cfRule>
    <cfRule type="containsText" dxfId="440" priority="1360" stopIfTrue="1" operator="containsText" text="SP">
      <formula>NOT(ISERROR(SEARCH("SP",BG12)))</formula>
    </cfRule>
    <cfRule type="containsText" dxfId="439" priority="1359" stopIfTrue="1" operator="containsText" text="AL">
      <formula>NOT(ISERROR(SEARCH("AL",BG12)))</formula>
    </cfRule>
    <cfRule type="containsText" dxfId="438" priority="1355" operator="containsText" text="AB">
      <formula>NOT(ISERROR(SEARCH("AB",BG12)))</formula>
    </cfRule>
    <cfRule type="containsText" dxfId="437" priority="1354" stopIfTrue="1" operator="containsText" text="FL">
      <formula>NOT(ISERROR(SEARCH("FL",BG12)))</formula>
    </cfRule>
    <cfRule type="containsText" dxfId="436" priority="1353" operator="containsText" text="AL">
      <formula>NOT(ISERROR(SEARCH("AL",BG12)))</formula>
    </cfRule>
    <cfRule type="containsText" priority="1352" operator="containsText" text="FL">
      <formula>NOT(ISERROR(SEARCH("FL",BG12)))</formula>
    </cfRule>
    <cfRule type="containsText" dxfId="435" priority="1343" operator="containsText" text="AL">
      <formula>NOT(ISERROR(SEARCH("AL",BG12)))</formula>
    </cfRule>
    <cfRule type="containsText" dxfId="434" priority="1345" operator="containsText" text="NL">
      <formula>NOT(ISERROR(SEARCH("NL",BG12)))</formula>
    </cfRule>
    <cfRule type="containsText" dxfId="433" priority="1350" stopIfTrue="1" operator="containsText" text="AB">
      <formula>NOT(ISERROR(SEARCH("AB",BG12)))</formula>
    </cfRule>
    <cfRule type="containsText" dxfId="432" priority="1349" stopIfTrue="1" operator="containsText" text="FL">
      <formula>NOT(ISERROR(SEARCH("FL",BG12)))</formula>
    </cfRule>
  </conditionalFormatting>
  <conditionalFormatting sqref="BG12:BG13">
    <cfRule type="containsText" dxfId="431" priority="1358" operator="containsText" text="NL">
      <formula>NOT(ISERROR(SEARCH("NL",BG12)))</formula>
    </cfRule>
    <cfRule type="containsText" dxfId="430" priority="1357" operator="containsText" text="SICK">
      <formula>NOT(ISERROR(SEARCH("SICK",BG12)))</formula>
    </cfRule>
    <cfRule type="containsText" dxfId="429" priority="1356" operator="containsText" text="AL">
      <formula>NOT(ISERROR(SEARCH("AL",BG12)))</formula>
    </cfRule>
  </conditionalFormatting>
  <conditionalFormatting sqref="BG13">
    <cfRule type="containsText" dxfId="428" priority="1470" operator="containsText" text="AB">
      <formula>NOT(ISERROR(SEARCH("AB",BG13)))</formula>
    </cfRule>
    <cfRule type="containsText" dxfId="427" priority="1472" operator="containsText" text="SICK">
      <formula>NOT(ISERROR(SEARCH("SICK",BG13)))</formula>
    </cfRule>
    <cfRule type="containsText" dxfId="426" priority="1473" operator="containsText" text="NL">
      <formula>NOT(ISERROR(SEARCH("NL",BG13)))</formula>
    </cfRule>
    <cfRule type="containsText" dxfId="425" priority="1480" operator="containsText" text="AL">
      <formula>NOT(ISERROR(SEARCH("AL",BG13)))</formula>
    </cfRule>
    <cfRule type="containsText" dxfId="424" priority="1485" stopIfTrue="1" operator="containsText" text="SICK">
      <formula>NOT(ISERROR(SEARCH("SICK",BG13)))</formula>
    </cfRule>
    <cfRule type="containsText" dxfId="423" priority="1483" stopIfTrue="1" operator="containsText" text="AL">
      <formula>NOT(ISERROR(SEARCH("AL",BG13)))</formula>
    </cfRule>
    <cfRule type="containsText" dxfId="422" priority="1484" stopIfTrue="1" operator="containsText" text="SP">
      <formula>NOT(ISERROR(SEARCH("SP",BG13)))</formula>
    </cfRule>
  </conditionalFormatting>
  <conditionalFormatting sqref="BG17">
    <cfRule type="containsText" dxfId="421" priority="1567" operator="containsText" text="AB">
      <formula>NOT(ISERROR(SEARCH("AB",BG17)))</formula>
    </cfRule>
    <cfRule type="containsText" dxfId="420" priority="1589" stopIfTrue="1" operator="containsText" text="SICK">
      <formula>NOT(ISERROR(SEARCH("SICK",BG17)))</formula>
    </cfRule>
    <cfRule type="containsText" dxfId="419" priority="1580" operator="containsText" text="AL">
      <formula>NOT(ISERROR(SEARCH("AL",BG17)))</formula>
    </cfRule>
    <cfRule type="containsText" dxfId="418" priority="1566" operator="containsText" text="NL">
      <formula>NOT(ISERROR(SEARCH("NL",BG17)))</formula>
    </cfRule>
    <cfRule type="containsText" dxfId="417" priority="1588" stopIfTrue="1" operator="containsText" text="SP">
      <formula>NOT(ISERROR(SEARCH("SP",BG17)))</formula>
    </cfRule>
    <cfRule type="containsText" dxfId="416" priority="1578" operator="containsText" text="FL">
      <formula>NOT(ISERROR(SEARCH("FL",BG17)))</formula>
    </cfRule>
    <cfRule type="containsText" dxfId="415" priority="1575" operator="containsText" text="AL">
      <formula>NOT(ISERROR(SEARCH("AL",BG17)))</formula>
    </cfRule>
    <cfRule type="containsText" dxfId="414" priority="1568" stopIfTrue="1" operator="containsText" text="AL">
      <formula>NOT(ISERROR(SEARCH("AL",BG17)))</formula>
    </cfRule>
  </conditionalFormatting>
  <conditionalFormatting sqref="BG19">
    <cfRule type="containsText" dxfId="413" priority="1106" stopIfTrue="1" operator="containsText" text="SP">
      <formula>NOT(ISERROR(SEARCH("SP",BG19)))</formula>
    </cfRule>
    <cfRule type="containsText" dxfId="412" priority="1110" operator="containsText" text="SICK">
      <formula>NOT(ISERROR(SEARCH("SICK",BG19)))</formula>
    </cfRule>
    <cfRule type="containsText" dxfId="411" priority="1101" operator="containsText" text="AB">
      <formula>NOT(ISERROR(SEARCH("AB",BG19)))</formula>
    </cfRule>
    <cfRule type="containsText" dxfId="410" priority="1104" stopIfTrue="1" operator="containsText" text="SICK">
      <formula>NOT(ISERROR(SEARCH("SICK",BG19)))</formula>
    </cfRule>
    <cfRule type="containsText" dxfId="409" priority="1102" stopIfTrue="1" operator="containsText" text="AL">
      <formula>NOT(ISERROR(SEARCH("AL",BG19)))</formula>
    </cfRule>
    <cfRule type="containsText" dxfId="408" priority="1111" operator="containsText" text="NL">
      <formula>NOT(ISERROR(SEARCH("NL",BG19)))</formula>
    </cfRule>
    <cfRule type="containsText" dxfId="407" priority="1109" operator="containsText" text="AL">
      <formula>NOT(ISERROR(SEARCH("AL",BG19)))</formula>
    </cfRule>
  </conditionalFormatting>
  <conditionalFormatting sqref="BG23:BG26">
    <cfRule type="containsText" dxfId="406" priority="1658" operator="containsText" text="AL">
      <formula>NOT(ISERROR(SEARCH("AL",BG23)))</formula>
    </cfRule>
    <cfRule type="containsText" dxfId="405" priority="1642" operator="containsText" text="AL">
      <formula>NOT(ISERROR(SEARCH("AL",BG23)))</formula>
    </cfRule>
    <cfRule type="containsText" dxfId="404" priority="1643" operator="containsText" text="SICK">
      <formula>NOT(ISERROR(SEARCH("SICK",BG23)))</formula>
    </cfRule>
    <cfRule type="containsText" dxfId="403" priority="1644" operator="containsText" text="NL">
      <formula>NOT(ISERROR(SEARCH("NL",BG23)))</formula>
    </cfRule>
    <cfRule type="containsText" dxfId="402" priority="1645" operator="containsText" text="AB">
      <formula>NOT(ISERROR(SEARCH("AB",BG23)))</formula>
    </cfRule>
    <cfRule type="containsText" dxfId="401" priority="1649" stopIfTrue="1" operator="containsText" text="AL">
      <formula>NOT(ISERROR(SEARCH("AL",BG23)))</formula>
    </cfRule>
    <cfRule type="containsText" dxfId="400" priority="1651" stopIfTrue="1" operator="containsText" text="SICK">
      <formula>NOT(ISERROR(SEARCH("SICK",BG23)))</formula>
    </cfRule>
    <cfRule type="containsText" dxfId="399" priority="1650" stopIfTrue="1" operator="containsText" text="SP">
      <formula>NOT(ISERROR(SEARCH("SP",BG23)))</formula>
    </cfRule>
    <cfRule type="containsText" dxfId="398" priority="1656" operator="containsText" text="FL">
      <formula>NOT(ISERROR(SEARCH("FL",BG23)))</formula>
    </cfRule>
    <cfRule type="containsText" priority="1657" operator="containsText" text="FL">
      <formula>NOT(ISERROR(SEARCH("FL",BG23)))</formula>
    </cfRule>
  </conditionalFormatting>
  <conditionalFormatting sqref="BG12:BH12 BJ12">
    <cfRule type="containsText" dxfId="397" priority="1091" operator="containsText" text="AB">
      <formula>NOT(ISERROR(SEARCH("AB",BG12)))</formula>
    </cfRule>
  </conditionalFormatting>
  <conditionalFormatting sqref="BG17:BJ17">
    <cfRule type="containsText" dxfId="396" priority="1332" operator="containsText" text="SICK">
      <formula>NOT(ISERROR(SEARCH("SICK",BG17)))</formula>
    </cfRule>
  </conditionalFormatting>
  <conditionalFormatting sqref="BG8:BK9">
    <cfRule type="containsText" dxfId="395" priority="1149" operator="containsText" text="AL">
      <formula>NOT(ISERROR(SEARCH("AL",BG8)))</formula>
    </cfRule>
    <cfRule type="containsText" dxfId="394" priority="1151" operator="containsText" text="NL">
      <formula>NOT(ISERROR(SEARCH("NL",BG8)))</formula>
    </cfRule>
    <cfRule type="containsText" dxfId="393" priority="1150" operator="containsText" text="SICK">
      <formula>NOT(ISERROR(SEARCH("SICK",BG8)))</formula>
    </cfRule>
  </conditionalFormatting>
  <conditionalFormatting sqref="BH7 BJ7">
    <cfRule type="containsText" dxfId="392" priority="1128" operator="containsText" text="SICK">
      <formula>NOT(ISERROR(SEARCH("SICK",BH7)))</formula>
    </cfRule>
    <cfRule type="containsText" dxfId="391" priority="1127" operator="containsText" text="AB">
      <formula>NOT(ISERROR(SEARCH("AB",BH7)))</formula>
    </cfRule>
    <cfRule type="containsText" dxfId="390" priority="1126" operator="containsText" text="AL">
      <formula>NOT(ISERROR(SEARCH("AL",BH7)))</formula>
    </cfRule>
    <cfRule type="containsText" priority="1125" operator="containsText" text="FL">
      <formula>NOT(ISERROR(SEARCH("FL",BH7)))</formula>
    </cfRule>
    <cfRule type="containsText" dxfId="389" priority="1124" operator="containsText" text="FL">
      <formula>NOT(ISERROR(SEARCH("FL",BH7)))</formula>
    </cfRule>
  </conditionalFormatting>
  <conditionalFormatting sqref="BH12 BJ12">
    <cfRule type="containsText" dxfId="388" priority="1092" operator="containsText" text="SICK">
      <formula>NOT(ISERROR(SEARCH("SICK",BH12)))</formula>
    </cfRule>
    <cfRule type="containsText" dxfId="387" priority="1090" operator="containsText" text="AL">
      <formula>NOT(ISERROR(SEARCH("AL",BH12)))</formula>
    </cfRule>
    <cfRule type="containsText" dxfId="386" priority="1089" operator="containsText" text="FL">
      <formula>NOT(ISERROR(SEARCH("FL",BH12)))</formula>
    </cfRule>
  </conditionalFormatting>
  <conditionalFormatting sqref="BH23:BH26">
    <cfRule type="containsText" dxfId="385" priority="1221" operator="containsText" text="FL">
      <formula>NOT(ISERROR(SEARCH("FL",BH23)))</formula>
    </cfRule>
    <cfRule type="containsText" dxfId="384" priority="1223" operator="containsText" text="AL">
      <formula>NOT(ISERROR(SEARCH("AL",BH23)))</formula>
    </cfRule>
    <cfRule type="containsText" dxfId="383" priority="1224" operator="containsText" text="AB">
      <formula>NOT(ISERROR(SEARCH("AB",BH23)))</formula>
    </cfRule>
  </conditionalFormatting>
  <conditionalFormatting sqref="BH24">
    <cfRule type="containsText" dxfId="382" priority="1232" stopIfTrue="1" operator="containsText" text="SICK">
      <formula>NOT(ISERROR(SEARCH("SICK",BH24)))</formula>
    </cfRule>
    <cfRule type="containsText" dxfId="381" priority="1209" operator="containsText" text="NL">
      <formula>NOT(ISERROR(SEARCH("NL",BH24)))</formula>
    </cfRule>
    <cfRule type="containsText" dxfId="380" priority="1218" operator="containsText" text="AL">
      <formula>NOT(ISERROR(SEARCH("AL",BH24)))</formula>
    </cfRule>
    <cfRule type="containsText" dxfId="379" priority="1219" operator="containsText" text="SICK">
      <formula>NOT(ISERROR(SEARCH("SICK",BH24)))</formula>
    </cfRule>
    <cfRule type="containsText" dxfId="378" priority="1231" stopIfTrue="1" operator="containsText" text="SP">
      <formula>NOT(ISERROR(SEARCH("SP",BH24)))</formula>
    </cfRule>
    <cfRule type="containsText" dxfId="377" priority="1230" stopIfTrue="1" operator="containsText" text="AL">
      <formula>NOT(ISERROR(SEARCH("AL",BH24)))</formula>
    </cfRule>
  </conditionalFormatting>
  <conditionalFormatting sqref="BH4:BI4">
    <cfRule type="dataBar" priority="64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{545C0F9A-AB9E-40AE-836D-607A4F98833F}</x14:id>
        </ext>
      </extLst>
    </cfRule>
  </conditionalFormatting>
  <conditionalFormatting sqref="BH23:BI26">
    <cfRule type="containsText" priority="1222" operator="containsText" text="FL">
      <formula>NOT(ISERROR(SEARCH("FL",BH23)))</formula>
    </cfRule>
    <cfRule type="containsText" dxfId="376" priority="1228" operator="containsText" text="SICK">
      <formula>NOT(ISERROR(SEARCH("SICK",BH23)))</formula>
    </cfRule>
  </conditionalFormatting>
  <conditionalFormatting sqref="BH11:BJ11 BH13:BK16 BB21:BK22 BH27:BK29 BH10:BK10">
    <cfRule type="containsText" dxfId="375" priority="1341" operator="containsText" text="SICK">
      <formula>NOT(ISERROR(SEARCH("SICK",BB10)))</formula>
    </cfRule>
  </conditionalFormatting>
  <conditionalFormatting sqref="BH12:BJ12">
    <cfRule type="containsText" priority="1078" operator="containsText" text="FL">
      <formula>NOT(ISERROR(SEARCH("FL",BH12)))</formula>
    </cfRule>
  </conditionalFormatting>
  <conditionalFormatting sqref="BH17:BJ17">
    <cfRule type="containsText" dxfId="374" priority="1325" operator="containsText" text="FL">
      <formula>NOT(ISERROR(SEARCH("FL",BH17)))</formula>
    </cfRule>
    <cfRule type="containsText" priority="1326" operator="containsText" text="FL">
      <formula>NOT(ISERROR(SEARCH("FL",BH17)))</formula>
    </cfRule>
    <cfRule type="containsText" dxfId="373" priority="1327" operator="containsText" text="AL">
      <formula>NOT(ISERROR(SEARCH("AL",BH17)))</formula>
    </cfRule>
    <cfRule type="containsText" dxfId="372" priority="1330" operator="containsText" text="AB">
      <formula>NOT(ISERROR(SEARCH("AB",BH17)))</formula>
    </cfRule>
  </conditionalFormatting>
  <conditionalFormatting sqref="BH8:BK9">
    <cfRule type="containsText" dxfId="371" priority="1154" stopIfTrue="1" operator="containsText" text="SICK">
      <formula>NOT(ISERROR(SEARCH("SICK",BH8)))</formula>
    </cfRule>
    <cfRule type="containsText" dxfId="370" priority="1152" stopIfTrue="1" operator="containsText" text="AL">
      <formula>NOT(ISERROR(SEARCH("AL",BH8)))</formula>
    </cfRule>
    <cfRule type="containsText" dxfId="369" priority="1141" operator="containsText" text="SICK">
      <formula>NOT(ISERROR(SEARCH("SICK",BH8)))</formula>
    </cfRule>
    <cfRule type="containsText" dxfId="368" priority="1142" operator="containsText" text="NL">
      <formula>NOT(ISERROR(SEARCH("NL",BH8)))</formula>
    </cfRule>
  </conditionalFormatting>
  <conditionalFormatting sqref="BH8:BK10 AJ11:BJ11 BH13:BK16">
    <cfRule type="containsText" dxfId="367" priority="1145" operator="containsText" text="AL">
      <formula>NOT(ISERROR(SEARCH("AL",AJ8)))</formula>
    </cfRule>
    <cfRule type="containsText" dxfId="366" priority="1143" operator="containsText" text="FL">
      <formula>NOT(ISERROR(SEARCH("FL",AJ8)))</formula>
    </cfRule>
  </conditionalFormatting>
  <conditionalFormatting sqref="BH8:BK10 BB13:BK16">
    <cfRule type="containsText" priority="1144" operator="containsText" text="FL">
      <formula>NOT(ISERROR(SEARCH("FL",BB8)))</formula>
    </cfRule>
  </conditionalFormatting>
  <conditionalFormatting sqref="BH8:BK10">
    <cfRule type="containsText" dxfId="365" priority="1146" operator="containsText" text="AB">
      <formula>NOT(ISERROR(SEARCH("AB",BH8)))</formula>
    </cfRule>
  </conditionalFormatting>
  <conditionalFormatting sqref="BH19:BK20">
    <cfRule type="containsText" priority="1274" operator="containsText" text="FL">
      <formula>NOT(ISERROR(SEARCH("FL",BH19)))</formula>
    </cfRule>
    <cfRule type="containsText" dxfId="364" priority="1275" operator="containsText" text="AL">
      <formula>NOT(ISERROR(SEARCH("AL",BH19)))</formula>
    </cfRule>
    <cfRule type="containsText" dxfId="363" priority="1273" operator="containsText" text="FL">
      <formula>NOT(ISERROR(SEARCH("FL",BH19)))</formula>
    </cfRule>
    <cfRule type="containsText" dxfId="362" priority="1278" operator="containsText" text="AB">
      <formula>NOT(ISERROR(SEARCH("AB",BH19)))</formula>
    </cfRule>
    <cfRule type="containsText" dxfId="361" priority="1280" operator="containsText" text="SICK">
      <formula>NOT(ISERROR(SEARCH("SICK",BH19)))</formula>
    </cfRule>
  </conditionalFormatting>
  <conditionalFormatting sqref="BH20:BK20">
    <cfRule type="containsText" dxfId="360" priority="1261" operator="containsText" text="NL">
      <formula>NOT(ISERROR(SEARCH("NL",BH20)))</formula>
    </cfRule>
    <cfRule type="containsText" dxfId="359" priority="1262" operator="containsText" text="AB">
      <formula>NOT(ISERROR(SEARCH("AB",BH20)))</formula>
    </cfRule>
    <cfRule type="containsText" dxfId="358" priority="1263" stopIfTrue="1" operator="containsText" text="AL">
      <formula>NOT(ISERROR(SEARCH("AL",BH20)))</formula>
    </cfRule>
    <cfRule type="containsText" dxfId="357" priority="1260" operator="containsText" text="SICK">
      <formula>NOT(ISERROR(SEARCH("SICK",BH20)))</formula>
    </cfRule>
    <cfRule type="containsText" dxfId="356" priority="1283" stopIfTrue="1" operator="containsText" text="SP">
      <formula>NOT(ISERROR(SEARCH("SP",BH20)))</formula>
    </cfRule>
    <cfRule type="containsText" dxfId="355" priority="1284" stopIfTrue="1" operator="containsText" text="SICK">
      <formula>NOT(ISERROR(SEARCH("SICK",BH20)))</formula>
    </cfRule>
    <cfRule type="containsText" dxfId="354" priority="1259" operator="containsText" text="AL">
      <formula>NOT(ISERROR(SEARCH("AL",BH20)))</formula>
    </cfRule>
  </conditionalFormatting>
  <conditionalFormatting sqref="BH8:BM9">
    <cfRule type="containsText" dxfId="353" priority="963" operator="containsText" text="AL">
      <formula>NOT(ISERROR(SEARCH("AL",BH8)))</formula>
    </cfRule>
    <cfRule type="containsText" dxfId="352" priority="954" stopIfTrue="1" operator="containsText" text="SP">
      <formula>NOT(ISERROR(SEARCH("SP",BH8)))</formula>
    </cfRule>
  </conditionalFormatting>
  <conditionalFormatting sqref="BH27:BM29">
    <cfRule type="containsText" priority="420" operator="containsText" text="FL">
      <formula>NOT(ISERROR(SEARCH("FL",BH27)))</formula>
    </cfRule>
  </conditionalFormatting>
  <conditionalFormatting sqref="BH31:BO31 BF54:BK54">
    <cfRule type="containsText" dxfId="351" priority="5848" stopIfTrue="1" operator="containsText" text="SP">
      <formula>NOT(ISERROR(SEARCH("SP",BF31)))</formula>
    </cfRule>
    <cfRule type="containsText" dxfId="350" priority="5849" stopIfTrue="1" operator="containsText" text="SICK">
      <formula>NOT(ISERROR(SEARCH("SICK",BF31)))</formula>
    </cfRule>
    <cfRule type="containsText" dxfId="349" priority="5847" stopIfTrue="1" operator="containsText" text="AL">
      <formula>NOT(ISERROR(SEARCH("AL",BF31)))</formula>
    </cfRule>
  </conditionalFormatting>
  <conditionalFormatting sqref="BI7 BK7 AZ5:BK6">
    <cfRule type="containsText" dxfId="348" priority="2144" operator="containsText" text="SICK">
      <formula>NOT(ISERROR(SEARCH("SICK",AZ5)))</formula>
    </cfRule>
  </conditionalFormatting>
  <conditionalFormatting sqref="BI7 BK7">
    <cfRule type="containsText" dxfId="347" priority="2143" operator="containsText" text="AL">
      <formula>NOT(ISERROR(SEARCH("AL",BI7)))</formula>
    </cfRule>
  </conditionalFormatting>
  <conditionalFormatting sqref="BI12">
    <cfRule type="containsText" dxfId="346" priority="1086" stopIfTrue="1" operator="containsText" text="SP">
      <formula>NOT(ISERROR(SEARCH("SP",BI12)))</formula>
    </cfRule>
    <cfRule type="containsText" dxfId="345" priority="1079" operator="containsText" text="AL">
      <formula>NOT(ISERROR(SEARCH("AL",BI12)))</formula>
    </cfRule>
    <cfRule type="containsText" dxfId="344" priority="1068" operator="containsText" text="AB">
      <formula>NOT(ISERROR(SEARCH("AB",BI12)))</formula>
    </cfRule>
    <cfRule type="containsText" dxfId="343" priority="1069" operator="containsText" text="AL">
      <formula>NOT(ISERROR(SEARCH("AL",BI12)))</formula>
    </cfRule>
    <cfRule type="containsText" dxfId="342" priority="1074" stopIfTrue="1" operator="containsText" text="SICK">
      <formula>NOT(ISERROR(SEARCH("SICK",BI12)))</formula>
    </cfRule>
    <cfRule type="containsText" dxfId="341" priority="1075" stopIfTrue="1" operator="containsText" text="FL">
      <formula>NOT(ISERROR(SEARCH("FL",BI12)))</formula>
    </cfRule>
    <cfRule type="containsText" dxfId="340" priority="1076" stopIfTrue="1" operator="containsText" text="AB">
      <formula>NOT(ISERROR(SEARCH("AB",BI12)))</formula>
    </cfRule>
    <cfRule type="containsText" dxfId="339" priority="1077" operator="containsText" text="SICK">
      <formula>NOT(ISERROR(SEARCH("SICK",BI12)))</formula>
    </cfRule>
    <cfRule type="containsText" dxfId="338" priority="1080" stopIfTrue="1" operator="containsText" text="FL">
      <formula>NOT(ISERROR(SEARCH("FL",BI12)))</formula>
    </cfRule>
    <cfRule type="containsText" dxfId="337" priority="1084" operator="containsText" text="NL">
      <formula>NOT(ISERROR(SEARCH("NL",BI12)))</formula>
    </cfRule>
    <cfRule type="containsText" dxfId="336" priority="1085" stopIfTrue="1" operator="containsText" text="AL">
      <formula>NOT(ISERROR(SEARCH("AL",BI12)))</formula>
    </cfRule>
  </conditionalFormatting>
  <conditionalFormatting sqref="BI17">
    <cfRule type="containsText" dxfId="335" priority="1317" stopIfTrue="1" operator="containsText" text="SICK">
      <formula>NOT(ISERROR(SEARCH("SICK",BI17)))</formula>
    </cfRule>
    <cfRule type="containsText" dxfId="334" priority="1329" operator="containsText" text="SICK">
      <formula>NOT(ISERROR(SEARCH("SICK",BI17)))</formula>
    </cfRule>
    <cfRule type="containsText" dxfId="333" priority="1333" operator="containsText" text="NL">
      <formula>NOT(ISERROR(SEARCH("NL",BI17)))</formula>
    </cfRule>
    <cfRule type="containsText" dxfId="332" priority="1314" operator="containsText" text="AB">
      <formula>NOT(ISERROR(SEARCH("AB",BI17)))</formula>
    </cfRule>
    <cfRule type="containsText" dxfId="331" priority="1331" operator="containsText" text="AL">
      <formula>NOT(ISERROR(SEARCH("AL",BI17)))</formula>
    </cfRule>
    <cfRule type="containsText" dxfId="330" priority="1315" stopIfTrue="1" operator="containsText" text="AL">
      <formula>NOT(ISERROR(SEARCH("AL",BI17)))</formula>
    </cfRule>
    <cfRule type="containsText" dxfId="329" priority="1316" stopIfTrue="1" operator="containsText" text="SP">
      <formula>NOT(ISERROR(SEARCH("SP",BI17)))</formula>
    </cfRule>
  </conditionalFormatting>
  <conditionalFormatting sqref="BI23:BI26">
    <cfRule type="containsText" dxfId="328" priority="1256" stopIfTrue="1" operator="containsText" text="AL">
      <formula>NOT(ISERROR(SEARCH("AL",BI23)))</formula>
    </cfRule>
    <cfRule type="containsText" dxfId="327" priority="1255" operator="containsText" text="NL">
      <formula>NOT(ISERROR(SEARCH("NL",BI23)))</formula>
    </cfRule>
    <cfRule type="containsText" dxfId="326" priority="1247" operator="containsText" text="FL">
      <formula>NOT(ISERROR(SEARCH("FL",BI23)))</formula>
    </cfRule>
    <cfRule type="containsText" dxfId="325" priority="1249" operator="containsText" text="AL">
      <formula>NOT(ISERROR(SEARCH("AL",BI23)))</formula>
    </cfRule>
    <cfRule type="containsText" dxfId="324" priority="1258" stopIfTrue="1" operator="containsText" text="SICK">
      <formula>NOT(ISERROR(SEARCH("SICK",BI23)))</formula>
    </cfRule>
    <cfRule type="containsText" dxfId="323" priority="1252" operator="containsText" text="AB">
      <formula>NOT(ISERROR(SEARCH("AB",BI23)))</formula>
    </cfRule>
    <cfRule type="containsText" dxfId="322" priority="1257" stopIfTrue="1" operator="containsText" text="SP">
      <formula>NOT(ISERROR(SEARCH("SP",BI23)))</formula>
    </cfRule>
    <cfRule type="containsText" dxfId="321" priority="1253" operator="containsText" text="AL">
      <formula>NOT(ISERROR(SEARCH("AL",BI23)))</formula>
    </cfRule>
  </conditionalFormatting>
  <conditionalFormatting sqref="BJ23:BK24">
    <cfRule type="containsText" dxfId="320" priority="1195" operator="containsText" text="FL">
      <formula>NOT(ISERROR(SEARCH("FL",BJ23)))</formula>
    </cfRule>
    <cfRule type="containsText" priority="1196" operator="containsText" text="FL">
      <formula>NOT(ISERROR(SEARCH("FL",BJ23)))</formula>
    </cfRule>
    <cfRule type="containsText" dxfId="319" priority="1197" operator="containsText" text="AL">
      <formula>NOT(ISERROR(SEARCH("AL",BJ23)))</formula>
    </cfRule>
    <cfRule type="containsText" dxfId="318" priority="1200" operator="containsText" text="AB">
      <formula>NOT(ISERROR(SEARCH("AB",BJ23)))</formula>
    </cfRule>
    <cfRule type="containsText" dxfId="317" priority="1202" operator="containsText" text="SICK">
      <formula>NOT(ISERROR(SEARCH("SICK",BJ23)))</formula>
    </cfRule>
  </conditionalFormatting>
  <conditionalFormatting sqref="BJ25:BK26">
    <cfRule type="containsText" priority="1170" operator="containsText" text="FL">
      <formula>NOT(ISERROR(SEARCH("FL",BJ25)))</formula>
    </cfRule>
    <cfRule type="containsText" dxfId="316" priority="1171" operator="containsText" text="AL">
      <formula>NOT(ISERROR(SEARCH("AL",BJ25)))</formula>
    </cfRule>
    <cfRule type="containsText" dxfId="315" priority="1174" operator="containsText" text="AB">
      <formula>NOT(ISERROR(SEARCH("AB",BJ25)))</formula>
    </cfRule>
    <cfRule type="containsText" dxfId="314" priority="1176" operator="containsText" text="SICK">
      <formula>NOT(ISERROR(SEARCH("SICK",BJ25)))</formula>
    </cfRule>
    <cfRule type="containsText" dxfId="313" priority="1169" operator="containsText" text="FL">
      <formula>NOT(ISERROR(SEARCH("FL",BJ25)))</formula>
    </cfRule>
  </conditionalFormatting>
  <conditionalFormatting sqref="BJ4:BO4">
    <cfRule type="dataBar" priority="64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{76077AC0-1CA9-4C46-BD76-2D4286482357}</x14:id>
        </ext>
      </extLst>
    </cfRule>
  </conditionalFormatting>
  <conditionalFormatting sqref="BK11">
    <cfRule type="containsText" dxfId="312" priority="304" stopIfTrue="1" operator="containsText" text="SP">
      <formula>NOT(ISERROR(SEARCH("SP",BK11)))</formula>
    </cfRule>
    <cfRule type="containsText" dxfId="311" priority="301" operator="containsText" text="SICK">
      <formula>NOT(ISERROR(SEARCH("SICK",BK11)))</formula>
    </cfRule>
    <cfRule type="containsText" dxfId="310" priority="293" stopIfTrue="1" operator="containsText" text="FL">
      <formula>NOT(ISERROR(SEARCH("FL",BK11)))</formula>
    </cfRule>
    <cfRule type="containsText" dxfId="309" priority="294" stopIfTrue="1" operator="containsText" text="AB">
      <formula>NOT(ISERROR(SEARCH("AB",BK11)))</formula>
    </cfRule>
    <cfRule type="containsText" dxfId="308" priority="297" operator="containsText" text="AL">
      <formula>NOT(ISERROR(SEARCH("AL",BK11)))</formula>
    </cfRule>
    <cfRule type="containsText" dxfId="307" priority="300" operator="containsText" text="AL">
      <formula>NOT(ISERROR(SEARCH("AL",BK11)))</formula>
    </cfRule>
    <cfRule type="containsText" dxfId="306" priority="290" stopIfTrue="1" operator="containsText" text="AL">
      <formula>NOT(ISERROR(SEARCH("AL",BK11)))</formula>
    </cfRule>
    <cfRule type="containsText" dxfId="305" priority="305" stopIfTrue="1" operator="containsText" text="SICK">
      <formula>NOT(ISERROR(SEARCH("SICK",BK11)))</formula>
    </cfRule>
    <cfRule type="containsText" dxfId="304" priority="286" operator="containsText" text="AB">
      <formula>NOT(ISERROR(SEARCH("AB",BK11)))</formula>
    </cfRule>
    <cfRule type="containsText" dxfId="303" priority="298" stopIfTrue="1" operator="containsText" text="FL">
      <formula>NOT(ISERROR(SEARCH("FL",BK11)))</formula>
    </cfRule>
  </conditionalFormatting>
  <conditionalFormatting sqref="BK11:BK12">
    <cfRule type="containsText" dxfId="302" priority="299" operator="containsText" text="AB">
      <formula>NOT(ISERROR(SEARCH("AB",BK11)))</formula>
    </cfRule>
    <cfRule type="containsText" dxfId="301" priority="302" operator="containsText" text="NL">
      <formula>NOT(ISERROR(SEARCH("NL",BK11)))</formula>
    </cfRule>
  </conditionalFormatting>
  <conditionalFormatting sqref="BK12">
    <cfRule type="containsText" dxfId="300" priority="1052" stopIfTrue="1" operator="containsText" text="AL">
      <formula>NOT(ISERROR(SEARCH("AL",BK12)))</formula>
    </cfRule>
    <cfRule type="containsText" dxfId="299" priority="1059" operator="containsText" text="AL">
      <formula>NOT(ISERROR(SEARCH("AL",BK12)))</formula>
    </cfRule>
    <cfRule type="containsText" dxfId="298" priority="1062" operator="containsText" text="AL">
      <formula>NOT(ISERROR(SEARCH("AL",BK12)))</formula>
    </cfRule>
    <cfRule type="containsText" dxfId="297" priority="1063" operator="containsText" text="SICK">
      <formula>NOT(ISERROR(SEARCH("SICK",BK12)))</formula>
    </cfRule>
    <cfRule type="containsText" dxfId="296" priority="1061" operator="containsText" text="AB">
      <formula>NOT(ISERROR(SEARCH("AB",BK12)))</formula>
    </cfRule>
    <cfRule type="containsText" dxfId="295" priority="1053" stopIfTrue="1" operator="containsText" text="SP">
      <formula>NOT(ISERROR(SEARCH("SP",BK12)))</formula>
    </cfRule>
    <cfRule type="containsText" dxfId="294" priority="1054" stopIfTrue="1" operator="containsText" text="SICK">
      <formula>NOT(ISERROR(SEARCH("SICK",BK12)))</formula>
    </cfRule>
    <cfRule type="containsText" dxfId="293" priority="1060" stopIfTrue="1" operator="containsText" text="FL">
      <formula>NOT(ISERROR(SEARCH("FL",BK12)))</formula>
    </cfRule>
    <cfRule type="containsText" dxfId="292" priority="1055" stopIfTrue="1" operator="containsText" text="FL">
      <formula>NOT(ISERROR(SEARCH("FL",BK12)))</formula>
    </cfRule>
    <cfRule type="containsText" dxfId="291" priority="1056" stopIfTrue="1" operator="containsText" text="AB">
      <formula>NOT(ISERROR(SEARCH("AB",BK12)))</formula>
    </cfRule>
    <cfRule type="containsText" priority="1058" operator="containsText" text="FL">
      <formula>NOT(ISERROR(SEARCH("FL",BK12)))</formula>
    </cfRule>
  </conditionalFormatting>
  <conditionalFormatting sqref="BK17">
    <cfRule type="containsText" dxfId="290" priority="1310" stopIfTrue="1" operator="containsText" text="SICK">
      <formula>NOT(ISERROR(SEARCH("SICK",BK17)))</formula>
    </cfRule>
    <cfRule type="containsText" dxfId="289" priority="1286" operator="containsText" text="SICK">
      <formula>NOT(ISERROR(SEARCH("SICK",BK17)))</formula>
    </cfRule>
    <cfRule type="containsText" dxfId="288" priority="1285" operator="containsText" text="AL">
      <formula>NOT(ISERROR(SEARCH("AL",BK17)))</formula>
    </cfRule>
    <cfRule type="containsText" dxfId="287" priority="1287" operator="containsText" text="NL">
      <formula>NOT(ISERROR(SEARCH("NL",BK17)))</formula>
    </cfRule>
    <cfRule type="containsText" dxfId="286" priority="1299" operator="containsText" text="FL">
      <formula>NOT(ISERROR(SEARCH("FL",BK17)))</formula>
    </cfRule>
    <cfRule type="containsText" priority="1300" operator="containsText" text="FL">
      <formula>NOT(ISERROR(SEARCH("FL",BK17)))</formula>
    </cfRule>
    <cfRule type="containsText" dxfId="285" priority="1301" operator="containsText" text="AL">
      <formula>NOT(ISERROR(SEARCH("AL",BK17)))</formula>
    </cfRule>
    <cfRule type="containsText" dxfId="284" priority="1304" operator="containsText" text="AB">
      <formula>NOT(ISERROR(SEARCH("AB",BK17)))</formula>
    </cfRule>
    <cfRule type="containsText" dxfId="283" priority="1308" stopIfTrue="1" operator="containsText" text="AL">
      <formula>NOT(ISERROR(SEARCH("AL",BK17)))</formula>
    </cfRule>
    <cfRule type="containsText" dxfId="282" priority="1309" stopIfTrue="1" operator="containsText" text="SP">
      <formula>NOT(ISERROR(SEARCH("SP",BK17)))</formula>
    </cfRule>
  </conditionalFormatting>
  <conditionalFormatting sqref="BK23">
    <cfRule type="containsText" dxfId="281" priority="1190" stopIfTrue="1" operator="containsText" text="SICK">
      <formula>NOT(ISERROR(SEARCH("SICK",BK23)))</formula>
    </cfRule>
    <cfRule type="containsText" dxfId="280" priority="1188" stopIfTrue="1" operator="containsText" text="AL">
      <formula>NOT(ISERROR(SEARCH("AL",BK23)))</formula>
    </cfRule>
    <cfRule type="containsText" dxfId="279" priority="1189" stopIfTrue="1" operator="containsText" text="SP">
      <formula>NOT(ISERROR(SEARCH("SP",BK23)))</formula>
    </cfRule>
    <cfRule type="containsText" dxfId="278" priority="1199" operator="containsText" text="SICK">
      <formula>NOT(ISERROR(SEARCH("SICK",BK23)))</formula>
    </cfRule>
    <cfRule type="containsText" dxfId="277" priority="1191" operator="containsText" text="AB">
      <formula>NOT(ISERROR(SEARCH("AB",BK23)))</formula>
    </cfRule>
    <cfRule type="containsText" dxfId="276" priority="1194" operator="containsText" text="NL">
      <formula>NOT(ISERROR(SEARCH("NL",BK23)))</formula>
    </cfRule>
    <cfRule type="containsText" dxfId="275" priority="1192" operator="containsText" text="AL">
      <formula>NOT(ISERROR(SEARCH("AL",BK23)))</formula>
    </cfRule>
  </conditionalFormatting>
  <conditionalFormatting sqref="BK25:BK26">
    <cfRule type="containsText" dxfId="274" priority="1172" operator="containsText" text="AB">
      <formula>NOT(ISERROR(SEARCH("AB",BK25)))</formula>
    </cfRule>
    <cfRule type="containsText" dxfId="273" priority="1173" operator="containsText" text="SICK">
      <formula>NOT(ISERROR(SEARCH("SICK",BK25)))</formula>
    </cfRule>
    <cfRule type="containsText" dxfId="272" priority="1175" operator="containsText" text="AL">
      <formula>NOT(ISERROR(SEARCH("AL",BK25)))</formula>
    </cfRule>
    <cfRule type="containsText" dxfId="271" priority="1177" operator="containsText" text="NL">
      <formula>NOT(ISERROR(SEARCH("NL",BK25)))</formula>
    </cfRule>
    <cfRule type="containsText" dxfId="270" priority="1164" stopIfTrue="1" operator="containsText" text="SICK">
      <formula>NOT(ISERROR(SEARCH("SICK",BK25)))</formula>
    </cfRule>
    <cfRule type="containsText" dxfId="269" priority="1163" stopIfTrue="1" operator="containsText" text="SP">
      <formula>NOT(ISERROR(SEARCH("SP",BK25)))</formula>
    </cfRule>
    <cfRule type="containsText" dxfId="268" priority="1162" stopIfTrue="1" operator="containsText" text="AL">
      <formula>NOT(ISERROR(SEARCH("AL",BK25)))</formula>
    </cfRule>
  </conditionalFormatting>
  <conditionalFormatting sqref="BL11:BL12 BL14:BM14 BL20:BM20 BL23 BL29 BL10:BM10 BL16:BM16 BL17 BL25">
    <cfRule type="containsText" dxfId="267" priority="898" operator="containsText" text="SICK">
      <formula>NOT(ISERROR(SEARCH("SICK",BL10)))</formula>
    </cfRule>
  </conditionalFormatting>
  <conditionalFormatting sqref="BL5:BM6">
    <cfRule type="containsText" dxfId="266" priority="1006" stopIfTrue="1" operator="containsText" text="SP">
      <formula>NOT(ISERROR(SEARCH("SP",BL5)))</formula>
    </cfRule>
    <cfRule type="containsText" dxfId="265" priority="1000" operator="containsText" text="FL">
      <formula>NOT(ISERROR(SEARCH("FL",BL5)))</formula>
    </cfRule>
    <cfRule type="containsText" dxfId="264" priority="983" stopIfTrue="1" operator="containsText" text="FL">
      <formula>NOT(ISERROR(SEARCH("FL",BL5)))</formula>
    </cfRule>
    <cfRule type="containsText" dxfId="263" priority="981" operator="containsText" text="EL">
      <formula>NOT(ISERROR(SEARCH("EL",BL5)))</formula>
    </cfRule>
    <cfRule type="containsText" dxfId="262" priority="980" operator="containsText" text="AL">
      <formula>NOT(ISERROR(SEARCH("AL",BL5)))</formula>
    </cfRule>
    <cfRule type="containsText" dxfId="261" priority="978" stopIfTrue="1" operator="containsText" text="SICK">
      <formula>NOT(ISERROR(SEARCH("SICK",BL5)))</formula>
    </cfRule>
    <cfRule type="containsText" dxfId="260" priority="975" operator="containsText" text="NL">
      <formula>NOT(ISERROR(SEARCH("NL",BL5)))</formula>
    </cfRule>
    <cfRule type="containsText" dxfId="259" priority="972" operator="containsText" text="AB">
      <formula>NOT(ISERROR(SEARCH("AB",BL5)))</formula>
    </cfRule>
    <cfRule type="containsText" dxfId="258" priority="969" stopIfTrue="1" operator="containsText" text="FL">
      <formula>NOT(ISERROR(SEARCH("FL",BL5)))</formula>
    </cfRule>
    <cfRule type="containsText" dxfId="257" priority="970" stopIfTrue="1" operator="containsText" text="AB">
      <formula>NOT(ISERROR(SEARCH("AB",BL5)))</formula>
    </cfRule>
    <cfRule type="containsText" dxfId="256" priority="1002" operator="containsText" text="AL">
      <formula>NOT(ISERROR(SEARCH("AL",BL5)))</formula>
    </cfRule>
    <cfRule type="containsText" dxfId="255" priority="1003" operator="containsText" text="SICK">
      <formula>NOT(ISERROR(SEARCH("SICK",BL5)))</formula>
    </cfRule>
    <cfRule type="containsText" dxfId="254" priority="1005" stopIfTrue="1" operator="containsText" text="AL">
      <formula>NOT(ISERROR(SEARCH("AL",BL5)))</formula>
    </cfRule>
  </conditionalFormatting>
  <conditionalFormatting sqref="BL7:BM7">
    <cfRule type="containsText" priority="878" operator="containsText" text="FL">
      <formula>NOT(ISERROR(SEARCH("FL",BL7)))</formula>
    </cfRule>
    <cfRule type="containsText" dxfId="253" priority="881" operator="containsText" text="SICK">
      <formula>NOT(ISERROR(SEARCH("SICK",BL7)))</formula>
    </cfRule>
    <cfRule type="containsText" dxfId="252" priority="877" operator="containsText" text="FL">
      <formula>NOT(ISERROR(SEARCH("FL",BL7)))</formula>
    </cfRule>
    <cfRule type="containsText" dxfId="251" priority="879" operator="containsText" text="AL">
      <formula>NOT(ISERROR(SEARCH("AL",BL7)))</formula>
    </cfRule>
  </conditionalFormatting>
  <conditionalFormatting sqref="BL7:BM10">
    <cfRule type="containsText" dxfId="250" priority="880" operator="containsText" text="AB">
      <formula>NOT(ISERROR(SEARCH("AB",BL7)))</formula>
    </cfRule>
  </conditionalFormatting>
  <conditionalFormatting sqref="BL8:BM9 AR8:AY9">
    <cfRule type="containsText" dxfId="249" priority="4998" stopIfTrue="1" operator="containsText" text="AL">
      <formula>NOT(ISERROR(SEARCH("AL",AR8)))</formula>
    </cfRule>
  </conditionalFormatting>
  <conditionalFormatting sqref="BL8:BM9 BL5:BO6">
    <cfRule type="containsText" dxfId="248" priority="4506" stopIfTrue="1" operator="containsText" text="AL">
      <formula>NOT(ISERROR(SEARCH("AL",BL5)))</formula>
    </cfRule>
  </conditionalFormatting>
  <conditionalFormatting sqref="BL8:BM9">
    <cfRule type="containsText" dxfId="247" priority="938" operator="containsText" text="NL">
      <formula>NOT(ISERROR(SEARCH("NL",BL8)))</formula>
    </cfRule>
    <cfRule type="containsText" dxfId="246" priority="943" operator="containsText" text="AL">
      <formula>NOT(ISERROR(SEARCH("AL",BL8)))</formula>
    </cfRule>
    <cfRule type="containsText" dxfId="245" priority="944" operator="containsText" text="EL">
      <formula>NOT(ISERROR(SEARCH("EL",BL8)))</formula>
    </cfRule>
    <cfRule type="containsText" dxfId="244" priority="948" operator="containsText" text="SICK">
      <formula>NOT(ISERROR(SEARCH("SICK",BL8)))</formula>
    </cfRule>
    <cfRule type="containsText" dxfId="243" priority="961" stopIfTrue="1" operator="containsText" text="SICK">
      <formula>NOT(ISERROR(SEARCH("SICK",BL8)))</formula>
    </cfRule>
    <cfRule type="containsText" dxfId="242" priority="962" operator="containsText" text="AB">
      <formula>NOT(ISERROR(SEARCH("AB",BL8)))</formula>
    </cfRule>
    <cfRule type="containsText" dxfId="241" priority="966" stopIfTrue="1" operator="containsText" text="AL">
      <formula>NOT(ISERROR(SEARCH("AL",BL8)))</formula>
    </cfRule>
  </conditionalFormatting>
  <conditionalFormatting sqref="BL10:BM12">
    <cfRule type="containsText" dxfId="240" priority="853" operator="containsText" text="AL">
      <formula>NOT(ISERROR(SEARCH("AL",BL10)))</formula>
    </cfRule>
    <cfRule type="containsText" dxfId="239" priority="851" operator="containsText" text="FL">
      <formula>NOT(ISERROR(SEARCH("FL",BL10)))</formula>
    </cfRule>
    <cfRule type="containsText" priority="852" operator="containsText" text="FL">
      <formula>NOT(ISERROR(SEARCH("FL",BL10)))</formula>
    </cfRule>
  </conditionalFormatting>
  <conditionalFormatting sqref="BL13:BM13">
    <cfRule type="containsText" dxfId="238" priority="716" stopIfTrue="1" operator="containsText" text="SICK">
      <formula>NOT(ISERROR(SEARCH("SICK",BL13)))</formula>
    </cfRule>
    <cfRule type="containsText" dxfId="237" priority="722" stopIfTrue="1" operator="containsText" text="FL">
      <formula>NOT(ISERROR(SEARCH("FL",BL13)))</formula>
    </cfRule>
    <cfRule type="containsText" dxfId="236" priority="715" stopIfTrue="1" operator="containsText" text="SP">
      <formula>NOT(ISERROR(SEARCH("SP",BL13)))</formula>
    </cfRule>
    <cfRule type="containsText" dxfId="235" priority="712" operator="containsText" text="SICK">
      <formula>NOT(ISERROR(SEARCH("SICK",BL13)))</formula>
    </cfRule>
    <cfRule type="containsText" dxfId="234" priority="711" operator="containsText" text="AL">
      <formula>NOT(ISERROR(SEARCH("AL",BL13)))</formula>
    </cfRule>
    <cfRule type="containsText" dxfId="233" priority="710" operator="containsText" text="AB">
      <formula>NOT(ISERROR(SEARCH("AB",BL13)))</formula>
    </cfRule>
    <cfRule type="containsText" dxfId="232" priority="707" stopIfTrue="1" operator="containsText" text="AL">
      <formula>NOT(ISERROR(SEARCH("AL",BL13)))</formula>
    </cfRule>
    <cfRule type="containsText" dxfId="231" priority="697" operator="containsText" text="NL">
      <formula>NOT(ISERROR(SEARCH("NL",BL13)))</formula>
    </cfRule>
    <cfRule type="containsText" dxfId="230" priority="691" operator="containsText" text="AL">
      <formula>NOT(ISERROR(SEARCH("AL",BL13)))</formula>
    </cfRule>
    <cfRule type="containsText" dxfId="229" priority="717" stopIfTrue="1" operator="containsText" text="FL">
      <formula>NOT(ISERROR(SEARCH("FL",BL13)))</formula>
    </cfRule>
    <cfRule type="containsText" dxfId="228" priority="692" operator="containsText" text="EL">
      <formula>NOT(ISERROR(SEARCH("EL",BL13)))</formula>
    </cfRule>
    <cfRule type="containsText" dxfId="227" priority="718" stopIfTrue="1" operator="containsText" text="AB">
      <formula>NOT(ISERROR(SEARCH("AB",BL13)))</formula>
    </cfRule>
  </conditionalFormatting>
  <conditionalFormatting sqref="BL13:BM14">
    <cfRule type="containsText" priority="720" operator="containsText" text="FL">
      <formula>NOT(ISERROR(SEARCH("FL",BL13)))</formula>
    </cfRule>
  </conditionalFormatting>
  <conditionalFormatting sqref="BL14:BM14 BL20:BM20 BL11:BL12 BL23 BL29">
    <cfRule type="containsText" dxfId="226" priority="897" operator="containsText" text="AB">
      <formula>NOT(ISERROR(SEARCH("AB",BL11)))</formula>
    </cfRule>
  </conditionalFormatting>
  <conditionalFormatting sqref="BL14:BM14 BL20:BM20">
    <cfRule type="containsText" dxfId="225" priority="896" operator="containsText" text="AL">
      <formula>NOT(ISERROR(SEARCH("AL",BL14)))</formula>
    </cfRule>
    <cfRule type="containsText" dxfId="224" priority="894" operator="containsText" text="FL">
      <formula>NOT(ISERROR(SEARCH("FL",BL14)))</formula>
    </cfRule>
  </conditionalFormatting>
  <conditionalFormatting sqref="BL15:BM15">
    <cfRule type="containsText" dxfId="223" priority="635" operator="containsText" text="SICK">
      <formula>NOT(ISERROR(SEARCH("SICK",BL15)))</formula>
    </cfRule>
    <cfRule type="containsText" dxfId="222" priority="634" operator="containsText" text="AL">
      <formula>NOT(ISERROR(SEARCH("AL",BL15)))</formula>
    </cfRule>
    <cfRule type="containsText" dxfId="221" priority="663" operator="containsText" text="NL">
      <formula>NOT(ISERROR(SEARCH("NL",BL15)))</formula>
    </cfRule>
    <cfRule type="containsText" dxfId="220" priority="642" operator="containsText" text="EL">
      <formula>NOT(ISERROR(SEARCH("EL",BL15)))</formula>
    </cfRule>
    <cfRule type="containsText" dxfId="219" priority="641" operator="containsText" text="AL">
      <formula>NOT(ISERROR(SEARCH("AL",BL15)))</formula>
    </cfRule>
    <cfRule type="containsText" dxfId="218" priority="640" operator="containsText" text="AB">
      <formula>NOT(ISERROR(SEARCH("AB",BL15)))</formula>
    </cfRule>
    <cfRule type="containsText" dxfId="217" priority="639" stopIfTrue="1" operator="containsText" text="SICK">
      <formula>NOT(ISERROR(SEARCH("SICK",BL15)))</formula>
    </cfRule>
    <cfRule type="containsText" dxfId="216" priority="672" stopIfTrue="1" operator="containsText" text="FL">
      <formula>NOT(ISERROR(SEARCH("FL",BL15)))</formula>
    </cfRule>
    <cfRule type="containsText" priority="670" operator="containsText" text="FL">
      <formula>NOT(ISERROR(SEARCH("FL",BL15)))</formula>
    </cfRule>
    <cfRule type="containsText" dxfId="215" priority="668" stopIfTrue="1" operator="containsText" text="AB">
      <formula>NOT(ISERROR(SEARCH("AB",BL15)))</formula>
    </cfRule>
    <cfRule type="containsText" dxfId="214" priority="667" stopIfTrue="1" operator="containsText" text="FL">
      <formula>NOT(ISERROR(SEARCH("FL",BL15)))</formula>
    </cfRule>
    <cfRule type="containsText" dxfId="213" priority="665" stopIfTrue="1" operator="containsText" text="SP">
      <formula>NOT(ISERROR(SEARCH("SP",BL15)))</formula>
    </cfRule>
    <cfRule type="containsText" dxfId="212" priority="664" stopIfTrue="1" operator="containsText" text="AL">
      <formula>NOT(ISERROR(SEARCH("AL",BL15)))</formula>
    </cfRule>
  </conditionalFormatting>
  <conditionalFormatting sqref="BL16:BM17">
    <cfRule type="containsText" dxfId="211" priority="827" operator="containsText" text="AL">
      <formula>NOT(ISERROR(SEARCH("AL",BL16)))</formula>
    </cfRule>
    <cfRule type="containsText" dxfId="210" priority="828" operator="containsText" text="AB">
      <formula>NOT(ISERROR(SEARCH("AB",BL16)))</formula>
    </cfRule>
    <cfRule type="containsText" dxfId="209" priority="825" operator="containsText" text="FL">
      <formula>NOT(ISERROR(SEARCH("FL",BL16)))</formula>
    </cfRule>
    <cfRule type="containsText" priority="826" operator="containsText" text="FL">
      <formula>NOT(ISERROR(SEARCH("FL",BL16)))</formula>
    </cfRule>
  </conditionalFormatting>
  <conditionalFormatting sqref="BL19:BM19">
    <cfRule type="containsText" dxfId="208" priority="632" stopIfTrue="1" operator="containsText" text="SICK">
      <formula>NOT(ISERROR(SEARCH("SICK",BL19)))</formula>
    </cfRule>
    <cfRule type="containsText" dxfId="207" priority="631" stopIfTrue="1" operator="containsText" text="SP">
      <formula>NOT(ISERROR(SEARCH("SP",BL19)))</formula>
    </cfRule>
    <cfRule type="containsText" dxfId="206" priority="630" stopIfTrue="1" operator="containsText" text="AL">
      <formula>NOT(ISERROR(SEARCH("AL",BL19)))</formula>
    </cfRule>
    <cfRule type="containsText" dxfId="205" priority="629" operator="containsText" text="NL">
      <formula>NOT(ISERROR(SEARCH("NL",BL19)))</formula>
    </cfRule>
    <cfRule type="containsText" dxfId="204" priority="628" operator="containsText" text="SICK">
      <formula>NOT(ISERROR(SEARCH("SICK",BL19)))</formula>
    </cfRule>
    <cfRule type="containsText" dxfId="203" priority="627" operator="containsText" text="AL">
      <formula>NOT(ISERROR(SEARCH("AL",BL19)))</formula>
    </cfRule>
    <cfRule type="containsText" dxfId="202" priority="626" operator="containsText" text="AB">
      <formula>NOT(ISERROR(SEARCH("AB",BL19)))</formula>
    </cfRule>
    <cfRule type="containsText" dxfId="201" priority="622" stopIfTrue="1" operator="containsText" text="FL">
      <formula>NOT(ISERROR(SEARCH("FL",BL19)))</formula>
    </cfRule>
    <cfRule type="containsText" dxfId="200" priority="621" operator="containsText" text="AL">
      <formula>NOT(ISERROR(SEARCH("AL",BL19)))</formula>
    </cfRule>
    <cfRule type="containsText" dxfId="199" priority="618" stopIfTrue="1" operator="containsText" text="AB">
      <formula>NOT(ISERROR(SEARCH("AB",BL19)))</formula>
    </cfRule>
    <cfRule type="containsText" dxfId="198" priority="617" stopIfTrue="1" operator="containsText" text="FL">
      <formula>NOT(ISERROR(SEARCH("FL",BL19)))</formula>
    </cfRule>
    <cfRule type="containsText" dxfId="197" priority="592" operator="containsText" text="EL">
      <formula>NOT(ISERROR(SEARCH("EL",BL19)))</formula>
    </cfRule>
  </conditionalFormatting>
  <conditionalFormatting sqref="BL19:BM20">
    <cfRule type="containsText" priority="620" operator="containsText" text="FL">
      <formula>NOT(ISERROR(SEARCH("FL",BL19)))</formula>
    </cfRule>
  </conditionalFormatting>
  <conditionalFormatting sqref="BL21:BM22">
    <cfRule type="containsText" dxfId="196" priority="541" operator="containsText" text="AL">
      <formula>NOT(ISERROR(SEARCH("AL",BL21)))</formula>
    </cfRule>
    <cfRule type="containsText" dxfId="195" priority="542" operator="containsText" text="EL">
      <formula>NOT(ISERROR(SEARCH("EL",BL21)))</formula>
    </cfRule>
    <cfRule type="containsText" dxfId="194" priority="574" stopIfTrue="1" operator="containsText" text="SP">
      <formula>NOT(ISERROR(SEARCH("SP",BL21)))</formula>
    </cfRule>
    <cfRule type="containsText" dxfId="193" priority="572" stopIfTrue="1" operator="containsText" text="FL">
      <formula>NOT(ISERROR(SEARCH("FL",BL21)))</formula>
    </cfRule>
    <cfRule type="containsText" dxfId="192" priority="568" stopIfTrue="1" operator="containsText" text="AB">
      <formula>NOT(ISERROR(SEARCH("AB",BL21)))</formula>
    </cfRule>
    <cfRule type="containsText" dxfId="191" priority="567" stopIfTrue="1" operator="containsText" text="FL">
      <formula>NOT(ISERROR(SEARCH("FL",BL21)))</formula>
    </cfRule>
    <cfRule type="containsText" dxfId="190" priority="560" operator="containsText" text="AB">
      <formula>NOT(ISERROR(SEARCH("AB",BL21)))</formula>
    </cfRule>
    <cfRule type="containsText" dxfId="189" priority="559" stopIfTrue="1" operator="containsText" text="SICK">
      <formula>NOT(ISERROR(SEARCH("SICK",BL21)))</formula>
    </cfRule>
    <cfRule type="containsText" dxfId="188" priority="557" stopIfTrue="1" operator="containsText" text="AL">
      <formula>NOT(ISERROR(SEARCH("AL",BL21)))</formula>
    </cfRule>
    <cfRule type="containsText" dxfId="187" priority="555" operator="containsText" text="NL">
      <formula>NOT(ISERROR(SEARCH("NL",BL21)))</formula>
    </cfRule>
    <cfRule type="containsText" dxfId="186" priority="545" operator="containsText" text="AL">
      <formula>NOT(ISERROR(SEARCH("AL",BL21)))</formula>
    </cfRule>
    <cfRule type="containsText" dxfId="185" priority="546" operator="containsText" text="SICK">
      <formula>NOT(ISERROR(SEARCH("SICK",BL21)))</formula>
    </cfRule>
  </conditionalFormatting>
  <conditionalFormatting sqref="BL23:BM23">
    <cfRule type="containsText" dxfId="184" priority="801" operator="containsText" text="AL">
      <formula>NOT(ISERROR(SEARCH("AL",BL23)))</formula>
    </cfRule>
    <cfRule type="containsText" dxfId="183" priority="799" operator="containsText" text="FL">
      <formula>NOT(ISERROR(SEARCH("FL",BL23)))</formula>
    </cfRule>
  </conditionalFormatting>
  <conditionalFormatting sqref="BL23:BM25">
    <cfRule type="containsText" priority="520" operator="containsText" text="FL">
      <formula>NOT(ISERROR(SEARCH("FL",BL23)))</formula>
    </cfRule>
  </conditionalFormatting>
  <conditionalFormatting sqref="BL24:BM24">
    <cfRule type="containsText" dxfId="182" priority="487" stopIfTrue="1" operator="containsText" text="AL">
      <formula>NOT(ISERROR(SEARCH("AL",BL24)))</formula>
    </cfRule>
    <cfRule type="containsText" dxfId="181" priority="486" operator="containsText" text="NL">
      <formula>NOT(ISERROR(SEARCH("NL",BL24)))</formula>
    </cfRule>
    <cfRule type="containsText" dxfId="180" priority="485" operator="containsText" text="SICK">
      <formula>NOT(ISERROR(SEARCH("SICK",BL24)))</formula>
    </cfRule>
    <cfRule type="containsText" dxfId="179" priority="484" operator="containsText" text="AL">
      <formula>NOT(ISERROR(SEARCH("AL",BL24)))</formula>
    </cfRule>
    <cfRule type="containsText" dxfId="178" priority="483" operator="containsText" text="AB">
      <formula>NOT(ISERROR(SEARCH("AB",BL24)))</formula>
    </cfRule>
    <cfRule type="containsText" dxfId="177" priority="522" stopIfTrue="1" operator="containsText" text="FL">
      <formula>NOT(ISERROR(SEARCH("FL",BL24)))</formula>
    </cfRule>
    <cfRule type="containsText" dxfId="176" priority="491" operator="containsText" text="AL">
      <formula>NOT(ISERROR(SEARCH("AL",BL24)))</formula>
    </cfRule>
    <cfRule type="containsText" dxfId="175" priority="518" stopIfTrue="1" operator="containsText" text="AB">
      <formula>NOT(ISERROR(SEARCH("AB",BL24)))</formula>
    </cfRule>
    <cfRule type="containsText" dxfId="174" priority="517" stopIfTrue="1" operator="containsText" text="FL">
      <formula>NOT(ISERROR(SEARCH("FL",BL24)))</formula>
    </cfRule>
    <cfRule type="containsText" dxfId="173" priority="492" operator="containsText" text="EL">
      <formula>NOT(ISERROR(SEARCH("EL",BL24)))</formula>
    </cfRule>
    <cfRule type="containsText" dxfId="172" priority="489" stopIfTrue="1" operator="containsText" text="SICK">
      <formula>NOT(ISERROR(SEARCH("SICK",BL24)))</formula>
    </cfRule>
    <cfRule type="containsText" dxfId="171" priority="488" stopIfTrue="1" operator="containsText" text="SP">
      <formula>NOT(ISERROR(SEARCH("SP",BL24)))</formula>
    </cfRule>
  </conditionalFormatting>
  <conditionalFormatting sqref="BL25:BM25">
    <cfRule type="containsText" dxfId="170" priority="778" operator="containsText" text="AB">
      <formula>NOT(ISERROR(SEARCH("AB",BL25)))</formula>
    </cfRule>
    <cfRule type="containsText" dxfId="169" priority="775" operator="containsText" text="AL">
      <formula>NOT(ISERROR(SEARCH("AL",BL25)))</formula>
    </cfRule>
    <cfRule type="containsText" dxfId="168" priority="773" operator="containsText" text="FL">
      <formula>NOT(ISERROR(SEARCH("FL",BL25)))</formula>
    </cfRule>
  </conditionalFormatting>
  <conditionalFormatting sqref="BL26:BM26">
    <cfRule type="containsText" dxfId="167" priority="468" stopIfTrue="1" operator="containsText" text="AB">
      <formula>NOT(ISERROR(SEARCH("AB",BL26)))</formula>
    </cfRule>
    <cfRule type="containsText" dxfId="166" priority="482" stopIfTrue="1" operator="containsText" text="SICK">
      <formula>NOT(ISERROR(SEARCH("SICK",BL26)))</formula>
    </cfRule>
    <cfRule type="containsText" dxfId="165" priority="480" stopIfTrue="1" operator="containsText" text="AL">
      <formula>NOT(ISERROR(SEARCH("AL",BL26)))</formula>
    </cfRule>
    <cfRule type="containsText" dxfId="164" priority="435" operator="containsText" text="SICK">
      <formula>NOT(ISERROR(SEARCH("SICK",BL26)))</formula>
    </cfRule>
    <cfRule type="containsText" dxfId="163" priority="479" operator="containsText" text="NL">
      <formula>NOT(ISERROR(SEARCH("NL",BL26)))</formula>
    </cfRule>
    <cfRule type="containsText" dxfId="162" priority="476" operator="containsText" text="AB">
      <formula>NOT(ISERROR(SEARCH("AB",BL26)))</formula>
    </cfRule>
    <cfRule type="containsText" dxfId="161" priority="472" stopIfTrue="1" operator="containsText" text="FL">
      <formula>NOT(ISERROR(SEARCH("FL",BL26)))</formula>
    </cfRule>
    <cfRule type="containsText" dxfId="160" priority="442" operator="containsText" text="EL">
      <formula>NOT(ISERROR(SEARCH("EL",BL26)))</formula>
    </cfRule>
    <cfRule type="containsText" dxfId="159" priority="465" stopIfTrue="1" operator="containsText" text="SP">
      <formula>NOT(ISERROR(SEARCH("SP",BL26)))</formula>
    </cfRule>
    <cfRule type="containsText" dxfId="158" priority="467" stopIfTrue="1" operator="containsText" text="FL">
      <formula>NOT(ISERROR(SEARCH("FL",BL26)))</formula>
    </cfRule>
    <cfRule type="containsText" dxfId="157" priority="471" operator="containsText" text="AL">
      <formula>NOT(ISERROR(SEARCH("AL",BL26)))</formula>
    </cfRule>
    <cfRule type="containsText" priority="470" operator="containsText" text="FL">
      <formula>NOT(ISERROR(SEARCH("FL",BL26)))</formula>
    </cfRule>
  </conditionalFormatting>
  <conditionalFormatting sqref="BL26:BM28">
    <cfRule type="containsText" dxfId="156" priority="426" operator="containsText" text="AB">
      <formula>NOT(ISERROR(SEARCH("AB",BL26)))</formula>
    </cfRule>
    <cfRule type="containsText" dxfId="155" priority="427" operator="containsText" text="AL">
      <formula>NOT(ISERROR(SEARCH("AL",BL26)))</formula>
    </cfRule>
  </conditionalFormatting>
  <conditionalFormatting sqref="BL27:BM28">
    <cfRule type="containsText" dxfId="154" priority="422" stopIfTrue="1" operator="containsText" text="FL">
      <formula>NOT(ISERROR(SEARCH("FL",BL27)))</formula>
    </cfRule>
    <cfRule type="containsText" dxfId="153" priority="383" operator="containsText" text="AB">
      <formula>NOT(ISERROR(SEARCH("AB",BL27)))</formula>
    </cfRule>
    <cfRule type="containsText" dxfId="152" priority="392" operator="containsText" text="EL">
      <formula>NOT(ISERROR(SEARCH("EL",BL27)))</formula>
    </cfRule>
    <cfRule type="containsText" dxfId="151" priority="429" operator="containsText" text="NL">
      <formula>NOT(ISERROR(SEARCH("NL",BL27)))</formula>
    </cfRule>
    <cfRule type="containsText" dxfId="150" priority="425" stopIfTrue="1" operator="containsText" text="SICK">
      <formula>NOT(ISERROR(SEARCH("SICK",BL27)))</formula>
    </cfRule>
    <cfRule type="containsText" dxfId="149" priority="424" stopIfTrue="1" operator="containsText" text="SP">
      <formula>NOT(ISERROR(SEARCH("SP",BL27)))</formula>
    </cfRule>
    <cfRule type="containsText" dxfId="148" priority="423" stopIfTrue="1" operator="containsText" text="AL">
      <formula>NOT(ISERROR(SEARCH("AL",BL27)))</formula>
    </cfRule>
    <cfRule type="containsText" dxfId="147" priority="421" operator="containsText" text="AL">
      <formula>NOT(ISERROR(SEARCH("AL",BL27)))</formula>
    </cfRule>
    <cfRule type="containsText" dxfId="146" priority="419" operator="containsText" text="SICK">
      <formula>NOT(ISERROR(SEARCH("SICK",BL27)))</formula>
    </cfRule>
    <cfRule type="containsText" dxfId="145" priority="418" stopIfTrue="1" operator="containsText" text="AB">
      <formula>NOT(ISERROR(SEARCH("AB",BL27)))</formula>
    </cfRule>
    <cfRule type="containsText" dxfId="144" priority="417" stopIfTrue="1" operator="containsText" text="FL">
      <formula>NOT(ISERROR(SEARCH("FL",BL27)))</formula>
    </cfRule>
  </conditionalFormatting>
  <conditionalFormatting sqref="BL29:BM29">
    <cfRule type="containsText" dxfId="143" priority="747" operator="containsText" text="FL">
      <formula>NOT(ISERROR(SEARCH("FL",BL29)))</formula>
    </cfRule>
    <cfRule type="containsText" dxfId="142" priority="749" operator="containsText" text="AL">
      <formula>NOT(ISERROR(SEARCH("AL",BL29)))</formula>
    </cfRule>
  </conditionalFormatting>
  <conditionalFormatting sqref="BL5:BO6 AR5:AY6">
    <cfRule type="containsText" dxfId="141" priority="5005" stopIfTrue="1" operator="containsText" text="AL">
      <formula>NOT(ISERROR(SEARCH("AL",AR5)))</formula>
    </cfRule>
  </conditionalFormatting>
  <conditionalFormatting sqref="BL5:BO6 BL8:BM9">
    <cfRule type="containsText" dxfId="140" priority="4507" stopIfTrue="1" operator="containsText" text="SP">
      <formula>NOT(ISERROR(SEARCH("SP",BL5)))</formula>
    </cfRule>
  </conditionalFormatting>
  <conditionalFormatting sqref="BL5:BO6">
    <cfRule type="containsText" dxfId="139" priority="5004" operator="containsText" text="NL">
      <formula>NOT(ISERROR(SEARCH("NL",BL5)))</formula>
    </cfRule>
    <cfRule type="containsText" dxfId="138" priority="5003" operator="containsText" text="SICK">
      <formula>NOT(ISERROR(SEARCH("SICK",BL5)))</formula>
    </cfRule>
    <cfRule type="containsText" dxfId="137" priority="5002" operator="containsText" text="AL">
      <formula>NOT(ISERROR(SEARCH("AL",BL5)))</formula>
    </cfRule>
    <cfRule type="containsText" dxfId="136" priority="4843" stopIfTrue="1" operator="containsText" text="SICK">
      <formula>NOT(ISERROR(SEARCH("SICK",BL5)))</formula>
    </cfRule>
    <cfRule type="containsText" dxfId="135" priority="5001" operator="containsText" text="AB">
      <formula>NOT(ISERROR(SEARCH("AB",BL5)))</formula>
    </cfRule>
  </conditionalFormatting>
  <conditionalFormatting sqref="BM5:BM6">
    <cfRule type="containsText" dxfId="134" priority="991" stopIfTrue="1" operator="containsText" text="AL">
      <formula>NOT(ISERROR(SEARCH("AL",BM5)))</formula>
    </cfRule>
    <cfRule type="containsText" dxfId="133" priority="992" stopIfTrue="1" operator="containsText" text="SP">
      <formula>NOT(ISERROR(SEARCH("SP",BM5)))</formula>
    </cfRule>
    <cfRule type="containsText" dxfId="132" priority="990" stopIfTrue="1" operator="containsText" text="SICK">
      <formula>NOT(ISERROR(SEARCH("SICK",BM5)))</formula>
    </cfRule>
  </conditionalFormatting>
  <conditionalFormatting sqref="BM7">
    <cfRule type="containsText" dxfId="131" priority="870" stopIfTrue="1" operator="containsText" text="AL">
      <formula>NOT(ISERROR(SEARCH("AL",BM7)))</formula>
    </cfRule>
    <cfRule type="containsText" dxfId="130" priority="863" operator="containsText" text="AL">
      <formula>NOT(ISERROR(SEARCH("AL",BM7)))</formula>
    </cfRule>
    <cfRule type="containsText" dxfId="129" priority="868" stopIfTrue="1" operator="containsText" text="SP">
      <formula>NOT(ISERROR(SEARCH("SP",BM7)))</formula>
    </cfRule>
    <cfRule type="containsText" dxfId="128" priority="885" operator="containsText" text="NL">
      <formula>NOT(ISERROR(SEARCH("NL",BM7)))</formula>
    </cfRule>
    <cfRule type="containsText" dxfId="127" priority="888" stopIfTrue="1" operator="containsText" text="SICK">
      <formula>NOT(ISERROR(SEARCH("SICK",BM7)))</formula>
    </cfRule>
  </conditionalFormatting>
  <conditionalFormatting sqref="BM8:BM9">
    <cfRule type="containsText" dxfId="126" priority="952" stopIfTrue="1" operator="containsText" text="SICK">
      <formula>NOT(ISERROR(SEARCH("SICK",BM8)))</formula>
    </cfRule>
    <cfRule type="containsText" dxfId="125" priority="953" stopIfTrue="1" operator="containsText" text="AL">
      <formula>NOT(ISERROR(SEARCH("AL",BM8)))</formula>
    </cfRule>
  </conditionalFormatting>
  <conditionalFormatting sqref="BM11:BM12">
    <cfRule type="containsText" dxfId="124" priority="845" stopIfTrue="1" operator="containsText" text="SP">
      <formula>NOT(ISERROR(SEARCH("SP",BM11)))</formula>
    </cfRule>
    <cfRule type="containsText" dxfId="123" priority="844" stopIfTrue="1" operator="containsText" text="AL">
      <formula>NOT(ISERROR(SEARCH("AL",BM11)))</formula>
    </cfRule>
    <cfRule type="containsText" dxfId="122" priority="843" stopIfTrue="1" operator="containsText" text="SICK">
      <formula>NOT(ISERROR(SEARCH("SICK",BM11)))</formula>
    </cfRule>
    <cfRule type="containsText" dxfId="121" priority="858" operator="containsText" text="SICK">
      <formula>NOT(ISERROR(SEARCH("SICK",BM11)))</formula>
    </cfRule>
    <cfRule type="containsText" dxfId="120" priority="857" operator="containsText" text="AL">
      <formula>NOT(ISERROR(SEARCH("AL",BM11)))</formula>
    </cfRule>
    <cfRule type="containsText" dxfId="119" priority="840" operator="containsText" text="AB">
      <formula>NOT(ISERROR(SEARCH("AB",BM11)))</formula>
    </cfRule>
    <cfRule type="containsText" dxfId="118" priority="859" operator="containsText" text="NL">
      <formula>NOT(ISERROR(SEARCH("NL",BM11)))</formula>
    </cfRule>
  </conditionalFormatting>
  <conditionalFormatting sqref="BM13">
    <cfRule type="containsText" dxfId="117" priority="702" stopIfTrue="1" operator="containsText" text="SP">
      <formula>NOT(ISERROR(SEARCH("SP",BM13)))</formula>
    </cfRule>
    <cfRule type="containsText" dxfId="116" priority="703" stopIfTrue="1" operator="containsText" text="SICK">
      <formula>NOT(ISERROR(SEARCH("SICK",BM13)))</formula>
    </cfRule>
    <cfRule type="containsText" dxfId="115" priority="698" stopIfTrue="1" operator="containsText" text="AL">
      <formula>NOT(ISERROR(SEARCH("AL",BM13)))</formula>
    </cfRule>
  </conditionalFormatting>
  <conditionalFormatting sqref="BM15">
    <cfRule type="containsText" dxfId="114" priority="652" stopIfTrue="1" operator="containsText" text="SP">
      <formula>NOT(ISERROR(SEARCH("SP",BM15)))</formula>
    </cfRule>
    <cfRule type="containsText" dxfId="113" priority="650" stopIfTrue="1" operator="containsText" text="SICK">
      <formula>NOT(ISERROR(SEARCH("SICK",BM15)))</formula>
    </cfRule>
    <cfRule type="containsText" dxfId="112" priority="648" stopIfTrue="1" operator="containsText" text="AL">
      <formula>NOT(ISERROR(SEARCH("AL",BM15)))</formula>
    </cfRule>
  </conditionalFormatting>
  <conditionalFormatting sqref="BM17">
    <cfRule type="containsText" dxfId="111" priority="823" operator="containsText" text="SICK">
      <formula>NOT(ISERROR(SEARCH("SICK",BM17)))</formula>
    </cfRule>
    <cfRule type="containsText" dxfId="110" priority="818" stopIfTrue="1" operator="containsText" text="AL">
      <formula>NOT(ISERROR(SEARCH("AL",BM17)))</formula>
    </cfRule>
    <cfRule type="containsText" dxfId="109" priority="819" stopIfTrue="1" operator="containsText" text="SP">
      <formula>NOT(ISERROR(SEARCH("SP",BM17)))</formula>
    </cfRule>
    <cfRule type="containsText" dxfId="108" priority="822" operator="containsText" text="AL">
      <formula>NOT(ISERROR(SEARCH("AL",BM17)))</formula>
    </cfRule>
    <cfRule type="containsText" dxfId="107" priority="824" operator="containsText" text="NL">
      <formula>NOT(ISERROR(SEARCH("NL",BM17)))</formula>
    </cfRule>
    <cfRule type="containsText" dxfId="106" priority="820" stopIfTrue="1" operator="containsText" text="SICK">
      <formula>NOT(ISERROR(SEARCH("SICK",BM17)))</formula>
    </cfRule>
  </conditionalFormatting>
  <conditionalFormatting sqref="BM19">
    <cfRule type="containsText" dxfId="105" priority="598" stopIfTrue="1" operator="containsText" text="AL">
      <formula>NOT(ISERROR(SEARCH("AL",BM19)))</formula>
    </cfRule>
    <cfRule type="containsText" dxfId="104" priority="603" stopIfTrue="1" operator="containsText" text="SICK">
      <formula>NOT(ISERROR(SEARCH("SICK",BM19)))</formula>
    </cfRule>
    <cfRule type="containsText" dxfId="103" priority="602" stopIfTrue="1" operator="containsText" text="SP">
      <formula>NOT(ISERROR(SEARCH("SP",BM19)))</formula>
    </cfRule>
  </conditionalFormatting>
  <conditionalFormatting sqref="BM21:BM22">
    <cfRule type="containsText" dxfId="102" priority="551" stopIfTrue="1" operator="containsText" text="AL">
      <formula>NOT(ISERROR(SEARCH("AL",BM21)))</formula>
    </cfRule>
    <cfRule type="containsText" dxfId="101" priority="553" stopIfTrue="1" operator="containsText" text="SICK">
      <formula>NOT(ISERROR(SEARCH("SICK",BM21)))</formula>
    </cfRule>
    <cfRule type="containsText" dxfId="100" priority="549" stopIfTrue="1" operator="containsText" text="SP">
      <formula>NOT(ISERROR(SEARCH("SP",BM21)))</formula>
    </cfRule>
  </conditionalFormatting>
  <conditionalFormatting sqref="BM23">
    <cfRule type="containsText" dxfId="99" priority="807" operator="containsText" text="NL">
      <formula>NOT(ISERROR(SEARCH("NL",BM23)))</formula>
    </cfRule>
    <cfRule type="containsText" dxfId="98" priority="806" operator="containsText" text="SICK">
      <formula>NOT(ISERROR(SEARCH("SICK",BM23)))</formula>
    </cfRule>
    <cfRule type="containsText" dxfId="97" priority="809" stopIfTrue="1" operator="containsText" text="SP">
      <formula>NOT(ISERROR(SEARCH("SP",BM23)))</formula>
    </cfRule>
    <cfRule type="containsText" dxfId="96" priority="810" stopIfTrue="1" operator="containsText" text="SICK">
      <formula>NOT(ISERROR(SEARCH("SICK",BM23)))</formula>
    </cfRule>
    <cfRule type="containsText" dxfId="95" priority="808" stopIfTrue="1" operator="containsText" text="AL">
      <formula>NOT(ISERROR(SEARCH("AL",BM23)))</formula>
    </cfRule>
    <cfRule type="containsText" dxfId="94" priority="788" operator="containsText" text="AB">
      <formula>NOT(ISERROR(SEARCH("AB",BM23)))</formula>
    </cfRule>
    <cfRule type="containsText" dxfId="93" priority="805" operator="containsText" text="AL">
      <formula>NOT(ISERROR(SEARCH("AL",BM23)))</formula>
    </cfRule>
  </conditionalFormatting>
  <conditionalFormatting sqref="BM24">
    <cfRule type="containsText" dxfId="92" priority="503" stopIfTrue="1" operator="containsText" text="SICK">
      <formula>NOT(ISERROR(SEARCH("SICK",BM24)))</formula>
    </cfRule>
  </conditionalFormatting>
  <conditionalFormatting sqref="BM24:BM25">
    <cfRule type="containsText" dxfId="91" priority="501" stopIfTrue="1" operator="containsText" text="AL">
      <formula>NOT(ISERROR(SEARCH("AL",BM24)))</formula>
    </cfRule>
    <cfRule type="containsText" dxfId="90" priority="502" stopIfTrue="1" operator="containsText" text="SP">
      <formula>NOT(ISERROR(SEARCH("SP",BM24)))</formula>
    </cfRule>
  </conditionalFormatting>
  <conditionalFormatting sqref="BM25">
    <cfRule type="containsText" dxfId="89" priority="777" operator="containsText" text="SICK">
      <formula>NOT(ISERROR(SEARCH("SICK",BM25)))</formula>
    </cfRule>
    <cfRule type="containsText" dxfId="88" priority="779" operator="containsText" text="AL">
      <formula>NOT(ISERROR(SEARCH("AL",BM25)))</formula>
    </cfRule>
    <cfRule type="containsText" dxfId="87" priority="784" stopIfTrue="1" operator="containsText" text="SICK">
      <formula>NOT(ISERROR(SEARCH("SICK",BM25)))</formula>
    </cfRule>
    <cfRule type="containsText" dxfId="86" priority="772" operator="containsText" text="NL">
      <formula>NOT(ISERROR(SEARCH("NL",BM25)))</formula>
    </cfRule>
  </conditionalFormatting>
  <conditionalFormatting sqref="BM26">
    <cfRule type="containsText" dxfId="85" priority="451" stopIfTrue="1" operator="containsText" text="AL">
      <formula>NOT(ISERROR(SEARCH("AL",BM26)))</formula>
    </cfRule>
    <cfRule type="containsText" dxfId="84" priority="453" stopIfTrue="1" operator="containsText" text="SICK">
      <formula>NOT(ISERROR(SEARCH("SICK",BM26)))</formula>
    </cfRule>
    <cfRule type="containsText" dxfId="83" priority="452" stopIfTrue="1" operator="containsText" text="SP">
      <formula>NOT(ISERROR(SEARCH("SP",BM26)))</formula>
    </cfRule>
  </conditionalFormatting>
  <conditionalFormatting sqref="BM27:BM28">
    <cfRule type="containsText" dxfId="82" priority="400" stopIfTrue="1" operator="containsText" text="SICK">
      <formula>NOT(ISERROR(SEARCH("SICK",BM27)))</formula>
    </cfRule>
    <cfRule type="containsText" dxfId="81" priority="401" stopIfTrue="1" operator="containsText" text="AL">
      <formula>NOT(ISERROR(SEARCH("AL",BM27)))</formula>
    </cfRule>
    <cfRule type="containsText" dxfId="80" priority="399" stopIfTrue="1" operator="containsText" text="SP">
      <formula>NOT(ISERROR(SEARCH("SP",BM27)))</formula>
    </cfRule>
  </conditionalFormatting>
  <conditionalFormatting sqref="BM29">
    <cfRule type="containsText" dxfId="79" priority="744" operator="containsText" text="AL">
      <formula>NOT(ISERROR(SEARCH("AL",BM29)))</formula>
    </cfRule>
    <cfRule type="containsText" dxfId="78" priority="745" operator="containsText" text="SICK">
      <formula>NOT(ISERROR(SEARCH("SICK",BM29)))</formula>
    </cfRule>
    <cfRule type="containsText" dxfId="77" priority="758" stopIfTrue="1" operator="containsText" text="SICK">
      <formula>NOT(ISERROR(SEARCH("SICK",BM29)))</formula>
    </cfRule>
    <cfRule type="containsText" dxfId="76" priority="757" stopIfTrue="1" operator="containsText" text="SP">
      <formula>NOT(ISERROR(SEARCH("SP",BM29)))</formula>
    </cfRule>
    <cfRule type="containsText" dxfId="75" priority="756" stopIfTrue="1" operator="containsText" text="AL">
      <formula>NOT(ISERROR(SEARCH("AL",BM29)))</formula>
    </cfRule>
    <cfRule type="containsText" dxfId="74" priority="746" operator="containsText" text="NL">
      <formula>NOT(ISERROR(SEARCH("NL",BM29)))</formula>
    </cfRule>
  </conditionalFormatting>
  <conditionalFormatting sqref="BN7 BN10:BO16 BN17 BN19:BO19 BN21:BO22 BN23:BN26 BN28:BO28 BN29">
    <cfRule type="containsText" dxfId="73" priority="285" operator="containsText" text="SICK">
      <formula>NOT(ISERROR(SEARCH("SICK",BN7)))</formula>
    </cfRule>
  </conditionalFormatting>
  <conditionalFormatting sqref="BN23:BN27">
    <cfRule type="containsText" priority="67" operator="containsText" text="FL">
      <formula>NOT(ISERROR(SEARCH("FL",BN23)))</formula>
    </cfRule>
    <cfRule type="containsText" dxfId="72" priority="66" operator="containsText" text="FL">
      <formula>NOT(ISERROR(SEARCH("FL",BN23)))</formula>
    </cfRule>
  </conditionalFormatting>
  <conditionalFormatting sqref="BN27">
    <cfRule type="containsText" dxfId="71" priority="62" operator="containsText" text="NL">
      <formula>NOT(ISERROR(SEARCH("NL",BN27)))</formula>
    </cfRule>
    <cfRule type="containsText" dxfId="70" priority="64" stopIfTrue="1" operator="containsText" text="SP">
      <formula>NOT(ISERROR(SEARCH("SP",BN27)))</formula>
    </cfRule>
    <cfRule type="containsText" dxfId="69" priority="65" stopIfTrue="1" operator="containsText" text="SICK">
      <formula>NOT(ISERROR(SEARCH("SICK",BN27)))</formula>
    </cfRule>
    <cfRule type="containsText" dxfId="68" priority="60" operator="containsText" text="AL">
      <formula>NOT(ISERROR(SEARCH("AL",BN27)))</formula>
    </cfRule>
    <cfRule type="containsText" dxfId="67" priority="42" operator="containsText" text="SICK">
      <formula>NOT(ISERROR(SEARCH("SICK",BN27)))</formula>
    </cfRule>
    <cfRule type="containsText" dxfId="66" priority="44" operator="containsText" text="AB">
      <formula>NOT(ISERROR(SEARCH("AB",BN27)))</formula>
    </cfRule>
    <cfRule type="containsText" dxfId="65" priority="45" stopIfTrue="1" operator="containsText" text="AL">
      <formula>NOT(ISERROR(SEARCH("AL",BN27)))</formula>
    </cfRule>
    <cfRule type="containsText" priority="55" operator="containsText" text="FL">
      <formula>NOT(ISERROR(SEARCH("FL",BN27)))</formula>
    </cfRule>
  </conditionalFormatting>
  <conditionalFormatting sqref="BN4:BO4">
    <cfRule type="dataBar" priority="64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{C1CFEF54-0776-4EE7-9E4E-89CDD455991A}</x14:id>
        </ext>
      </extLst>
    </cfRule>
  </conditionalFormatting>
  <conditionalFormatting sqref="BN5:BO6">
    <cfRule type="containsText" dxfId="64" priority="373" operator="containsText" text="AL">
      <formula>NOT(ISERROR(SEARCH("AL",BN5)))</formula>
    </cfRule>
    <cfRule type="containsText" priority="372" operator="containsText" text="FL">
      <formula>NOT(ISERROR(SEARCH("FL",BN5)))</formula>
    </cfRule>
    <cfRule type="containsText" dxfId="63" priority="369" operator="containsText" text="AL">
      <formula>NOT(ISERROR(SEARCH("AL",BN5)))</formula>
    </cfRule>
    <cfRule type="containsText" dxfId="62" priority="368" operator="containsText" text="AB">
      <formula>NOT(ISERROR(SEARCH("AB",BN5)))</formula>
    </cfRule>
    <cfRule type="containsText" dxfId="61" priority="367" stopIfTrue="1" operator="containsText" text="SICK">
      <formula>NOT(ISERROR(SEARCH("SICK",BN5)))</formula>
    </cfRule>
    <cfRule type="containsText" dxfId="60" priority="366" stopIfTrue="1" operator="containsText" text="SP">
      <formula>NOT(ISERROR(SEARCH("SP",BN5)))</formula>
    </cfRule>
    <cfRule type="containsText" dxfId="59" priority="365" stopIfTrue="1" operator="containsText" text="AL">
      <formula>NOT(ISERROR(SEARCH("AL",BN5)))</formula>
    </cfRule>
    <cfRule type="containsText" dxfId="58" priority="360" operator="containsText" text="NL">
      <formula>NOT(ISERROR(SEARCH("NL",BN5)))</formula>
    </cfRule>
    <cfRule type="containsText" dxfId="57" priority="359" operator="containsText" text="SICK">
      <formula>NOT(ISERROR(SEARCH("SICK",BN5)))</formula>
    </cfRule>
  </conditionalFormatting>
  <conditionalFormatting sqref="BN7:BO7">
    <cfRule type="containsText" priority="215" operator="containsText" text="FL">
      <formula>NOT(ISERROR(SEARCH("FL",BN7)))</formula>
    </cfRule>
    <cfRule type="containsText" dxfId="56" priority="226" operator="containsText" text="FL">
      <formula>NOT(ISERROR(SEARCH("FL",BN7)))</formula>
    </cfRule>
    <cfRule type="containsText" dxfId="55" priority="228" operator="containsText" text="AL">
      <formula>NOT(ISERROR(SEARCH("AL",BN7)))</formula>
    </cfRule>
  </conditionalFormatting>
  <conditionalFormatting sqref="BN8:BO9">
    <cfRule type="containsText" dxfId="54" priority="245" stopIfTrue="1" operator="containsText" text="AL">
      <formula>NOT(ISERROR(SEARCH("AL",BN8)))</formula>
    </cfRule>
    <cfRule type="containsText" dxfId="53" priority="246" stopIfTrue="1" operator="containsText" text="SP">
      <formula>NOT(ISERROR(SEARCH("SP",BN8)))</formula>
    </cfRule>
    <cfRule type="containsText" dxfId="52" priority="250" stopIfTrue="1" operator="containsText" text="SICK">
      <formula>NOT(ISERROR(SEARCH("SICK",BN8)))</formula>
    </cfRule>
    <cfRule type="containsText" dxfId="51" priority="256" operator="containsText" text="AL">
      <formula>NOT(ISERROR(SEARCH("AL",BN8)))</formula>
    </cfRule>
    <cfRule type="containsText" dxfId="50" priority="244" operator="containsText" text="AB">
      <formula>NOT(ISERROR(SEARCH("AB",BN8)))</formula>
    </cfRule>
    <cfRule type="containsText" dxfId="49" priority="242" operator="containsText" text="SICK">
      <formula>NOT(ISERROR(SEARCH("SICK",BN8)))</formula>
    </cfRule>
    <cfRule type="containsText" dxfId="48" priority="241" operator="containsText" text="AL">
      <formula>NOT(ISERROR(SEARCH("AL",BN8)))</formula>
    </cfRule>
    <cfRule type="containsText" dxfId="47" priority="243" operator="containsText" text="NL">
      <formula>NOT(ISERROR(SEARCH("NL",BN8)))</formula>
    </cfRule>
  </conditionalFormatting>
  <conditionalFormatting sqref="BN8:BO16">
    <cfRule type="containsText" dxfId="46" priority="266" operator="containsText" text="FL">
      <formula>NOT(ISERROR(SEARCH("FL",BN8)))</formula>
    </cfRule>
    <cfRule type="containsText" priority="255" operator="containsText" text="FL">
      <formula>NOT(ISERROR(SEARCH("FL",BN8)))</formula>
    </cfRule>
  </conditionalFormatting>
  <conditionalFormatting sqref="BN10:BO16 BN17 BL19:BO19 BL21:BO22 BM29:BN29 BN7 BN23:BN26 BN28:BO28">
    <cfRule type="containsText" dxfId="45" priority="284" operator="containsText" text="AB">
      <formula>NOT(ISERROR(SEARCH("AB",BL7)))</formula>
    </cfRule>
  </conditionalFormatting>
  <conditionalFormatting sqref="BN10:BO16 BN17 BN19:BO19 BN21:BO22 BN29">
    <cfRule type="containsText" dxfId="44" priority="283" operator="containsText" text="AL">
      <formula>NOT(ISERROR(SEARCH("AL",BN10)))</formula>
    </cfRule>
  </conditionalFormatting>
  <conditionalFormatting sqref="BN17:BO17">
    <cfRule type="containsText" dxfId="43" priority="186" operator="containsText" text="FL">
      <formula>NOT(ISERROR(SEARCH("FL",BN17)))</formula>
    </cfRule>
    <cfRule type="containsText" priority="175" operator="containsText" text="FL">
      <formula>NOT(ISERROR(SEARCH("FL",BN17)))</formula>
    </cfRule>
  </conditionalFormatting>
  <conditionalFormatting sqref="BN19:BO22">
    <cfRule type="containsText" dxfId="42" priority="146" operator="containsText" text="FL">
      <formula>NOT(ISERROR(SEARCH("FL",BN19)))</formula>
    </cfRule>
    <cfRule type="containsText" priority="135" operator="containsText" text="FL">
      <formula>NOT(ISERROR(SEARCH("FL",BN19)))</formula>
    </cfRule>
  </conditionalFormatting>
  <conditionalFormatting sqref="BN20:BO20">
    <cfRule type="containsText" dxfId="41" priority="136" operator="containsText" text="AL">
      <formula>NOT(ISERROR(SEARCH("AL",BN20)))</formula>
    </cfRule>
    <cfRule type="containsText" dxfId="40" priority="150" operator="containsText" text="SICK">
      <formula>NOT(ISERROR(SEARCH("SICK",BN20)))</formula>
    </cfRule>
    <cfRule type="containsText" dxfId="39" priority="153" stopIfTrue="1" operator="containsText" text="SICK">
      <formula>NOT(ISERROR(SEARCH("SICK",BN20)))</formula>
    </cfRule>
    <cfRule type="containsText" dxfId="38" priority="158" stopIfTrue="1" operator="containsText" text="AL">
      <formula>NOT(ISERROR(SEARCH("AL",BN20)))</formula>
    </cfRule>
    <cfRule type="containsText" dxfId="37" priority="155" operator="containsText" text="AL">
      <formula>NOT(ISERROR(SEARCH("AL",BN20)))</formula>
    </cfRule>
    <cfRule type="containsText" dxfId="36" priority="157" operator="containsText" text="NL">
      <formula>NOT(ISERROR(SEARCH("NL",BN20)))</formula>
    </cfRule>
    <cfRule type="containsText" dxfId="35" priority="154" operator="containsText" text="AB">
      <formula>NOT(ISERROR(SEARCH("AB",BN20)))</formula>
    </cfRule>
    <cfRule type="containsText" dxfId="34" priority="126" stopIfTrue="1" operator="containsText" text="SP">
      <formula>NOT(ISERROR(SEARCH("SP",BN20)))</formula>
    </cfRule>
  </conditionalFormatting>
  <conditionalFormatting sqref="BN23:BO28">
    <cfRule type="containsText" dxfId="33" priority="68" operator="containsText" text="AL">
      <formula>NOT(ISERROR(SEARCH("AL",BN23)))</formula>
    </cfRule>
  </conditionalFormatting>
  <conditionalFormatting sqref="BN28:BO29">
    <cfRule type="containsText" priority="27" operator="containsText" text="FL">
      <formula>NOT(ISERROR(SEARCH("FL",BN28)))</formula>
    </cfRule>
    <cfRule type="containsText" dxfId="32" priority="26" operator="containsText" text="FL">
      <formula>NOT(ISERROR(SEARCH("FL",BN28)))</formula>
    </cfRule>
  </conditionalFormatting>
  <conditionalFormatting sqref="BO7">
    <cfRule type="containsText" dxfId="31" priority="211" operator="containsText" text="AB">
      <formula>NOT(ISERROR(SEARCH("AB",BO7)))</formula>
    </cfRule>
    <cfRule type="containsText" dxfId="30" priority="212" operator="containsText" text="AL">
      <formula>NOT(ISERROR(SEARCH("AL",BO7)))</formula>
    </cfRule>
    <cfRule type="containsText" dxfId="29" priority="213" operator="containsText" text="SICK">
      <formula>NOT(ISERROR(SEARCH("SICK",BO7)))</formula>
    </cfRule>
    <cfRule type="containsText" dxfId="28" priority="214" operator="containsText" text="NL">
      <formula>NOT(ISERROR(SEARCH("NL",BO7)))</formula>
    </cfRule>
    <cfRule type="containsText" dxfId="27" priority="206" stopIfTrue="1" operator="containsText" text="SP">
      <formula>NOT(ISERROR(SEARCH("SP",BO7)))</formula>
    </cfRule>
    <cfRule type="containsText" dxfId="26" priority="207" stopIfTrue="1" operator="containsText" text="SICK">
      <formula>NOT(ISERROR(SEARCH("SICK",BO7)))</formula>
    </cfRule>
    <cfRule type="containsText" dxfId="25" priority="208" stopIfTrue="1" operator="containsText" text="AL">
      <formula>NOT(ISERROR(SEARCH("AL",BO7)))</formula>
    </cfRule>
  </conditionalFormatting>
  <conditionalFormatting sqref="BO17">
    <cfRule type="containsText" dxfId="24" priority="167" stopIfTrue="1" operator="containsText" text="SICK">
      <formula>NOT(ISERROR(SEARCH("SICK",BO17)))</formula>
    </cfRule>
    <cfRule type="containsText" dxfId="23" priority="177" operator="containsText" text="AB">
      <formula>NOT(ISERROR(SEARCH("AB",BO17)))</formula>
    </cfRule>
    <cfRule type="containsText" dxfId="22" priority="176" operator="containsText" text="AL">
      <formula>NOT(ISERROR(SEARCH("AL",BO17)))</formula>
    </cfRule>
    <cfRule type="containsText" dxfId="21" priority="174" operator="containsText" text="NL">
      <formula>NOT(ISERROR(SEARCH("NL",BO17)))</formula>
    </cfRule>
    <cfRule type="containsText" dxfId="20" priority="173" operator="containsText" text="SICK">
      <formula>NOT(ISERROR(SEARCH("SICK",BO17)))</formula>
    </cfRule>
    <cfRule type="containsText" dxfId="19" priority="168" stopIfTrue="1" operator="containsText" text="AL">
      <formula>NOT(ISERROR(SEARCH("AL",BO17)))</formula>
    </cfRule>
    <cfRule type="containsText" dxfId="18" priority="172" operator="containsText" text="AL">
      <formula>NOT(ISERROR(SEARCH("AL",BO17)))</formula>
    </cfRule>
    <cfRule type="containsText" dxfId="17" priority="169" stopIfTrue="1" operator="containsText" text="SP">
      <formula>NOT(ISERROR(SEARCH("SP",BO17)))</formula>
    </cfRule>
  </conditionalFormatting>
  <conditionalFormatting sqref="BO23:BO27">
    <cfRule type="containsText" dxfId="16" priority="98" operator="containsText" text="SICK">
      <formula>NOT(ISERROR(SEARCH("SICK",BO23)))</formula>
    </cfRule>
    <cfRule type="containsText" dxfId="15" priority="100" operator="containsText" text="AL">
      <formula>NOT(ISERROR(SEARCH("AL",BO23)))</formula>
    </cfRule>
    <cfRule type="containsText" dxfId="14" priority="102" operator="containsText" text="NL">
      <formula>NOT(ISERROR(SEARCH("NL",BO23)))</formula>
    </cfRule>
    <cfRule type="containsText" priority="107" operator="containsText" text="FL">
      <formula>NOT(ISERROR(SEARCH("FL",BO23)))</formula>
    </cfRule>
    <cfRule type="containsText" dxfId="13" priority="106" operator="containsText" text="FL">
      <formula>NOT(ISERROR(SEARCH("FL",BO23)))</formula>
    </cfRule>
    <cfRule type="containsText" dxfId="12" priority="105" stopIfTrue="1" operator="containsText" text="SICK">
      <formula>NOT(ISERROR(SEARCH("SICK",BO23)))</formula>
    </cfRule>
    <cfRule type="containsText" dxfId="11" priority="104" stopIfTrue="1" operator="containsText" text="SP">
      <formula>NOT(ISERROR(SEARCH("SP",BO23)))</formula>
    </cfRule>
    <cfRule type="containsText" dxfId="10" priority="103" stopIfTrue="1" operator="containsText" text="AL">
      <formula>NOT(ISERROR(SEARCH("AL",BO23)))</formula>
    </cfRule>
    <cfRule type="containsText" dxfId="9" priority="99" operator="containsText" text="AB">
      <formula>NOT(ISERROR(SEARCH("AB",BO23)))</formula>
    </cfRule>
  </conditionalFormatting>
  <conditionalFormatting sqref="BO29">
    <cfRule type="containsText" dxfId="8" priority="19" operator="containsText" text="AB">
      <formula>NOT(ISERROR(SEARCH("AB",BO29)))</formula>
    </cfRule>
    <cfRule type="containsText" dxfId="7" priority="25" stopIfTrue="1" operator="containsText" text="SICK">
      <formula>NOT(ISERROR(SEARCH("SICK",BO29)))</formula>
    </cfRule>
    <cfRule type="containsText" dxfId="6" priority="24" stopIfTrue="1" operator="containsText" text="SP">
      <formula>NOT(ISERROR(SEARCH("SP",BO29)))</formula>
    </cfRule>
    <cfRule type="containsText" dxfId="5" priority="20" operator="containsText" text="AL">
      <formula>NOT(ISERROR(SEARCH("AL",BO29)))</formula>
    </cfRule>
    <cfRule type="containsText" priority="15" operator="containsText" text="FL">
      <formula>NOT(ISERROR(SEARCH("FL",BO29)))</formula>
    </cfRule>
    <cfRule type="containsText" dxfId="4" priority="14" operator="containsText" text="NL">
      <formula>NOT(ISERROR(SEARCH("NL",BO29)))</formula>
    </cfRule>
    <cfRule type="containsText" dxfId="3" priority="8" stopIfTrue="1" operator="containsText" text="AL">
      <formula>NOT(ISERROR(SEARCH("AL",BO29)))</formula>
    </cfRule>
    <cfRule type="containsText" dxfId="2" priority="2" operator="containsText" text="SICK">
      <formula>NOT(ISERROR(SEARCH("SICK",BO29)))</formula>
    </cfRule>
    <cfRule type="containsText" dxfId="1" priority="16" operator="containsText" text="AL">
      <formula>NOT(ISERROR(SEARCH("AL",BO29)))</formula>
    </cfRule>
  </conditionalFormatting>
  <conditionalFormatting sqref="BQ5:BQ29 BQ31 BQ53:BQ54">
    <cfRule type="cellIs" dxfId="0" priority="6390" operator="equal">
      <formula>";"</formula>
    </cfRule>
  </conditionalFormatting>
  <pageMargins left="0.7" right="0.7" top="0.75" bottom="0.75" header="0.3" footer="0.3"/>
  <pageSetup paperSize="9" scale="21" orientation="landscape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EE34FB7-5EF4-4870-8A13-15A6B55C44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D4:AG4</xm:sqref>
        </x14:conditionalFormatting>
        <x14:conditionalFormatting xmlns:xm="http://schemas.microsoft.com/office/excel/2006/main">
          <x14:cfRule type="dataBar" id="{18C9405A-DBA5-4A0C-8D82-A7E4A0E01B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AJ4:AK4</xm:sqref>
        </x14:conditionalFormatting>
        <x14:conditionalFormatting xmlns:xm="http://schemas.microsoft.com/office/excel/2006/main">
          <x14:cfRule type="dataBar" id="{D81010D4-FAEB-46FE-A843-D5990D5780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AL4:AM4</xm:sqref>
        </x14:conditionalFormatting>
        <x14:conditionalFormatting xmlns:xm="http://schemas.microsoft.com/office/excel/2006/main">
          <x14:cfRule type="dataBar" id="{AA562D21-5FCF-47C8-A5E7-17EDEA16AB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AN4:AO4</xm:sqref>
        </x14:conditionalFormatting>
        <x14:conditionalFormatting xmlns:xm="http://schemas.microsoft.com/office/excel/2006/main">
          <x14:cfRule type="dataBar" id="{4FF21087-245E-4061-9148-ABFB9C20E8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AP4:AQ4</xm:sqref>
        </x14:conditionalFormatting>
        <x14:conditionalFormatting xmlns:xm="http://schemas.microsoft.com/office/excel/2006/main">
          <x14:cfRule type="dataBar" id="{6431A124-F87D-4F6F-B61A-9E92FB391F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AR4:AS4</xm:sqref>
        </x14:conditionalFormatting>
        <x14:conditionalFormatting xmlns:xm="http://schemas.microsoft.com/office/excel/2006/main">
          <x14:cfRule type="dataBar" id="{F7722F2D-7253-4DFF-BD81-846DD9395C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AT4:AU4</xm:sqref>
        </x14:conditionalFormatting>
        <x14:conditionalFormatting xmlns:xm="http://schemas.microsoft.com/office/excel/2006/main">
          <x14:cfRule type="dataBar" id="{9E114280-3E5A-4475-9395-D79553E27A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AV4:AW4</xm:sqref>
        </x14:conditionalFormatting>
        <x14:conditionalFormatting xmlns:xm="http://schemas.microsoft.com/office/excel/2006/main">
          <x14:cfRule type="dataBar" id="{C08670B4-86F1-4E11-9B63-F358153C7B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AX4:AY4</xm:sqref>
        </x14:conditionalFormatting>
        <x14:conditionalFormatting xmlns:xm="http://schemas.microsoft.com/office/excel/2006/main">
          <x14:cfRule type="dataBar" id="{1DC36696-C862-4749-971A-62B3673027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AZ4:BA4</xm:sqref>
        </x14:conditionalFormatting>
        <x14:conditionalFormatting xmlns:xm="http://schemas.microsoft.com/office/excel/2006/main">
          <x14:cfRule type="dataBar" id="{1D58A0B1-9397-4CA9-B0BC-CB4EB3BCBA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BB4:BC4</xm:sqref>
        </x14:conditionalFormatting>
        <x14:conditionalFormatting xmlns:xm="http://schemas.microsoft.com/office/excel/2006/main">
          <x14:cfRule type="dataBar" id="{FCA7DE78-89AB-4416-B84F-9CADB5C6EF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BD4:BE4</xm:sqref>
        </x14:conditionalFormatting>
        <x14:conditionalFormatting xmlns:xm="http://schemas.microsoft.com/office/excel/2006/main">
          <x14:cfRule type="dataBar" id="{3BB8FBCF-AF12-4250-846D-5CB86834F8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BF4:BG4</xm:sqref>
        </x14:conditionalFormatting>
        <x14:conditionalFormatting xmlns:xm="http://schemas.microsoft.com/office/excel/2006/main">
          <x14:cfRule type="dataBar" id="{545C0F9A-AB9E-40AE-836D-607A4F9883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BH4:BI4</xm:sqref>
        </x14:conditionalFormatting>
        <x14:conditionalFormatting xmlns:xm="http://schemas.microsoft.com/office/excel/2006/main">
          <x14:cfRule type="dataBar" id="{76077AC0-1CA9-4C46-BD76-2D42864823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BJ4:BO4</xm:sqref>
        </x14:conditionalFormatting>
        <x14:conditionalFormatting xmlns:xm="http://schemas.microsoft.com/office/excel/2006/main">
          <x14:cfRule type="dataBar" id="{C1CFEF54-0776-4EE7-9E4E-89CDD45599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BN4:BO4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</vt:lpstr>
      <vt:lpstr>MASTER!Print_Area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Muneswari Sandrapalli</dc:creator>
  <cp:lastModifiedBy>Madihaa Company</cp:lastModifiedBy>
  <cp:lastPrinted>2026-02-01T06:22:00Z</cp:lastPrinted>
  <dcterms:created xsi:type="dcterms:W3CDTF">2025-11-01T09:49:00Z</dcterms:created>
  <dcterms:modified xsi:type="dcterms:W3CDTF">2026-10-29T19:17:48Z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BB9A936195674B829B951A918F4E24AB_12</vt:lpwstr>
  </property>
  <property fmtid="{D5CDD505-2E9C-101B-9397-08002B2CF9AE}" pid="3" name="KSOProductBuildVer">
    <vt:lpwstr>1033-12.1.0.29681</vt:lpwstr>
  </property>
  <property fmtid="{D5CDD505-2E9C-101B-9397-08002B2CF9AE}" pid="4" name="CalculationRule">
    <vt:i4>0</vt:i4>
  </property>
</Properties>
</file>